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월력표" sheetId="2" state="visible" r:id="rId2"/>
    <sheet name="업무일지" sheetId="3" state="visible" r:id="rId3"/>
    <sheet name="일일실시사항" sheetId="4" state="visible" r:id="rId4"/>
    <sheet name="사건마스터" sheetId="5" state="visible" r:id="rId5"/>
    <sheet name="부서 전체현황" sheetId="6" state="visible" r:id="rId6"/>
    <sheet name="사건별 현황" sheetId="7" state="visible" r:id="rId7"/>
    <sheet name="개인별 현황" sheetId="8" state="visible" r:id="rId8"/>
    <sheet name="코드설정" sheetId="9" state="visible" r:id="rId9"/>
  </sheets>
  <definedNames>
    <definedName name="_xlnm._FilterDatabase" localSheetId="2" hidden="1">'업무일지'!$A$4:$Y$1004</definedName>
    <definedName name="_xlnm.Print_Titles" localSheetId="2">'업무일지'!$4:$4</definedName>
    <definedName name="_xlnm._FilterDatabase" localSheetId="3" hidden="1">'일일실시사항'!$A$4:$L$1004</definedName>
    <definedName name="_xlnm.Print_Titles" localSheetId="3">'일일실시사항'!$4:$4</definedName>
    <definedName name="_xlnm._FilterDatabase" localSheetId="4" hidden="1">'사건마스터'!$A$4:$J$64</definedName>
    <definedName name="_xlnm.Print_Titles" localSheetId="4">'사건마스터'!$4:$4</definedName>
    <definedName name="_xlnm._FilterDatabase" localSheetId="6" hidden="1">'사건별 현황'!$A$5:$Q$65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;;-"/>
    <numFmt numFmtId="166" formatCode="#,##0.0;;-"/>
    <numFmt numFmtId="167" formatCode="0.0;;-"/>
    <numFmt numFmtId="168" formatCode="d"/>
    <numFmt numFmtId="169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FFFF"/>
      <sz val="8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1F3864"/>
      <sz val="13"/>
    </font>
    <font>
      <name val="Arial"/>
      <b val="1"/>
      <color rgb="00FFC7CE"/>
      <sz val="11"/>
    </font>
    <font>
      <name val="Arial"/>
      <b val="1"/>
      <color rgb="00FFFFFF"/>
      <sz val="11"/>
    </font>
    <font>
      <name val="Arial"/>
      <b val="1"/>
      <color rgb="00BDD7EE"/>
      <sz val="11"/>
    </font>
    <font>
      <name val="Arial"/>
      <b val="1"/>
      <color rgb="00C00000"/>
      <sz val="12"/>
    </font>
    <font>
      <name val="Arial"/>
      <b val="1"/>
      <color rgb="001F4E79"/>
      <sz val="9"/>
    </font>
    <font>
      <name val="Arial"/>
      <b val="1"/>
      <color rgb="00000000"/>
      <sz val="12"/>
    </font>
    <font>
      <name val="Arial"/>
      <b val="1"/>
      <color rgb="002E75B6"/>
      <sz val="12"/>
    </font>
    <font>
      <name val="Arial"/>
      <sz val="10"/>
    </font>
    <font>
      <name val="Arial"/>
      <b val="1"/>
      <color rgb="001F3864"/>
      <sz val="18"/>
    </font>
    <font>
      <name val="Arial"/>
      <b val="1"/>
      <color rgb="00FFFFFF"/>
      <sz val="12"/>
    </font>
    <font>
      <name val="Arial"/>
      <b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08080"/>
      </patternFill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medium">
        <color rgb="001F3864"/>
      </top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medium">
        <color rgb="001F3864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9" fillId="0" borderId="0" pivotButton="0" quotePrefix="0" xfId="0"/>
    <xf numFmtId="0" fontId="20" fillId="11" borderId="0" pivotButton="0" quotePrefix="0" xfId="0"/>
    <xf numFmtId="0" fontId="0" fillId="11" borderId="0" pivotButton="0" quotePrefix="0" xfId="0"/>
    <xf numFmtId="0" fontId="21" fillId="6" borderId="1" applyAlignment="1" pivotButton="0" quotePrefix="0" xfId="0">
      <alignment horizontal="left" vertical="top"/>
    </xf>
    <xf numFmtId="0" fontId="18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9" fillId="6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8" fontId="14" fillId="8" borderId="6" applyAlignment="1" pivotButton="0" quotePrefix="0" xfId="0">
      <alignment horizontal="left" vertical="center"/>
    </xf>
    <xf numFmtId="168" fontId="16" fillId="8" borderId="6" applyAlignment="1" pivotButton="0" quotePrefix="0" xfId="0">
      <alignment horizontal="left" vertical="center"/>
    </xf>
    <xf numFmtId="168" fontId="17" fillId="8" borderId="6" applyAlignment="1" pivotButton="0" quotePrefix="0" xfId="0">
      <alignment horizontal="left" vertical="center"/>
    </xf>
    <xf numFmtId="0" fontId="15" fillId="9" borderId="7" applyAlignment="1" pivotButton="0" quotePrefix="0" xfId="0">
      <alignment horizontal="left" vertical="center"/>
    </xf>
    <xf numFmtId="0" fontId="4" fillId="10" borderId="8" applyAlignment="1" pivotButton="0" quotePrefix="0" xfId="0">
      <alignment horizontal="left" vertical="top" wrapText="1"/>
    </xf>
    <xf numFmtId="0" fontId="12" fillId="11" borderId="1" pivotButton="0" quotePrefix="0" xfId="0"/>
    <xf numFmtId="0" fontId="0" fillId="11" borderId="1" pivotButton="0" quotePrefix="0" xfId="0"/>
    <xf numFmtId="0" fontId="3" fillId="2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165" fontId="6" fillId="12" borderId="1" applyAlignment="1" pivotButton="0" quotePrefix="0" xfId="0">
      <alignment horizontal="center" vertical="center"/>
    </xf>
    <xf numFmtId="167" fontId="6" fillId="12" borderId="1" applyAlignment="1" pivotButton="0" quotePrefix="0" xfId="0">
      <alignment horizontal="center" vertical="center"/>
    </xf>
    <xf numFmtId="166" fontId="6" fillId="12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9" fontId="6" fillId="0" borderId="1" applyAlignment="1" pivotButton="0" quotePrefix="0" xfId="0">
      <alignment horizontal="center" vertical="center"/>
    </xf>
    <xf numFmtId="169" fontId="6" fillId="1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" fontId="8" fillId="7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b val="1"/>
        <color rgb="00C00000"/>
      </font>
      <fill>
        <patternFill patternType="solid">
          <fgColor rgb="00FCE4D6"/>
        </patternFill>
      </fill>
    </dxf>
    <dxf>
      <font>
        <b val="1"/>
        <color rgb="00FFFFFF"/>
      </font>
      <fill>
        <patternFill patternType="solid">
          <fgColor rgb="0070AD47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b val="1"/>
        <color rgb="00C00000"/>
      </font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업무일지</author>
  </authors>
  <commentList>
    <comment ref="G4" authorId="0" shapeId="0">
      <text>
        <t>사건번호를 고르면 자동으로 채워집니다. 사건번호가 없는 업무는 이 칸에 직접 입력하세요(수식이 지워집니다).</t>
      </text>
    </comment>
    <comment ref="I4" authorId="0" shapeId="0">
      <text>
        <t>사건번호를 고르면 [사건마스터] 배정표의 주담당·참여자가 자동으로 들어옵니다. 이 건만 인원이 다르면 칸을 직접 골라 덮어쓰세요(그 행의 수식만 사라집니다).</t>
      </text>
    </comment>
    <comment ref="O4" authorId="0" shapeId="0">
      <text>
        <t>투입인원 = 주담당자 + 참여자 1~5 중 채워진 사람 수. 사건마스터에서 6명을 넘게 배정하면 앞의 5명만 넘어오니 나머지는 비고에 적어 주세요.</t>
      </text>
    </comment>
    <comment ref="W4" authorId="0" shapeId="0">
      <text>
        <t>총 인시 = 1인 투입시간 × 투입인원. 실제 부서가 그 건에 쓴 총 공수입니다.</t>
      </text>
    </comment>
  </commentList>
</comments>
</file>

<file path=xl/comments/comment2.xml><?xml version="1.0" encoding="utf-8"?>
<comments xmlns="http://schemas.openxmlformats.org/spreadsheetml/2006/main">
  <authors>
    <author>업무일지</author>
  </authors>
  <commentList>
    <comment ref="G4" authorId="0" shapeId="0">
      <text>
        <t>배정인원 = L열부터의 배정칸에 '주담당' 또는 '참여'가 표시된 담당자 수</t>
      </text>
    </comment>
    <comment ref="I4" authorId="0" shapeId="0">
      <text>
        <t>배정된 담당자 이름을 쉼표로 자동 연결합니다. 담당자 명단은 [코드설정] C열을 그대로 따릅니다.</t>
      </text>
    </comment>
  </commentList>
</comments>
</file>

<file path=xl/comments/comment3.xml><?xml version="1.0" encoding="utf-8"?>
<comments xmlns="http://schemas.openxmlformats.org/spreadsheetml/2006/main">
  <authors>
    <author>업무일지</author>
  </authors>
  <commentList>
    <comment ref="C4" authorId="0" shapeId="0">
      <text>
        <t>담당자를 추가하면 [사건마스터] 배정표 · [개인별 현황] · [사건별 현황]에 자동 반영됩니다. 최대 20명(5~24행).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2" customWidth="1" min="3" max="3"/>
  </cols>
  <sheetData>
    <row r="2" ht="28" customHeight="1">
      <c r="B2" s="1" t="inlineStr">
        <is>
          <t>부서 업무일지  ·  출장 / 분석 / 일일 통합 관리</t>
        </is>
      </c>
    </row>
    <row r="4" ht="20" customHeight="1">
      <c r="B4" s="2" t="inlineStr">
        <is>
          <t>시트 구성</t>
        </is>
      </c>
      <c r="C4" s="3" t="n"/>
    </row>
    <row r="5" ht="17" customHeight="1">
      <c r="B5" s="4" t="inlineStr">
        <is>
          <t>월력표</t>
        </is>
      </c>
      <c r="C5" s="5" t="inlineStr">
        <is>
          <t>연·월을 고르면 달력이 그려집니다. 각 날짜의 파란 줄은 자동 집계, 흰 칸은 자유 메모.</t>
        </is>
      </c>
    </row>
    <row r="6" ht="17" customHeight="1">
      <c r="B6" s="4" t="inlineStr">
        <is>
          <t>업무일지</t>
        </is>
      </c>
      <c r="C6" s="5" t="inlineStr">
        <is>
          <t>출장·분석 1건 = 1행. 사건번호를 고르면 사건명·요청처·담당자가 통째로 자동 연동.</t>
        </is>
      </c>
    </row>
    <row r="7" ht="17" customHeight="1">
      <c r="B7" s="4" t="inlineStr">
        <is>
          <t>일일실시사항</t>
        </is>
      </c>
      <c r="C7" s="5" t="inlineStr">
        <is>
          <t>출장·분석 외 부서의 모든 일일 업무(행정·교육·회의·장비관리·당직 등)를 기록.</t>
        </is>
      </c>
    </row>
    <row r="8" ht="17" customHeight="1">
      <c r="B8" s="4" t="inlineStr">
        <is>
          <t>사건마스터</t>
        </is>
      </c>
      <c r="C8" s="5" t="inlineStr">
        <is>
          <t>사건을 한 번만 등록하고 담당자 배정표에서 여러 명을 [주담당]·[참여]로 선택 → 업무일지로 전달.</t>
        </is>
      </c>
    </row>
    <row r="9" ht="17" customHeight="1">
      <c r="B9" s="4" t="inlineStr">
        <is>
          <t>부서 전체현황</t>
        </is>
      </c>
      <c r="C9" s="5" t="inlineStr">
        <is>
          <t>기준연도 1칸만 바꾸면 월별 추이·유형별·팀별·요청처별·일일실시 집계가 전부 갱신.</t>
        </is>
      </c>
    </row>
    <row r="10" ht="17" customHeight="1">
      <c r="B10" s="4" t="inlineStr">
        <is>
          <t>사건별 현황</t>
        </is>
      </c>
      <c r="C10" s="5" t="inlineStr">
        <is>
          <t>사건번호 기준 누계(전체 기간). 아래쪽에서 사건 하나를 골라 상세 조회.</t>
        </is>
      </c>
    </row>
    <row r="11" ht="17" customHeight="1">
      <c r="B11" s="4" t="inlineStr">
        <is>
          <t>개인별 현황</t>
        </is>
      </c>
      <c r="C11" s="5" t="inlineStr">
        <is>
          <t>담당자별 주담당/참여 분리 집계, 투입시간 누계, 월별 참여건수 매트릭스.</t>
        </is>
      </c>
    </row>
    <row r="12" ht="17" customHeight="1">
      <c r="B12" s="4" t="inlineStr">
        <is>
          <t>코드설정</t>
        </is>
      </c>
      <c r="C12" s="5" t="inlineStr">
        <is>
          <t>모든 드롭다운의 원본. 담당자·팀·유형·공휴일을 여기서 관리.</t>
        </is>
      </c>
    </row>
    <row r="14" ht="20" customHeight="1">
      <c r="B14" s="2" t="inlineStr">
        <is>
          <t>입력 순서</t>
        </is>
      </c>
      <c r="C14" s="3" t="n"/>
    </row>
    <row r="15" ht="17" customHeight="1">
      <c r="B15" s="4" t="inlineStr">
        <is>
          <t>① 코드설정</t>
        </is>
      </c>
      <c r="C15" s="5" t="inlineStr">
        <is>
          <t>담당자·소속팀·팀 마스터·요청처를 우리 부서에 맞게 수정합니다.</t>
        </is>
      </c>
    </row>
    <row r="16" ht="17" customHeight="1">
      <c r="B16" s="4" t="inlineStr">
        <is>
          <t>② 사건마스터</t>
        </is>
      </c>
      <c r="C16" s="5" t="inlineStr">
        <is>
          <t>사건번호·사건명·요청처를 등록하고, L열부터 담당자 배정칸에서 참여자를 모두 선택합니다.</t>
        </is>
      </c>
    </row>
    <row r="17" ht="17" customHeight="1">
      <c r="B17" s="4" t="inlineStr">
        <is>
          <t>③ 업무일지</t>
        </is>
      </c>
      <c r="C17" s="5" t="inlineStr">
        <is>
          <t>5행의 예시를 지우고, 사건번호를 고른 뒤 날짜·유형·시간을 입력합니다. 담당자는 자동으로 들어옵니다.</t>
        </is>
      </c>
    </row>
    <row r="18" ht="17" customHeight="1">
      <c r="B18" s="4" t="inlineStr">
        <is>
          <t>④ 일일실시사항</t>
        </is>
      </c>
      <c r="C18" s="5" t="inlineStr">
        <is>
          <t>사건과 무관한 일일 업무를 그날그날 기록합니다.</t>
        </is>
      </c>
    </row>
    <row r="19" ht="17" customHeight="1">
      <c r="B19" s="4" t="inlineStr">
        <is>
          <t>⑤ 현황 시트</t>
        </is>
      </c>
      <c r="C19" s="5" t="inlineStr">
        <is>
          <t>기준연도만 바꿔 가며 결과를 확인합니다. 입력할 것은 없습니다.</t>
        </is>
      </c>
    </row>
    <row r="21" ht="20" customHeight="1">
      <c r="B21" s="2" t="inlineStr">
        <is>
          <t>색상 규칙</t>
        </is>
      </c>
      <c r="C21" s="3" t="n"/>
    </row>
    <row r="22" ht="17" customHeight="1">
      <c r="B22" s="4" t="inlineStr">
        <is>
          <t>파란 글씨</t>
        </is>
      </c>
      <c r="C22" s="5" t="inlineStr">
        <is>
          <t>직접 입력하는 칸</t>
        </is>
      </c>
    </row>
    <row r="23" ht="17" customHeight="1">
      <c r="B23" s="4" t="inlineStr">
        <is>
          <t>검정 글씨</t>
        </is>
      </c>
      <c r="C23" s="5" t="inlineStr">
        <is>
          <t>같은 시트 안에서 자동 계산되는 칸 (덮어쓰지 마세요)</t>
        </is>
      </c>
    </row>
    <row r="24" ht="17" customHeight="1">
      <c r="B24" s="4" t="inlineStr">
        <is>
          <t>초록 글씨</t>
        </is>
      </c>
      <c r="C24" s="5" t="inlineStr">
        <is>
          <t>다른 시트에서 자동으로 끌어온 칸 (업무일지 담당자칸은 덮어써서 그 행만 바꿀 수 있음)</t>
        </is>
      </c>
    </row>
    <row r="25" ht="17" customHeight="1">
      <c r="B25" s="4" t="inlineStr">
        <is>
          <t>노란 배경</t>
        </is>
      </c>
      <c r="C25" s="5" t="inlineStr">
        <is>
          <t>반드시 확인·변경해야 하는 핵심 입력값 (기준연도, 조회 연·월, 사건번호 선택)</t>
        </is>
      </c>
    </row>
    <row r="26" ht="17" customHeight="1">
      <c r="B26" s="4" t="inlineStr">
        <is>
          <t>주황 배경 행</t>
        </is>
      </c>
      <c r="C26" s="5" t="inlineStr">
        <is>
          <t>각 시트 5행의 작성 예시 — 실제 사용 전 내용을 지우세요</t>
        </is>
      </c>
    </row>
    <row r="27" ht="17" customHeight="1">
      <c r="B27" s="4" t="inlineStr">
        <is>
          <t>행 배경색</t>
        </is>
      </c>
      <c r="C27" s="5" t="inlineStr">
        <is>
          <t>완료 = 연녹색 / 보류 = 주황 / 종료일이 지났는데 미완료 = 빨강</t>
        </is>
      </c>
    </row>
    <row r="29" ht="20" customHeight="1">
      <c r="B29" s="2" t="inlineStr">
        <is>
          <t>집계 기준</t>
        </is>
      </c>
      <c r="C29" s="3" t="n"/>
    </row>
    <row r="30" ht="17" customHeight="1">
      <c r="B30" s="4" t="inlineStr">
        <is>
          <t>총 인시(H)</t>
        </is>
      </c>
      <c r="C30" s="5" t="inlineStr">
        <is>
          <t>1인 투입시간 × 투입인원. 부서가 그 건에 실제로 쓴 총 공수입니다.</t>
        </is>
      </c>
    </row>
    <row r="31" ht="17" customHeight="1">
      <c r="B31" s="4" t="inlineStr">
        <is>
          <t>본인 투입시간(H)</t>
        </is>
      </c>
      <c r="C31" s="5" t="inlineStr">
        <is>
          <t>그 건의 1인 투입시간을 개인별로 합산한 값 (총 인시와 다릅니다).</t>
        </is>
      </c>
    </row>
    <row r="32" ht="17" customHeight="1">
      <c r="B32" s="4" t="inlineStr">
        <is>
          <t>연인원(명)</t>
        </is>
      </c>
      <c r="C32" s="5" t="inlineStr">
        <is>
          <t>각 건의 투입인원을 그대로 합산 — 같은 사람이 여러 건에 참여하면 중복 계상됩니다.</t>
        </is>
      </c>
    </row>
    <row r="33" ht="17" customHeight="1">
      <c r="B33" s="4" t="inlineStr">
        <is>
          <t>월 귀속</t>
        </is>
      </c>
      <c r="C33" s="5" t="inlineStr">
        <is>
          <t>출장·분석은 '시작일', 일일실시사항은 '일자'가 속한 달로 집계됩니다.</t>
        </is>
      </c>
    </row>
    <row r="34" ht="17" customHeight="1">
      <c r="B34" s="4" t="inlineStr">
        <is>
          <t>팀별 집계</t>
        </is>
      </c>
      <c r="C34" s="5" t="inlineStr">
        <is>
          <t>주담당자의 소속팀 기준입니다.</t>
        </is>
      </c>
    </row>
    <row r="36" ht="20" customHeight="1">
      <c r="B36" s="2" t="inlineStr">
        <is>
          <t>주의</t>
        </is>
      </c>
      <c r="C36" s="3" t="n"/>
    </row>
    <row r="37" ht="17" customHeight="1">
      <c r="B37" s="4" t="inlineStr">
        <is>
          <t>동명이인</t>
        </is>
      </c>
      <c r="C37" s="5" t="inlineStr">
        <is>
          <t>참여자 집계가 이름 부분일치 방식이라 '김디지(1팀)'처럼 반드시 구분해 등록하세요.</t>
        </is>
      </c>
    </row>
    <row r="38" ht="17" customHeight="1">
      <c r="B38" s="4" t="inlineStr">
        <is>
          <t>입력 한도</t>
        </is>
      </c>
      <c r="C38" s="5" t="inlineStr">
        <is>
          <t>업무일지·일일실시사항 각 1000건(5~1004행), 사건 60건, 담당자 20명입니다.</t>
        </is>
      </c>
    </row>
    <row r="39" ht="17" customHeight="1">
      <c r="B39" s="4" t="inlineStr">
        <is>
          <t>월력표 메모</t>
        </is>
      </c>
      <c r="C39" s="5" t="inlineStr">
        <is>
          <t>연·월을 바꿔도 메모 칸은 그대로 남습니다. 한 달이 끝나면 시트를 복사해 보관하세요.</t>
        </is>
      </c>
    </row>
    <row r="40" ht="17" customHeight="1">
      <c r="B40" s="4" t="inlineStr">
        <is>
          <t>참여자 6명 초과</t>
        </is>
      </c>
      <c r="C40" s="5" t="inlineStr">
        <is>
          <t>사건마스터에서 6명 넘게 배정하면 업무일지엔 주담당 + 참여자 5명까지만 전달됩니다.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AD3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 ht="24" customHeight="1">
      <c r="A1" s="6" t="inlineStr">
        <is>
          <t>월력표  ·  월간 업무 캘린더</t>
        </is>
      </c>
    </row>
    <row r="2" ht="26" customHeight="1">
      <c r="A2" s="7" t="inlineStr">
        <is>
          <t>※ 노란 칸(연도·월)만 바꾸면 달력이 다시 그려집니다.  ※ 각 날짜의 파란 줄은 [업무일지]·[일일실시사항]에서 자동 집계된 건수입니다.  ※ 흰 칸은 자유 메모입니다 — 연·월을 바꿔도 메모는 그대로 남으니, 달이 끝나면 시트를 복사해 보관하세요.</t>
        </is>
      </c>
    </row>
    <row r="4">
      <c r="A4" s="8" t="inlineStr">
        <is>
          <t>연도</t>
        </is>
      </c>
      <c r="B4" s="9" t="n">
        <v>2026</v>
      </c>
      <c r="C4" s="8" t="inlineStr">
        <is>
          <t>월</t>
        </is>
      </c>
      <c r="D4" s="9" t="n">
        <v>3</v>
      </c>
      <c r="E4" s="10">
        <f>TEXT(DATE($B$4,$D$4,1),"yyyy년 m월")</f>
        <v/>
      </c>
      <c r="F4" s="11" t="n"/>
      <c r="G4" s="12" t="n"/>
      <c r="H4">
        <f>DATE($B$4,$D$4,1)-WEEKDAY(DATE($B$4,$D$4,1))+1</f>
        <v/>
      </c>
    </row>
    <row r="6" ht="20" customHeight="1">
      <c r="A6" s="13" t="inlineStr">
        <is>
          <t>일</t>
        </is>
      </c>
      <c r="B6" s="14" t="inlineStr">
        <is>
          <t>월</t>
        </is>
      </c>
      <c r="C6" s="14" t="inlineStr">
        <is>
          <t>화</t>
        </is>
      </c>
      <c r="D6" s="14" t="inlineStr">
        <is>
          <t>수</t>
        </is>
      </c>
      <c r="E6" s="14" t="inlineStr">
        <is>
          <t>목</t>
        </is>
      </c>
      <c r="F6" s="14" t="inlineStr">
        <is>
          <t>금</t>
        </is>
      </c>
      <c r="G6" s="15" t="inlineStr">
        <is>
          <t>토</t>
        </is>
      </c>
    </row>
    <row r="7" ht="20" customHeight="1">
      <c r="A7" s="16">
        <f>IF(MONTH($H$4+0)&lt;&gt;$D$4,"",$H$4+0)</f>
        <v/>
      </c>
      <c r="B7" s="17">
        <f>IF(MONTH($H$4+1)&lt;&gt;$D$4,"",$H$4+1)</f>
        <v/>
      </c>
      <c r="C7" s="17">
        <f>IF(MONTH($H$4+2)&lt;&gt;$D$4,"",$H$4+2)</f>
        <v/>
      </c>
      <c r="D7" s="17">
        <f>IF(MONTH($H$4+3)&lt;&gt;$D$4,"",$H$4+3)</f>
        <v/>
      </c>
      <c r="E7" s="17">
        <f>IF(MONTH($H$4+4)&lt;&gt;$D$4,"",$H$4+4)</f>
        <v/>
      </c>
      <c r="F7" s="17">
        <f>IF(MONTH($H$4+5)&lt;&gt;$D$4,"",$H$4+5)</f>
        <v/>
      </c>
      <c r="G7" s="18">
        <f>IF(MONTH($H$4+6)&lt;&gt;$D$4,"",$H$4+6)</f>
        <v/>
      </c>
      <c r="J7">
        <f>IF(A7="",0,COUNTIFS(업무일지!$B$5:$B$1004,"&lt;="&amp;A7,업무일지!$C$5:$C$1004,"&gt;="&amp;A7,업무일지!$D$5:$D$1004,"출장"))</f>
        <v/>
      </c>
      <c r="K7">
        <f>IF(B7="",0,COUNTIFS(업무일지!$B$5:$B$1004,"&lt;="&amp;B7,업무일지!$C$5:$C$1004,"&gt;="&amp;B7,업무일지!$D$5:$D$1004,"출장"))</f>
        <v/>
      </c>
      <c r="L7">
        <f>IF(C7="",0,COUNTIFS(업무일지!$B$5:$B$1004,"&lt;="&amp;C7,업무일지!$C$5:$C$1004,"&gt;="&amp;C7,업무일지!$D$5:$D$1004,"출장"))</f>
        <v/>
      </c>
      <c r="M7">
        <f>IF(D7="",0,COUNTIFS(업무일지!$B$5:$B$1004,"&lt;="&amp;D7,업무일지!$C$5:$C$1004,"&gt;="&amp;D7,업무일지!$D$5:$D$1004,"출장"))</f>
        <v/>
      </c>
      <c r="N7">
        <f>IF(E7="",0,COUNTIFS(업무일지!$B$5:$B$1004,"&lt;="&amp;E7,업무일지!$C$5:$C$1004,"&gt;="&amp;E7,업무일지!$D$5:$D$1004,"출장"))</f>
        <v/>
      </c>
      <c r="O7">
        <f>IF(F7="",0,COUNTIFS(업무일지!$B$5:$B$1004,"&lt;="&amp;F7,업무일지!$C$5:$C$1004,"&gt;="&amp;F7,업무일지!$D$5:$D$1004,"출장"))</f>
        <v/>
      </c>
      <c r="P7">
        <f>IF(G7="",0,COUNTIFS(업무일지!$B$5:$B$1004,"&lt;="&amp;G7,업무일지!$C$5:$C$1004,"&gt;="&amp;G7,업무일지!$D$5:$D$1004,"출장"))</f>
        <v/>
      </c>
      <c r="Q7">
        <f>IF(A7="",0,COUNTIFS(업무일지!$B$5:$B$1004,"&lt;="&amp;A7,업무일지!$C$5:$C$1004,"&gt;="&amp;A7,업무일지!$D$5:$D$1004,"분석"))</f>
        <v/>
      </c>
      <c r="R7">
        <f>IF(B7="",0,COUNTIFS(업무일지!$B$5:$B$1004,"&lt;="&amp;B7,업무일지!$C$5:$C$1004,"&gt;="&amp;B7,업무일지!$D$5:$D$1004,"분석"))</f>
        <v/>
      </c>
      <c r="S7">
        <f>IF(C7="",0,COUNTIFS(업무일지!$B$5:$B$1004,"&lt;="&amp;C7,업무일지!$C$5:$C$1004,"&gt;="&amp;C7,업무일지!$D$5:$D$1004,"분석"))</f>
        <v/>
      </c>
      <c r="T7">
        <f>IF(D7="",0,COUNTIFS(업무일지!$B$5:$B$1004,"&lt;="&amp;D7,업무일지!$C$5:$C$1004,"&gt;="&amp;D7,업무일지!$D$5:$D$1004,"분석"))</f>
        <v/>
      </c>
      <c r="U7">
        <f>IF(E7="",0,COUNTIFS(업무일지!$B$5:$B$1004,"&lt;="&amp;E7,업무일지!$C$5:$C$1004,"&gt;="&amp;E7,업무일지!$D$5:$D$1004,"분석"))</f>
        <v/>
      </c>
      <c r="V7">
        <f>IF(F7="",0,COUNTIFS(업무일지!$B$5:$B$1004,"&lt;="&amp;F7,업무일지!$C$5:$C$1004,"&gt;="&amp;F7,업무일지!$D$5:$D$1004,"분석"))</f>
        <v/>
      </c>
      <c r="W7">
        <f>IF(G7="",0,COUNTIFS(업무일지!$B$5:$B$1004,"&lt;="&amp;G7,업무일지!$C$5:$C$1004,"&gt;="&amp;G7,업무일지!$D$5:$D$1004,"분석"))</f>
        <v/>
      </c>
      <c r="X7">
        <f>IF(A7="",0,COUNTIFS(일일실시사항!$B$5:$B$1004,A7))</f>
        <v/>
      </c>
      <c r="Y7">
        <f>IF(B7="",0,COUNTIFS(일일실시사항!$B$5:$B$1004,B7))</f>
        <v/>
      </c>
      <c r="Z7">
        <f>IF(C7="",0,COUNTIFS(일일실시사항!$B$5:$B$1004,C7))</f>
        <v/>
      </c>
      <c r="AA7">
        <f>IF(D7="",0,COUNTIFS(일일실시사항!$B$5:$B$1004,D7))</f>
        <v/>
      </c>
      <c r="AB7">
        <f>IF(E7="",0,COUNTIFS(일일실시사항!$B$5:$B$1004,E7))</f>
        <v/>
      </c>
      <c r="AC7">
        <f>IF(F7="",0,COUNTIFS(일일실시사항!$B$5:$B$1004,F7))</f>
        <v/>
      </c>
      <c r="AD7">
        <f>IF(G7="",0,COUNTIFS(일일실시사항!$B$5:$B$1004,G7))</f>
        <v/>
      </c>
    </row>
    <row r="8" ht="15" customHeight="1">
      <c r="A8" s="19">
        <f>IF(A7="","",IF(J7+Q7+X7=0,"",IF(J7=0,"","출장 "&amp;J7&amp;"  ")&amp;IF(Q7=0,"","분석 "&amp;Q7&amp;"  ")&amp;IF(X7=0,"","일일 "&amp;X7)))</f>
        <v/>
      </c>
      <c r="B8" s="19">
        <f>IF(B7="","",IF(K7+R7+Y7=0,"",IF(K7=0,"","출장 "&amp;K7&amp;"  ")&amp;IF(R7=0,"","분석 "&amp;R7&amp;"  ")&amp;IF(Y7=0,"","일일 "&amp;Y7)))</f>
        <v/>
      </c>
      <c r="C8" s="19">
        <f>IF(C7="","",IF(L7+S7+Z7=0,"",IF(L7=0,"","출장 "&amp;L7&amp;"  ")&amp;IF(S7=0,"","분석 "&amp;S7&amp;"  ")&amp;IF(Z7=0,"","일일 "&amp;Z7)))</f>
        <v/>
      </c>
      <c r="D8" s="19">
        <f>IF(D7="","",IF(M7+T7+AA7=0,"",IF(M7=0,"","출장 "&amp;M7&amp;"  ")&amp;IF(T7=0,"","분석 "&amp;T7&amp;"  ")&amp;IF(AA7=0,"","일일 "&amp;AA7)))</f>
        <v/>
      </c>
      <c r="E8" s="19">
        <f>IF(E7="","",IF(N7+U7+AB7=0,"",IF(N7=0,"","출장 "&amp;N7&amp;"  ")&amp;IF(U7=0,"","분석 "&amp;U7&amp;"  ")&amp;IF(AB7=0,"","일일 "&amp;AB7)))</f>
        <v/>
      </c>
      <c r="F8" s="19">
        <f>IF(F7="","",IF(O7+V7+AC7=0,"",IF(O7=0,"","출장 "&amp;O7&amp;"  ")&amp;IF(V7=0,"","분석 "&amp;V7&amp;"  ")&amp;IF(AC7=0,"","일일 "&amp;AC7)))</f>
        <v/>
      </c>
      <c r="G8" s="19">
        <f>IF(G7="","",IF(P7+W7+AD7=0,"",IF(P7=0,"","출장 "&amp;P7&amp;"  ")&amp;IF(W7=0,"","분석 "&amp;W7&amp;"  ")&amp;IF(AD7=0,"","일일 "&amp;AD7)))</f>
        <v/>
      </c>
      <c r="J8">
        <f>IF(A10="",0,COUNTIFS(업무일지!$B$5:$B$1004,"&lt;="&amp;A10,업무일지!$C$5:$C$1004,"&gt;="&amp;A10,업무일지!$D$5:$D$1004,"출장"))</f>
        <v/>
      </c>
      <c r="K8">
        <f>IF(B10="",0,COUNTIFS(업무일지!$B$5:$B$1004,"&lt;="&amp;B10,업무일지!$C$5:$C$1004,"&gt;="&amp;B10,업무일지!$D$5:$D$1004,"출장"))</f>
        <v/>
      </c>
      <c r="L8">
        <f>IF(C10="",0,COUNTIFS(업무일지!$B$5:$B$1004,"&lt;="&amp;C10,업무일지!$C$5:$C$1004,"&gt;="&amp;C10,업무일지!$D$5:$D$1004,"출장"))</f>
        <v/>
      </c>
      <c r="M8">
        <f>IF(D10="",0,COUNTIFS(업무일지!$B$5:$B$1004,"&lt;="&amp;D10,업무일지!$C$5:$C$1004,"&gt;="&amp;D10,업무일지!$D$5:$D$1004,"출장"))</f>
        <v/>
      </c>
      <c r="N8">
        <f>IF(E10="",0,COUNTIFS(업무일지!$B$5:$B$1004,"&lt;="&amp;E10,업무일지!$C$5:$C$1004,"&gt;="&amp;E10,업무일지!$D$5:$D$1004,"출장"))</f>
        <v/>
      </c>
      <c r="O8">
        <f>IF(F10="",0,COUNTIFS(업무일지!$B$5:$B$1004,"&lt;="&amp;F10,업무일지!$C$5:$C$1004,"&gt;="&amp;F10,업무일지!$D$5:$D$1004,"출장"))</f>
        <v/>
      </c>
      <c r="P8">
        <f>IF(G10="",0,COUNTIFS(업무일지!$B$5:$B$1004,"&lt;="&amp;G10,업무일지!$C$5:$C$1004,"&gt;="&amp;G10,업무일지!$D$5:$D$1004,"출장"))</f>
        <v/>
      </c>
      <c r="Q8">
        <f>IF(A10="",0,COUNTIFS(업무일지!$B$5:$B$1004,"&lt;="&amp;A10,업무일지!$C$5:$C$1004,"&gt;="&amp;A10,업무일지!$D$5:$D$1004,"분석"))</f>
        <v/>
      </c>
      <c r="R8">
        <f>IF(B10="",0,COUNTIFS(업무일지!$B$5:$B$1004,"&lt;="&amp;B10,업무일지!$C$5:$C$1004,"&gt;="&amp;B10,업무일지!$D$5:$D$1004,"분석"))</f>
        <v/>
      </c>
      <c r="S8">
        <f>IF(C10="",0,COUNTIFS(업무일지!$B$5:$B$1004,"&lt;="&amp;C10,업무일지!$C$5:$C$1004,"&gt;="&amp;C10,업무일지!$D$5:$D$1004,"분석"))</f>
        <v/>
      </c>
      <c r="T8">
        <f>IF(D10="",0,COUNTIFS(업무일지!$B$5:$B$1004,"&lt;="&amp;D10,업무일지!$C$5:$C$1004,"&gt;="&amp;D10,업무일지!$D$5:$D$1004,"분석"))</f>
        <v/>
      </c>
      <c r="U8">
        <f>IF(E10="",0,COUNTIFS(업무일지!$B$5:$B$1004,"&lt;="&amp;E10,업무일지!$C$5:$C$1004,"&gt;="&amp;E10,업무일지!$D$5:$D$1004,"분석"))</f>
        <v/>
      </c>
      <c r="V8">
        <f>IF(F10="",0,COUNTIFS(업무일지!$B$5:$B$1004,"&lt;="&amp;F10,업무일지!$C$5:$C$1004,"&gt;="&amp;F10,업무일지!$D$5:$D$1004,"분석"))</f>
        <v/>
      </c>
      <c r="W8">
        <f>IF(G10="",0,COUNTIFS(업무일지!$B$5:$B$1004,"&lt;="&amp;G10,업무일지!$C$5:$C$1004,"&gt;="&amp;G10,업무일지!$D$5:$D$1004,"분석"))</f>
        <v/>
      </c>
      <c r="X8">
        <f>IF(A10="",0,COUNTIFS(일일실시사항!$B$5:$B$1004,A10))</f>
        <v/>
      </c>
      <c r="Y8">
        <f>IF(B10="",0,COUNTIFS(일일실시사항!$B$5:$B$1004,B10))</f>
        <v/>
      </c>
      <c r="Z8">
        <f>IF(C10="",0,COUNTIFS(일일실시사항!$B$5:$B$1004,C10))</f>
        <v/>
      </c>
      <c r="AA8">
        <f>IF(D10="",0,COUNTIFS(일일실시사항!$B$5:$B$1004,D10))</f>
        <v/>
      </c>
      <c r="AB8">
        <f>IF(E10="",0,COUNTIFS(일일실시사항!$B$5:$B$1004,E10))</f>
        <v/>
      </c>
      <c r="AC8">
        <f>IF(F10="",0,COUNTIFS(일일실시사항!$B$5:$B$1004,F10))</f>
        <v/>
      </c>
      <c r="AD8">
        <f>IF(G10="",0,COUNTIFS(일일실시사항!$B$5:$B$1004,G10))</f>
        <v/>
      </c>
    </row>
    <row r="9" ht="42" customHeight="1">
      <c r="A9" s="20" t="n"/>
      <c r="B9" s="20" t="n"/>
      <c r="C9" s="20" t="n"/>
      <c r="D9" s="20" t="n"/>
      <c r="E9" s="20" t="n"/>
      <c r="F9" s="20" t="n"/>
      <c r="G9" s="20" t="n"/>
      <c r="J9">
        <f>IF(A13="",0,COUNTIFS(업무일지!$B$5:$B$1004,"&lt;="&amp;A13,업무일지!$C$5:$C$1004,"&gt;="&amp;A13,업무일지!$D$5:$D$1004,"출장"))</f>
        <v/>
      </c>
      <c r="K9">
        <f>IF(B13="",0,COUNTIFS(업무일지!$B$5:$B$1004,"&lt;="&amp;B13,업무일지!$C$5:$C$1004,"&gt;="&amp;B13,업무일지!$D$5:$D$1004,"출장"))</f>
        <v/>
      </c>
      <c r="L9">
        <f>IF(C13="",0,COUNTIFS(업무일지!$B$5:$B$1004,"&lt;="&amp;C13,업무일지!$C$5:$C$1004,"&gt;="&amp;C13,업무일지!$D$5:$D$1004,"출장"))</f>
        <v/>
      </c>
      <c r="M9">
        <f>IF(D13="",0,COUNTIFS(업무일지!$B$5:$B$1004,"&lt;="&amp;D13,업무일지!$C$5:$C$1004,"&gt;="&amp;D13,업무일지!$D$5:$D$1004,"출장"))</f>
        <v/>
      </c>
      <c r="N9">
        <f>IF(E13="",0,COUNTIFS(업무일지!$B$5:$B$1004,"&lt;="&amp;E13,업무일지!$C$5:$C$1004,"&gt;="&amp;E13,업무일지!$D$5:$D$1004,"출장"))</f>
        <v/>
      </c>
      <c r="O9">
        <f>IF(F13="",0,COUNTIFS(업무일지!$B$5:$B$1004,"&lt;="&amp;F13,업무일지!$C$5:$C$1004,"&gt;="&amp;F13,업무일지!$D$5:$D$1004,"출장"))</f>
        <v/>
      </c>
      <c r="P9">
        <f>IF(G13="",0,COUNTIFS(업무일지!$B$5:$B$1004,"&lt;="&amp;G13,업무일지!$C$5:$C$1004,"&gt;="&amp;G13,업무일지!$D$5:$D$1004,"출장"))</f>
        <v/>
      </c>
      <c r="Q9">
        <f>IF(A13="",0,COUNTIFS(업무일지!$B$5:$B$1004,"&lt;="&amp;A13,업무일지!$C$5:$C$1004,"&gt;="&amp;A13,업무일지!$D$5:$D$1004,"분석"))</f>
        <v/>
      </c>
      <c r="R9">
        <f>IF(B13="",0,COUNTIFS(업무일지!$B$5:$B$1004,"&lt;="&amp;B13,업무일지!$C$5:$C$1004,"&gt;="&amp;B13,업무일지!$D$5:$D$1004,"분석"))</f>
        <v/>
      </c>
      <c r="S9">
        <f>IF(C13="",0,COUNTIFS(업무일지!$B$5:$B$1004,"&lt;="&amp;C13,업무일지!$C$5:$C$1004,"&gt;="&amp;C13,업무일지!$D$5:$D$1004,"분석"))</f>
        <v/>
      </c>
      <c r="T9">
        <f>IF(D13="",0,COUNTIFS(업무일지!$B$5:$B$1004,"&lt;="&amp;D13,업무일지!$C$5:$C$1004,"&gt;="&amp;D13,업무일지!$D$5:$D$1004,"분석"))</f>
        <v/>
      </c>
      <c r="U9">
        <f>IF(E13="",0,COUNTIFS(업무일지!$B$5:$B$1004,"&lt;="&amp;E13,업무일지!$C$5:$C$1004,"&gt;="&amp;E13,업무일지!$D$5:$D$1004,"분석"))</f>
        <v/>
      </c>
      <c r="V9">
        <f>IF(F13="",0,COUNTIFS(업무일지!$B$5:$B$1004,"&lt;="&amp;F13,업무일지!$C$5:$C$1004,"&gt;="&amp;F13,업무일지!$D$5:$D$1004,"분석"))</f>
        <v/>
      </c>
      <c r="W9">
        <f>IF(G13="",0,COUNTIFS(업무일지!$B$5:$B$1004,"&lt;="&amp;G13,업무일지!$C$5:$C$1004,"&gt;="&amp;G13,업무일지!$D$5:$D$1004,"분석"))</f>
        <v/>
      </c>
      <c r="X9">
        <f>IF(A13="",0,COUNTIFS(일일실시사항!$B$5:$B$1004,A13))</f>
        <v/>
      </c>
      <c r="Y9">
        <f>IF(B13="",0,COUNTIFS(일일실시사항!$B$5:$B$1004,B13))</f>
        <v/>
      </c>
      <c r="Z9">
        <f>IF(C13="",0,COUNTIFS(일일실시사항!$B$5:$B$1004,C13))</f>
        <v/>
      </c>
      <c r="AA9">
        <f>IF(D13="",0,COUNTIFS(일일실시사항!$B$5:$B$1004,D13))</f>
        <v/>
      </c>
      <c r="AB9">
        <f>IF(E13="",0,COUNTIFS(일일실시사항!$B$5:$B$1004,E13))</f>
        <v/>
      </c>
      <c r="AC9">
        <f>IF(F13="",0,COUNTIFS(일일실시사항!$B$5:$B$1004,F13))</f>
        <v/>
      </c>
      <c r="AD9">
        <f>IF(G13="",0,COUNTIFS(일일실시사항!$B$5:$B$1004,G13))</f>
        <v/>
      </c>
    </row>
    <row r="10" ht="20" customHeight="1">
      <c r="A10" s="16">
        <f>IF(MONTH($H$4+7)&lt;&gt;$D$4,"",$H$4+7)</f>
        <v/>
      </c>
      <c r="B10" s="17">
        <f>IF(MONTH($H$4+8)&lt;&gt;$D$4,"",$H$4+8)</f>
        <v/>
      </c>
      <c r="C10" s="17">
        <f>IF(MONTH($H$4+9)&lt;&gt;$D$4,"",$H$4+9)</f>
        <v/>
      </c>
      <c r="D10" s="17">
        <f>IF(MONTH($H$4+10)&lt;&gt;$D$4,"",$H$4+10)</f>
        <v/>
      </c>
      <c r="E10" s="17">
        <f>IF(MONTH($H$4+11)&lt;&gt;$D$4,"",$H$4+11)</f>
        <v/>
      </c>
      <c r="F10" s="17">
        <f>IF(MONTH($H$4+12)&lt;&gt;$D$4,"",$H$4+12)</f>
        <v/>
      </c>
      <c r="G10" s="18">
        <f>IF(MONTH($H$4+13)&lt;&gt;$D$4,"",$H$4+13)</f>
        <v/>
      </c>
      <c r="J10">
        <f>IF(A16="",0,COUNTIFS(업무일지!$B$5:$B$1004,"&lt;="&amp;A16,업무일지!$C$5:$C$1004,"&gt;="&amp;A16,업무일지!$D$5:$D$1004,"출장"))</f>
        <v/>
      </c>
      <c r="K10">
        <f>IF(B16="",0,COUNTIFS(업무일지!$B$5:$B$1004,"&lt;="&amp;B16,업무일지!$C$5:$C$1004,"&gt;="&amp;B16,업무일지!$D$5:$D$1004,"출장"))</f>
        <v/>
      </c>
      <c r="L10">
        <f>IF(C16="",0,COUNTIFS(업무일지!$B$5:$B$1004,"&lt;="&amp;C16,업무일지!$C$5:$C$1004,"&gt;="&amp;C16,업무일지!$D$5:$D$1004,"출장"))</f>
        <v/>
      </c>
      <c r="M10">
        <f>IF(D16="",0,COUNTIFS(업무일지!$B$5:$B$1004,"&lt;="&amp;D16,업무일지!$C$5:$C$1004,"&gt;="&amp;D16,업무일지!$D$5:$D$1004,"출장"))</f>
        <v/>
      </c>
      <c r="N10">
        <f>IF(E16="",0,COUNTIFS(업무일지!$B$5:$B$1004,"&lt;="&amp;E16,업무일지!$C$5:$C$1004,"&gt;="&amp;E16,업무일지!$D$5:$D$1004,"출장"))</f>
        <v/>
      </c>
      <c r="O10">
        <f>IF(F16="",0,COUNTIFS(업무일지!$B$5:$B$1004,"&lt;="&amp;F16,업무일지!$C$5:$C$1004,"&gt;="&amp;F16,업무일지!$D$5:$D$1004,"출장"))</f>
        <v/>
      </c>
      <c r="P10">
        <f>IF(G16="",0,COUNTIFS(업무일지!$B$5:$B$1004,"&lt;="&amp;G16,업무일지!$C$5:$C$1004,"&gt;="&amp;G16,업무일지!$D$5:$D$1004,"출장"))</f>
        <v/>
      </c>
      <c r="Q10">
        <f>IF(A16="",0,COUNTIFS(업무일지!$B$5:$B$1004,"&lt;="&amp;A16,업무일지!$C$5:$C$1004,"&gt;="&amp;A16,업무일지!$D$5:$D$1004,"분석"))</f>
        <v/>
      </c>
      <c r="R10">
        <f>IF(B16="",0,COUNTIFS(업무일지!$B$5:$B$1004,"&lt;="&amp;B16,업무일지!$C$5:$C$1004,"&gt;="&amp;B16,업무일지!$D$5:$D$1004,"분석"))</f>
        <v/>
      </c>
      <c r="S10">
        <f>IF(C16="",0,COUNTIFS(업무일지!$B$5:$B$1004,"&lt;="&amp;C16,업무일지!$C$5:$C$1004,"&gt;="&amp;C16,업무일지!$D$5:$D$1004,"분석"))</f>
        <v/>
      </c>
      <c r="T10">
        <f>IF(D16="",0,COUNTIFS(업무일지!$B$5:$B$1004,"&lt;="&amp;D16,업무일지!$C$5:$C$1004,"&gt;="&amp;D16,업무일지!$D$5:$D$1004,"분석"))</f>
        <v/>
      </c>
      <c r="U10">
        <f>IF(E16="",0,COUNTIFS(업무일지!$B$5:$B$1004,"&lt;="&amp;E16,업무일지!$C$5:$C$1004,"&gt;="&amp;E16,업무일지!$D$5:$D$1004,"분석"))</f>
        <v/>
      </c>
      <c r="V10">
        <f>IF(F16="",0,COUNTIFS(업무일지!$B$5:$B$1004,"&lt;="&amp;F16,업무일지!$C$5:$C$1004,"&gt;="&amp;F16,업무일지!$D$5:$D$1004,"분석"))</f>
        <v/>
      </c>
      <c r="W10">
        <f>IF(G16="",0,COUNTIFS(업무일지!$B$5:$B$1004,"&lt;="&amp;G16,업무일지!$C$5:$C$1004,"&gt;="&amp;G16,업무일지!$D$5:$D$1004,"분석"))</f>
        <v/>
      </c>
      <c r="X10">
        <f>IF(A16="",0,COUNTIFS(일일실시사항!$B$5:$B$1004,A16))</f>
        <v/>
      </c>
      <c r="Y10">
        <f>IF(B16="",0,COUNTIFS(일일실시사항!$B$5:$B$1004,B16))</f>
        <v/>
      </c>
      <c r="Z10">
        <f>IF(C16="",0,COUNTIFS(일일실시사항!$B$5:$B$1004,C16))</f>
        <v/>
      </c>
      <c r="AA10">
        <f>IF(D16="",0,COUNTIFS(일일실시사항!$B$5:$B$1004,D16))</f>
        <v/>
      </c>
      <c r="AB10">
        <f>IF(E16="",0,COUNTIFS(일일실시사항!$B$5:$B$1004,E16))</f>
        <v/>
      </c>
      <c r="AC10">
        <f>IF(F16="",0,COUNTIFS(일일실시사항!$B$5:$B$1004,F16))</f>
        <v/>
      </c>
      <c r="AD10">
        <f>IF(G16="",0,COUNTIFS(일일실시사항!$B$5:$B$1004,G16))</f>
        <v/>
      </c>
    </row>
    <row r="11" ht="15" customHeight="1">
      <c r="A11" s="19">
        <f>IF(A10="","",IF(J8+Q8+X8=0,"",IF(J8=0,"","출장 "&amp;J8&amp;"  ")&amp;IF(Q8=0,"","분석 "&amp;Q8&amp;"  ")&amp;IF(X8=0,"","일일 "&amp;X8)))</f>
        <v/>
      </c>
      <c r="B11" s="19">
        <f>IF(B10="","",IF(K8+R8+Y8=0,"",IF(K8=0,"","출장 "&amp;K8&amp;"  ")&amp;IF(R8=0,"","분석 "&amp;R8&amp;"  ")&amp;IF(Y8=0,"","일일 "&amp;Y8)))</f>
        <v/>
      </c>
      <c r="C11" s="19">
        <f>IF(C10="","",IF(L8+S8+Z8=0,"",IF(L8=0,"","출장 "&amp;L8&amp;"  ")&amp;IF(S8=0,"","분석 "&amp;S8&amp;"  ")&amp;IF(Z8=0,"","일일 "&amp;Z8)))</f>
        <v/>
      </c>
      <c r="D11" s="19">
        <f>IF(D10="","",IF(M8+T8+AA8=0,"",IF(M8=0,"","출장 "&amp;M8&amp;"  ")&amp;IF(T8=0,"","분석 "&amp;T8&amp;"  ")&amp;IF(AA8=0,"","일일 "&amp;AA8)))</f>
        <v/>
      </c>
      <c r="E11" s="19">
        <f>IF(E10="","",IF(N8+U8+AB8=0,"",IF(N8=0,"","출장 "&amp;N8&amp;"  ")&amp;IF(U8=0,"","분석 "&amp;U8&amp;"  ")&amp;IF(AB8=0,"","일일 "&amp;AB8)))</f>
        <v/>
      </c>
      <c r="F11" s="19">
        <f>IF(F10="","",IF(O8+V8+AC8=0,"",IF(O8=0,"","출장 "&amp;O8&amp;"  ")&amp;IF(V8=0,"","분석 "&amp;V8&amp;"  ")&amp;IF(AC8=0,"","일일 "&amp;AC8)))</f>
        <v/>
      </c>
      <c r="G11" s="19">
        <f>IF(G10="","",IF(P8+W8+AD8=0,"",IF(P8=0,"","출장 "&amp;P8&amp;"  ")&amp;IF(W8=0,"","분석 "&amp;W8&amp;"  ")&amp;IF(AD8=0,"","일일 "&amp;AD8)))</f>
        <v/>
      </c>
      <c r="J11">
        <f>IF(A19="",0,COUNTIFS(업무일지!$B$5:$B$1004,"&lt;="&amp;A19,업무일지!$C$5:$C$1004,"&gt;="&amp;A19,업무일지!$D$5:$D$1004,"출장"))</f>
        <v/>
      </c>
      <c r="K11">
        <f>IF(B19="",0,COUNTIFS(업무일지!$B$5:$B$1004,"&lt;="&amp;B19,업무일지!$C$5:$C$1004,"&gt;="&amp;B19,업무일지!$D$5:$D$1004,"출장"))</f>
        <v/>
      </c>
      <c r="L11">
        <f>IF(C19="",0,COUNTIFS(업무일지!$B$5:$B$1004,"&lt;="&amp;C19,업무일지!$C$5:$C$1004,"&gt;="&amp;C19,업무일지!$D$5:$D$1004,"출장"))</f>
        <v/>
      </c>
      <c r="M11">
        <f>IF(D19="",0,COUNTIFS(업무일지!$B$5:$B$1004,"&lt;="&amp;D19,업무일지!$C$5:$C$1004,"&gt;="&amp;D19,업무일지!$D$5:$D$1004,"출장"))</f>
        <v/>
      </c>
      <c r="N11">
        <f>IF(E19="",0,COUNTIFS(업무일지!$B$5:$B$1004,"&lt;="&amp;E19,업무일지!$C$5:$C$1004,"&gt;="&amp;E19,업무일지!$D$5:$D$1004,"출장"))</f>
        <v/>
      </c>
      <c r="O11">
        <f>IF(F19="",0,COUNTIFS(업무일지!$B$5:$B$1004,"&lt;="&amp;F19,업무일지!$C$5:$C$1004,"&gt;="&amp;F19,업무일지!$D$5:$D$1004,"출장"))</f>
        <v/>
      </c>
      <c r="P11">
        <f>IF(G19="",0,COUNTIFS(업무일지!$B$5:$B$1004,"&lt;="&amp;G19,업무일지!$C$5:$C$1004,"&gt;="&amp;G19,업무일지!$D$5:$D$1004,"출장"))</f>
        <v/>
      </c>
      <c r="Q11">
        <f>IF(A19="",0,COUNTIFS(업무일지!$B$5:$B$1004,"&lt;="&amp;A19,업무일지!$C$5:$C$1004,"&gt;="&amp;A19,업무일지!$D$5:$D$1004,"분석"))</f>
        <v/>
      </c>
      <c r="R11">
        <f>IF(B19="",0,COUNTIFS(업무일지!$B$5:$B$1004,"&lt;="&amp;B19,업무일지!$C$5:$C$1004,"&gt;="&amp;B19,업무일지!$D$5:$D$1004,"분석"))</f>
        <v/>
      </c>
      <c r="S11">
        <f>IF(C19="",0,COUNTIFS(업무일지!$B$5:$B$1004,"&lt;="&amp;C19,업무일지!$C$5:$C$1004,"&gt;="&amp;C19,업무일지!$D$5:$D$1004,"분석"))</f>
        <v/>
      </c>
      <c r="T11">
        <f>IF(D19="",0,COUNTIFS(업무일지!$B$5:$B$1004,"&lt;="&amp;D19,업무일지!$C$5:$C$1004,"&gt;="&amp;D19,업무일지!$D$5:$D$1004,"분석"))</f>
        <v/>
      </c>
      <c r="U11">
        <f>IF(E19="",0,COUNTIFS(업무일지!$B$5:$B$1004,"&lt;="&amp;E19,업무일지!$C$5:$C$1004,"&gt;="&amp;E19,업무일지!$D$5:$D$1004,"분석"))</f>
        <v/>
      </c>
      <c r="V11">
        <f>IF(F19="",0,COUNTIFS(업무일지!$B$5:$B$1004,"&lt;="&amp;F19,업무일지!$C$5:$C$1004,"&gt;="&amp;F19,업무일지!$D$5:$D$1004,"분석"))</f>
        <v/>
      </c>
      <c r="W11">
        <f>IF(G19="",0,COUNTIFS(업무일지!$B$5:$B$1004,"&lt;="&amp;G19,업무일지!$C$5:$C$1004,"&gt;="&amp;G19,업무일지!$D$5:$D$1004,"분석"))</f>
        <v/>
      </c>
      <c r="X11">
        <f>IF(A19="",0,COUNTIFS(일일실시사항!$B$5:$B$1004,A19))</f>
        <v/>
      </c>
      <c r="Y11">
        <f>IF(B19="",0,COUNTIFS(일일실시사항!$B$5:$B$1004,B19))</f>
        <v/>
      </c>
      <c r="Z11">
        <f>IF(C19="",0,COUNTIFS(일일실시사항!$B$5:$B$1004,C19))</f>
        <v/>
      </c>
      <c r="AA11">
        <f>IF(D19="",0,COUNTIFS(일일실시사항!$B$5:$B$1004,D19))</f>
        <v/>
      </c>
      <c r="AB11">
        <f>IF(E19="",0,COUNTIFS(일일실시사항!$B$5:$B$1004,E19))</f>
        <v/>
      </c>
      <c r="AC11">
        <f>IF(F19="",0,COUNTIFS(일일실시사항!$B$5:$B$1004,F19))</f>
        <v/>
      </c>
      <c r="AD11">
        <f>IF(G19="",0,COUNTIFS(일일실시사항!$B$5:$B$1004,G19))</f>
        <v/>
      </c>
    </row>
    <row r="12" ht="42" customHeight="1">
      <c r="A12" s="20" t="n"/>
      <c r="B12" s="20" t="n"/>
      <c r="C12" s="20" t="n"/>
      <c r="D12" s="20" t="n"/>
      <c r="E12" s="20" t="n"/>
      <c r="F12" s="20" t="n"/>
      <c r="G12" s="20" t="n"/>
      <c r="J12">
        <f>IF(A22="",0,COUNTIFS(업무일지!$B$5:$B$1004,"&lt;="&amp;A22,업무일지!$C$5:$C$1004,"&gt;="&amp;A22,업무일지!$D$5:$D$1004,"출장"))</f>
        <v/>
      </c>
      <c r="K12">
        <f>IF(B22="",0,COUNTIFS(업무일지!$B$5:$B$1004,"&lt;="&amp;B22,업무일지!$C$5:$C$1004,"&gt;="&amp;B22,업무일지!$D$5:$D$1004,"출장"))</f>
        <v/>
      </c>
      <c r="L12">
        <f>IF(C22="",0,COUNTIFS(업무일지!$B$5:$B$1004,"&lt;="&amp;C22,업무일지!$C$5:$C$1004,"&gt;="&amp;C22,업무일지!$D$5:$D$1004,"출장"))</f>
        <v/>
      </c>
      <c r="M12">
        <f>IF(D22="",0,COUNTIFS(업무일지!$B$5:$B$1004,"&lt;="&amp;D22,업무일지!$C$5:$C$1004,"&gt;="&amp;D22,업무일지!$D$5:$D$1004,"출장"))</f>
        <v/>
      </c>
      <c r="N12">
        <f>IF(E22="",0,COUNTIFS(업무일지!$B$5:$B$1004,"&lt;="&amp;E22,업무일지!$C$5:$C$1004,"&gt;="&amp;E22,업무일지!$D$5:$D$1004,"출장"))</f>
        <v/>
      </c>
      <c r="O12">
        <f>IF(F22="",0,COUNTIFS(업무일지!$B$5:$B$1004,"&lt;="&amp;F22,업무일지!$C$5:$C$1004,"&gt;="&amp;F22,업무일지!$D$5:$D$1004,"출장"))</f>
        <v/>
      </c>
      <c r="P12">
        <f>IF(G22="",0,COUNTIFS(업무일지!$B$5:$B$1004,"&lt;="&amp;G22,업무일지!$C$5:$C$1004,"&gt;="&amp;G22,업무일지!$D$5:$D$1004,"출장"))</f>
        <v/>
      </c>
      <c r="Q12">
        <f>IF(A22="",0,COUNTIFS(업무일지!$B$5:$B$1004,"&lt;="&amp;A22,업무일지!$C$5:$C$1004,"&gt;="&amp;A22,업무일지!$D$5:$D$1004,"분석"))</f>
        <v/>
      </c>
      <c r="R12">
        <f>IF(B22="",0,COUNTIFS(업무일지!$B$5:$B$1004,"&lt;="&amp;B22,업무일지!$C$5:$C$1004,"&gt;="&amp;B22,업무일지!$D$5:$D$1004,"분석"))</f>
        <v/>
      </c>
      <c r="S12">
        <f>IF(C22="",0,COUNTIFS(업무일지!$B$5:$B$1004,"&lt;="&amp;C22,업무일지!$C$5:$C$1004,"&gt;="&amp;C22,업무일지!$D$5:$D$1004,"분석"))</f>
        <v/>
      </c>
      <c r="T12">
        <f>IF(D22="",0,COUNTIFS(업무일지!$B$5:$B$1004,"&lt;="&amp;D22,업무일지!$C$5:$C$1004,"&gt;="&amp;D22,업무일지!$D$5:$D$1004,"분석"))</f>
        <v/>
      </c>
      <c r="U12">
        <f>IF(E22="",0,COUNTIFS(업무일지!$B$5:$B$1004,"&lt;="&amp;E22,업무일지!$C$5:$C$1004,"&gt;="&amp;E22,업무일지!$D$5:$D$1004,"분석"))</f>
        <v/>
      </c>
      <c r="V12">
        <f>IF(F22="",0,COUNTIFS(업무일지!$B$5:$B$1004,"&lt;="&amp;F22,업무일지!$C$5:$C$1004,"&gt;="&amp;F22,업무일지!$D$5:$D$1004,"분석"))</f>
        <v/>
      </c>
      <c r="W12">
        <f>IF(G22="",0,COUNTIFS(업무일지!$B$5:$B$1004,"&lt;="&amp;G22,업무일지!$C$5:$C$1004,"&gt;="&amp;G22,업무일지!$D$5:$D$1004,"분석"))</f>
        <v/>
      </c>
      <c r="X12">
        <f>IF(A22="",0,COUNTIFS(일일실시사항!$B$5:$B$1004,A22))</f>
        <v/>
      </c>
      <c r="Y12">
        <f>IF(B22="",0,COUNTIFS(일일실시사항!$B$5:$B$1004,B22))</f>
        <v/>
      </c>
      <c r="Z12">
        <f>IF(C22="",0,COUNTIFS(일일실시사항!$B$5:$B$1004,C22))</f>
        <v/>
      </c>
      <c r="AA12">
        <f>IF(D22="",0,COUNTIFS(일일실시사항!$B$5:$B$1004,D22))</f>
        <v/>
      </c>
      <c r="AB12">
        <f>IF(E22="",0,COUNTIFS(일일실시사항!$B$5:$B$1004,E22))</f>
        <v/>
      </c>
      <c r="AC12">
        <f>IF(F22="",0,COUNTIFS(일일실시사항!$B$5:$B$1004,F22))</f>
        <v/>
      </c>
      <c r="AD12">
        <f>IF(G22="",0,COUNTIFS(일일실시사항!$B$5:$B$1004,G22))</f>
        <v/>
      </c>
    </row>
    <row r="13" ht="20" customHeight="1">
      <c r="A13" s="16">
        <f>IF(MONTH($H$4+14)&lt;&gt;$D$4,"",$H$4+14)</f>
        <v/>
      </c>
      <c r="B13" s="17">
        <f>IF(MONTH($H$4+15)&lt;&gt;$D$4,"",$H$4+15)</f>
        <v/>
      </c>
      <c r="C13" s="17">
        <f>IF(MONTH($H$4+16)&lt;&gt;$D$4,"",$H$4+16)</f>
        <v/>
      </c>
      <c r="D13" s="17">
        <f>IF(MONTH($H$4+17)&lt;&gt;$D$4,"",$H$4+17)</f>
        <v/>
      </c>
      <c r="E13" s="17">
        <f>IF(MONTH($H$4+18)&lt;&gt;$D$4,"",$H$4+18)</f>
        <v/>
      </c>
      <c r="F13" s="17">
        <f>IF(MONTH($H$4+19)&lt;&gt;$D$4,"",$H$4+19)</f>
        <v/>
      </c>
      <c r="G13" s="18">
        <f>IF(MONTH($H$4+20)&lt;&gt;$D$4,"",$H$4+20)</f>
        <v/>
      </c>
    </row>
    <row r="14" ht="15" customHeight="1">
      <c r="A14" s="19">
        <f>IF(A13="","",IF(J9+Q9+X9=0,"",IF(J9=0,"","출장 "&amp;J9&amp;"  ")&amp;IF(Q9=0,"","분석 "&amp;Q9&amp;"  ")&amp;IF(X9=0,"","일일 "&amp;X9)))</f>
        <v/>
      </c>
      <c r="B14" s="19">
        <f>IF(B13="","",IF(K9+R9+Y9=0,"",IF(K9=0,"","출장 "&amp;K9&amp;"  ")&amp;IF(R9=0,"","분석 "&amp;R9&amp;"  ")&amp;IF(Y9=0,"","일일 "&amp;Y9)))</f>
        <v/>
      </c>
      <c r="C14" s="19">
        <f>IF(C13="","",IF(L9+S9+Z9=0,"",IF(L9=0,"","출장 "&amp;L9&amp;"  ")&amp;IF(S9=0,"","분석 "&amp;S9&amp;"  ")&amp;IF(Z9=0,"","일일 "&amp;Z9)))</f>
        <v/>
      </c>
      <c r="D14" s="19">
        <f>IF(D13="","",IF(M9+T9+AA9=0,"",IF(M9=0,"","출장 "&amp;M9&amp;"  ")&amp;IF(T9=0,"","분석 "&amp;T9&amp;"  ")&amp;IF(AA9=0,"","일일 "&amp;AA9)))</f>
        <v/>
      </c>
      <c r="E14" s="19">
        <f>IF(E13="","",IF(N9+U9+AB9=0,"",IF(N9=0,"","출장 "&amp;N9&amp;"  ")&amp;IF(U9=0,"","분석 "&amp;U9&amp;"  ")&amp;IF(AB9=0,"","일일 "&amp;AB9)))</f>
        <v/>
      </c>
      <c r="F14" s="19">
        <f>IF(F13="","",IF(O9+V9+AC9=0,"",IF(O9=0,"","출장 "&amp;O9&amp;"  ")&amp;IF(V9=0,"","분석 "&amp;V9&amp;"  ")&amp;IF(AC9=0,"","일일 "&amp;AC9)))</f>
        <v/>
      </c>
      <c r="G14" s="19">
        <f>IF(G13="","",IF(P9+W9+AD9=0,"",IF(P9=0,"","출장 "&amp;P9&amp;"  ")&amp;IF(W9=0,"","분석 "&amp;W9&amp;"  ")&amp;IF(AD9=0,"","일일 "&amp;AD9)))</f>
        <v/>
      </c>
    </row>
    <row r="15" ht="42" customHeight="1">
      <c r="A15" s="20" t="n"/>
      <c r="B15" s="20" t="n"/>
      <c r="C15" s="20" t="n"/>
      <c r="D15" s="20" t="n"/>
      <c r="E15" s="20" t="n"/>
      <c r="F15" s="20" t="n"/>
      <c r="G15" s="20" t="n"/>
    </row>
    <row r="16" ht="20" customHeight="1">
      <c r="A16" s="16">
        <f>IF(MONTH($H$4+21)&lt;&gt;$D$4,"",$H$4+21)</f>
        <v/>
      </c>
      <c r="B16" s="17">
        <f>IF(MONTH($H$4+22)&lt;&gt;$D$4,"",$H$4+22)</f>
        <v/>
      </c>
      <c r="C16" s="17">
        <f>IF(MONTH($H$4+23)&lt;&gt;$D$4,"",$H$4+23)</f>
        <v/>
      </c>
      <c r="D16" s="17">
        <f>IF(MONTH($H$4+24)&lt;&gt;$D$4,"",$H$4+24)</f>
        <v/>
      </c>
      <c r="E16" s="17">
        <f>IF(MONTH($H$4+25)&lt;&gt;$D$4,"",$H$4+25)</f>
        <v/>
      </c>
      <c r="F16" s="17">
        <f>IF(MONTH($H$4+26)&lt;&gt;$D$4,"",$H$4+26)</f>
        <v/>
      </c>
      <c r="G16" s="18">
        <f>IF(MONTH($H$4+27)&lt;&gt;$D$4,"",$H$4+27)</f>
        <v/>
      </c>
    </row>
    <row r="17" ht="15" customHeight="1">
      <c r="A17" s="19">
        <f>IF(A16="","",IF(J10+Q10+X10=0,"",IF(J10=0,"","출장 "&amp;J10&amp;"  ")&amp;IF(Q10=0,"","분석 "&amp;Q10&amp;"  ")&amp;IF(X10=0,"","일일 "&amp;X10)))</f>
        <v/>
      </c>
      <c r="B17" s="19">
        <f>IF(B16="","",IF(K10+R10+Y10=0,"",IF(K10=0,"","출장 "&amp;K10&amp;"  ")&amp;IF(R10=0,"","분석 "&amp;R10&amp;"  ")&amp;IF(Y10=0,"","일일 "&amp;Y10)))</f>
        <v/>
      </c>
      <c r="C17" s="19">
        <f>IF(C16="","",IF(L10+S10+Z10=0,"",IF(L10=0,"","출장 "&amp;L10&amp;"  ")&amp;IF(S10=0,"","분석 "&amp;S10&amp;"  ")&amp;IF(Z10=0,"","일일 "&amp;Z10)))</f>
        <v/>
      </c>
      <c r="D17" s="19">
        <f>IF(D16="","",IF(M10+T10+AA10=0,"",IF(M10=0,"","출장 "&amp;M10&amp;"  ")&amp;IF(T10=0,"","분석 "&amp;T10&amp;"  ")&amp;IF(AA10=0,"","일일 "&amp;AA10)))</f>
        <v/>
      </c>
      <c r="E17" s="19">
        <f>IF(E16="","",IF(N10+U10+AB10=0,"",IF(N10=0,"","출장 "&amp;N10&amp;"  ")&amp;IF(U10=0,"","분석 "&amp;U10&amp;"  ")&amp;IF(AB10=0,"","일일 "&amp;AB10)))</f>
        <v/>
      </c>
      <c r="F17" s="19">
        <f>IF(F16="","",IF(O10+V10+AC10=0,"",IF(O10=0,"","출장 "&amp;O10&amp;"  ")&amp;IF(V10=0,"","분석 "&amp;V10&amp;"  ")&amp;IF(AC10=0,"","일일 "&amp;AC10)))</f>
        <v/>
      </c>
      <c r="G17" s="19">
        <f>IF(G16="","",IF(P10+W10+AD10=0,"",IF(P10=0,"","출장 "&amp;P10&amp;"  ")&amp;IF(W10=0,"","분석 "&amp;W10&amp;"  ")&amp;IF(AD10=0,"","일일 "&amp;AD10)))</f>
        <v/>
      </c>
    </row>
    <row r="18" ht="42" customHeight="1">
      <c r="A18" s="20" t="n"/>
      <c r="B18" s="20" t="n"/>
      <c r="C18" s="20" t="n"/>
      <c r="D18" s="20" t="n"/>
      <c r="E18" s="20" t="n"/>
      <c r="F18" s="20" t="n"/>
      <c r="G18" s="20" t="n"/>
    </row>
    <row r="19" ht="20" customHeight="1">
      <c r="A19" s="16">
        <f>IF(MONTH($H$4+28)&lt;&gt;$D$4,"",$H$4+28)</f>
        <v/>
      </c>
      <c r="B19" s="17">
        <f>IF(MONTH($H$4+29)&lt;&gt;$D$4,"",$H$4+29)</f>
        <v/>
      </c>
      <c r="C19" s="17">
        <f>IF(MONTH($H$4+30)&lt;&gt;$D$4,"",$H$4+30)</f>
        <v/>
      </c>
      <c r="D19" s="17">
        <f>IF(MONTH($H$4+31)&lt;&gt;$D$4,"",$H$4+31)</f>
        <v/>
      </c>
      <c r="E19" s="17">
        <f>IF(MONTH($H$4+32)&lt;&gt;$D$4,"",$H$4+32)</f>
        <v/>
      </c>
      <c r="F19" s="17">
        <f>IF(MONTH($H$4+33)&lt;&gt;$D$4,"",$H$4+33)</f>
        <v/>
      </c>
      <c r="G19" s="18">
        <f>IF(MONTH($H$4+34)&lt;&gt;$D$4,"",$H$4+34)</f>
        <v/>
      </c>
    </row>
    <row r="20" ht="15" customHeight="1">
      <c r="A20" s="19">
        <f>IF(A19="","",IF(J11+Q11+X11=0,"",IF(J11=0,"","출장 "&amp;J11&amp;"  ")&amp;IF(Q11=0,"","분석 "&amp;Q11&amp;"  ")&amp;IF(X11=0,"","일일 "&amp;X11)))</f>
        <v/>
      </c>
      <c r="B20" s="19">
        <f>IF(B19="","",IF(K11+R11+Y11=0,"",IF(K11=0,"","출장 "&amp;K11&amp;"  ")&amp;IF(R11=0,"","분석 "&amp;R11&amp;"  ")&amp;IF(Y11=0,"","일일 "&amp;Y11)))</f>
        <v/>
      </c>
      <c r="C20" s="19">
        <f>IF(C19="","",IF(L11+S11+Z11=0,"",IF(L11=0,"","출장 "&amp;L11&amp;"  ")&amp;IF(S11=0,"","분석 "&amp;S11&amp;"  ")&amp;IF(Z11=0,"","일일 "&amp;Z11)))</f>
        <v/>
      </c>
      <c r="D20" s="19">
        <f>IF(D19="","",IF(M11+T11+AA11=0,"",IF(M11=0,"","출장 "&amp;M11&amp;"  ")&amp;IF(T11=0,"","분석 "&amp;T11&amp;"  ")&amp;IF(AA11=0,"","일일 "&amp;AA11)))</f>
        <v/>
      </c>
      <c r="E20" s="19">
        <f>IF(E19="","",IF(N11+U11+AB11=0,"",IF(N11=0,"","출장 "&amp;N11&amp;"  ")&amp;IF(U11=0,"","분석 "&amp;U11&amp;"  ")&amp;IF(AB11=0,"","일일 "&amp;AB11)))</f>
        <v/>
      </c>
      <c r="F20" s="19">
        <f>IF(F19="","",IF(O11+V11+AC11=0,"",IF(O11=0,"","출장 "&amp;O11&amp;"  ")&amp;IF(V11=0,"","분석 "&amp;V11&amp;"  ")&amp;IF(AC11=0,"","일일 "&amp;AC11)))</f>
        <v/>
      </c>
      <c r="G20" s="19">
        <f>IF(G19="","",IF(P11+W11+AD11=0,"",IF(P11=0,"","출장 "&amp;P11&amp;"  ")&amp;IF(W11=0,"","분석 "&amp;W11&amp;"  ")&amp;IF(AD11=0,"","일일 "&amp;AD11)))</f>
        <v/>
      </c>
    </row>
    <row r="21" ht="42" customHeight="1">
      <c r="A21" s="20" t="n"/>
      <c r="B21" s="20" t="n"/>
      <c r="C21" s="20" t="n"/>
      <c r="D21" s="20" t="n"/>
      <c r="E21" s="20" t="n"/>
      <c r="F21" s="20" t="n"/>
      <c r="G21" s="20" t="n"/>
    </row>
    <row r="22" ht="20" customHeight="1">
      <c r="A22" s="16">
        <f>IF(MONTH($H$4+35)&lt;&gt;$D$4,"",$H$4+35)</f>
        <v/>
      </c>
      <c r="B22" s="17">
        <f>IF(MONTH($H$4+36)&lt;&gt;$D$4,"",$H$4+36)</f>
        <v/>
      </c>
      <c r="C22" s="17">
        <f>IF(MONTH($H$4+37)&lt;&gt;$D$4,"",$H$4+37)</f>
        <v/>
      </c>
      <c r="D22" s="17">
        <f>IF(MONTH($H$4+38)&lt;&gt;$D$4,"",$H$4+38)</f>
        <v/>
      </c>
      <c r="E22" s="17">
        <f>IF(MONTH($H$4+39)&lt;&gt;$D$4,"",$H$4+39)</f>
        <v/>
      </c>
      <c r="F22" s="17">
        <f>IF(MONTH($H$4+40)&lt;&gt;$D$4,"",$H$4+40)</f>
        <v/>
      </c>
      <c r="G22" s="18">
        <f>IF(MONTH($H$4+41)&lt;&gt;$D$4,"",$H$4+41)</f>
        <v/>
      </c>
    </row>
    <row r="23" ht="15" customHeight="1">
      <c r="A23" s="19">
        <f>IF(A22="","",IF(J12+Q12+X12=0,"",IF(J12=0,"","출장 "&amp;J12&amp;"  ")&amp;IF(Q12=0,"","분석 "&amp;Q12&amp;"  ")&amp;IF(X12=0,"","일일 "&amp;X12)))</f>
        <v/>
      </c>
      <c r="B23" s="19">
        <f>IF(B22="","",IF(K12+R12+Y12=0,"",IF(K12=0,"","출장 "&amp;K12&amp;"  ")&amp;IF(R12=0,"","분석 "&amp;R12&amp;"  ")&amp;IF(Y12=0,"","일일 "&amp;Y12)))</f>
        <v/>
      </c>
      <c r="C23" s="19">
        <f>IF(C22="","",IF(L12+S12+Z12=0,"",IF(L12=0,"","출장 "&amp;L12&amp;"  ")&amp;IF(S12=0,"","분석 "&amp;S12&amp;"  ")&amp;IF(Z12=0,"","일일 "&amp;Z12)))</f>
        <v/>
      </c>
      <c r="D23" s="19">
        <f>IF(D22="","",IF(M12+T12+AA12=0,"",IF(M12=0,"","출장 "&amp;M12&amp;"  ")&amp;IF(T12=0,"","분석 "&amp;T12&amp;"  ")&amp;IF(AA12=0,"","일일 "&amp;AA12)))</f>
        <v/>
      </c>
      <c r="E23" s="19">
        <f>IF(E22="","",IF(N12+U12+AB12=0,"",IF(N12=0,"","출장 "&amp;N12&amp;"  ")&amp;IF(U12=0,"","분석 "&amp;U12&amp;"  ")&amp;IF(AB12=0,"","일일 "&amp;AB12)))</f>
        <v/>
      </c>
      <c r="F23" s="19">
        <f>IF(F22="","",IF(O12+V12+AC12=0,"",IF(O12=0,"","출장 "&amp;O12&amp;"  ")&amp;IF(V12=0,"","분석 "&amp;V12&amp;"  ")&amp;IF(AC12=0,"","일일 "&amp;AC12)))</f>
        <v/>
      </c>
      <c r="G23" s="19">
        <f>IF(G22="","",IF(P12+W12+AD12=0,"",IF(P12=0,"","출장 "&amp;P12&amp;"  ")&amp;IF(W12=0,"","분석 "&amp;W12&amp;"  ")&amp;IF(AD12=0,"","일일 "&amp;AD12)))</f>
        <v/>
      </c>
    </row>
    <row r="24" ht="42" customHeight="1">
      <c r="A24" s="20" t="n"/>
      <c r="B24" s="20" t="n"/>
      <c r="C24" s="20" t="n"/>
      <c r="D24" s="20" t="n"/>
      <c r="E24" s="20" t="n"/>
      <c r="F24" s="20" t="n"/>
      <c r="G24" s="20" t="n"/>
    </row>
    <row r="26" ht="20" customHeight="1">
      <c r="A26" s="21" t="inlineStr">
        <is>
          <t>이달 요약</t>
        </is>
      </c>
      <c r="B26" s="22" t="n"/>
      <c r="C26" s="22" t="n"/>
      <c r="D26" s="22" t="n"/>
      <c r="E26" s="22" t="n"/>
      <c r="F26" s="22" t="n"/>
      <c r="G26" s="22" t="n"/>
    </row>
    <row r="27" ht="28" customHeight="1">
      <c r="A27" s="23" t="inlineStr">
        <is>
          <t>구분</t>
        </is>
      </c>
      <c r="B27" s="23" t="inlineStr">
        <is>
          <t>건수</t>
        </is>
      </c>
      <c r="C27" s="23" t="inlineStr">
        <is>
          <t>총 인시(H)</t>
        </is>
      </c>
      <c r="D27" s="23" t="inlineStr">
        <is>
          <t>출장 소요일수</t>
        </is>
      </c>
      <c r="E27" s="23" t="inlineStr">
        <is>
          <t>대상매체(건)</t>
        </is>
      </c>
      <c r="F27" s="23" t="inlineStr">
        <is>
          <t>데이터량(GB)</t>
        </is>
      </c>
      <c r="G27" s="23" t="inlineStr">
        <is>
          <t>진행중</t>
        </is>
      </c>
    </row>
    <row r="28">
      <c r="A28" s="8" t="inlineStr">
        <is>
          <t>출장</t>
        </is>
      </c>
      <c r="B28" s="24">
        <f>COUNTIFS(업무일지!$B$5:$B$1004,"&gt;="&amp;DATE($B$4,$D$4,1),업무일지!$B$5:$B$1004,"&lt;"&amp;DATE($B$4,$D$4+1,1),업무일지!$D$5:$D$1004,"출장")</f>
        <v/>
      </c>
      <c r="C28" s="25">
        <f>SUMIFS(업무일지!$W$5:$W$1004,업무일지!$B$5:$B$1004,"&gt;="&amp;DATE($B$4,$D$4,1),업무일지!$B$5:$B$1004,"&lt;"&amp;DATE($B$4,$D$4+1,1),업무일지!$D$5:$D$1004,"출장")</f>
        <v/>
      </c>
      <c r="D28" s="24">
        <f>SUMIFS(업무일지!$U$5:$U$1004,업무일지!$B$5:$B$1004,"&gt;="&amp;DATE($B$4,$D$4,1),업무일지!$B$5:$B$1004,"&lt;"&amp;DATE($B$4,$D$4+1,1),업무일지!$D$5:$D$1004,"출장")</f>
        <v/>
      </c>
      <c r="E28" s="24">
        <f>SUMIFS(업무일지!$S$5:$S$1004,업무일지!$B$5:$B$1004,"&gt;="&amp;DATE($B$4,$D$4,1),업무일지!$B$5:$B$1004,"&lt;"&amp;DATE($B$4,$D$4+1,1),업무일지!$D$5:$D$1004,"출장")</f>
        <v/>
      </c>
      <c r="F28" s="26">
        <f>SUMIFS(업무일지!$T$5:$T$1004,업무일지!$B$5:$B$1004,"&gt;="&amp;DATE($B$4,$D$4,1),업무일지!$B$5:$B$1004,"&lt;"&amp;DATE($B$4,$D$4+1,1),업무일지!$D$5:$D$1004,"출장")</f>
        <v/>
      </c>
      <c r="G28" s="24">
        <f>COUNTIFS(업무일지!$B$5:$B$1004,"&gt;="&amp;DATE($B$4,$D$4,1),업무일지!$B$5:$B$1004,"&lt;"&amp;DATE($B$4,$D$4+1,1),업무일지!$D$5:$D$1004,"출장",업무일지!$X$5:$X$1004,"진행중")</f>
        <v/>
      </c>
    </row>
    <row r="29">
      <c r="A29" s="8" t="inlineStr">
        <is>
          <t>분석</t>
        </is>
      </c>
      <c r="B29" s="24">
        <f>COUNTIFS(업무일지!$B$5:$B$1004,"&gt;="&amp;DATE($B$4,$D$4,1),업무일지!$B$5:$B$1004,"&lt;"&amp;DATE($B$4,$D$4+1,1),업무일지!$D$5:$D$1004,"분석")</f>
        <v/>
      </c>
      <c r="C29" s="25">
        <f>SUMIFS(업무일지!$W$5:$W$1004,업무일지!$B$5:$B$1004,"&gt;="&amp;DATE($B$4,$D$4,1),업무일지!$B$5:$B$1004,"&lt;"&amp;DATE($B$4,$D$4+1,1),업무일지!$D$5:$D$1004,"분석")</f>
        <v/>
      </c>
      <c r="D29" s="24">
        <f>SUMIFS(업무일지!$U$5:$U$1004,업무일지!$B$5:$B$1004,"&gt;="&amp;DATE($B$4,$D$4,1),업무일지!$B$5:$B$1004,"&lt;"&amp;DATE($B$4,$D$4+1,1),업무일지!$D$5:$D$1004,"분석")</f>
        <v/>
      </c>
      <c r="E29" s="24">
        <f>SUMIFS(업무일지!$S$5:$S$1004,업무일지!$B$5:$B$1004,"&gt;="&amp;DATE($B$4,$D$4,1),업무일지!$B$5:$B$1004,"&lt;"&amp;DATE($B$4,$D$4+1,1),업무일지!$D$5:$D$1004,"분석")</f>
        <v/>
      </c>
      <c r="F29" s="26">
        <f>SUMIFS(업무일지!$T$5:$T$1004,업무일지!$B$5:$B$1004,"&gt;="&amp;DATE($B$4,$D$4,1),업무일지!$B$5:$B$1004,"&lt;"&amp;DATE($B$4,$D$4+1,1),업무일지!$D$5:$D$1004,"분석")</f>
        <v/>
      </c>
      <c r="G29" s="24">
        <f>COUNTIFS(업무일지!$B$5:$B$1004,"&gt;="&amp;DATE($B$4,$D$4,1),업무일지!$B$5:$B$1004,"&lt;"&amp;DATE($B$4,$D$4+1,1),업무일지!$D$5:$D$1004,"분석",업무일지!$X$5:$X$1004,"진행중")</f>
        <v/>
      </c>
    </row>
    <row r="30">
      <c r="A30" s="8" t="inlineStr">
        <is>
          <t>일일실시</t>
        </is>
      </c>
      <c r="B30" s="24">
        <f>COUNTIFS(일일실시사항!$B$5:$B$1004,"&gt;="&amp;DATE($B$4,$D$4,1),일일실시사항!$B$5:$B$1004,"&lt;"&amp;DATE($B$4,$D$4+1,1))</f>
        <v/>
      </c>
      <c r="C30" s="25">
        <f>SUMIFS(일일실시사항!$J$5:$J$1004,일일실시사항!$B$5:$B$1004,"&gt;="&amp;DATE($B$4,$D$4,1),일일실시사항!$B$5:$B$1004,"&lt;"&amp;DATE($B$4,$D$4+1,1))</f>
        <v/>
      </c>
      <c r="D30" s="27" t="inlineStr">
        <is>
          <t>-</t>
        </is>
      </c>
      <c r="E30" s="27" t="inlineStr">
        <is>
          <t>-</t>
        </is>
      </c>
      <c r="F30" s="27" t="inlineStr">
        <is>
          <t>-</t>
        </is>
      </c>
      <c r="G30" s="24">
        <f>COUNTIFS(일일실시사항!$B$5:$B$1004,"&gt;="&amp;DATE($B$4,$D$4,1),일일실시사항!$B$5:$B$1004,"&lt;"&amp;DATE($B$4,$D$4+1,1),일일실시사항!$K$5:$K$1004,"진행중")</f>
        <v/>
      </c>
    </row>
    <row r="31">
      <c r="A31" s="28" t="inlineStr">
        <is>
          <t>합계</t>
        </is>
      </c>
      <c r="B31" s="29">
        <f>SUM(B28:B30)</f>
        <v/>
      </c>
      <c r="C31" s="30">
        <f>SUM(C28:C30)</f>
        <v/>
      </c>
      <c r="D31" s="29">
        <f>SUM(D28:D29)</f>
        <v/>
      </c>
      <c r="E31" s="29">
        <f>SUM(E28:E29)</f>
        <v/>
      </c>
      <c r="F31" s="31">
        <f>SUM(F28:F29)</f>
        <v/>
      </c>
      <c r="G31" s="29">
        <f>SUM(G28:G30)</f>
        <v/>
      </c>
    </row>
    <row r="33">
      <c r="A33" s="7" t="inlineStr">
        <is>
          <t>※ 달력 칸의 자동 집계는 [업무일지]의 시작일~종료일 기간에 걸친 건과 [일일실시사항]의 해당 일자 건을 셉니다.</t>
        </is>
      </c>
    </row>
    <row r="34">
      <c r="A34" s="7" t="inlineStr">
        <is>
          <t>※ 오늘 날짜는 초록색, 공휴일([코드설정] K열)과 일요일은 빨간색으로 표시됩니다.</t>
        </is>
      </c>
    </row>
  </sheetData>
  <mergeCells count="1">
    <mergeCell ref="E4:G4"/>
  </mergeCells>
  <conditionalFormatting sqref="A7">
    <cfRule type="expression" priority="1" dxfId="0" stopIfTrue="1">
      <formula>AND(A7&lt;&gt;"",COUNTIF(코드설정!$K$5:$K$34,A7)&gt;0)</formula>
    </cfRule>
    <cfRule type="expression" priority="2" dxfId="1" stopIfTrue="1">
      <formula>AND(A7&lt;&gt;"",A7=TODAY())</formula>
    </cfRule>
  </conditionalFormatting>
  <conditionalFormatting sqref="B7">
    <cfRule type="expression" priority="3" dxfId="0" stopIfTrue="1">
      <formula>AND(B7&lt;&gt;"",COUNTIF(코드설정!$K$5:$K$34,B7)&gt;0)</formula>
    </cfRule>
    <cfRule type="expression" priority="4" dxfId="1" stopIfTrue="1">
      <formula>AND(B7&lt;&gt;"",B7=TODAY())</formula>
    </cfRule>
  </conditionalFormatting>
  <conditionalFormatting sqref="C7">
    <cfRule type="expression" priority="5" dxfId="0" stopIfTrue="1">
      <formula>AND(C7&lt;&gt;"",COUNTIF(코드설정!$K$5:$K$34,C7)&gt;0)</formula>
    </cfRule>
    <cfRule type="expression" priority="6" dxfId="1" stopIfTrue="1">
      <formula>AND(C7&lt;&gt;"",C7=TODAY())</formula>
    </cfRule>
  </conditionalFormatting>
  <conditionalFormatting sqref="D7">
    <cfRule type="expression" priority="7" dxfId="0" stopIfTrue="1">
      <formula>AND(D7&lt;&gt;"",COUNTIF(코드설정!$K$5:$K$34,D7)&gt;0)</formula>
    </cfRule>
    <cfRule type="expression" priority="8" dxfId="1" stopIfTrue="1">
      <formula>AND(D7&lt;&gt;"",D7=TODAY())</formula>
    </cfRule>
  </conditionalFormatting>
  <conditionalFormatting sqref="E7">
    <cfRule type="expression" priority="9" dxfId="0" stopIfTrue="1">
      <formula>AND(E7&lt;&gt;"",COUNTIF(코드설정!$K$5:$K$34,E7)&gt;0)</formula>
    </cfRule>
    <cfRule type="expression" priority="10" dxfId="1" stopIfTrue="1">
      <formula>AND(E7&lt;&gt;"",E7=TODAY())</formula>
    </cfRule>
  </conditionalFormatting>
  <conditionalFormatting sqref="F7">
    <cfRule type="expression" priority="11" dxfId="0" stopIfTrue="1">
      <formula>AND(F7&lt;&gt;"",COUNTIF(코드설정!$K$5:$K$34,F7)&gt;0)</formula>
    </cfRule>
    <cfRule type="expression" priority="12" dxfId="1" stopIfTrue="1">
      <formula>AND(F7&lt;&gt;"",F7=TODAY())</formula>
    </cfRule>
  </conditionalFormatting>
  <conditionalFormatting sqref="G7">
    <cfRule type="expression" priority="13" dxfId="0" stopIfTrue="1">
      <formula>AND(G7&lt;&gt;"",COUNTIF(코드설정!$K$5:$K$34,G7)&gt;0)</formula>
    </cfRule>
    <cfRule type="expression" priority="14" dxfId="1" stopIfTrue="1">
      <formula>AND(G7&lt;&gt;"",G7=TODAY())</formula>
    </cfRule>
  </conditionalFormatting>
  <conditionalFormatting sqref="A10">
    <cfRule type="expression" priority="15" dxfId="0" stopIfTrue="1">
      <formula>AND(A10&lt;&gt;"",COUNTIF(코드설정!$K$5:$K$34,A10)&gt;0)</formula>
    </cfRule>
    <cfRule type="expression" priority="16" dxfId="1" stopIfTrue="1">
      <formula>AND(A10&lt;&gt;"",A10=TODAY())</formula>
    </cfRule>
  </conditionalFormatting>
  <conditionalFormatting sqref="B10">
    <cfRule type="expression" priority="17" dxfId="0" stopIfTrue="1">
      <formula>AND(B10&lt;&gt;"",COUNTIF(코드설정!$K$5:$K$34,B10)&gt;0)</formula>
    </cfRule>
    <cfRule type="expression" priority="18" dxfId="1" stopIfTrue="1">
      <formula>AND(B10&lt;&gt;"",B10=TODAY())</formula>
    </cfRule>
  </conditionalFormatting>
  <conditionalFormatting sqref="C10">
    <cfRule type="expression" priority="19" dxfId="0" stopIfTrue="1">
      <formula>AND(C10&lt;&gt;"",COUNTIF(코드설정!$K$5:$K$34,C10)&gt;0)</formula>
    </cfRule>
    <cfRule type="expression" priority="20" dxfId="1" stopIfTrue="1">
      <formula>AND(C10&lt;&gt;"",C10=TODAY())</formula>
    </cfRule>
  </conditionalFormatting>
  <conditionalFormatting sqref="D10">
    <cfRule type="expression" priority="21" dxfId="0" stopIfTrue="1">
      <formula>AND(D10&lt;&gt;"",COUNTIF(코드설정!$K$5:$K$34,D10)&gt;0)</formula>
    </cfRule>
    <cfRule type="expression" priority="22" dxfId="1" stopIfTrue="1">
      <formula>AND(D10&lt;&gt;"",D10=TODAY())</formula>
    </cfRule>
  </conditionalFormatting>
  <conditionalFormatting sqref="E10">
    <cfRule type="expression" priority="23" dxfId="0" stopIfTrue="1">
      <formula>AND(E10&lt;&gt;"",COUNTIF(코드설정!$K$5:$K$34,E10)&gt;0)</formula>
    </cfRule>
    <cfRule type="expression" priority="24" dxfId="1" stopIfTrue="1">
      <formula>AND(E10&lt;&gt;"",E10=TODAY())</formula>
    </cfRule>
  </conditionalFormatting>
  <conditionalFormatting sqref="F10">
    <cfRule type="expression" priority="25" dxfId="0" stopIfTrue="1">
      <formula>AND(F10&lt;&gt;"",COUNTIF(코드설정!$K$5:$K$34,F10)&gt;0)</formula>
    </cfRule>
    <cfRule type="expression" priority="26" dxfId="1" stopIfTrue="1">
      <formula>AND(F10&lt;&gt;"",F10=TODAY())</formula>
    </cfRule>
  </conditionalFormatting>
  <conditionalFormatting sqref="G10">
    <cfRule type="expression" priority="27" dxfId="0" stopIfTrue="1">
      <formula>AND(G10&lt;&gt;"",COUNTIF(코드설정!$K$5:$K$34,G10)&gt;0)</formula>
    </cfRule>
    <cfRule type="expression" priority="28" dxfId="1" stopIfTrue="1">
      <formula>AND(G10&lt;&gt;"",G10=TODAY())</formula>
    </cfRule>
  </conditionalFormatting>
  <conditionalFormatting sqref="A13">
    <cfRule type="expression" priority="29" dxfId="0" stopIfTrue="1">
      <formula>AND(A13&lt;&gt;"",COUNTIF(코드설정!$K$5:$K$34,A13)&gt;0)</formula>
    </cfRule>
    <cfRule type="expression" priority="30" dxfId="1" stopIfTrue="1">
      <formula>AND(A13&lt;&gt;"",A13=TODAY())</formula>
    </cfRule>
  </conditionalFormatting>
  <conditionalFormatting sqref="B13">
    <cfRule type="expression" priority="31" dxfId="0" stopIfTrue="1">
      <formula>AND(B13&lt;&gt;"",COUNTIF(코드설정!$K$5:$K$34,B13)&gt;0)</formula>
    </cfRule>
    <cfRule type="expression" priority="32" dxfId="1" stopIfTrue="1">
      <formula>AND(B13&lt;&gt;"",B13=TODAY())</formula>
    </cfRule>
  </conditionalFormatting>
  <conditionalFormatting sqref="C13">
    <cfRule type="expression" priority="33" dxfId="0" stopIfTrue="1">
      <formula>AND(C13&lt;&gt;"",COUNTIF(코드설정!$K$5:$K$34,C13)&gt;0)</formula>
    </cfRule>
    <cfRule type="expression" priority="34" dxfId="1" stopIfTrue="1">
      <formula>AND(C13&lt;&gt;"",C13=TODAY())</formula>
    </cfRule>
  </conditionalFormatting>
  <conditionalFormatting sqref="D13">
    <cfRule type="expression" priority="35" dxfId="0" stopIfTrue="1">
      <formula>AND(D13&lt;&gt;"",COUNTIF(코드설정!$K$5:$K$34,D13)&gt;0)</formula>
    </cfRule>
    <cfRule type="expression" priority="36" dxfId="1" stopIfTrue="1">
      <formula>AND(D13&lt;&gt;"",D13=TODAY())</formula>
    </cfRule>
  </conditionalFormatting>
  <conditionalFormatting sqref="E13">
    <cfRule type="expression" priority="37" dxfId="0" stopIfTrue="1">
      <formula>AND(E13&lt;&gt;"",COUNTIF(코드설정!$K$5:$K$34,E13)&gt;0)</formula>
    </cfRule>
    <cfRule type="expression" priority="38" dxfId="1" stopIfTrue="1">
      <formula>AND(E13&lt;&gt;"",E13=TODAY())</formula>
    </cfRule>
  </conditionalFormatting>
  <conditionalFormatting sqref="F13">
    <cfRule type="expression" priority="39" dxfId="0" stopIfTrue="1">
      <formula>AND(F13&lt;&gt;"",COUNTIF(코드설정!$K$5:$K$34,F13)&gt;0)</formula>
    </cfRule>
    <cfRule type="expression" priority="40" dxfId="1" stopIfTrue="1">
      <formula>AND(F13&lt;&gt;"",F13=TODAY())</formula>
    </cfRule>
  </conditionalFormatting>
  <conditionalFormatting sqref="G13">
    <cfRule type="expression" priority="41" dxfId="0" stopIfTrue="1">
      <formula>AND(G13&lt;&gt;"",COUNTIF(코드설정!$K$5:$K$34,G13)&gt;0)</formula>
    </cfRule>
    <cfRule type="expression" priority="42" dxfId="1" stopIfTrue="1">
      <formula>AND(G13&lt;&gt;"",G13=TODAY())</formula>
    </cfRule>
  </conditionalFormatting>
  <conditionalFormatting sqref="A16">
    <cfRule type="expression" priority="43" dxfId="0" stopIfTrue="1">
      <formula>AND(A16&lt;&gt;"",COUNTIF(코드설정!$K$5:$K$34,A16)&gt;0)</formula>
    </cfRule>
    <cfRule type="expression" priority="44" dxfId="1" stopIfTrue="1">
      <formula>AND(A16&lt;&gt;"",A16=TODAY())</formula>
    </cfRule>
  </conditionalFormatting>
  <conditionalFormatting sqref="B16">
    <cfRule type="expression" priority="45" dxfId="0" stopIfTrue="1">
      <formula>AND(B16&lt;&gt;"",COUNTIF(코드설정!$K$5:$K$34,B16)&gt;0)</formula>
    </cfRule>
    <cfRule type="expression" priority="46" dxfId="1" stopIfTrue="1">
      <formula>AND(B16&lt;&gt;"",B16=TODAY())</formula>
    </cfRule>
  </conditionalFormatting>
  <conditionalFormatting sqref="C16">
    <cfRule type="expression" priority="47" dxfId="0" stopIfTrue="1">
      <formula>AND(C16&lt;&gt;"",COUNTIF(코드설정!$K$5:$K$34,C16)&gt;0)</formula>
    </cfRule>
    <cfRule type="expression" priority="48" dxfId="1" stopIfTrue="1">
      <formula>AND(C16&lt;&gt;"",C16=TODAY())</formula>
    </cfRule>
  </conditionalFormatting>
  <conditionalFormatting sqref="D16">
    <cfRule type="expression" priority="49" dxfId="0" stopIfTrue="1">
      <formula>AND(D16&lt;&gt;"",COUNTIF(코드설정!$K$5:$K$34,D16)&gt;0)</formula>
    </cfRule>
    <cfRule type="expression" priority="50" dxfId="1" stopIfTrue="1">
      <formula>AND(D16&lt;&gt;"",D16=TODAY())</formula>
    </cfRule>
  </conditionalFormatting>
  <conditionalFormatting sqref="E16">
    <cfRule type="expression" priority="51" dxfId="0" stopIfTrue="1">
      <formula>AND(E16&lt;&gt;"",COUNTIF(코드설정!$K$5:$K$34,E16)&gt;0)</formula>
    </cfRule>
    <cfRule type="expression" priority="52" dxfId="1" stopIfTrue="1">
      <formula>AND(E16&lt;&gt;"",E16=TODAY())</formula>
    </cfRule>
  </conditionalFormatting>
  <conditionalFormatting sqref="F16">
    <cfRule type="expression" priority="53" dxfId="0" stopIfTrue="1">
      <formula>AND(F16&lt;&gt;"",COUNTIF(코드설정!$K$5:$K$34,F16)&gt;0)</formula>
    </cfRule>
    <cfRule type="expression" priority="54" dxfId="1" stopIfTrue="1">
      <formula>AND(F16&lt;&gt;"",F16=TODAY())</formula>
    </cfRule>
  </conditionalFormatting>
  <conditionalFormatting sqref="G16">
    <cfRule type="expression" priority="55" dxfId="0" stopIfTrue="1">
      <formula>AND(G16&lt;&gt;"",COUNTIF(코드설정!$K$5:$K$34,G16)&gt;0)</formula>
    </cfRule>
    <cfRule type="expression" priority="56" dxfId="1" stopIfTrue="1">
      <formula>AND(G16&lt;&gt;"",G16=TODAY())</formula>
    </cfRule>
  </conditionalFormatting>
  <conditionalFormatting sqref="A19">
    <cfRule type="expression" priority="57" dxfId="0" stopIfTrue="1">
      <formula>AND(A19&lt;&gt;"",COUNTIF(코드설정!$K$5:$K$34,A19)&gt;0)</formula>
    </cfRule>
    <cfRule type="expression" priority="58" dxfId="1" stopIfTrue="1">
      <formula>AND(A19&lt;&gt;"",A19=TODAY())</formula>
    </cfRule>
  </conditionalFormatting>
  <conditionalFormatting sqref="B19">
    <cfRule type="expression" priority="59" dxfId="0" stopIfTrue="1">
      <formula>AND(B19&lt;&gt;"",COUNTIF(코드설정!$K$5:$K$34,B19)&gt;0)</formula>
    </cfRule>
    <cfRule type="expression" priority="60" dxfId="1" stopIfTrue="1">
      <formula>AND(B19&lt;&gt;"",B19=TODAY())</formula>
    </cfRule>
  </conditionalFormatting>
  <conditionalFormatting sqref="C19">
    <cfRule type="expression" priority="61" dxfId="0" stopIfTrue="1">
      <formula>AND(C19&lt;&gt;"",COUNTIF(코드설정!$K$5:$K$34,C19)&gt;0)</formula>
    </cfRule>
    <cfRule type="expression" priority="62" dxfId="1" stopIfTrue="1">
      <formula>AND(C19&lt;&gt;"",C19=TODAY())</formula>
    </cfRule>
  </conditionalFormatting>
  <conditionalFormatting sqref="D19">
    <cfRule type="expression" priority="63" dxfId="0" stopIfTrue="1">
      <formula>AND(D19&lt;&gt;"",COUNTIF(코드설정!$K$5:$K$34,D19)&gt;0)</formula>
    </cfRule>
    <cfRule type="expression" priority="64" dxfId="1" stopIfTrue="1">
      <formula>AND(D19&lt;&gt;"",D19=TODAY())</formula>
    </cfRule>
  </conditionalFormatting>
  <conditionalFormatting sqref="E19">
    <cfRule type="expression" priority="65" dxfId="0" stopIfTrue="1">
      <formula>AND(E19&lt;&gt;"",COUNTIF(코드설정!$K$5:$K$34,E19)&gt;0)</formula>
    </cfRule>
    <cfRule type="expression" priority="66" dxfId="1" stopIfTrue="1">
      <formula>AND(E19&lt;&gt;"",E19=TODAY())</formula>
    </cfRule>
  </conditionalFormatting>
  <conditionalFormatting sqref="F19">
    <cfRule type="expression" priority="67" dxfId="0" stopIfTrue="1">
      <formula>AND(F19&lt;&gt;"",COUNTIF(코드설정!$K$5:$K$34,F19)&gt;0)</formula>
    </cfRule>
    <cfRule type="expression" priority="68" dxfId="1" stopIfTrue="1">
      <formula>AND(F19&lt;&gt;"",F19=TODAY())</formula>
    </cfRule>
  </conditionalFormatting>
  <conditionalFormatting sqref="G19">
    <cfRule type="expression" priority="69" dxfId="0" stopIfTrue="1">
      <formula>AND(G19&lt;&gt;"",COUNTIF(코드설정!$K$5:$K$34,G19)&gt;0)</formula>
    </cfRule>
    <cfRule type="expression" priority="70" dxfId="1" stopIfTrue="1">
      <formula>AND(G19&lt;&gt;"",G19=TODAY())</formula>
    </cfRule>
  </conditionalFormatting>
  <conditionalFormatting sqref="A22">
    <cfRule type="expression" priority="71" dxfId="0" stopIfTrue="1">
      <formula>AND(A22&lt;&gt;"",COUNTIF(코드설정!$K$5:$K$34,A22)&gt;0)</formula>
    </cfRule>
    <cfRule type="expression" priority="72" dxfId="1" stopIfTrue="1">
      <formula>AND(A22&lt;&gt;"",A22=TODAY())</formula>
    </cfRule>
  </conditionalFormatting>
  <conditionalFormatting sqref="B22">
    <cfRule type="expression" priority="73" dxfId="0" stopIfTrue="1">
      <formula>AND(B22&lt;&gt;"",COUNTIF(코드설정!$K$5:$K$34,B22)&gt;0)</formula>
    </cfRule>
    <cfRule type="expression" priority="74" dxfId="1" stopIfTrue="1">
      <formula>AND(B22&lt;&gt;"",B22=TODAY())</formula>
    </cfRule>
  </conditionalFormatting>
  <conditionalFormatting sqref="C22">
    <cfRule type="expression" priority="75" dxfId="0" stopIfTrue="1">
      <formula>AND(C22&lt;&gt;"",COUNTIF(코드설정!$K$5:$K$34,C22)&gt;0)</formula>
    </cfRule>
    <cfRule type="expression" priority="76" dxfId="1" stopIfTrue="1">
      <formula>AND(C22&lt;&gt;"",C22=TODAY())</formula>
    </cfRule>
  </conditionalFormatting>
  <conditionalFormatting sqref="D22">
    <cfRule type="expression" priority="77" dxfId="0" stopIfTrue="1">
      <formula>AND(D22&lt;&gt;"",COUNTIF(코드설정!$K$5:$K$34,D22)&gt;0)</formula>
    </cfRule>
    <cfRule type="expression" priority="78" dxfId="1" stopIfTrue="1">
      <formula>AND(D22&lt;&gt;"",D22=TODAY())</formula>
    </cfRule>
  </conditionalFormatting>
  <conditionalFormatting sqref="E22">
    <cfRule type="expression" priority="79" dxfId="0" stopIfTrue="1">
      <formula>AND(E22&lt;&gt;"",COUNTIF(코드설정!$K$5:$K$34,E22)&gt;0)</formula>
    </cfRule>
    <cfRule type="expression" priority="80" dxfId="1" stopIfTrue="1">
      <formula>AND(E22&lt;&gt;"",E22=TODAY())</formula>
    </cfRule>
  </conditionalFormatting>
  <conditionalFormatting sqref="F22">
    <cfRule type="expression" priority="81" dxfId="0" stopIfTrue="1">
      <formula>AND(F22&lt;&gt;"",COUNTIF(코드설정!$K$5:$K$34,F22)&gt;0)</formula>
    </cfRule>
    <cfRule type="expression" priority="82" dxfId="1" stopIfTrue="1">
      <formula>AND(F22&lt;&gt;"",F22=TODAY())</formula>
    </cfRule>
  </conditionalFormatting>
  <conditionalFormatting sqref="G22">
    <cfRule type="expression" priority="83" dxfId="0" stopIfTrue="1">
      <formula>AND(G22&lt;&gt;"",COUNTIF(코드설정!$K$5:$K$34,G22)&gt;0)</formula>
    </cfRule>
    <cfRule type="expression" priority="84" dxfId="1" stopIfTrue="1">
      <formula>AND(G22&lt;&gt;"",G22=TODAY())</formula>
    </cfRule>
  </conditionalFormatting>
  <dataValidations count="1">
    <dataValidation sqref="D4" showDropDown="0" showInputMessage="0" showErrorMessage="1" allowBlank="0" errorTitle="월 입력" error="1~12 사이의 숫자를 입력하세요." type="whole" operator="between">
      <formula1>1</formula1>
      <formula2>12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Y10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0" customWidth="1" min="4" max="4"/>
    <col width="18" customWidth="1" min="5" max="5"/>
    <col width="16" customWidth="1" min="6" max="6"/>
    <col width="26" customWidth="1" min="7" max="7"/>
    <col width="1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6" customWidth="1" min="16" max="16"/>
    <col width="13" customWidth="1" min="17" max="17"/>
    <col width="18" customWidth="1" min="18" max="18"/>
    <col width="11" customWidth="1" min="19" max="19"/>
    <col width="12" customWidth="1" min="20" max="20"/>
    <col width="9" customWidth="1" min="21" max="21"/>
    <col width="13" customWidth="1" min="22" max="22"/>
    <col width="11" customWidth="1" min="23" max="23"/>
    <col width="10" customWidth="1" min="24" max="24"/>
    <col width="20" customWidth="1" min="25" max="25"/>
  </cols>
  <sheetData>
    <row r="1" ht="24" customHeight="1">
      <c r="A1" s="6" t="inlineStr">
        <is>
          <t>부서 업무일지  ·  출장 / 분석 통합 대장</t>
        </is>
      </c>
    </row>
    <row r="2" ht="26" customHeight="1">
      <c r="A2" s="7" t="inlineStr">
        <is>
          <t>※ 출장·분석 1건 = 1행. 사건번호(F)를 고르면 사건명·요청처와 [사건마스터]에 배정된 담당자(I~N)가 통째로 따라옵니다.  ※ 그 건에만 인원이 다르면 I~N칸을 직접 골라 덮어쓰세요(그 행만 수동으로 바뀝니다).  ※ 파란 글씨 칸만 입력 / 초록 글씨는 사건마스터 연동 / 회색 칸은 자동.  ※ 5행은 예시이므로 지우고 사용하세요.</t>
        </is>
      </c>
    </row>
    <row r="4" ht="32" customHeight="1">
      <c r="A4" s="23" t="inlineStr">
        <is>
          <t>연번</t>
        </is>
      </c>
      <c r="B4" s="23" t="inlineStr">
        <is>
          <t>시작일</t>
        </is>
      </c>
      <c r="C4" s="23" t="inlineStr">
        <is>
          <t>종료일</t>
        </is>
      </c>
      <c r="D4" s="23" t="inlineStr">
        <is>
          <t>직무구분</t>
        </is>
      </c>
      <c r="E4" s="23" t="inlineStr">
        <is>
          <t>세부유형</t>
        </is>
      </c>
      <c r="F4" s="23" t="inlineStr">
        <is>
          <t>사건번호</t>
        </is>
      </c>
      <c r="G4" s="23" t="inlineStr">
        <is>
          <t>사건명 · 업무명</t>
        </is>
      </c>
      <c r="H4" s="23" t="inlineStr">
        <is>
          <t>요청·의뢰처</t>
        </is>
      </c>
      <c r="I4" s="23" t="inlineStr">
        <is>
          <t>주담당자</t>
        </is>
      </c>
      <c r="J4" s="23" t="inlineStr">
        <is>
          <t>참여자 1</t>
        </is>
      </c>
      <c r="K4" s="23" t="inlineStr">
        <is>
          <t>참여자 2</t>
        </is>
      </c>
      <c r="L4" s="23" t="inlineStr">
        <is>
          <t>참여자 3</t>
        </is>
      </c>
      <c r="M4" s="23" t="inlineStr">
        <is>
          <t>참여자 4</t>
        </is>
      </c>
      <c r="N4" s="23" t="inlineStr">
        <is>
          <t>참여자 5</t>
        </is>
      </c>
      <c r="O4" s="23" t="inlineStr">
        <is>
          <t>투입인원(명)</t>
        </is>
      </c>
      <c r="P4" s="23" t="inlineStr">
        <is>
          <t>참여자 명단(자동)</t>
        </is>
      </c>
      <c r="Q4" s="23" t="inlineStr">
        <is>
          <t>소속팀</t>
        </is>
      </c>
      <c r="R4" s="23" t="inlineStr">
        <is>
          <t>장소 / 분석실</t>
        </is>
      </c>
      <c r="S4" s="23" t="inlineStr">
        <is>
          <t>대상매체(건)</t>
        </is>
      </c>
      <c r="T4" s="23" t="inlineStr">
        <is>
          <t>데이터량(GB)</t>
        </is>
      </c>
      <c r="U4" s="23" t="inlineStr">
        <is>
          <t>소요일수</t>
        </is>
      </c>
      <c r="V4" s="23" t="inlineStr">
        <is>
          <t>1인 투입시간(H)</t>
        </is>
      </c>
      <c r="W4" s="23" t="inlineStr">
        <is>
          <t>총 인시(H)</t>
        </is>
      </c>
      <c r="X4" s="23" t="inlineStr">
        <is>
          <t>진행상태</t>
        </is>
      </c>
      <c r="Y4" s="23" t="inlineStr">
        <is>
          <t>비고</t>
        </is>
      </c>
    </row>
    <row r="5">
      <c r="A5" s="32">
        <f>IF($B5="","",COUNT($B$5:$B5))</f>
        <v/>
      </c>
      <c r="B5" s="33" t="n">
        <v>46085</v>
      </c>
      <c r="C5" s="33" t="n">
        <v>46086</v>
      </c>
      <c r="D5" s="34" t="inlineStr">
        <is>
          <t>출장</t>
        </is>
      </c>
      <c r="E5" s="34" t="inlineStr">
        <is>
          <t>압수·수색 집행</t>
        </is>
      </c>
      <c r="F5" s="34" t="inlineStr">
        <is>
          <t>2026-형제-1024</t>
        </is>
      </c>
      <c r="G5" s="35">
        <f>IF($F5="","",IFERROR(INDEX(사건마스터!$B$5:$B$64,MATCH($F5,사건마스터!$A$5:$A$64,0)),""))</f>
        <v/>
      </c>
      <c r="H5" s="36">
        <f>IF($F5="","",IFERROR(INDEX(사건마스터!$C$5:$C$64,MATCH($F5,사건마스터!$A$5:$A$64,0)),""))</f>
        <v/>
      </c>
      <c r="I5" s="37">
        <f>IF($F5="","",IFERROR(INDEX(사건마스터!$H$5:$H$64,MATCH($F5,사건마스터!$A$5:$A$64,0)),""))</f>
        <v/>
      </c>
      <c r="J5" s="37">
        <f>IF($F5="","",IFERROR(INDEX(사건마스터!$AH$5:$AH$64,MATCH($F5,사건마스터!$A$5:$A$64,0)),""))</f>
        <v/>
      </c>
      <c r="K5" s="37">
        <f>IF($F5="","",IFERROR(INDEX(사건마스터!$AI$5:$AI$64,MATCH($F5,사건마스터!$A$5:$A$64,0)),""))</f>
        <v/>
      </c>
      <c r="L5" s="37">
        <f>IF($F5="","",IFERROR(INDEX(사건마스터!$AJ$5:$AJ$64,MATCH($F5,사건마스터!$A$5:$A$64,0)),""))</f>
        <v/>
      </c>
      <c r="M5" s="37">
        <f>IF($F5="","",IFERROR(INDEX(사건마스터!$AK$5:$AK$64,MATCH($F5,사건마스터!$A$5:$A$64,0)),""))</f>
        <v/>
      </c>
      <c r="N5" s="37">
        <f>IF($F5="","",IFERROR(INDEX(사건마스터!$AL$5:$AL$64,MATCH($F5,사건마스터!$A$5:$A$64,0)),""))</f>
        <v/>
      </c>
      <c r="O5" s="32">
        <f>IF($I5="","",COUNTIF($I5:$N5,"?*"))</f>
        <v/>
      </c>
      <c r="P5" s="35">
        <f>IF($I5="","",_xlfn.TEXTJOIN(", ",TRUE,$I5:$N5))</f>
        <v/>
      </c>
      <c r="Q5" s="36">
        <f>IF($I5="","",IFERROR(INDEX(코드설정!$D$5:$D$24,MATCH($I5,코드설정!$C$5:$C$24,0)),""))</f>
        <v/>
      </c>
      <c r="R5" s="38" t="inlineStr">
        <is>
          <t>경기 성남시 판교</t>
        </is>
      </c>
      <c r="S5" s="39" t="n">
        <v>6</v>
      </c>
      <c r="T5" s="40" t="n">
        <v>3200</v>
      </c>
      <c r="U5" s="32">
        <f>IF(OR($B5="",$C5=""),"",$C5-$B5+1)</f>
        <v/>
      </c>
      <c r="V5" s="41" t="n">
        <v>16</v>
      </c>
      <c r="W5" s="42">
        <f>IF(OR($V5="",$O5=""),"",$V5*$O5)</f>
        <v/>
      </c>
      <c r="X5" s="34" t="inlineStr">
        <is>
          <t>완료</t>
        </is>
      </c>
      <c r="Y5" s="38" t="inlineStr">
        <is>
          <t>※ 예시 - 지우고 사용하세요</t>
        </is>
      </c>
    </row>
    <row r="6">
      <c r="A6" s="43">
        <f>IF($B6="","",COUNT($B$5:$B6))</f>
        <v/>
      </c>
      <c r="B6" s="44" t="n"/>
      <c r="C6" s="44" t="n"/>
      <c r="D6" s="45" t="n"/>
      <c r="E6" s="45" t="n"/>
      <c r="F6" s="45" t="n"/>
      <c r="G6" s="46">
        <f>IF($F6="","",IFERROR(INDEX(사건마스터!$B$5:$B$64,MATCH($F6,사건마스터!$A$5:$A$64,0)),""))</f>
        <v/>
      </c>
      <c r="H6" s="47">
        <f>IF($F6="","",IFERROR(INDEX(사건마스터!$C$5:$C$64,MATCH($F6,사건마스터!$A$5:$A$64,0)),""))</f>
        <v/>
      </c>
      <c r="I6" s="48">
        <f>IF($F6="","",IFERROR(INDEX(사건마스터!$H$5:$H$64,MATCH($F6,사건마스터!$A$5:$A$64,0)),""))</f>
        <v/>
      </c>
      <c r="J6" s="48">
        <f>IF($F6="","",IFERROR(INDEX(사건마스터!$AH$5:$AH$64,MATCH($F6,사건마스터!$A$5:$A$64,0)),""))</f>
        <v/>
      </c>
      <c r="K6" s="48">
        <f>IF($F6="","",IFERROR(INDEX(사건마스터!$AI$5:$AI$64,MATCH($F6,사건마스터!$A$5:$A$64,0)),""))</f>
        <v/>
      </c>
      <c r="L6" s="48">
        <f>IF($F6="","",IFERROR(INDEX(사건마스터!$AJ$5:$AJ$64,MATCH($F6,사건마스터!$A$5:$A$64,0)),""))</f>
        <v/>
      </c>
      <c r="M6" s="48">
        <f>IF($F6="","",IFERROR(INDEX(사건마스터!$AK$5:$AK$64,MATCH($F6,사건마스터!$A$5:$A$64,0)),""))</f>
        <v/>
      </c>
      <c r="N6" s="48">
        <f>IF($F6="","",IFERROR(INDEX(사건마스터!$AL$5:$AL$64,MATCH($F6,사건마스터!$A$5:$A$64,0)),""))</f>
        <v/>
      </c>
      <c r="O6" s="43">
        <f>IF($I6="","",COUNTIF($I6:$N6,"?*"))</f>
        <v/>
      </c>
      <c r="P6" s="46">
        <f>IF($I6="","",_xlfn.TEXTJOIN(", ",TRUE,$I6:$N6))</f>
        <v/>
      </c>
      <c r="Q6" s="47">
        <f>IF($I6="","",IFERROR(INDEX(코드설정!$D$5:$D$24,MATCH($I6,코드설정!$C$5:$C$24,0)),""))</f>
        <v/>
      </c>
      <c r="R6" s="49" t="n"/>
      <c r="S6" s="50" t="n"/>
      <c r="T6" s="51" t="n"/>
      <c r="U6" s="43">
        <f>IF(OR($B6="",$C6=""),"",$C6-$B6+1)</f>
        <v/>
      </c>
      <c r="V6" s="52" t="n"/>
      <c r="W6" s="53">
        <f>IF(OR($V6="",$O6=""),"",$V6*$O6)</f>
        <v/>
      </c>
      <c r="X6" s="45" t="n"/>
      <c r="Y6" s="49" t="n"/>
    </row>
    <row r="7">
      <c r="A7" s="43">
        <f>IF($B7="","",COUNT($B$5:$B7))</f>
        <v/>
      </c>
      <c r="B7" s="44" t="n"/>
      <c r="C7" s="44" t="n"/>
      <c r="D7" s="45" t="n"/>
      <c r="E7" s="45" t="n"/>
      <c r="F7" s="45" t="n"/>
      <c r="G7" s="46">
        <f>IF($F7="","",IFERROR(INDEX(사건마스터!$B$5:$B$64,MATCH($F7,사건마스터!$A$5:$A$64,0)),""))</f>
        <v/>
      </c>
      <c r="H7" s="47">
        <f>IF($F7="","",IFERROR(INDEX(사건마스터!$C$5:$C$64,MATCH($F7,사건마스터!$A$5:$A$64,0)),""))</f>
        <v/>
      </c>
      <c r="I7" s="48">
        <f>IF($F7="","",IFERROR(INDEX(사건마스터!$H$5:$H$64,MATCH($F7,사건마스터!$A$5:$A$64,0)),""))</f>
        <v/>
      </c>
      <c r="J7" s="48">
        <f>IF($F7="","",IFERROR(INDEX(사건마스터!$AH$5:$AH$64,MATCH($F7,사건마스터!$A$5:$A$64,0)),""))</f>
        <v/>
      </c>
      <c r="K7" s="48">
        <f>IF($F7="","",IFERROR(INDEX(사건마스터!$AI$5:$AI$64,MATCH($F7,사건마스터!$A$5:$A$64,0)),""))</f>
        <v/>
      </c>
      <c r="L7" s="48">
        <f>IF($F7="","",IFERROR(INDEX(사건마스터!$AJ$5:$AJ$64,MATCH($F7,사건마스터!$A$5:$A$64,0)),""))</f>
        <v/>
      </c>
      <c r="M7" s="48">
        <f>IF($F7="","",IFERROR(INDEX(사건마스터!$AK$5:$AK$64,MATCH($F7,사건마스터!$A$5:$A$64,0)),""))</f>
        <v/>
      </c>
      <c r="N7" s="48">
        <f>IF($F7="","",IFERROR(INDEX(사건마스터!$AL$5:$AL$64,MATCH($F7,사건마스터!$A$5:$A$64,0)),""))</f>
        <v/>
      </c>
      <c r="O7" s="43">
        <f>IF($I7="","",COUNTIF($I7:$N7,"?*"))</f>
        <v/>
      </c>
      <c r="P7" s="46">
        <f>IF($I7="","",_xlfn.TEXTJOIN(", ",TRUE,$I7:$N7))</f>
        <v/>
      </c>
      <c r="Q7" s="47">
        <f>IF($I7="","",IFERROR(INDEX(코드설정!$D$5:$D$24,MATCH($I7,코드설정!$C$5:$C$24,0)),""))</f>
        <v/>
      </c>
      <c r="R7" s="49" t="n"/>
      <c r="S7" s="50" t="n"/>
      <c r="T7" s="51" t="n"/>
      <c r="U7" s="43">
        <f>IF(OR($B7="",$C7=""),"",$C7-$B7+1)</f>
        <v/>
      </c>
      <c r="V7" s="52" t="n"/>
      <c r="W7" s="53">
        <f>IF(OR($V7="",$O7=""),"",$V7*$O7)</f>
        <v/>
      </c>
      <c r="X7" s="45" t="n"/>
      <c r="Y7" s="49" t="n"/>
    </row>
    <row r="8">
      <c r="A8" s="43">
        <f>IF($B8="","",COUNT($B$5:$B8))</f>
        <v/>
      </c>
      <c r="B8" s="44" t="n"/>
      <c r="C8" s="44" t="n"/>
      <c r="D8" s="45" t="n"/>
      <c r="E8" s="45" t="n"/>
      <c r="F8" s="45" t="n"/>
      <c r="G8" s="46">
        <f>IF($F8="","",IFERROR(INDEX(사건마스터!$B$5:$B$64,MATCH($F8,사건마스터!$A$5:$A$64,0)),""))</f>
        <v/>
      </c>
      <c r="H8" s="47">
        <f>IF($F8="","",IFERROR(INDEX(사건마스터!$C$5:$C$64,MATCH($F8,사건마스터!$A$5:$A$64,0)),""))</f>
        <v/>
      </c>
      <c r="I8" s="48">
        <f>IF($F8="","",IFERROR(INDEX(사건마스터!$H$5:$H$64,MATCH($F8,사건마스터!$A$5:$A$64,0)),""))</f>
        <v/>
      </c>
      <c r="J8" s="48">
        <f>IF($F8="","",IFERROR(INDEX(사건마스터!$AH$5:$AH$64,MATCH($F8,사건마스터!$A$5:$A$64,0)),""))</f>
        <v/>
      </c>
      <c r="K8" s="48">
        <f>IF($F8="","",IFERROR(INDEX(사건마스터!$AI$5:$AI$64,MATCH($F8,사건마스터!$A$5:$A$64,0)),""))</f>
        <v/>
      </c>
      <c r="L8" s="48">
        <f>IF($F8="","",IFERROR(INDEX(사건마스터!$AJ$5:$AJ$64,MATCH($F8,사건마스터!$A$5:$A$64,0)),""))</f>
        <v/>
      </c>
      <c r="M8" s="48">
        <f>IF($F8="","",IFERROR(INDEX(사건마스터!$AK$5:$AK$64,MATCH($F8,사건마스터!$A$5:$A$64,0)),""))</f>
        <v/>
      </c>
      <c r="N8" s="48">
        <f>IF($F8="","",IFERROR(INDEX(사건마스터!$AL$5:$AL$64,MATCH($F8,사건마스터!$A$5:$A$64,0)),""))</f>
        <v/>
      </c>
      <c r="O8" s="43">
        <f>IF($I8="","",COUNTIF($I8:$N8,"?*"))</f>
        <v/>
      </c>
      <c r="P8" s="46">
        <f>IF($I8="","",_xlfn.TEXTJOIN(", ",TRUE,$I8:$N8))</f>
        <v/>
      </c>
      <c r="Q8" s="47">
        <f>IF($I8="","",IFERROR(INDEX(코드설정!$D$5:$D$24,MATCH($I8,코드설정!$C$5:$C$24,0)),""))</f>
        <v/>
      </c>
      <c r="R8" s="49" t="n"/>
      <c r="S8" s="50" t="n"/>
      <c r="T8" s="51" t="n"/>
      <c r="U8" s="43">
        <f>IF(OR($B8="",$C8=""),"",$C8-$B8+1)</f>
        <v/>
      </c>
      <c r="V8" s="52" t="n"/>
      <c r="W8" s="53">
        <f>IF(OR($V8="",$O8=""),"",$V8*$O8)</f>
        <v/>
      </c>
      <c r="X8" s="45" t="n"/>
      <c r="Y8" s="49" t="n"/>
    </row>
    <row r="9">
      <c r="A9" s="43">
        <f>IF($B9="","",COUNT($B$5:$B9))</f>
        <v/>
      </c>
      <c r="B9" s="44" t="n"/>
      <c r="C9" s="44" t="n"/>
      <c r="D9" s="45" t="n"/>
      <c r="E9" s="45" t="n"/>
      <c r="F9" s="45" t="n"/>
      <c r="G9" s="46">
        <f>IF($F9="","",IFERROR(INDEX(사건마스터!$B$5:$B$64,MATCH($F9,사건마스터!$A$5:$A$64,0)),""))</f>
        <v/>
      </c>
      <c r="H9" s="47">
        <f>IF($F9="","",IFERROR(INDEX(사건마스터!$C$5:$C$64,MATCH($F9,사건마스터!$A$5:$A$64,0)),""))</f>
        <v/>
      </c>
      <c r="I9" s="48">
        <f>IF($F9="","",IFERROR(INDEX(사건마스터!$H$5:$H$64,MATCH($F9,사건마스터!$A$5:$A$64,0)),""))</f>
        <v/>
      </c>
      <c r="J9" s="48">
        <f>IF($F9="","",IFERROR(INDEX(사건마스터!$AH$5:$AH$64,MATCH($F9,사건마스터!$A$5:$A$64,0)),""))</f>
        <v/>
      </c>
      <c r="K9" s="48">
        <f>IF($F9="","",IFERROR(INDEX(사건마스터!$AI$5:$AI$64,MATCH($F9,사건마스터!$A$5:$A$64,0)),""))</f>
        <v/>
      </c>
      <c r="L9" s="48">
        <f>IF($F9="","",IFERROR(INDEX(사건마스터!$AJ$5:$AJ$64,MATCH($F9,사건마스터!$A$5:$A$64,0)),""))</f>
        <v/>
      </c>
      <c r="M9" s="48">
        <f>IF($F9="","",IFERROR(INDEX(사건마스터!$AK$5:$AK$64,MATCH($F9,사건마스터!$A$5:$A$64,0)),""))</f>
        <v/>
      </c>
      <c r="N9" s="48">
        <f>IF($F9="","",IFERROR(INDEX(사건마스터!$AL$5:$AL$64,MATCH($F9,사건마스터!$A$5:$A$64,0)),""))</f>
        <v/>
      </c>
      <c r="O9" s="43">
        <f>IF($I9="","",COUNTIF($I9:$N9,"?*"))</f>
        <v/>
      </c>
      <c r="P9" s="46">
        <f>IF($I9="","",_xlfn.TEXTJOIN(", ",TRUE,$I9:$N9))</f>
        <v/>
      </c>
      <c r="Q9" s="47">
        <f>IF($I9="","",IFERROR(INDEX(코드설정!$D$5:$D$24,MATCH($I9,코드설정!$C$5:$C$24,0)),""))</f>
        <v/>
      </c>
      <c r="R9" s="49" t="n"/>
      <c r="S9" s="50" t="n"/>
      <c r="T9" s="51" t="n"/>
      <c r="U9" s="43">
        <f>IF(OR($B9="",$C9=""),"",$C9-$B9+1)</f>
        <v/>
      </c>
      <c r="V9" s="52" t="n"/>
      <c r="W9" s="53">
        <f>IF(OR($V9="",$O9=""),"",$V9*$O9)</f>
        <v/>
      </c>
      <c r="X9" s="45" t="n"/>
      <c r="Y9" s="49" t="n"/>
    </row>
    <row r="10">
      <c r="A10" s="43">
        <f>IF($B10="","",COUNT($B$5:$B10))</f>
        <v/>
      </c>
      <c r="B10" s="44" t="n"/>
      <c r="C10" s="44" t="n"/>
      <c r="D10" s="45" t="n"/>
      <c r="E10" s="45" t="n"/>
      <c r="F10" s="45" t="n"/>
      <c r="G10" s="46">
        <f>IF($F10="","",IFERROR(INDEX(사건마스터!$B$5:$B$64,MATCH($F10,사건마스터!$A$5:$A$64,0)),""))</f>
        <v/>
      </c>
      <c r="H10" s="47">
        <f>IF($F10="","",IFERROR(INDEX(사건마스터!$C$5:$C$64,MATCH($F10,사건마스터!$A$5:$A$64,0)),""))</f>
        <v/>
      </c>
      <c r="I10" s="48">
        <f>IF($F10="","",IFERROR(INDEX(사건마스터!$H$5:$H$64,MATCH($F10,사건마스터!$A$5:$A$64,0)),""))</f>
        <v/>
      </c>
      <c r="J10" s="48">
        <f>IF($F10="","",IFERROR(INDEX(사건마스터!$AH$5:$AH$64,MATCH($F10,사건마스터!$A$5:$A$64,0)),""))</f>
        <v/>
      </c>
      <c r="K10" s="48">
        <f>IF($F10="","",IFERROR(INDEX(사건마스터!$AI$5:$AI$64,MATCH($F10,사건마스터!$A$5:$A$64,0)),""))</f>
        <v/>
      </c>
      <c r="L10" s="48">
        <f>IF($F10="","",IFERROR(INDEX(사건마스터!$AJ$5:$AJ$64,MATCH($F10,사건마스터!$A$5:$A$64,0)),""))</f>
        <v/>
      </c>
      <c r="M10" s="48">
        <f>IF($F10="","",IFERROR(INDEX(사건마스터!$AK$5:$AK$64,MATCH($F10,사건마스터!$A$5:$A$64,0)),""))</f>
        <v/>
      </c>
      <c r="N10" s="48">
        <f>IF($F10="","",IFERROR(INDEX(사건마스터!$AL$5:$AL$64,MATCH($F10,사건마스터!$A$5:$A$64,0)),""))</f>
        <v/>
      </c>
      <c r="O10" s="43">
        <f>IF($I10="","",COUNTIF($I10:$N10,"?*"))</f>
        <v/>
      </c>
      <c r="P10" s="46">
        <f>IF($I10="","",_xlfn.TEXTJOIN(", ",TRUE,$I10:$N10))</f>
        <v/>
      </c>
      <c r="Q10" s="47">
        <f>IF($I10="","",IFERROR(INDEX(코드설정!$D$5:$D$24,MATCH($I10,코드설정!$C$5:$C$24,0)),""))</f>
        <v/>
      </c>
      <c r="R10" s="49" t="n"/>
      <c r="S10" s="50" t="n"/>
      <c r="T10" s="51" t="n"/>
      <c r="U10" s="43">
        <f>IF(OR($B10="",$C10=""),"",$C10-$B10+1)</f>
        <v/>
      </c>
      <c r="V10" s="52" t="n"/>
      <c r="W10" s="53">
        <f>IF(OR($V10="",$O10=""),"",$V10*$O10)</f>
        <v/>
      </c>
      <c r="X10" s="45" t="n"/>
      <c r="Y10" s="49" t="n"/>
    </row>
    <row r="11">
      <c r="A11" s="43">
        <f>IF($B11="","",COUNT($B$5:$B11))</f>
        <v/>
      </c>
      <c r="B11" s="44" t="n"/>
      <c r="C11" s="44" t="n"/>
      <c r="D11" s="45" t="n"/>
      <c r="E11" s="45" t="n"/>
      <c r="F11" s="45" t="n"/>
      <c r="G11" s="46">
        <f>IF($F11="","",IFERROR(INDEX(사건마스터!$B$5:$B$64,MATCH($F11,사건마스터!$A$5:$A$64,0)),""))</f>
        <v/>
      </c>
      <c r="H11" s="47">
        <f>IF($F11="","",IFERROR(INDEX(사건마스터!$C$5:$C$64,MATCH($F11,사건마스터!$A$5:$A$64,0)),""))</f>
        <v/>
      </c>
      <c r="I11" s="48">
        <f>IF($F11="","",IFERROR(INDEX(사건마스터!$H$5:$H$64,MATCH($F11,사건마스터!$A$5:$A$64,0)),""))</f>
        <v/>
      </c>
      <c r="J11" s="48">
        <f>IF($F11="","",IFERROR(INDEX(사건마스터!$AH$5:$AH$64,MATCH($F11,사건마스터!$A$5:$A$64,0)),""))</f>
        <v/>
      </c>
      <c r="K11" s="48">
        <f>IF($F11="","",IFERROR(INDEX(사건마스터!$AI$5:$AI$64,MATCH($F11,사건마스터!$A$5:$A$64,0)),""))</f>
        <v/>
      </c>
      <c r="L11" s="48">
        <f>IF($F11="","",IFERROR(INDEX(사건마스터!$AJ$5:$AJ$64,MATCH($F11,사건마스터!$A$5:$A$64,0)),""))</f>
        <v/>
      </c>
      <c r="M11" s="48">
        <f>IF($F11="","",IFERROR(INDEX(사건마스터!$AK$5:$AK$64,MATCH($F11,사건마스터!$A$5:$A$64,0)),""))</f>
        <v/>
      </c>
      <c r="N11" s="48">
        <f>IF($F11="","",IFERROR(INDEX(사건마스터!$AL$5:$AL$64,MATCH($F11,사건마스터!$A$5:$A$64,0)),""))</f>
        <v/>
      </c>
      <c r="O11" s="43">
        <f>IF($I11="","",COUNTIF($I11:$N11,"?*"))</f>
        <v/>
      </c>
      <c r="P11" s="46">
        <f>IF($I11="","",_xlfn.TEXTJOIN(", ",TRUE,$I11:$N11))</f>
        <v/>
      </c>
      <c r="Q11" s="47">
        <f>IF($I11="","",IFERROR(INDEX(코드설정!$D$5:$D$24,MATCH($I11,코드설정!$C$5:$C$24,0)),""))</f>
        <v/>
      </c>
      <c r="R11" s="49" t="n"/>
      <c r="S11" s="50" t="n"/>
      <c r="T11" s="51" t="n"/>
      <c r="U11" s="43">
        <f>IF(OR($B11="",$C11=""),"",$C11-$B11+1)</f>
        <v/>
      </c>
      <c r="V11" s="52" t="n"/>
      <c r="W11" s="53">
        <f>IF(OR($V11="",$O11=""),"",$V11*$O11)</f>
        <v/>
      </c>
      <c r="X11" s="45" t="n"/>
      <c r="Y11" s="49" t="n"/>
    </row>
    <row r="12">
      <c r="A12" s="43">
        <f>IF($B12="","",COUNT($B$5:$B12))</f>
        <v/>
      </c>
      <c r="B12" s="44" t="n"/>
      <c r="C12" s="44" t="n"/>
      <c r="D12" s="45" t="n"/>
      <c r="E12" s="45" t="n"/>
      <c r="F12" s="45" t="n"/>
      <c r="G12" s="46">
        <f>IF($F12="","",IFERROR(INDEX(사건마스터!$B$5:$B$64,MATCH($F12,사건마스터!$A$5:$A$64,0)),""))</f>
        <v/>
      </c>
      <c r="H12" s="47">
        <f>IF($F12="","",IFERROR(INDEX(사건마스터!$C$5:$C$64,MATCH($F12,사건마스터!$A$5:$A$64,0)),""))</f>
        <v/>
      </c>
      <c r="I12" s="48">
        <f>IF($F12="","",IFERROR(INDEX(사건마스터!$H$5:$H$64,MATCH($F12,사건마스터!$A$5:$A$64,0)),""))</f>
        <v/>
      </c>
      <c r="J12" s="48">
        <f>IF($F12="","",IFERROR(INDEX(사건마스터!$AH$5:$AH$64,MATCH($F12,사건마스터!$A$5:$A$64,0)),""))</f>
        <v/>
      </c>
      <c r="K12" s="48">
        <f>IF($F12="","",IFERROR(INDEX(사건마스터!$AI$5:$AI$64,MATCH($F12,사건마스터!$A$5:$A$64,0)),""))</f>
        <v/>
      </c>
      <c r="L12" s="48">
        <f>IF($F12="","",IFERROR(INDEX(사건마스터!$AJ$5:$AJ$64,MATCH($F12,사건마스터!$A$5:$A$64,0)),""))</f>
        <v/>
      </c>
      <c r="M12" s="48">
        <f>IF($F12="","",IFERROR(INDEX(사건마스터!$AK$5:$AK$64,MATCH($F12,사건마스터!$A$5:$A$64,0)),""))</f>
        <v/>
      </c>
      <c r="N12" s="48">
        <f>IF($F12="","",IFERROR(INDEX(사건마스터!$AL$5:$AL$64,MATCH($F12,사건마스터!$A$5:$A$64,0)),""))</f>
        <v/>
      </c>
      <c r="O12" s="43">
        <f>IF($I12="","",COUNTIF($I12:$N12,"?*"))</f>
        <v/>
      </c>
      <c r="P12" s="46">
        <f>IF($I12="","",_xlfn.TEXTJOIN(", ",TRUE,$I12:$N12))</f>
        <v/>
      </c>
      <c r="Q12" s="47">
        <f>IF($I12="","",IFERROR(INDEX(코드설정!$D$5:$D$24,MATCH($I12,코드설정!$C$5:$C$24,0)),""))</f>
        <v/>
      </c>
      <c r="R12" s="49" t="n"/>
      <c r="S12" s="50" t="n"/>
      <c r="T12" s="51" t="n"/>
      <c r="U12" s="43">
        <f>IF(OR($B12="",$C12=""),"",$C12-$B12+1)</f>
        <v/>
      </c>
      <c r="V12" s="52" t="n"/>
      <c r="W12" s="53">
        <f>IF(OR($V12="",$O12=""),"",$V12*$O12)</f>
        <v/>
      </c>
      <c r="X12" s="45" t="n"/>
      <c r="Y12" s="49" t="n"/>
    </row>
    <row r="13">
      <c r="A13" s="43">
        <f>IF($B13="","",COUNT($B$5:$B13))</f>
        <v/>
      </c>
      <c r="B13" s="44" t="n"/>
      <c r="C13" s="44" t="n"/>
      <c r="D13" s="45" t="n"/>
      <c r="E13" s="45" t="n"/>
      <c r="F13" s="45" t="n"/>
      <c r="G13" s="46">
        <f>IF($F13="","",IFERROR(INDEX(사건마스터!$B$5:$B$64,MATCH($F13,사건마스터!$A$5:$A$64,0)),""))</f>
        <v/>
      </c>
      <c r="H13" s="47">
        <f>IF($F13="","",IFERROR(INDEX(사건마스터!$C$5:$C$64,MATCH($F13,사건마스터!$A$5:$A$64,0)),""))</f>
        <v/>
      </c>
      <c r="I13" s="48">
        <f>IF($F13="","",IFERROR(INDEX(사건마스터!$H$5:$H$64,MATCH($F13,사건마스터!$A$5:$A$64,0)),""))</f>
        <v/>
      </c>
      <c r="J13" s="48">
        <f>IF($F13="","",IFERROR(INDEX(사건마스터!$AH$5:$AH$64,MATCH($F13,사건마스터!$A$5:$A$64,0)),""))</f>
        <v/>
      </c>
      <c r="K13" s="48">
        <f>IF($F13="","",IFERROR(INDEX(사건마스터!$AI$5:$AI$64,MATCH($F13,사건마스터!$A$5:$A$64,0)),""))</f>
        <v/>
      </c>
      <c r="L13" s="48">
        <f>IF($F13="","",IFERROR(INDEX(사건마스터!$AJ$5:$AJ$64,MATCH($F13,사건마스터!$A$5:$A$64,0)),""))</f>
        <v/>
      </c>
      <c r="M13" s="48">
        <f>IF($F13="","",IFERROR(INDEX(사건마스터!$AK$5:$AK$64,MATCH($F13,사건마스터!$A$5:$A$64,0)),""))</f>
        <v/>
      </c>
      <c r="N13" s="48">
        <f>IF($F13="","",IFERROR(INDEX(사건마스터!$AL$5:$AL$64,MATCH($F13,사건마스터!$A$5:$A$64,0)),""))</f>
        <v/>
      </c>
      <c r="O13" s="43">
        <f>IF($I13="","",COUNTIF($I13:$N13,"?*"))</f>
        <v/>
      </c>
      <c r="P13" s="46">
        <f>IF($I13="","",_xlfn.TEXTJOIN(", ",TRUE,$I13:$N13))</f>
        <v/>
      </c>
      <c r="Q13" s="47">
        <f>IF($I13="","",IFERROR(INDEX(코드설정!$D$5:$D$24,MATCH($I13,코드설정!$C$5:$C$24,0)),""))</f>
        <v/>
      </c>
      <c r="R13" s="49" t="n"/>
      <c r="S13" s="50" t="n"/>
      <c r="T13" s="51" t="n"/>
      <c r="U13" s="43">
        <f>IF(OR($B13="",$C13=""),"",$C13-$B13+1)</f>
        <v/>
      </c>
      <c r="V13" s="52" t="n"/>
      <c r="W13" s="53">
        <f>IF(OR($V13="",$O13=""),"",$V13*$O13)</f>
        <v/>
      </c>
      <c r="X13" s="45" t="n"/>
      <c r="Y13" s="49" t="n"/>
    </row>
    <row r="14">
      <c r="A14" s="43">
        <f>IF($B14="","",COUNT($B$5:$B14))</f>
        <v/>
      </c>
      <c r="B14" s="44" t="n"/>
      <c r="C14" s="44" t="n"/>
      <c r="D14" s="45" t="n"/>
      <c r="E14" s="45" t="n"/>
      <c r="F14" s="45" t="n"/>
      <c r="G14" s="46">
        <f>IF($F14="","",IFERROR(INDEX(사건마스터!$B$5:$B$64,MATCH($F14,사건마스터!$A$5:$A$64,0)),""))</f>
        <v/>
      </c>
      <c r="H14" s="47">
        <f>IF($F14="","",IFERROR(INDEX(사건마스터!$C$5:$C$64,MATCH($F14,사건마스터!$A$5:$A$64,0)),""))</f>
        <v/>
      </c>
      <c r="I14" s="48">
        <f>IF($F14="","",IFERROR(INDEX(사건마스터!$H$5:$H$64,MATCH($F14,사건마스터!$A$5:$A$64,0)),""))</f>
        <v/>
      </c>
      <c r="J14" s="48">
        <f>IF($F14="","",IFERROR(INDEX(사건마스터!$AH$5:$AH$64,MATCH($F14,사건마스터!$A$5:$A$64,0)),""))</f>
        <v/>
      </c>
      <c r="K14" s="48">
        <f>IF($F14="","",IFERROR(INDEX(사건마스터!$AI$5:$AI$64,MATCH($F14,사건마스터!$A$5:$A$64,0)),""))</f>
        <v/>
      </c>
      <c r="L14" s="48">
        <f>IF($F14="","",IFERROR(INDEX(사건마스터!$AJ$5:$AJ$64,MATCH($F14,사건마스터!$A$5:$A$64,0)),""))</f>
        <v/>
      </c>
      <c r="M14" s="48">
        <f>IF($F14="","",IFERROR(INDEX(사건마스터!$AK$5:$AK$64,MATCH($F14,사건마스터!$A$5:$A$64,0)),""))</f>
        <v/>
      </c>
      <c r="N14" s="48">
        <f>IF($F14="","",IFERROR(INDEX(사건마스터!$AL$5:$AL$64,MATCH($F14,사건마스터!$A$5:$A$64,0)),""))</f>
        <v/>
      </c>
      <c r="O14" s="43">
        <f>IF($I14="","",COUNTIF($I14:$N14,"?*"))</f>
        <v/>
      </c>
      <c r="P14" s="46">
        <f>IF($I14="","",_xlfn.TEXTJOIN(", ",TRUE,$I14:$N14))</f>
        <v/>
      </c>
      <c r="Q14" s="47">
        <f>IF($I14="","",IFERROR(INDEX(코드설정!$D$5:$D$24,MATCH($I14,코드설정!$C$5:$C$24,0)),""))</f>
        <v/>
      </c>
      <c r="R14" s="49" t="n"/>
      <c r="S14" s="50" t="n"/>
      <c r="T14" s="51" t="n"/>
      <c r="U14" s="43">
        <f>IF(OR($B14="",$C14=""),"",$C14-$B14+1)</f>
        <v/>
      </c>
      <c r="V14" s="52" t="n"/>
      <c r="W14" s="53">
        <f>IF(OR($V14="",$O14=""),"",$V14*$O14)</f>
        <v/>
      </c>
      <c r="X14" s="45" t="n"/>
      <c r="Y14" s="49" t="n"/>
    </row>
    <row r="15">
      <c r="A15" s="43">
        <f>IF($B15="","",COUNT($B$5:$B15))</f>
        <v/>
      </c>
      <c r="B15" s="44" t="n"/>
      <c r="C15" s="44" t="n"/>
      <c r="D15" s="45" t="n"/>
      <c r="E15" s="45" t="n"/>
      <c r="F15" s="45" t="n"/>
      <c r="G15" s="46">
        <f>IF($F15="","",IFERROR(INDEX(사건마스터!$B$5:$B$64,MATCH($F15,사건마스터!$A$5:$A$64,0)),""))</f>
        <v/>
      </c>
      <c r="H15" s="47">
        <f>IF($F15="","",IFERROR(INDEX(사건마스터!$C$5:$C$64,MATCH($F15,사건마스터!$A$5:$A$64,0)),""))</f>
        <v/>
      </c>
      <c r="I15" s="48">
        <f>IF($F15="","",IFERROR(INDEX(사건마스터!$H$5:$H$64,MATCH($F15,사건마스터!$A$5:$A$64,0)),""))</f>
        <v/>
      </c>
      <c r="J15" s="48">
        <f>IF($F15="","",IFERROR(INDEX(사건마스터!$AH$5:$AH$64,MATCH($F15,사건마스터!$A$5:$A$64,0)),""))</f>
        <v/>
      </c>
      <c r="K15" s="48">
        <f>IF($F15="","",IFERROR(INDEX(사건마스터!$AI$5:$AI$64,MATCH($F15,사건마스터!$A$5:$A$64,0)),""))</f>
        <v/>
      </c>
      <c r="L15" s="48">
        <f>IF($F15="","",IFERROR(INDEX(사건마스터!$AJ$5:$AJ$64,MATCH($F15,사건마스터!$A$5:$A$64,0)),""))</f>
        <v/>
      </c>
      <c r="M15" s="48">
        <f>IF($F15="","",IFERROR(INDEX(사건마스터!$AK$5:$AK$64,MATCH($F15,사건마스터!$A$5:$A$64,0)),""))</f>
        <v/>
      </c>
      <c r="N15" s="48">
        <f>IF($F15="","",IFERROR(INDEX(사건마스터!$AL$5:$AL$64,MATCH($F15,사건마스터!$A$5:$A$64,0)),""))</f>
        <v/>
      </c>
      <c r="O15" s="43">
        <f>IF($I15="","",COUNTIF($I15:$N15,"?*"))</f>
        <v/>
      </c>
      <c r="P15" s="46">
        <f>IF($I15="","",_xlfn.TEXTJOIN(", ",TRUE,$I15:$N15))</f>
        <v/>
      </c>
      <c r="Q15" s="47">
        <f>IF($I15="","",IFERROR(INDEX(코드설정!$D$5:$D$24,MATCH($I15,코드설정!$C$5:$C$24,0)),""))</f>
        <v/>
      </c>
      <c r="R15" s="49" t="n"/>
      <c r="S15" s="50" t="n"/>
      <c r="T15" s="51" t="n"/>
      <c r="U15" s="43">
        <f>IF(OR($B15="",$C15=""),"",$C15-$B15+1)</f>
        <v/>
      </c>
      <c r="V15" s="52" t="n"/>
      <c r="W15" s="53">
        <f>IF(OR($V15="",$O15=""),"",$V15*$O15)</f>
        <v/>
      </c>
      <c r="X15" s="45" t="n"/>
      <c r="Y15" s="49" t="n"/>
    </row>
    <row r="16">
      <c r="A16" s="43">
        <f>IF($B16="","",COUNT($B$5:$B16))</f>
        <v/>
      </c>
      <c r="B16" s="44" t="n"/>
      <c r="C16" s="44" t="n"/>
      <c r="D16" s="45" t="n"/>
      <c r="E16" s="45" t="n"/>
      <c r="F16" s="45" t="n"/>
      <c r="G16" s="46">
        <f>IF($F16="","",IFERROR(INDEX(사건마스터!$B$5:$B$64,MATCH($F16,사건마스터!$A$5:$A$64,0)),""))</f>
        <v/>
      </c>
      <c r="H16" s="47">
        <f>IF($F16="","",IFERROR(INDEX(사건마스터!$C$5:$C$64,MATCH($F16,사건마스터!$A$5:$A$64,0)),""))</f>
        <v/>
      </c>
      <c r="I16" s="48">
        <f>IF($F16="","",IFERROR(INDEX(사건마스터!$H$5:$H$64,MATCH($F16,사건마스터!$A$5:$A$64,0)),""))</f>
        <v/>
      </c>
      <c r="J16" s="48">
        <f>IF($F16="","",IFERROR(INDEX(사건마스터!$AH$5:$AH$64,MATCH($F16,사건마스터!$A$5:$A$64,0)),""))</f>
        <v/>
      </c>
      <c r="K16" s="48">
        <f>IF($F16="","",IFERROR(INDEX(사건마스터!$AI$5:$AI$64,MATCH($F16,사건마스터!$A$5:$A$64,0)),""))</f>
        <v/>
      </c>
      <c r="L16" s="48">
        <f>IF($F16="","",IFERROR(INDEX(사건마스터!$AJ$5:$AJ$64,MATCH($F16,사건마스터!$A$5:$A$64,0)),""))</f>
        <v/>
      </c>
      <c r="M16" s="48">
        <f>IF($F16="","",IFERROR(INDEX(사건마스터!$AK$5:$AK$64,MATCH($F16,사건마스터!$A$5:$A$64,0)),""))</f>
        <v/>
      </c>
      <c r="N16" s="48">
        <f>IF($F16="","",IFERROR(INDEX(사건마스터!$AL$5:$AL$64,MATCH($F16,사건마스터!$A$5:$A$64,0)),""))</f>
        <v/>
      </c>
      <c r="O16" s="43">
        <f>IF($I16="","",COUNTIF($I16:$N16,"?*"))</f>
        <v/>
      </c>
      <c r="P16" s="46">
        <f>IF($I16="","",_xlfn.TEXTJOIN(", ",TRUE,$I16:$N16))</f>
        <v/>
      </c>
      <c r="Q16" s="47">
        <f>IF($I16="","",IFERROR(INDEX(코드설정!$D$5:$D$24,MATCH($I16,코드설정!$C$5:$C$24,0)),""))</f>
        <v/>
      </c>
      <c r="R16" s="49" t="n"/>
      <c r="S16" s="50" t="n"/>
      <c r="T16" s="51" t="n"/>
      <c r="U16" s="43">
        <f>IF(OR($B16="",$C16=""),"",$C16-$B16+1)</f>
        <v/>
      </c>
      <c r="V16" s="52" t="n"/>
      <c r="W16" s="53">
        <f>IF(OR($V16="",$O16=""),"",$V16*$O16)</f>
        <v/>
      </c>
      <c r="X16" s="45" t="n"/>
      <c r="Y16" s="49" t="n"/>
    </row>
    <row r="17">
      <c r="A17" s="43">
        <f>IF($B17="","",COUNT($B$5:$B17))</f>
        <v/>
      </c>
      <c r="B17" s="44" t="n"/>
      <c r="C17" s="44" t="n"/>
      <c r="D17" s="45" t="n"/>
      <c r="E17" s="45" t="n"/>
      <c r="F17" s="45" t="n"/>
      <c r="G17" s="46">
        <f>IF($F17="","",IFERROR(INDEX(사건마스터!$B$5:$B$64,MATCH($F17,사건마스터!$A$5:$A$64,0)),""))</f>
        <v/>
      </c>
      <c r="H17" s="47">
        <f>IF($F17="","",IFERROR(INDEX(사건마스터!$C$5:$C$64,MATCH($F17,사건마스터!$A$5:$A$64,0)),""))</f>
        <v/>
      </c>
      <c r="I17" s="48">
        <f>IF($F17="","",IFERROR(INDEX(사건마스터!$H$5:$H$64,MATCH($F17,사건마스터!$A$5:$A$64,0)),""))</f>
        <v/>
      </c>
      <c r="J17" s="48">
        <f>IF($F17="","",IFERROR(INDEX(사건마스터!$AH$5:$AH$64,MATCH($F17,사건마스터!$A$5:$A$64,0)),""))</f>
        <v/>
      </c>
      <c r="K17" s="48">
        <f>IF($F17="","",IFERROR(INDEX(사건마스터!$AI$5:$AI$64,MATCH($F17,사건마스터!$A$5:$A$64,0)),""))</f>
        <v/>
      </c>
      <c r="L17" s="48">
        <f>IF($F17="","",IFERROR(INDEX(사건마스터!$AJ$5:$AJ$64,MATCH($F17,사건마스터!$A$5:$A$64,0)),""))</f>
        <v/>
      </c>
      <c r="M17" s="48">
        <f>IF($F17="","",IFERROR(INDEX(사건마스터!$AK$5:$AK$64,MATCH($F17,사건마스터!$A$5:$A$64,0)),""))</f>
        <v/>
      </c>
      <c r="N17" s="48">
        <f>IF($F17="","",IFERROR(INDEX(사건마스터!$AL$5:$AL$64,MATCH($F17,사건마스터!$A$5:$A$64,0)),""))</f>
        <v/>
      </c>
      <c r="O17" s="43">
        <f>IF($I17="","",COUNTIF($I17:$N17,"?*"))</f>
        <v/>
      </c>
      <c r="P17" s="46">
        <f>IF($I17="","",_xlfn.TEXTJOIN(", ",TRUE,$I17:$N17))</f>
        <v/>
      </c>
      <c r="Q17" s="47">
        <f>IF($I17="","",IFERROR(INDEX(코드설정!$D$5:$D$24,MATCH($I17,코드설정!$C$5:$C$24,0)),""))</f>
        <v/>
      </c>
      <c r="R17" s="49" t="n"/>
      <c r="S17" s="50" t="n"/>
      <c r="T17" s="51" t="n"/>
      <c r="U17" s="43">
        <f>IF(OR($B17="",$C17=""),"",$C17-$B17+1)</f>
        <v/>
      </c>
      <c r="V17" s="52" t="n"/>
      <c r="W17" s="53">
        <f>IF(OR($V17="",$O17=""),"",$V17*$O17)</f>
        <v/>
      </c>
      <c r="X17" s="45" t="n"/>
      <c r="Y17" s="49" t="n"/>
    </row>
    <row r="18">
      <c r="A18" s="43">
        <f>IF($B18="","",COUNT($B$5:$B18))</f>
        <v/>
      </c>
      <c r="B18" s="44" t="n"/>
      <c r="C18" s="44" t="n"/>
      <c r="D18" s="45" t="n"/>
      <c r="E18" s="45" t="n"/>
      <c r="F18" s="45" t="n"/>
      <c r="G18" s="46">
        <f>IF($F18="","",IFERROR(INDEX(사건마스터!$B$5:$B$64,MATCH($F18,사건마스터!$A$5:$A$64,0)),""))</f>
        <v/>
      </c>
      <c r="H18" s="47">
        <f>IF($F18="","",IFERROR(INDEX(사건마스터!$C$5:$C$64,MATCH($F18,사건마스터!$A$5:$A$64,0)),""))</f>
        <v/>
      </c>
      <c r="I18" s="48">
        <f>IF($F18="","",IFERROR(INDEX(사건마스터!$H$5:$H$64,MATCH($F18,사건마스터!$A$5:$A$64,0)),""))</f>
        <v/>
      </c>
      <c r="J18" s="48">
        <f>IF($F18="","",IFERROR(INDEX(사건마스터!$AH$5:$AH$64,MATCH($F18,사건마스터!$A$5:$A$64,0)),""))</f>
        <v/>
      </c>
      <c r="K18" s="48">
        <f>IF($F18="","",IFERROR(INDEX(사건마스터!$AI$5:$AI$64,MATCH($F18,사건마스터!$A$5:$A$64,0)),""))</f>
        <v/>
      </c>
      <c r="L18" s="48">
        <f>IF($F18="","",IFERROR(INDEX(사건마스터!$AJ$5:$AJ$64,MATCH($F18,사건마스터!$A$5:$A$64,0)),""))</f>
        <v/>
      </c>
      <c r="M18" s="48">
        <f>IF($F18="","",IFERROR(INDEX(사건마스터!$AK$5:$AK$64,MATCH($F18,사건마스터!$A$5:$A$64,0)),""))</f>
        <v/>
      </c>
      <c r="N18" s="48">
        <f>IF($F18="","",IFERROR(INDEX(사건마스터!$AL$5:$AL$64,MATCH($F18,사건마스터!$A$5:$A$64,0)),""))</f>
        <v/>
      </c>
      <c r="O18" s="43">
        <f>IF($I18="","",COUNTIF($I18:$N18,"?*"))</f>
        <v/>
      </c>
      <c r="P18" s="46">
        <f>IF($I18="","",_xlfn.TEXTJOIN(", ",TRUE,$I18:$N18))</f>
        <v/>
      </c>
      <c r="Q18" s="47">
        <f>IF($I18="","",IFERROR(INDEX(코드설정!$D$5:$D$24,MATCH($I18,코드설정!$C$5:$C$24,0)),""))</f>
        <v/>
      </c>
      <c r="R18" s="49" t="n"/>
      <c r="S18" s="50" t="n"/>
      <c r="T18" s="51" t="n"/>
      <c r="U18" s="43">
        <f>IF(OR($B18="",$C18=""),"",$C18-$B18+1)</f>
        <v/>
      </c>
      <c r="V18" s="52" t="n"/>
      <c r="W18" s="53">
        <f>IF(OR($V18="",$O18=""),"",$V18*$O18)</f>
        <v/>
      </c>
      <c r="X18" s="45" t="n"/>
      <c r="Y18" s="49" t="n"/>
    </row>
    <row r="19">
      <c r="A19" s="43">
        <f>IF($B19="","",COUNT($B$5:$B19))</f>
        <v/>
      </c>
      <c r="B19" s="44" t="n"/>
      <c r="C19" s="44" t="n"/>
      <c r="D19" s="45" t="n"/>
      <c r="E19" s="45" t="n"/>
      <c r="F19" s="45" t="n"/>
      <c r="G19" s="46">
        <f>IF($F19="","",IFERROR(INDEX(사건마스터!$B$5:$B$64,MATCH($F19,사건마스터!$A$5:$A$64,0)),""))</f>
        <v/>
      </c>
      <c r="H19" s="47">
        <f>IF($F19="","",IFERROR(INDEX(사건마스터!$C$5:$C$64,MATCH($F19,사건마스터!$A$5:$A$64,0)),""))</f>
        <v/>
      </c>
      <c r="I19" s="48">
        <f>IF($F19="","",IFERROR(INDEX(사건마스터!$H$5:$H$64,MATCH($F19,사건마스터!$A$5:$A$64,0)),""))</f>
        <v/>
      </c>
      <c r="J19" s="48">
        <f>IF($F19="","",IFERROR(INDEX(사건마스터!$AH$5:$AH$64,MATCH($F19,사건마스터!$A$5:$A$64,0)),""))</f>
        <v/>
      </c>
      <c r="K19" s="48">
        <f>IF($F19="","",IFERROR(INDEX(사건마스터!$AI$5:$AI$64,MATCH($F19,사건마스터!$A$5:$A$64,0)),""))</f>
        <v/>
      </c>
      <c r="L19" s="48">
        <f>IF($F19="","",IFERROR(INDEX(사건마스터!$AJ$5:$AJ$64,MATCH($F19,사건마스터!$A$5:$A$64,0)),""))</f>
        <v/>
      </c>
      <c r="M19" s="48">
        <f>IF($F19="","",IFERROR(INDEX(사건마스터!$AK$5:$AK$64,MATCH($F19,사건마스터!$A$5:$A$64,0)),""))</f>
        <v/>
      </c>
      <c r="N19" s="48">
        <f>IF($F19="","",IFERROR(INDEX(사건마스터!$AL$5:$AL$64,MATCH($F19,사건마스터!$A$5:$A$64,0)),""))</f>
        <v/>
      </c>
      <c r="O19" s="43">
        <f>IF($I19="","",COUNTIF($I19:$N19,"?*"))</f>
        <v/>
      </c>
      <c r="P19" s="46">
        <f>IF($I19="","",_xlfn.TEXTJOIN(", ",TRUE,$I19:$N19))</f>
        <v/>
      </c>
      <c r="Q19" s="47">
        <f>IF($I19="","",IFERROR(INDEX(코드설정!$D$5:$D$24,MATCH($I19,코드설정!$C$5:$C$24,0)),""))</f>
        <v/>
      </c>
      <c r="R19" s="49" t="n"/>
      <c r="S19" s="50" t="n"/>
      <c r="T19" s="51" t="n"/>
      <c r="U19" s="43">
        <f>IF(OR($B19="",$C19=""),"",$C19-$B19+1)</f>
        <v/>
      </c>
      <c r="V19" s="52" t="n"/>
      <c r="W19" s="53">
        <f>IF(OR($V19="",$O19=""),"",$V19*$O19)</f>
        <v/>
      </c>
      <c r="X19" s="45" t="n"/>
      <c r="Y19" s="49" t="n"/>
    </row>
    <row r="20">
      <c r="A20" s="43">
        <f>IF($B20="","",COUNT($B$5:$B20))</f>
        <v/>
      </c>
      <c r="B20" s="44" t="n"/>
      <c r="C20" s="44" t="n"/>
      <c r="D20" s="45" t="n"/>
      <c r="E20" s="45" t="n"/>
      <c r="F20" s="45" t="n"/>
      <c r="G20" s="46">
        <f>IF($F20="","",IFERROR(INDEX(사건마스터!$B$5:$B$64,MATCH($F20,사건마스터!$A$5:$A$64,0)),""))</f>
        <v/>
      </c>
      <c r="H20" s="47">
        <f>IF($F20="","",IFERROR(INDEX(사건마스터!$C$5:$C$64,MATCH($F20,사건마스터!$A$5:$A$64,0)),""))</f>
        <v/>
      </c>
      <c r="I20" s="48">
        <f>IF($F20="","",IFERROR(INDEX(사건마스터!$H$5:$H$64,MATCH($F20,사건마스터!$A$5:$A$64,0)),""))</f>
        <v/>
      </c>
      <c r="J20" s="48">
        <f>IF($F20="","",IFERROR(INDEX(사건마스터!$AH$5:$AH$64,MATCH($F20,사건마스터!$A$5:$A$64,0)),""))</f>
        <v/>
      </c>
      <c r="K20" s="48">
        <f>IF($F20="","",IFERROR(INDEX(사건마스터!$AI$5:$AI$64,MATCH($F20,사건마스터!$A$5:$A$64,0)),""))</f>
        <v/>
      </c>
      <c r="L20" s="48">
        <f>IF($F20="","",IFERROR(INDEX(사건마스터!$AJ$5:$AJ$64,MATCH($F20,사건마스터!$A$5:$A$64,0)),""))</f>
        <v/>
      </c>
      <c r="M20" s="48">
        <f>IF($F20="","",IFERROR(INDEX(사건마스터!$AK$5:$AK$64,MATCH($F20,사건마스터!$A$5:$A$64,0)),""))</f>
        <v/>
      </c>
      <c r="N20" s="48">
        <f>IF($F20="","",IFERROR(INDEX(사건마스터!$AL$5:$AL$64,MATCH($F20,사건마스터!$A$5:$A$64,0)),""))</f>
        <v/>
      </c>
      <c r="O20" s="43">
        <f>IF($I20="","",COUNTIF($I20:$N20,"?*"))</f>
        <v/>
      </c>
      <c r="P20" s="46">
        <f>IF($I20="","",_xlfn.TEXTJOIN(", ",TRUE,$I20:$N20))</f>
        <v/>
      </c>
      <c r="Q20" s="47">
        <f>IF($I20="","",IFERROR(INDEX(코드설정!$D$5:$D$24,MATCH($I20,코드설정!$C$5:$C$24,0)),""))</f>
        <v/>
      </c>
      <c r="R20" s="49" t="n"/>
      <c r="S20" s="50" t="n"/>
      <c r="T20" s="51" t="n"/>
      <c r="U20" s="43">
        <f>IF(OR($B20="",$C20=""),"",$C20-$B20+1)</f>
        <v/>
      </c>
      <c r="V20" s="52" t="n"/>
      <c r="W20" s="53">
        <f>IF(OR($V20="",$O20=""),"",$V20*$O20)</f>
        <v/>
      </c>
      <c r="X20" s="45" t="n"/>
      <c r="Y20" s="49" t="n"/>
    </row>
    <row r="21">
      <c r="A21" s="43">
        <f>IF($B21="","",COUNT($B$5:$B21))</f>
        <v/>
      </c>
      <c r="B21" s="44" t="n"/>
      <c r="C21" s="44" t="n"/>
      <c r="D21" s="45" t="n"/>
      <c r="E21" s="45" t="n"/>
      <c r="F21" s="45" t="n"/>
      <c r="G21" s="46">
        <f>IF($F21="","",IFERROR(INDEX(사건마스터!$B$5:$B$64,MATCH($F21,사건마스터!$A$5:$A$64,0)),""))</f>
        <v/>
      </c>
      <c r="H21" s="47">
        <f>IF($F21="","",IFERROR(INDEX(사건마스터!$C$5:$C$64,MATCH($F21,사건마스터!$A$5:$A$64,0)),""))</f>
        <v/>
      </c>
      <c r="I21" s="48">
        <f>IF($F21="","",IFERROR(INDEX(사건마스터!$H$5:$H$64,MATCH($F21,사건마스터!$A$5:$A$64,0)),""))</f>
        <v/>
      </c>
      <c r="J21" s="48">
        <f>IF($F21="","",IFERROR(INDEX(사건마스터!$AH$5:$AH$64,MATCH($F21,사건마스터!$A$5:$A$64,0)),""))</f>
        <v/>
      </c>
      <c r="K21" s="48">
        <f>IF($F21="","",IFERROR(INDEX(사건마스터!$AI$5:$AI$64,MATCH($F21,사건마스터!$A$5:$A$64,0)),""))</f>
        <v/>
      </c>
      <c r="L21" s="48">
        <f>IF($F21="","",IFERROR(INDEX(사건마스터!$AJ$5:$AJ$64,MATCH($F21,사건마스터!$A$5:$A$64,0)),""))</f>
        <v/>
      </c>
      <c r="M21" s="48">
        <f>IF($F21="","",IFERROR(INDEX(사건마스터!$AK$5:$AK$64,MATCH($F21,사건마스터!$A$5:$A$64,0)),""))</f>
        <v/>
      </c>
      <c r="N21" s="48">
        <f>IF($F21="","",IFERROR(INDEX(사건마스터!$AL$5:$AL$64,MATCH($F21,사건마스터!$A$5:$A$64,0)),""))</f>
        <v/>
      </c>
      <c r="O21" s="43">
        <f>IF($I21="","",COUNTIF($I21:$N21,"?*"))</f>
        <v/>
      </c>
      <c r="P21" s="46">
        <f>IF($I21="","",_xlfn.TEXTJOIN(", ",TRUE,$I21:$N21))</f>
        <v/>
      </c>
      <c r="Q21" s="47">
        <f>IF($I21="","",IFERROR(INDEX(코드설정!$D$5:$D$24,MATCH($I21,코드설정!$C$5:$C$24,0)),""))</f>
        <v/>
      </c>
      <c r="R21" s="49" t="n"/>
      <c r="S21" s="50" t="n"/>
      <c r="T21" s="51" t="n"/>
      <c r="U21" s="43">
        <f>IF(OR($B21="",$C21=""),"",$C21-$B21+1)</f>
        <v/>
      </c>
      <c r="V21" s="52" t="n"/>
      <c r="W21" s="53">
        <f>IF(OR($V21="",$O21=""),"",$V21*$O21)</f>
        <v/>
      </c>
      <c r="X21" s="45" t="n"/>
      <c r="Y21" s="49" t="n"/>
    </row>
    <row r="22">
      <c r="A22" s="43">
        <f>IF($B22="","",COUNT($B$5:$B22))</f>
        <v/>
      </c>
      <c r="B22" s="44" t="n"/>
      <c r="C22" s="44" t="n"/>
      <c r="D22" s="45" t="n"/>
      <c r="E22" s="45" t="n"/>
      <c r="F22" s="45" t="n"/>
      <c r="G22" s="46">
        <f>IF($F22="","",IFERROR(INDEX(사건마스터!$B$5:$B$64,MATCH($F22,사건마스터!$A$5:$A$64,0)),""))</f>
        <v/>
      </c>
      <c r="H22" s="47">
        <f>IF($F22="","",IFERROR(INDEX(사건마스터!$C$5:$C$64,MATCH($F22,사건마스터!$A$5:$A$64,0)),""))</f>
        <v/>
      </c>
      <c r="I22" s="48">
        <f>IF($F22="","",IFERROR(INDEX(사건마스터!$H$5:$H$64,MATCH($F22,사건마스터!$A$5:$A$64,0)),""))</f>
        <v/>
      </c>
      <c r="J22" s="48">
        <f>IF($F22="","",IFERROR(INDEX(사건마스터!$AH$5:$AH$64,MATCH($F22,사건마스터!$A$5:$A$64,0)),""))</f>
        <v/>
      </c>
      <c r="K22" s="48">
        <f>IF($F22="","",IFERROR(INDEX(사건마스터!$AI$5:$AI$64,MATCH($F22,사건마스터!$A$5:$A$64,0)),""))</f>
        <v/>
      </c>
      <c r="L22" s="48">
        <f>IF($F22="","",IFERROR(INDEX(사건마스터!$AJ$5:$AJ$64,MATCH($F22,사건마스터!$A$5:$A$64,0)),""))</f>
        <v/>
      </c>
      <c r="M22" s="48">
        <f>IF($F22="","",IFERROR(INDEX(사건마스터!$AK$5:$AK$64,MATCH($F22,사건마스터!$A$5:$A$64,0)),""))</f>
        <v/>
      </c>
      <c r="N22" s="48">
        <f>IF($F22="","",IFERROR(INDEX(사건마스터!$AL$5:$AL$64,MATCH($F22,사건마스터!$A$5:$A$64,0)),""))</f>
        <v/>
      </c>
      <c r="O22" s="43">
        <f>IF($I22="","",COUNTIF($I22:$N22,"?*"))</f>
        <v/>
      </c>
      <c r="P22" s="46">
        <f>IF($I22="","",_xlfn.TEXTJOIN(", ",TRUE,$I22:$N22))</f>
        <v/>
      </c>
      <c r="Q22" s="47">
        <f>IF($I22="","",IFERROR(INDEX(코드설정!$D$5:$D$24,MATCH($I22,코드설정!$C$5:$C$24,0)),""))</f>
        <v/>
      </c>
      <c r="R22" s="49" t="n"/>
      <c r="S22" s="50" t="n"/>
      <c r="T22" s="51" t="n"/>
      <c r="U22" s="43">
        <f>IF(OR($B22="",$C22=""),"",$C22-$B22+1)</f>
        <v/>
      </c>
      <c r="V22" s="52" t="n"/>
      <c r="W22" s="53">
        <f>IF(OR($V22="",$O22=""),"",$V22*$O22)</f>
        <v/>
      </c>
      <c r="X22" s="45" t="n"/>
      <c r="Y22" s="49" t="n"/>
    </row>
    <row r="23">
      <c r="A23" s="43">
        <f>IF($B23="","",COUNT($B$5:$B23))</f>
        <v/>
      </c>
      <c r="B23" s="44" t="n"/>
      <c r="C23" s="44" t="n"/>
      <c r="D23" s="45" t="n"/>
      <c r="E23" s="45" t="n"/>
      <c r="F23" s="45" t="n"/>
      <c r="G23" s="46">
        <f>IF($F23="","",IFERROR(INDEX(사건마스터!$B$5:$B$64,MATCH($F23,사건마스터!$A$5:$A$64,0)),""))</f>
        <v/>
      </c>
      <c r="H23" s="47">
        <f>IF($F23="","",IFERROR(INDEX(사건마스터!$C$5:$C$64,MATCH($F23,사건마스터!$A$5:$A$64,0)),""))</f>
        <v/>
      </c>
      <c r="I23" s="48">
        <f>IF($F23="","",IFERROR(INDEX(사건마스터!$H$5:$H$64,MATCH($F23,사건마스터!$A$5:$A$64,0)),""))</f>
        <v/>
      </c>
      <c r="J23" s="48">
        <f>IF($F23="","",IFERROR(INDEX(사건마스터!$AH$5:$AH$64,MATCH($F23,사건마스터!$A$5:$A$64,0)),""))</f>
        <v/>
      </c>
      <c r="K23" s="48">
        <f>IF($F23="","",IFERROR(INDEX(사건마스터!$AI$5:$AI$64,MATCH($F23,사건마스터!$A$5:$A$64,0)),""))</f>
        <v/>
      </c>
      <c r="L23" s="48">
        <f>IF($F23="","",IFERROR(INDEX(사건마스터!$AJ$5:$AJ$64,MATCH($F23,사건마스터!$A$5:$A$64,0)),""))</f>
        <v/>
      </c>
      <c r="M23" s="48">
        <f>IF($F23="","",IFERROR(INDEX(사건마스터!$AK$5:$AK$64,MATCH($F23,사건마스터!$A$5:$A$64,0)),""))</f>
        <v/>
      </c>
      <c r="N23" s="48">
        <f>IF($F23="","",IFERROR(INDEX(사건마스터!$AL$5:$AL$64,MATCH($F23,사건마스터!$A$5:$A$64,0)),""))</f>
        <v/>
      </c>
      <c r="O23" s="43">
        <f>IF($I23="","",COUNTIF($I23:$N23,"?*"))</f>
        <v/>
      </c>
      <c r="P23" s="46">
        <f>IF($I23="","",_xlfn.TEXTJOIN(", ",TRUE,$I23:$N23))</f>
        <v/>
      </c>
      <c r="Q23" s="47">
        <f>IF($I23="","",IFERROR(INDEX(코드설정!$D$5:$D$24,MATCH($I23,코드설정!$C$5:$C$24,0)),""))</f>
        <v/>
      </c>
      <c r="R23" s="49" t="n"/>
      <c r="S23" s="50" t="n"/>
      <c r="T23" s="51" t="n"/>
      <c r="U23" s="43">
        <f>IF(OR($B23="",$C23=""),"",$C23-$B23+1)</f>
        <v/>
      </c>
      <c r="V23" s="52" t="n"/>
      <c r="W23" s="53">
        <f>IF(OR($V23="",$O23=""),"",$V23*$O23)</f>
        <v/>
      </c>
      <c r="X23" s="45" t="n"/>
      <c r="Y23" s="49" t="n"/>
    </row>
    <row r="24">
      <c r="A24" s="43">
        <f>IF($B24="","",COUNT($B$5:$B24))</f>
        <v/>
      </c>
      <c r="B24" s="44" t="n"/>
      <c r="C24" s="44" t="n"/>
      <c r="D24" s="45" t="n"/>
      <c r="E24" s="45" t="n"/>
      <c r="F24" s="45" t="n"/>
      <c r="G24" s="46">
        <f>IF($F24="","",IFERROR(INDEX(사건마스터!$B$5:$B$64,MATCH($F24,사건마스터!$A$5:$A$64,0)),""))</f>
        <v/>
      </c>
      <c r="H24" s="47">
        <f>IF($F24="","",IFERROR(INDEX(사건마스터!$C$5:$C$64,MATCH($F24,사건마스터!$A$5:$A$64,0)),""))</f>
        <v/>
      </c>
      <c r="I24" s="48">
        <f>IF($F24="","",IFERROR(INDEX(사건마스터!$H$5:$H$64,MATCH($F24,사건마스터!$A$5:$A$64,0)),""))</f>
        <v/>
      </c>
      <c r="J24" s="48">
        <f>IF($F24="","",IFERROR(INDEX(사건마스터!$AH$5:$AH$64,MATCH($F24,사건마스터!$A$5:$A$64,0)),""))</f>
        <v/>
      </c>
      <c r="K24" s="48">
        <f>IF($F24="","",IFERROR(INDEX(사건마스터!$AI$5:$AI$64,MATCH($F24,사건마스터!$A$5:$A$64,0)),""))</f>
        <v/>
      </c>
      <c r="L24" s="48">
        <f>IF($F24="","",IFERROR(INDEX(사건마스터!$AJ$5:$AJ$64,MATCH($F24,사건마스터!$A$5:$A$64,0)),""))</f>
        <v/>
      </c>
      <c r="M24" s="48">
        <f>IF($F24="","",IFERROR(INDEX(사건마스터!$AK$5:$AK$64,MATCH($F24,사건마스터!$A$5:$A$64,0)),""))</f>
        <v/>
      </c>
      <c r="N24" s="48">
        <f>IF($F24="","",IFERROR(INDEX(사건마스터!$AL$5:$AL$64,MATCH($F24,사건마스터!$A$5:$A$64,0)),""))</f>
        <v/>
      </c>
      <c r="O24" s="43">
        <f>IF($I24="","",COUNTIF($I24:$N24,"?*"))</f>
        <v/>
      </c>
      <c r="P24" s="46">
        <f>IF($I24="","",_xlfn.TEXTJOIN(", ",TRUE,$I24:$N24))</f>
        <v/>
      </c>
      <c r="Q24" s="47">
        <f>IF($I24="","",IFERROR(INDEX(코드설정!$D$5:$D$24,MATCH($I24,코드설정!$C$5:$C$24,0)),""))</f>
        <v/>
      </c>
      <c r="R24" s="49" t="n"/>
      <c r="S24" s="50" t="n"/>
      <c r="T24" s="51" t="n"/>
      <c r="U24" s="43">
        <f>IF(OR($B24="",$C24=""),"",$C24-$B24+1)</f>
        <v/>
      </c>
      <c r="V24" s="52" t="n"/>
      <c r="W24" s="53">
        <f>IF(OR($V24="",$O24=""),"",$V24*$O24)</f>
        <v/>
      </c>
      <c r="X24" s="45" t="n"/>
      <c r="Y24" s="49" t="n"/>
    </row>
    <row r="25">
      <c r="A25" s="43">
        <f>IF($B25="","",COUNT($B$5:$B25))</f>
        <v/>
      </c>
      <c r="B25" s="44" t="n"/>
      <c r="C25" s="44" t="n"/>
      <c r="D25" s="45" t="n"/>
      <c r="E25" s="45" t="n"/>
      <c r="F25" s="45" t="n"/>
      <c r="G25" s="46">
        <f>IF($F25="","",IFERROR(INDEX(사건마스터!$B$5:$B$64,MATCH($F25,사건마스터!$A$5:$A$64,0)),""))</f>
        <v/>
      </c>
      <c r="H25" s="47">
        <f>IF($F25="","",IFERROR(INDEX(사건마스터!$C$5:$C$64,MATCH($F25,사건마스터!$A$5:$A$64,0)),""))</f>
        <v/>
      </c>
      <c r="I25" s="48">
        <f>IF($F25="","",IFERROR(INDEX(사건마스터!$H$5:$H$64,MATCH($F25,사건마스터!$A$5:$A$64,0)),""))</f>
        <v/>
      </c>
      <c r="J25" s="48">
        <f>IF($F25="","",IFERROR(INDEX(사건마스터!$AH$5:$AH$64,MATCH($F25,사건마스터!$A$5:$A$64,0)),""))</f>
        <v/>
      </c>
      <c r="K25" s="48">
        <f>IF($F25="","",IFERROR(INDEX(사건마스터!$AI$5:$AI$64,MATCH($F25,사건마스터!$A$5:$A$64,0)),""))</f>
        <v/>
      </c>
      <c r="L25" s="48">
        <f>IF($F25="","",IFERROR(INDEX(사건마스터!$AJ$5:$AJ$64,MATCH($F25,사건마스터!$A$5:$A$64,0)),""))</f>
        <v/>
      </c>
      <c r="M25" s="48">
        <f>IF($F25="","",IFERROR(INDEX(사건마스터!$AK$5:$AK$64,MATCH($F25,사건마스터!$A$5:$A$64,0)),""))</f>
        <v/>
      </c>
      <c r="N25" s="48">
        <f>IF($F25="","",IFERROR(INDEX(사건마스터!$AL$5:$AL$64,MATCH($F25,사건마스터!$A$5:$A$64,0)),""))</f>
        <v/>
      </c>
      <c r="O25" s="43">
        <f>IF($I25="","",COUNTIF($I25:$N25,"?*"))</f>
        <v/>
      </c>
      <c r="P25" s="46">
        <f>IF($I25="","",_xlfn.TEXTJOIN(", ",TRUE,$I25:$N25))</f>
        <v/>
      </c>
      <c r="Q25" s="47">
        <f>IF($I25="","",IFERROR(INDEX(코드설정!$D$5:$D$24,MATCH($I25,코드설정!$C$5:$C$24,0)),""))</f>
        <v/>
      </c>
      <c r="R25" s="49" t="n"/>
      <c r="S25" s="50" t="n"/>
      <c r="T25" s="51" t="n"/>
      <c r="U25" s="43">
        <f>IF(OR($B25="",$C25=""),"",$C25-$B25+1)</f>
        <v/>
      </c>
      <c r="V25" s="52" t="n"/>
      <c r="W25" s="53">
        <f>IF(OR($V25="",$O25=""),"",$V25*$O25)</f>
        <v/>
      </c>
      <c r="X25" s="45" t="n"/>
      <c r="Y25" s="49" t="n"/>
    </row>
    <row r="26">
      <c r="A26" s="43">
        <f>IF($B26="","",COUNT($B$5:$B26))</f>
        <v/>
      </c>
      <c r="B26" s="44" t="n"/>
      <c r="C26" s="44" t="n"/>
      <c r="D26" s="45" t="n"/>
      <c r="E26" s="45" t="n"/>
      <c r="F26" s="45" t="n"/>
      <c r="G26" s="46">
        <f>IF($F26="","",IFERROR(INDEX(사건마스터!$B$5:$B$64,MATCH($F26,사건마스터!$A$5:$A$64,0)),""))</f>
        <v/>
      </c>
      <c r="H26" s="47">
        <f>IF($F26="","",IFERROR(INDEX(사건마스터!$C$5:$C$64,MATCH($F26,사건마스터!$A$5:$A$64,0)),""))</f>
        <v/>
      </c>
      <c r="I26" s="48">
        <f>IF($F26="","",IFERROR(INDEX(사건마스터!$H$5:$H$64,MATCH($F26,사건마스터!$A$5:$A$64,0)),""))</f>
        <v/>
      </c>
      <c r="J26" s="48">
        <f>IF($F26="","",IFERROR(INDEX(사건마스터!$AH$5:$AH$64,MATCH($F26,사건마스터!$A$5:$A$64,0)),""))</f>
        <v/>
      </c>
      <c r="K26" s="48">
        <f>IF($F26="","",IFERROR(INDEX(사건마스터!$AI$5:$AI$64,MATCH($F26,사건마스터!$A$5:$A$64,0)),""))</f>
        <v/>
      </c>
      <c r="L26" s="48">
        <f>IF($F26="","",IFERROR(INDEX(사건마스터!$AJ$5:$AJ$64,MATCH($F26,사건마스터!$A$5:$A$64,0)),""))</f>
        <v/>
      </c>
      <c r="M26" s="48">
        <f>IF($F26="","",IFERROR(INDEX(사건마스터!$AK$5:$AK$64,MATCH($F26,사건마스터!$A$5:$A$64,0)),""))</f>
        <v/>
      </c>
      <c r="N26" s="48">
        <f>IF($F26="","",IFERROR(INDEX(사건마스터!$AL$5:$AL$64,MATCH($F26,사건마스터!$A$5:$A$64,0)),""))</f>
        <v/>
      </c>
      <c r="O26" s="43">
        <f>IF($I26="","",COUNTIF($I26:$N26,"?*"))</f>
        <v/>
      </c>
      <c r="P26" s="46">
        <f>IF($I26="","",_xlfn.TEXTJOIN(", ",TRUE,$I26:$N26))</f>
        <v/>
      </c>
      <c r="Q26" s="47">
        <f>IF($I26="","",IFERROR(INDEX(코드설정!$D$5:$D$24,MATCH($I26,코드설정!$C$5:$C$24,0)),""))</f>
        <v/>
      </c>
      <c r="R26" s="49" t="n"/>
      <c r="S26" s="50" t="n"/>
      <c r="T26" s="51" t="n"/>
      <c r="U26" s="43">
        <f>IF(OR($B26="",$C26=""),"",$C26-$B26+1)</f>
        <v/>
      </c>
      <c r="V26" s="52" t="n"/>
      <c r="W26" s="53">
        <f>IF(OR($V26="",$O26=""),"",$V26*$O26)</f>
        <v/>
      </c>
      <c r="X26" s="45" t="n"/>
      <c r="Y26" s="49" t="n"/>
    </row>
    <row r="27">
      <c r="A27" s="43">
        <f>IF($B27="","",COUNT($B$5:$B27))</f>
        <v/>
      </c>
      <c r="B27" s="44" t="n"/>
      <c r="C27" s="44" t="n"/>
      <c r="D27" s="45" t="n"/>
      <c r="E27" s="45" t="n"/>
      <c r="F27" s="45" t="n"/>
      <c r="G27" s="46">
        <f>IF($F27="","",IFERROR(INDEX(사건마스터!$B$5:$B$64,MATCH($F27,사건마스터!$A$5:$A$64,0)),""))</f>
        <v/>
      </c>
      <c r="H27" s="47">
        <f>IF($F27="","",IFERROR(INDEX(사건마스터!$C$5:$C$64,MATCH($F27,사건마스터!$A$5:$A$64,0)),""))</f>
        <v/>
      </c>
      <c r="I27" s="48">
        <f>IF($F27="","",IFERROR(INDEX(사건마스터!$H$5:$H$64,MATCH($F27,사건마스터!$A$5:$A$64,0)),""))</f>
        <v/>
      </c>
      <c r="J27" s="48">
        <f>IF($F27="","",IFERROR(INDEX(사건마스터!$AH$5:$AH$64,MATCH($F27,사건마스터!$A$5:$A$64,0)),""))</f>
        <v/>
      </c>
      <c r="K27" s="48">
        <f>IF($F27="","",IFERROR(INDEX(사건마스터!$AI$5:$AI$64,MATCH($F27,사건마스터!$A$5:$A$64,0)),""))</f>
        <v/>
      </c>
      <c r="L27" s="48">
        <f>IF($F27="","",IFERROR(INDEX(사건마스터!$AJ$5:$AJ$64,MATCH($F27,사건마스터!$A$5:$A$64,0)),""))</f>
        <v/>
      </c>
      <c r="M27" s="48">
        <f>IF($F27="","",IFERROR(INDEX(사건마스터!$AK$5:$AK$64,MATCH($F27,사건마스터!$A$5:$A$64,0)),""))</f>
        <v/>
      </c>
      <c r="N27" s="48">
        <f>IF($F27="","",IFERROR(INDEX(사건마스터!$AL$5:$AL$64,MATCH($F27,사건마스터!$A$5:$A$64,0)),""))</f>
        <v/>
      </c>
      <c r="O27" s="43">
        <f>IF($I27="","",COUNTIF($I27:$N27,"?*"))</f>
        <v/>
      </c>
      <c r="P27" s="46">
        <f>IF($I27="","",_xlfn.TEXTJOIN(", ",TRUE,$I27:$N27))</f>
        <v/>
      </c>
      <c r="Q27" s="47">
        <f>IF($I27="","",IFERROR(INDEX(코드설정!$D$5:$D$24,MATCH($I27,코드설정!$C$5:$C$24,0)),""))</f>
        <v/>
      </c>
      <c r="R27" s="49" t="n"/>
      <c r="S27" s="50" t="n"/>
      <c r="T27" s="51" t="n"/>
      <c r="U27" s="43">
        <f>IF(OR($B27="",$C27=""),"",$C27-$B27+1)</f>
        <v/>
      </c>
      <c r="V27" s="52" t="n"/>
      <c r="W27" s="53">
        <f>IF(OR($V27="",$O27=""),"",$V27*$O27)</f>
        <v/>
      </c>
      <c r="X27" s="45" t="n"/>
      <c r="Y27" s="49" t="n"/>
    </row>
    <row r="28">
      <c r="A28" s="43">
        <f>IF($B28="","",COUNT($B$5:$B28))</f>
        <v/>
      </c>
      <c r="B28" s="44" t="n"/>
      <c r="C28" s="44" t="n"/>
      <c r="D28" s="45" t="n"/>
      <c r="E28" s="45" t="n"/>
      <c r="F28" s="45" t="n"/>
      <c r="G28" s="46">
        <f>IF($F28="","",IFERROR(INDEX(사건마스터!$B$5:$B$64,MATCH($F28,사건마스터!$A$5:$A$64,0)),""))</f>
        <v/>
      </c>
      <c r="H28" s="47">
        <f>IF($F28="","",IFERROR(INDEX(사건마스터!$C$5:$C$64,MATCH($F28,사건마스터!$A$5:$A$64,0)),""))</f>
        <v/>
      </c>
      <c r="I28" s="48">
        <f>IF($F28="","",IFERROR(INDEX(사건마스터!$H$5:$H$64,MATCH($F28,사건마스터!$A$5:$A$64,0)),""))</f>
        <v/>
      </c>
      <c r="J28" s="48">
        <f>IF($F28="","",IFERROR(INDEX(사건마스터!$AH$5:$AH$64,MATCH($F28,사건마스터!$A$5:$A$64,0)),""))</f>
        <v/>
      </c>
      <c r="K28" s="48">
        <f>IF($F28="","",IFERROR(INDEX(사건마스터!$AI$5:$AI$64,MATCH($F28,사건마스터!$A$5:$A$64,0)),""))</f>
        <v/>
      </c>
      <c r="L28" s="48">
        <f>IF($F28="","",IFERROR(INDEX(사건마스터!$AJ$5:$AJ$64,MATCH($F28,사건마스터!$A$5:$A$64,0)),""))</f>
        <v/>
      </c>
      <c r="M28" s="48">
        <f>IF($F28="","",IFERROR(INDEX(사건마스터!$AK$5:$AK$64,MATCH($F28,사건마스터!$A$5:$A$64,0)),""))</f>
        <v/>
      </c>
      <c r="N28" s="48">
        <f>IF($F28="","",IFERROR(INDEX(사건마스터!$AL$5:$AL$64,MATCH($F28,사건마스터!$A$5:$A$64,0)),""))</f>
        <v/>
      </c>
      <c r="O28" s="43">
        <f>IF($I28="","",COUNTIF($I28:$N28,"?*"))</f>
        <v/>
      </c>
      <c r="P28" s="46">
        <f>IF($I28="","",_xlfn.TEXTJOIN(", ",TRUE,$I28:$N28))</f>
        <v/>
      </c>
      <c r="Q28" s="47">
        <f>IF($I28="","",IFERROR(INDEX(코드설정!$D$5:$D$24,MATCH($I28,코드설정!$C$5:$C$24,0)),""))</f>
        <v/>
      </c>
      <c r="R28" s="49" t="n"/>
      <c r="S28" s="50" t="n"/>
      <c r="T28" s="51" t="n"/>
      <c r="U28" s="43">
        <f>IF(OR($B28="",$C28=""),"",$C28-$B28+1)</f>
        <v/>
      </c>
      <c r="V28" s="52" t="n"/>
      <c r="W28" s="53">
        <f>IF(OR($V28="",$O28=""),"",$V28*$O28)</f>
        <v/>
      </c>
      <c r="X28" s="45" t="n"/>
      <c r="Y28" s="49" t="n"/>
    </row>
    <row r="29">
      <c r="A29" s="43">
        <f>IF($B29="","",COUNT($B$5:$B29))</f>
        <v/>
      </c>
      <c r="B29" s="44" t="n"/>
      <c r="C29" s="44" t="n"/>
      <c r="D29" s="45" t="n"/>
      <c r="E29" s="45" t="n"/>
      <c r="F29" s="45" t="n"/>
      <c r="G29" s="46">
        <f>IF($F29="","",IFERROR(INDEX(사건마스터!$B$5:$B$64,MATCH($F29,사건마스터!$A$5:$A$64,0)),""))</f>
        <v/>
      </c>
      <c r="H29" s="47">
        <f>IF($F29="","",IFERROR(INDEX(사건마스터!$C$5:$C$64,MATCH($F29,사건마스터!$A$5:$A$64,0)),""))</f>
        <v/>
      </c>
      <c r="I29" s="48">
        <f>IF($F29="","",IFERROR(INDEX(사건마스터!$H$5:$H$64,MATCH($F29,사건마스터!$A$5:$A$64,0)),""))</f>
        <v/>
      </c>
      <c r="J29" s="48">
        <f>IF($F29="","",IFERROR(INDEX(사건마스터!$AH$5:$AH$64,MATCH($F29,사건마스터!$A$5:$A$64,0)),""))</f>
        <v/>
      </c>
      <c r="K29" s="48">
        <f>IF($F29="","",IFERROR(INDEX(사건마스터!$AI$5:$AI$64,MATCH($F29,사건마스터!$A$5:$A$64,0)),""))</f>
        <v/>
      </c>
      <c r="L29" s="48">
        <f>IF($F29="","",IFERROR(INDEX(사건마스터!$AJ$5:$AJ$64,MATCH($F29,사건마스터!$A$5:$A$64,0)),""))</f>
        <v/>
      </c>
      <c r="M29" s="48">
        <f>IF($F29="","",IFERROR(INDEX(사건마스터!$AK$5:$AK$64,MATCH($F29,사건마스터!$A$5:$A$64,0)),""))</f>
        <v/>
      </c>
      <c r="N29" s="48">
        <f>IF($F29="","",IFERROR(INDEX(사건마스터!$AL$5:$AL$64,MATCH($F29,사건마스터!$A$5:$A$64,0)),""))</f>
        <v/>
      </c>
      <c r="O29" s="43">
        <f>IF($I29="","",COUNTIF($I29:$N29,"?*"))</f>
        <v/>
      </c>
      <c r="P29" s="46">
        <f>IF($I29="","",_xlfn.TEXTJOIN(", ",TRUE,$I29:$N29))</f>
        <v/>
      </c>
      <c r="Q29" s="47">
        <f>IF($I29="","",IFERROR(INDEX(코드설정!$D$5:$D$24,MATCH($I29,코드설정!$C$5:$C$24,0)),""))</f>
        <v/>
      </c>
      <c r="R29" s="49" t="n"/>
      <c r="S29" s="50" t="n"/>
      <c r="T29" s="51" t="n"/>
      <c r="U29" s="43">
        <f>IF(OR($B29="",$C29=""),"",$C29-$B29+1)</f>
        <v/>
      </c>
      <c r="V29" s="52" t="n"/>
      <c r="W29" s="53">
        <f>IF(OR($V29="",$O29=""),"",$V29*$O29)</f>
        <v/>
      </c>
      <c r="X29" s="45" t="n"/>
      <c r="Y29" s="49" t="n"/>
    </row>
    <row r="30">
      <c r="A30" s="43">
        <f>IF($B30="","",COUNT($B$5:$B30))</f>
        <v/>
      </c>
      <c r="B30" s="44" t="n"/>
      <c r="C30" s="44" t="n"/>
      <c r="D30" s="45" t="n"/>
      <c r="E30" s="45" t="n"/>
      <c r="F30" s="45" t="n"/>
      <c r="G30" s="46">
        <f>IF($F30="","",IFERROR(INDEX(사건마스터!$B$5:$B$64,MATCH($F30,사건마스터!$A$5:$A$64,0)),""))</f>
        <v/>
      </c>
      <c r="H30" s="47">
        <f>IF($F30="","",IFERROR(INDEX(사건마스터!$C$5:$C$64,MATCH($F30,사건마스터!$A$5:$A$64,0)),""))</f>
        <v/>
      </c>
      <c r="I30" s="48">
        <f>IF($F30="","",IFERROR(INDEX(사건마스터!$H$5:$H$64,MATCH($F30,사건마스터!$A$5:$A$64,0)),""))</f>
        <v/>
      </c>
      <c r="J30" s="48">
        <f>IF($F30="","",IFERROR(INDEX(사건마스터!$AH$5:$AH$64,MATCH($F30,사건마스터!$A$5:$A$64,0)),""))</f>
        <v/>
      </c>
      <c r="K30" s="48">
        <f>IF($F30="","",IFERROR(INDEX(사건마스터!$AI$5:$AI$64,MATCH($F30,사건마스터!$A$5:$A$64,0)),""))</f>
        <v/>
      </c>
      <c r="L30" s="48">
        <f>IF($F30="","",IFERROR(INDEX(사건마스터!$AJ$5:$AJ$64,MATCH($F30,사건마스터!$A$5:$A$64,0)),""))</f>
        <v/>
      </c>
      <c r="M30" s="48">
        <f>IF($F30="","",IFERROR(INDEX(사건마스터!$AK$5:$AK$64,MATCH($F30,사건마스터!$A$5:$A$64,0)),""))</f>
        <v/>
      </c>
      <c r="N30" s="48">
        <f>IF($F30="","",IFERROR(INDEX(사건마스터!$AL$5:$AL$64,MATCH($F30,사건마스터!$A$5:$A$64,0)),""))</f>
        <v/>
      </c>
      <c r="O30" s="43">
        <f>IF($I30="","",COUNTIF($I30:$N30,"?*"))</f>
        <v/>
      </c>
      <c r="P30" s="46">
        <f>IF($I30="","",_xlfn.TEXTJOIN(", ",TRUE,$I30:$N30))</f>
        <v/>
      </c>
      <c r="Q30" s="47">
        <f>IF($I30="","",IFERROR(INDEX(코드설정!$D$5:$D$24,MATCH($I30,코드설정!$C$5:$C$24,0)),""))</f>
        <v/>
      </c>
      <c r="R30" s="49" t="n"/>
      <c r="S30" s="50" t="n"/>
      <c r="T30" s="51" t="n"/>
      <c r="U30" s="43">
        <f>IF(OR($B30="",$C30=""),"",$C30-$B30+1)</f>
        <v/>
      </c>
      <c r="V30" s="52" t="n"/>
      <c r="W30" s="53">
        <f>IF(OR($V30="",$O30=""),"",$V30*$O30)</f>
        <v/>
      </c>
      <c r="X30" s="45" t="n"/>
      <c r="Y30" s="49" t="n"/>
    </row>
    <row r="31">
      <c r="A31" s="43">
        <f>IF($B31="","",COUNT($B$5:$B31))</f>
        <v/>
      </c>
      <c r="B31" s="44" t="n"/>
      <c r="C31" s="44" t="n"/>
      <c r="D31" s="45" t="n"/>
      <c r="E31" s="45" t="n"/>
      <c r="F31" s="45" t="n"/>
      <c r="G31" s="46">
        <f>IF($F31="","",IFERROR(INDEX(사건마스터!$B$5:$B$64,MATCH($F31,사건마스터!$A$5:$A$64,0)),""))</f>
        <v/>
      </c>
      <c r="H31" s="47">
        <f>IF($F31="","",IFERROR(INDEX(사건마스터!$C$5:$C$64,MATCH($F31,사건마스터!$A$5:$A$64,0)),""))</f>
        <v/>
      </c>
      <c r="I31" s="48">
        <f>IF($F31="","",IFERROR(INDEX(사건마스터!$H$5:$H$64,MATCH($F31,사건마스터!$A$5:$A$64,0)),""))</f>
        <v/>
      </c>
      <c r="J31" s="48">
        <f>IF($F31="","",IFERROR(INDEX(사건마스터!$AH$5:$AH$64,MATCH($F31,사건마스터!$A$5:$A$64,0)),""))</f>
        <v/>
      </c>
      <c r="K31" s="48">
        <f>IF($F31="","",IFERROR(INDEX(사건마스터!$AI$5:$AI$64,MATCH($F31,사건마스터!$A$5:$A$64,0)),""))</f>
        <v/>
      </c>
      <c r="L31" s="48">
        <f>IF($F31="","",IFERROR(INDEX(사건마스터!$AJ$5:$AJ$64,MATCH($F31,사건마스터!$A$5:$A$64,0)),""))</f>
        <v/>
      </c>
      <c r="M31" s="48">
        <f>IF($F31="","",IFERROR(INDEX(사건마스터!$AK$5:$AK$64,MATCH($F31,사건마스터!$A$5:$A$64,0)),""))</f>
        <v/>
      </c>
      <c r="N31" s="48">
        <f>IF($F31="","",IFERROR(INDEX(사건마스터!$AL$5:$AL$64,MATCH($F31,사건마스터!$A$5:$A$64,0)),""))</f>
        <v/>
      </c>
      <c r="O31" s="43">
        <f>IF($I31="","",COUNTIF($I31:$N31,"?*"))</f>
        <v/>
      </c>
      <c r="P31" s="46">
        <f>IF($I31="","",_xlfn.TEXTJOIN(", ",TRUE,$I31:$N31))</f>
        <v/>
      </c>
      <c r="Q31" s="47">
        <f>IF($I31="","",IFERROR(INDEX(코드설정!$D$5:$D$24,MATCH($I31,코드설정!$C$5:$C$24,0)),""))</f>
        <v/>
      </c>
      <c r="R31" s="49" t="n"/>
      <c r="S31" s="50" t="n"/>
      <c r="T31" s="51" t="n"/>
      <c r="U31" s="43">
        <f>IF(OR($B31="",$C31=""),"",$C31-$B31+1)</f>
        <v/>
      </c>
      <c r="V31" s="52" t="n"/>
      <c r="W31" s="53">
        <f>IF(OR($V31="",$O31=""),"",$V31*$O31)</f>
        <v/>
      </c>
      <c r="X31" s="45" t="n"/>
      <c r="Y31" s="49" t="n"/>
    </row>
    <row r="32">
      <c r="A32" s="43">
        <f>IF($B32="","",COUNT($B$5:$B32))</f>
        <v/>
      </c>
      <c r="B32" s="44" t="n"/>
      <c r="C32" s="44" t="n"/>
      <c r="D32" s="45" t="n"/>
      <c r="E32" s="45" t="n"/>
      <c r="F32" s="45" t="n"/>
      <c r="G32" s="46">
        <f>IF($F32="","",IFERROR(INDEX(사건마스터!$B$5:$B$64,MATCH($F32,사건마스터!$A$5:$A$64,0)),""))</f>
        <v/>
      </c>
      <c r="H32" s="47">
        <f>IF($F32="","",IFERROR(INDEX(사건마스터!$C$5:$C$64,MATCH($F32,사건마스터!$A$5:$A$64,0)),""))</f>
        <v/>
      </c>
      <c r="I32" s="48">
        <f>IF($F32="","",IFERROR(INDEX(사건마스터!$H$5:$H$64,MATCH($F32,사건마스터!$A$5:$A$64,0)),""))</f>
        <v/>
      </c>
      <c r="J32" s="48">
        <f>IF($F32="","",IFERROR(INDEX(사건마스터!$AH$5:$AH$64,MATCH($F32,사건마스터!$A$5:$A$64,0)),""))</f>
        <v/>
      </c>
      <c r="K32" s="48">
        <f>IF($F32="","",IFERROR(INDEX(사건마스터!$AI$5:$AI$64,MATCH($F32,사건마스터!$A$5:$A$64,0)),""))</f>
        <v/>
      </c>
      <c r="L32" s="48">
        <f>IF($F32="","",IFERROR(INDEX(사건마스터!$AJ$5:$AJ$64,MATCH($F32,사건마스터!$A$5:$A$64,0)),""))</f>
        <v/>
      </c>
      <c r="M32" s="48">
        <f>IF($F32="","",IFERROR(INDEX(사건마스터!$AK$5:$AK$64,MATCH($F32,사건마스터!$A$5:$A$64,0)),""))</f>
        <v/>
      </c>
      <c r="N32" s="48">
        <f>IF($F32="","",IFERROR(INDEX(사건마스터!$AL$5:$AL$64,MATCH($F32,사건마스터!$A$5:$A$64,0)),""))</f>
        <v/>
      </c>
      <c r="O32" s="43">
        <f>IF($I32="","",COUNTIF($I32:$N32,"?*"))</f>
        <v/>
      </c>
      <c r="P32" s="46">
        <f>IF($I32="","",_xlfn.TEXTJOIN(", ",TRUE,$I32:$N32))</f>
        <v/>
      </c>
      <c r="Q32" s="47">
        <f>IF($I32="","",IFERROR(INDEX(코드설정!$D$5:$D$24,MATCH($I32,코드설정!$C$5:$C$24,0)),""))</f>
        <v/>
      </c>
      <c r="R32" s="49" t="n"/>
      <c r="S32" s="50" t="n"/>
      <c r="T32" s="51" t="n"/>
      <c r="U32" s="43">
        <f>IF(OR($B32="",$C32=""),"",$C32-$B32+1)</f>
        <v/>
      </c>
      <c r="V32" s="52" t="n"/>
      <c r="W32" s="53">
        <f>IF(OR($V32="",$O32=""),"",$V32*$O32)</f>
        <v/>
      </c>
      <c r="X32" s="45" t="n"/>
      <c r="Y32" s="49" t="n"/>
    </row>
    <row r="33">
      <c r="A33" s="43">
        <f>IF($B33="","",COUNT($B$5:$B33))</f>
        <v/>
      </c>
      <c r="B33" s="44" t="n"/>
      <c r="C33" s="44" t="n"/>
      <c r="D33" s="45" t="n"/>
      <c r="E33" s="45" t="n"/>
      <c r="F33" s="45" t="n"/>
      <c r="G33" s="46">
        <f>IF($F33="","",IFERROR(INDEX(사건마스터!$B$5:$B$64,MATCH($F33,사건마스터!$A$5:$A$64,0)),""))</f>
        <v/>
      </c>
      <c r="H33" s="47">
        <f>IF($F33="","",IFERROR(INDEX(사건마스터!$C$5:$C$64,MATCH($F33,사건마스터!$A$5:$A$64,0)),""))</f>
        <v/>
      </c>
      <c r="I33" s="48">
        <f>IF($F33="","",IFERROR(INDEX(사건마스터!$H$5:$H$64,MATCH($F33,사건마스터!$A$5:$A$64,0)),""))</f>
        <v/>
      </c>
      <c r="J33" s="48">
        <f>IF($F33="","",IFERROR(INDEX(사건마스터!$AH$5:$AH$64,MATCH($F33,사건마스터!$A$5:$A$64,0)),""))</f>
        <v/>
      </c>
      <c r="K33" s="48">
        <f>IF($F33="","",IFERROR(INDEX(사건마스터!$AI$5:$AI$64,MATCH($F33,사건마스터!$A$5:$A$64,0)),""))</f>
        <v/>
      </c>
      <c r="L33" s="48">
        <f>IF($F33="","",IFERROR(INDEX(사건마스터!$AJ$5:$AJ$64,MATCH($F33,사건마스터!$A$5:$A$64,0)),""))</f>
        <v/>
      </c>
      <c r="M33" s="48">
        <f>IF($F33="","",IFERROR(INDEX(사건마스터!$AK$5:$AK$64,MATCH($F33,사건마스터!$A$5:$A$64,0)),""))</f>
        <v/>
      </c>
      <c r="N33" s="48">
        <f>IF($F33="","",IFERROR(INDEX(사건마스터!$AL$5:$AL$64,MATCH($F33,사건마스터!$A$5:$A$64,0)),""))</f>
        <v/>
      </c>
      <c r="O33" s="43">
        <f>IF($I33="","",COUNTIF($I33:$N33,"?*"))</f>
        <v/>
      </c>
      <c r="P33" s="46">
        <f>IF($I33="","",_xlfn.TEXTJOIN(", ",TRUE,$I33:$N33))</f>
        <v/>
      </c>
      <c r="Q33" s="47">
        <f>IF($I33="","",IFERROR(INDEX(코드설정!$D$5:$D$24,MATCH($I33,코드설정!$C$5:$C$24,0)),""))</f>
        <v/>
      </c>
      <c r="R33" s="49" t="n"/>
      <c r="S33" s="50" t="n"/>
      <c r="T33" s="51" t="n"/>
      <c r="U33" s="43">
        <f>IF(OR($B33="",$C33=""),"",$C33-$B33+1)</f>
        <v/>
      </c>
      <c r="V33" s="52" t="n"/>
      <c r="W33" s="53">
        <f>IF(OR($V33="",$O33=""),"",$V33*$O33)</f>
        <v/>
      </c>
      <c r="X33" s="45" t="n"/>
      <c r="Y33" s="49" t="n"/>
    </row>
    <row r="34">
      <c r="A34" s="43">
        <f>IF($B34="","",COUNT($B$5:$B34))</f>
        <v/>
      </c>
      <c r="B34" s="44" t="n"/>
      <c r="C34" s="44" t="n"/>
      <c r="D34" s="45" t="n"/>
      <c r="E34" s="45" t="n"/>
      <c r="F34" s="45" t="n"/>
      <c r="G34" s="46">
        <f>IF($F34="","",IFERROR(INDEX(사건마스터!$B$5:$B$64,MATCH($F34,사건마스터!$A$5:$A$64,0)),""))</f>
        <v/>
      </c>
      <c r="H34" s="47">
        <f>IF($F34="","",IFERROR(INDEX(사건마스터!$C$5:$C$64,MATCH($F34,사건마스터!$A$5:$A$64,0)),""))</f>
        <v/>
      </c>
      <c r="I34" s="48">
        <f>IF($F34="","",IFERROR(INDEX(사건마스터!$H$5:$H$64,MATCH($F34,사건마스터!$A$5:$A$64,0)),""))</f>
        <v/>
      </c>
      <c r="J34" s="48">
        <f>IF($F34="","",IFERROR(INDEX(사건마스터!$AH$5:$AH$64,MATCH($F34,사건마스터!$A$5:$A$64,0)),""))</f>
        <v/>
      </c>
      <c r="K34" s="48">
        <f>IF($F34="","",IFERROR(INDEX(사건마스터!$AI$5:$AI$64,MATCH($F34,사건마스터!$A$5:$A$64,0)),""))</f>
        <v/>
      </c>
      <c r="L34" s="48">
        <f>IF($F34="","",IFERROR(INDEX(사건마스터!$AJ$5:$AJ$64,MATCH($F34,사건마스터!$A$5:$A$64,0)),""))</f>
        <v/>
      </c>
      <c r="M34" s="48">
        <f>IF($F34="","",IFERROR(INDEX(사건마스터!$AK$5:$AK$64,MATCH($F34,사건마스터!$A$5:$A$64,0)),""))</f>
        <v/>
      </c>
      <c r="N34" s="48">
        <f>IF($F34="","",IFERROR(INDEX(사건마스터!$AL$5:$AL$64,MATCH($F34,사건마스터!$A$5:$A$64,0)),""))</f>
        <v/>
      </c>
      <c r="O34" s="43">
        <f>IF($I34="","",COUNTIF($I34:$N34,"?*"))</f>
        <v/>
      </c>
      <c r="P34" s="46">
        <f>IF($I34="","",_xlfn.TEXTJOIN(", ",TRUE,$I34:$N34))</f>
        <v/>
      </c>
      <c r="Q34" s="47">
        <f>IF($I34="","",IFERROR(INDEX(코드설정!$D$5:$D$24,MATCH($I34,코드설정!$C$5:$C$24,0)),""))</f>
        <v/>
      </c>
      <c r="R34" s="49" t="n"/>
      <c r="S34" s="50" t="n"/>
      <c r="T34" s="51" t="n"/>
      <c r="U34" s="43">
        <f>IF(OR($B34="",$C34=""),"",$C34-$B34+1)</f>
        <v/>
      </c>
      <c r="V34" s="52" t="n"/>
      <c r="W34" s="53">
        <f>IF(OR($V34="",$O34=""),"",$V34*$O34)</f>
        <v/>
      </c>
      <c r="X34" s="45" t="n"/>
      <c r="Y34" s="49" t="n"/>
    </row>
    <row r="35">
      <c r="A35" s="43">
        <f>IF($B35="","",COUNT($B$5:$B35))</f>
        <v/>
      </c>
      <c r="B35" s="44" t="n"/>
      <c r="C35" s="44" t="n"/>
      <c r="D35" s="45" t="n"/>
      <c r="E35" s="45" t="n"/>
      <c r="F35" s="45" t="n"/>
      <c r="G35" s="46">
        <f>IF($F35="","",IFERROR(INDEX(사건마스터!$B$5:$B$64,MATCH($F35,사건마스터!$A$5:$A$64,0)),""))</f>
        <v/>
      </c>
      <c r="H35" s="47">
        <f>IF($F35="","",IFERROR(INDEX(사건마스터!$C$5:$C$64,MATCH($F35,사건마스터!$A$5:$A$64,0)),""))</f>
        <v/>
      </c>
      <c r="I35" s="48">
        <f>IF($F35="","",IFERROR(INDEX(사건마스터!$H$5:$H$64,MATCH($F35,사건마스터!$A$5:$A$64,0)),""))</f>
        <v/>
      </c>
      <c r="J35" s="48">
        <f>IF($F35="","",IFERROR(INDEX(사건마스터!$AH$5:$AH$64,MATCH($F35,사건마스터!$A$5:$A$64,0)),""))</f>
        <v/>
      </c>
      <c r="K35" s="48">
        <f>IF($F35="","",IFERROR(INDEX(사건마스터!$AI$5:$AI$64,MATCH($F35,사건마스터!$A$5:$A$64,0)),""))</f>
        <v/>
      </c>
      <c r="L35" s="48">
        <f>IF($F35="","",IFERROR(INDEX(사건마스터!$AJ$5:$AJ$64,MATCH($F35,사건마스터!$A$5:$A$64,0)),""))</f>
        <v/>
      </c>
      <c r="M35" s="48">
        <f>IF($F35="","",IFERROR(INDEX(사건마스터!$AK$5:$AK$64,MATCH($F35,사건마스터!$A$5:$A$64,0)),""))</f>
        <v/>
      </c>
      <c r="N35" s="48">
        <f>IF($F35="","",IFERROR(INDEX(사건마스터!$AL$5:$AL$64,MATCH($F35,사건마스터!$A$5:$A$64,0)),""))</f>
        <v/>
      </c>
      <c r="O35" s="43">
        <f>IF($I35="","",COUNTIF($I35:$N35,"?*"))</f>
        <v/>
      </c>
      <c r="P35" s="46">
        <f>IF($I35="","",_xlfn.TEXTJOIN(", ",TRUE,$I35:$N35))</f>
        <v/>
      </c>
      <c r="Q35" s="47">
        <f>IF($I35="","",IFERROR(INDEX(코드설정!$D$5:$D$24,MATCH($I35,코드설정!$C$5:$C$24,0)),""))</f>
        <v/>
      </c>
      <c r="R35" s="49" t="n"/>
      <c r="S35" s="50" t="n"/>
      <c r="T35" s="51" t="n"/>
      <c r="U35" s="43">
        <f>IF(OR($B35="",$C35=""),"",$C35-$B35+1)</f>
        <v/>
      </c>
      <c r="V35" s="52" t="n"/>
      <c r="W35" s="53">
        <f>IF(OR($V35="",$O35=""),"",$V35*$O35)</f>
        <v/>
      </c>
      <c r="X35" s="45" t="n"/>
      <c r="Y35" s="49" t="n"/>
    </row>
    <row r="36">
      <c r="A36" s="43">
        <f>IF($B36="","",COUNT($B$5:$B36))</f>
        <v/>
      </c>
      <c r="B36" s="44" t="n"/>
      <c r="C36" s="44" t="n"/>
      <c r="D36" s="45" t="n"/>
      <c r="E36" s="45" t="n"/>
      <c r="F36" s="45" t="n"/>
      <c r="G36" s="46">
        <f>IF($F36="","",IFERROR(INDEX(사건마스터!$B$5:$B$64,MATCH($F36,사건마스터!$A$5:$A$64,0)),""))</f>
        <v/>
      </c>
      <c r="H36" s="47">
        <f>IF($F36="","",IFERROR(INDEX(사건마스터!$C$5:$C$64,MATCH($F36,사건마스터!$A$5:$A$64,0)),""))</f>
        <v/>
      </c>
      <c r="I36" s="48">
        <f>IF($F36="","",IFERROR(INDEX(사건마스터!$H$5:$H$64,MATCH($F36,사건마스터!$A$5:$A$64,0)),""))</f>
        <v/>
      </c>
      <c r="J36" s="48">
        <f>IF($F36="","",IFERROR(INDEX(사건마스터!$AH$5:$AH$64,MATCH($F36,사건마스터!$A$5:$A$64,0)),""))</f>
        <v/>
      </c>
      <c r="K36" s="48">
        <f>IF($F36="","",IFERROR(INDEX(사건마스터!$AI$5:$AI$64,MATCH($F36,사건마스터!$A$5:$A$64,0)),""))</f>
        <v/>
      </c>
      <c r="L36" s="48">
        <f>IF($F36="","",IFERROR(INDEX(사건마스터!$AJ$5:$AJ$64,MATCH($F36,사건마스터!$A$5:$A$64,0)),""))</f>
        <v/>
      </c>
      <c r="M36" s="48">
        <f>IF($F36="","",IFERROR(INDEX(사건마스터!$AK$5:$AK$64,MATCH($F36,사건마스터!$A$5:$A$64,0)),""))</f>
        <v/>
      </c>
      <c r="N36" s="48">
        <f>IF($F36="","",IFERROR(INDEX(사건마스터!$AL$5:$AL$64,MATCH($F36,사건마스터!$A$5:$A$64,0)),""))</f>
        <v/>
      </c>
      <c r="O36" s="43">
        <f>IF($I36="","",COUNTIF($I36:$N36,"?*"))</f>
        <v/>
      </c>
      <c r="P36" s="46">
        <f>IF($I36="","",_xlfn.TEXTJOIN(", ",TRUE,$I36:$N36))</f>
        <v/>
      </c>
      <c r="Q36" s="47">
        <f>IF($I36="","",IFERROR(INDEX(코드설정!$D$5:$D$24,MATCH($I36,코드설정!$C$5:$C$24,0)),""))</f>
        <v/>
      </c>
      <c r="R36" s="49" t="n"/>
      <c r="S36" s="50" t="n"/>
      <c r="T36" s="51" t="n"/>
      <c r="U36" s="43">
        <f>IF(OR($B36="",$C36=""),"",$C36-$B36+1)</f>
        <v/>
      </c>
      <c r="V36" s="52" t="n"/>
      <c r="W36" s="53">
        <f>IF(OR($V36="",$O36=""),"",$V36*$O36)</f>
        <v/>
      </c>
      <c r="X36" s="45" t="n"/>
      <c r="Y36" s="49" t="n"/>
    </row>
    <row r="37">
      <c r="A37" s="43">
        <f>IF($B37="","",COUNT($B$5:$B37))</f>
        <v/>
      </c>
      <c r="B37" s="44" t="n"/>
      <c r="C37" s="44" t="n"/>
      <c r="D37" s="45" t="n"/>
      <c r="E37" s="45" t="n"/>
      <c r="F37" s="45" t="n"/>
      <c r="G37" s="46">
        <f>IF($F37="","",IFERROR(INDEX(사건마스터!$B$5:$B$64,MATCH($F37,사건마스터!$A$5:$A$64,0)),""))</f>
        <v/>
      </c>
      <c r="H37" s="47">
        <f>IF($F37="","",IFERROR(INDEX(사건마스터!$C$5:$C$64,MATCH($F37,사건마스터!$A$5:$A$64,0)),""))</f>
        <v/>
      </c>
      <c r="I37" s="48">
        <f>IF($F37="","",IFERROR(INDEX(사건마스터!$H$5:$H$64,MATCH($F37,사건마스터!$A$5:$A$64,0)),""))</f>
        <v/>
      </c>
      <c r="J37" s="48">
        <f>IF($F37="","",IFERROR(INDEX(사건마스터!$AH$5:$AH$64,MATCH($F37,사건마스터!$A$5:$A$64,0)),""))</f>
        <v/>
      </c>
      <c r="K37" s="48">
        <f>IF($F37="","",IFERROR(INDEX(사건마스터!$AI$5:$AI$64,MATCH($F37,사건마스터!$A$5:$A$64,0)),""))</f>
        <v/>
      </c>
      <c r="L37" s="48">
        <f>IF($F37="","",IFERROR(INDEX(사건마스터!$AJ$5:$AJ$64,MATCH($F37,사건마스터!$A$5:$A$64,0)),""))</f>
        <v/>
      </c>
      <c r="M37" s="48">
        <f>IF($F37="","",IFERROR(INDEX(사건마스터!$AK$5:$AK$64,MATCH($F37,사건마스터!$A$5:$A$64,0)),""))</f>
        <v/>
      </c>
      <c r="N37" s="48">
        <f>IF($F37="","",IFERROR(INDEX(사건마스터!$AL$5:$AL$64,MATCH($F37,사건마스터!$A$5:$A$64,0)),""))</f>
        <v/>
      </c>
      <c r="O37" s="43">
        <f>IF($I37="","",COUNTIF($I37:$N37,"?*"))</f>
        <v/>
      </c>
      <c r="P37" s="46">
        <f>IF($I37="","",_xlfn.TEXTJOIN(", ",TRUE,$I37:$N37))</f>
        <v/>
      </c>
      <c r="Q37" s="47">
        <f>IF($I37="","",IFERROR(INDEX(코드설정!$D$5:$D$24,MATCH($I37,코드설정!$C$5:$C$24,0)),""))</f>
        <v/>
      </c>
      <c r="R37" s="49" t="n"/>
      <c r="S37" s="50" t="n"/>
      <c r="T37" s="51" t="n"/>
      <c r="U37" s="43">
        <f>IF(OR($B37="",$C37=""),"",$C37-$B37+1)</f>
        <v/>
      </c>
      <c r="V37" s="52" t="n"/>
      <c r="W37" s="53">
        <f>IF(OR($V37="",$O37=""),"",$V37*$O37)</f>
        <v/>
      </c>
      <c r="X37" s="45" t="n"/>
      <c r="Y37" s="49" t="n"/>
    </row>
    <row r="38">
      <c r="A38" s="43">
        <f>IF($B38="","",COUNT($B$5:$B38))</f>
        <v/>
      </c>
      <c r="B38" s="44" t="n"/>
      <c r="C38" s="44" t="n"/>
      <c r="D38" s="45" t="n"/>
      <c r="E38" s="45" t="n"/>
      <c r="F38" s="45" t="n"/>
      <c r="G38" s="46">
        <f>IF($F38="","",IFERROR(INDEX(사건마스터!$B$5:$B$64,MATCH($F38,사건마스터!$A$5:$A$64,0)),""))</f>
        <v/>
      </c>
      <c r="H38" s="47">
        <f>IF($F38="","",IFERROR(INDEX(사건마스터!$C$5:$C$64,MATCH($F38,사건마스터!$A$5:$A$64,0)),""))</f>
        <v/>
      </c>
      <c r="I38" s="48">
        <f>IF($F38="","",IFERROR(INDEX(사건마스터!$H$5:$H$64,MATCH($F38,사건마스터!$A$5:$A$64,0)),""))</f>
        <v/>
      </c>
      <c r="J38" s="48">
        <f>IF($F38="","",IFERROR(INDEX(사건마스터!$AH$5:$AH$64,MATCH($F38,사건마스터!$A$5:$A$64,0)),""))</f>
        <v/>
      </c>
      <c r="K38" s="48">
        <f>IF($F38="","",IFERROR(INDEX(사건마스터!$AI$5:$AI$64,MATCH($F38,사건마스터!$A$5:$A$64,0)),""))</f>
        <v/>
      </c>
      <c r="L38" s="48">
        <f>IF($F38="","",IFERROR(INDEX(사건마스터!$AJ$5:$AJ$64,MATCH($F38,사건마스터!$A$5:$A$64,0)),""))</f>
        <v/>
      </c>
      <c r="M38" s="48">
        <f>IF($F38="","",IFERROR(INDEX(사건마스터!$AK$5:$AK$64,MATCH($F38,사건마스터!$A$5:$A$64,0)),""))</f>
        <v/>
      </c>
      <c r="N38" s="48">
        <f>IF($F38="","",IFERROR(INDEX(사건마스터!$AL$5:$AL$64,MATCH($F38,사건마스터!$A$5:$A$64,0)),""))</f>
        <v/>
      </c>
      <c r="O38" s="43">
        <f>IF($I38="","",COUNTIF($I38:$N38,"?*"))</f>
        <v/>
      </c>
      <c r="P38" s="46">
        <f>IF($I38="","",_xlfn.TEXTJOIN(", ",TRUE,$I38:$N38))</f>
        <v/>
      </c>
      <c r="Q38" s="47">
        <f>IF($I38="","",IFERROR(INDEX(코드설정!$D$5:$D$24,MATCH($I38,코드설정!$C$5:$C$24,0)),""))</f>
        <v/>
      </c>
      <c r="R38" s="49" t="n"/>
      <c r="S38" s="50" t="n"/>
      <c r="T38" s="51" t="n"/>
      <c r="U38" s="43">
        <f>IF(OR($B38="",$C38=""),"",$C38-$B38+1)</f>
        <v/>
      </c>
      <c r="V38" s="52" t="n"/>
      <c r="W38" s="53">
        <f>IF(OR($V38="",$O38=""),"",$V38*$O38)</f>
        <v/>
      </c>
      <c r="X38" s="45" t="n"/>
      <c r="Y38" s="49" t="n"/>
    </row>
    <row r="39">
      <c r="A39" s="43">
        <f>IF($B39="","",COUNT($B$5:$B39))</f>
        <v/>
      </c>
      <c r="B39" s="44" t="n"/>
      <c r="C39" s="44" t="n"/>
      <c r="D39" s="45" t="n"/>
      <c r="E39" s="45" t="n"/>
      <c r="F39" s="45" t="n"/>
      <c r="G39" s="46">
        <f>IF($F39="","",IFERROR(INDEX(사건마스터!$B$5:$B$64,MATCH($F39,사건마스터!$A$5:$A$64,0)),""))</f>
        <v/>
      </c>
      <c r="H39" s="47">
        <f>IF($F39="","",IFERROR(INDEX(사건마스터!$C$5:$C$64,MATCH($F39,사건마스터!$A$5:$A$64,0)),""))</f>
        <v/>
      </c>
      <c r="I39" s="48">
        <f>IF($F39="","",IFERROR(INDEX(사건마스터!$H$5:$H$64,MATCH($F39,사건마스터!$A$5:$A$64,0)),""))</f>
        <v/>
      </c>
      <c r="J39" s="48">
        <f>IF($F39="","",IFERROR(INDEX(사건마스터!$AH$5:$AH$64,MATCH($F39,사건마스터!$A$5:$A$64,0)),""))</f>
        <v/>
      </c>
      <c r="K39" s="48">
        <f>IF($F39="","",IFERROR(INDEX(사건마스터!$AI$5:$AI$64,MATCH($F39,사건마스터!$A$5:$A$64,0)),""))</f>
        <v/>
      </c>
      <c r="L39" s="48">
        <f>IF($F39="","",IFERROR(INDEX(사건마스터!$AJ$5:$AJ$64,MATCH($F39,사건마스터!$A$5:$A$64,0)),""))</f>
        <v/>
      </c>
      <c r="M39" s="48">
        <f>IF($F39="","",IFERROR(INDEX(사건마스터!$AK$5:$AK$64,MATCH($F39,사건마스터!$A$5:$A$64,0)),""))</f>
        <v/>
      </c>
      <c r="N39" s="48">
        <f>IF($F39="","",IFERROR(INDEX(사건마스터!$AL$5:$AL$64,MATCH($F39,사건마스터!$A$5:$A$64,0)),""))</f>
        <v/>
      </c>
      <c r="O39" s="43">
        <f>IF($I39="","",COUNTIF($I39:$N39,"?*"))</f>
        <v/>
      </c>
      <c r="P39" s="46">
        <f>IF($I39="","",_xlfn.TEXTJOIN(", ",TRUE,$I39:$N39))</f>
        <v/>
      </c>
      <c r="Q39" s="47">
        <f>IF($I39="","",IFERROR(INDEX(코드설정!$D$5:$D$24,MATCH($I39,코드설정!$C$5:$C$24,0)),""))</f>
        <v/>
      </c>
      <c r="R39" s="49" t="n"/>
      <c r="S39" s="50" t="n"/>
      <c r="T39" s="51" t="n"/>
      <c r="U39" s="43">
        <f>IF(OR($B39="",$C39=""),"",$C39-$B39+1)</f>
        <v/>
      </c>
      <c r="V39" s="52" t="n"/>
      <c r="W39" s="53">
        <f>IF(OR($V39="",$O39=""),"",$V39*$O39)</f>
        <v/>
      </c>
      <c r="X39" s="45" t="n"/>
      <c r="Y39" s="49" t="n"/>
    </row>
    <row r="40">
      <c r="A40" s="43">
        <f>IF($B40="","",COUNT($B$5:$B40))</f>
        <v/>
      </c>
      <c r="B40" s="44" t="n"/>
      <c r="C40" s="44" t="n"/>
      <c r="D40" s="45" t="n"/>
      <c r="E40" s="45" t="n"/>
      <c r="F40" s="45" t="n"/>
      <c r="G40" s="46">
        <f>IF($F40="","",IFERROR(INDEX(사건마스터!$B$5:$B$64,MATCH($F40,사건마스터!$A$5:$A$64,0)),""))</f>
        <v/>
      </c>
      <c r="H40" s="47">
        <f>IF($F40="","",IFERROR(INDEX(사건마스터!$C$5:$C$64,MATCH($F40,사건마스터!$A$5:$A$64,0)),""))</f>
        <v/>
      </c>
      <c r="I40" s="48">
        <f>IF($F40="","",IFERROR(INDEX(사건마스터!$H$5:$H$64,MATCH($F40,사건마스터!$A$5:$A$64,0)),""))</f>
        <v/>
      </c>
      <c r="J40" s="48">
        <f>IF($F40="","",IFERROR(INDEX(사건마스터!$AH$5:$AH$64,MATCH($F40,사건마스터!$A$5:$A$64,0)),""))</f>
        <v/>
      </c>
      <c r="K40" s="48">
        <f>IF($F40="","",IFERROR(INDEX(사건마스터!$AI$5:$AI$64,MATCH($F40,사건마스터!$A$5:$A$64,0)),""))</f>
        <v/>
      </c>
      <c r="L40" s="48">
        <f>IF($F40="","",IFERROR(INDEX(사건마스터!$AJ$5:$AJ$64,MATCH($F40,사건마스터!$A$5:$A$64,0)),""))</f>
        <v/>
      </c>
      <c r="M40" s="48">
        <f>IF($F40="","",IFERROR(INDEX(사건마스터!$AK$5:$AK$64,MATCH($F40,사건마스터!$A$5:$A$64,0)),""))</f>
        <v/>
      </c>
      <c r="N40" s="48">
        <f>IF($F40="","",IFERROR(INDEX(사건마스터!$AL$5:$AL$64,MATCH($F40,사건마스터!$A$5:$A$64,0)),""))</f>
        <v/>
      </c>
      <c r="O40" s="43">
        <f>IF($I40="","",COUNTIF($I40:$N40,"?*"))</f>
        <v/>
      </c>
      <c r="P40" s="46">
        <f>IF($I40="","",_xlfn.TEXTJOIN(", ",TRUE,$I40:$N40))</f>
        <v/>
      </c>
      <c r="Q40" s="47">
        <f>IF($I40="","",IFERROR(INDEX(코드설정!$D$5:$D$24,MATCH($I40,코드설정!$C$5:$C$24,0)),""))</f>
        <v/>
      </c>
      <c r="R40" s="49" t="n"/>
      <c r="S40" s="50" t="n"/>
      <c r="T40" s="51" t="n"/>
      <c r="U40" s="43">
        <f>IF(OR($B40="",$C40=""),"",$C40-$B40+1)</f>
        <v/>
      </c>
      <c r="V40" s="52" t="n"/>
      <c r="W40" s="53">
        <f>IF(OR($V40="",$O40=""),"",$V40*$O40)</f>
        <v/>
      </c>
      <c r="X40" s="45" t="n"/>
      <c r="Y40" s="49" t="n"/>
    </row>
    <row r="41">
      <c r="A41" s="43">
        <f>IF($B41="","",COUNT($B$5:$B41))</f>
        <v/>
      </c>
      <c r="B41" s="44" t="n"/>
      <c r="C41" s="44" t="n"/>
      <c r="D41" s="45" t="n"/>
      <c r="E41" s="45" t="n"/>
      <c r="F41" s="45" t="n"/>
      <c r="G41" s="46">
        <f>IF($F41="","",IFERROR(INDEX(사건마스터!$B$5:$B$64,MATCH($F41,사건마스터!$A$5:$A$64,0)),""))</f>
        <v/>
      </c>
      <c r="H41" s="47">
        <f>IF($F41="","",IFERROR(INDEX(사건마스터!$C$5:$C$64,MATCH($F41,사건마스터!$A$5:$A$64,0)),""))</f>
        <v/>
      </c>
      <c r="I41" s="48">
        <f>IF($F41="","",IFERROR(INDEX(사건마스터!$H$5:$H$64,MATCH($F41,사건마스터!$A$5:$A$64,0)),""))</f>
        <v/>
      </c>
      <c r="J41" s="48">
        <f>IF($F41="","",IFERROR(INDEX(사건마스터!$AH$5:$AH$64,MATCH($F41,사건마스터!$A$5:$A$64,0)),""))</f>
        <v/>
      </c>
      <c r="K41" s="48">
        <f>IF($F41="","",IFERROR(INDEX(사건마스터!$AI$5:$AI$64,MATCH($F41,사건마스터!$A$5:$A$64,0)),""))</f>
        <v/>
      </c>
      <c r="L41" s="48">
        <f>IF($F41="","",IFERROR(INDEX(사건마스터!$AJ$5:$AJ$64,MATCH($F41,사건마스터!$A$5:$A$64,0)),""))</f>
        <v/>
      </c>
      <c r="M41" s="48">
        <f>IF($F41="","",IFERROR(INDEX(사건마스터!$AK$5:$AK$64,MATCH($F41,사건마스터!$A$5:$A$64,0)),""))</f>
        <v/>
      </c>
      <c r="N41" s="48">
        <f>IF($F41="","",IFERROR(INDEX(사건마스터!$AL$5:$AL$64,MATCH($F41,사건마스터!$A$5:$A$64,0)),""))</f>
        <v/>
      </c>
      <c r="O41" s="43">
        <f>IF($I41="","",COUNTIF($I41:$N41,"?*"))</f>
        <v/>
      </c>
      <c r="P41" s="46">
        <f>IF($I41="","",_xlfn.TEXTJOIN(", ",TRUE,$I41:$N41))</f>
        <v/>
      </c>
      <c r="Q41" s="47">
        <f>IF($I41="","",IFERROR(INDEX(코드설정!$D$5:$D$24,MATCH($I41,코드설정!$C$5:$C$24,0)),""))</f>
        <v/>
      </c>
      <c r="R41" s="49" t="n"/>
      <c r="S41" s="50" t="n"/>
      <c r="T41" s="51" t="n"/>
      <c r="U41" s="43">
        <f>IF(OR($B41="",$C41=""),"",$C41-$B41+1)</f>
        <v/>
      </c>
      <c r="V41" s="52" t="n"/>
      <c r="W41" s="53">
        <f>IF(OR($V41="",$O41=""),"",$V41*$O41)</f>
        <v/>
      </c>
      <c r="X41" s="45" t="n"/>
      <c r="Y41" s="49" t="n"/>
    </row>
    <row r="42">
      <c r="A42" s="43">
        <f>IF($B42="","",COUNT($B$5:$B42))</f>
        <v/>
      </c>
      <c r="B42" s="44" t="n"/>
      <c r="C42" s="44" t="n"/>
      <c r="D42" s="45" t="n"/>
      <c r="E42" s="45" t="n"/>
      <c r="F42" s="45" t="n"/>
      <c r="G42" s="46">
        <f>IF($F42="","",IFERROR(INDEX(사건마스터!$B$5:$B$64,MATCH($F42,사건마스터!$A$5:$A$64,0)),""))</f>
        <v/>
      </c>
      <c r="H42" s="47">
        <f>IF($F42="","",IFERROR(INDEX(사건마스터!$C$5:$C$64,MATCH($F42,사건마스터!$A$5:$A$64,0)),""))</f>
        <v/>
      </c>
      <c r="I42" s="48">
        <f>IF($F42="","",IFERROR(INDEX(사건마스터!$H$5:$H$64,MATCH($F42,사건마스터!$A$5:$A$64,0)),""))</f>
        <v/>
      </c>
      <c r="J42" s="48">
        <f>IF($F42="","",IFERROR(INDEX(사건마스터!$AH$5:$AH$64,MATCH($F42,사건마스터!$A$5:$A$64,0)),""))</f>
        <v/>
      </c>
      <c r="K42" s="48">
        <f>IF($F42="","",IFERROR(INDEX(사건마스터!$AI$5:$AI$64,MATCH($F42,사건마스터!$A$5:$A$64,0)),""))</f>
        <v/>
      </c>
      <c r="L42" s="48">
        <f>IF($F42="","",IFERROR(INDEX(사건마스터!$AJ$5:$AJ$64,MATCH($F42,사건마스터!$A$5:$A$64,0)),""))</f>
        <v/>
      </c>
      <c r="M42" s="48">
        <f>IF($F42="","",IFERROR(INDEX(사건마스터!$AK$5:$AK$64,MATCH($F42,사건마스터!$A$5:$A$64,0)),""))</f>
        <v/>
      </c>
      <c r="N42" s="48">
        <f>IF($F42="","",IFERROR(INDEX(사건마스터!$AL$5:$AL$64,MATCH($F42,사건마스터!$A$5:$A$64,0)),""))</f>
        <v/>
      </c>
      <c r="O42" s="43">
        <f>IF($I42="","",COUNTIF($I42:$N42,"?*"))</f>
        <v/>
      </c>
      <c r="P42" s="46">
        <f>IF($I42="","",_xlfn.TEXTJOIN(", ",TRUE,$I42:$N42))</f>
        <v/>
      </c>
      <c r="Q42" s="47">
        <f>IF($I42="","",IFERROR(INDEX(코드설정!$D$5:$D$24,MATCH($I42,코드설정!$C$5:$C$24,0)),""))</f>
        <v/>
      </c>
      <c r="R42" s="49" t="n"/>
      <c r="S42" s="50" t="n"/>
      <c r="T42" s="51" t="n"/>
      <c r="U42" s="43">
        <f>IF(OR($B42="",$C42=""),"",$C42-$B42+1)</f>
        <v/>
      </c>
      <c r="V42" s="52" t="n"/>
      <c r="W42" s="53">
        <f>IF(OR($V42="",$O42=""),"",$V42*$O42)</f>
        <v/>
      </c>
      <c r="X42" s="45" t="n"/>
      <c r="Y42" s="49" t="n"/>
    </row>
    <row r="43">
      <c r="A43" s="43">
        <f>IF($B43="","",COUNT($B$5:$B43))</f>
        <v/>
      </c>
      <c r="B43" s="44" t="n"/>
      <c r="C43" s="44" t="n"/>
      <c r="D43" s="45" t="n"/>
      <c r="E43" s="45" t="n"/>
      <c r="F43" s="45" t="n"/>
      <c r="G43" s="46">
        <f>IF($F43="","",IFERROR(INDEX(사건마스터!$B$5:$B$64,MATCH($F43,사건마스터!$A$5:$A$64,0)),""))</f>
        <v/>
      </c>
      <c r="H43" s="47">
        <f>IF($F43="","",IFERROR(INDEX(사건마스터!$C$5:$C$64,MATCH($F43,사건마스터!$A$5:$A$64,0)),""))</f>
        <v/>
      </c>
      <c r="I43" s="48">
        <f>IF($F43="","",IFERROR(INDEX(사건마스터!$H$5:$H$64,MATCH($F43,사건마스터!$A$5:$A$64,0)),""))</f>
        <v/>
      </c>
      <c r="J43" s="48">
        <f>IF($F43="","",IFERROR(INDEX(사건마스터!$AH$5:$AH$64,MATCH($F43,사건마스터!$A$5:$A$64,0)),""))</f>
        <v/>
      </c>
      <c r="K43" s="48">
        <f>IF($F43="","",IFERROR(INDEX(사건마스터!$AI$5:$AI$64,MATCH($F43,사건마스터!$A$5:$A$64,0)),""))</f>
        <v/>
      </c>
      <c r="L43" s="48">
        <f>IF($F43="","",IFERROR(INDEX(사건마스터!$AJ$5:$AJ$64,MATCH($F43,사건마스터!$A$5:$A$64,0)),""))</f>
        <v/>
      </c>
      <c r="M43" s="48">
        <f>IF($F43="","",IFERROR(INDEX(사건마스터!$AK$5:$AK$64,MATCH($F43,사건마스터!$A$5:$A$64,0)),""))</f>
        <v/>
      </c>
      <c r="N43" s="48">
        <f>IF($F43="","",IFERROR(INDEX(사건마스터!$AL$5:$AL$64,MATCH($F43,사건마스터!$A$5:$A$64,0)),""))</f>
        <v/>
      </c>
      <c r="O43" s="43">
        <f>IF($I43="","",COUNTIF($I43:$N43,"?*"))</f>
        <v/>
      </c>
      <c r="P43" s="46">
        <f>IF($I43="","",_xlfn.TEXTJOIN(", ",TRUE,$I43:$N43))</f>
        <v/>
      </c>
      <c r="Q43" s="47">
        <f>IF($I43="","",IFERROR(INDEX(코드설정!$D$5:$D$24,MATCH($I43,코드설정!$C$5:$C$24,0)),""))</f>
        <v/>
      </c>
      <c r="R43" s="49" t="n"/>
      <c r="S43" s="50" t="n"/>
      <c r="T43" s="51" t="n"/>
      <c r="U43" s="43">
        <f>IF(OR($B43="",$C43=""),"",$C43-$B43+1)</f>
        <v/>
      </c>
      <c r="V43" s="52" t="n"/>
      <c r="W43" s="53">
        <f>IF(OR($V43="",$O43=""),"",$V43*$O43)</f>
        <v/>
      </c>
      <c r="X43" s="45" t="n"/>
      <c r="Y43" s="49" t="n"/>
    </row>
    <row r="44">
      <c r="A44" s="43">
        <f>IF($B44="","",COUNT($B$5:$B44))</f>
        <v/>
      </c>
      <c r="B44" s="44" t="n"/>
      <c r="C44" s="44" t="n"/>
      <c r="D44" s="45" t="n"/>
      <c r="E44" s="45" t="n"/>
      <c r="F44" s="45" t="n"/>
      <c r="G44" s="46">
        <f>IF($F44="","",IFERROR(INDEX(사건마스터!$B$5:$B$64,MATCH($F44,사건마스터!$A$5:$A$64,0)),""))</f>
        <v/>
      </c>
      <c r="H44" s="47">
        <f>IF($F44="","",IFERROR(INDEX(사건마스터!$C$5:$C$64,MATCH($F44,사건마스터!$A$5:$A$64,0)),""))</f>
        <v/>
      </c>
      <c r="I44" s="48">
        <f>IF($F44="","",IFERROR(INDEX(사건마스터!$H$5:$H$64,MATCH($F44,사건마스터!$A$5:$A$64,0)),""))</f>
        <v/>
      </c>
      <c r="J44" s="48">
        <f>IF($F44="","",IFERROR(INDEX(사건마스터!$AH$5:$AH$64,MATCH($F44,사건마스터!$A$5:$A$64,0)),""))</f>
        <v/>
      </c>
      <c r="K44" s="48">
        <f>IF($F44="","",IFERROR(INDEX(사건마스터!$AI$5:$AI$64,MATCH($F44,사건마스터!$A$5:$A$64,0)),""))</f>
        <v/>
      </c>
      <c r="L44" s="48">
        <f>IF($F44="","",IFERROR(INDEX(사건마스터!$AJ$5:$AJ$64,MATCH($F44,사건마스터!$A$5:$A$64,0)),""))</f>
        <v/>
      </c>
      <c r="M44" s="48">
        <f>IF($F44="","",IFERROR(INDEX(사건마스터!$AK$5:$AK$64,MATCH($F44,사건마스터!$A$5:$A$64,0)),""))</f>
        <v/>
      </c>
      <c r="N44" s="48">
        <f>IF($F44="","",IFERROR(INDEX(사건마스터!$AL$5:$AL$64,MATCH($F44,사건마스터!$A$5:$A$64,0)),""))</f>
        <v/>
      </c>
      <c r="O44" s="43">
        <f>IF($I44="","",COUNTIF($I44:$N44,"?*"))</f>
        <v/>
      </c>
      <c r="P44" s="46">
        <f>IF($I44="","",_xlfn.TEXTJOIN(", ",TRUE,$I44:$N44))</f>
        <v/>
      </c>
      <c r="Q44" s="47">
        <f>IF($I44="","",IFERROR(INDEX(코드설정!$D$5:$D$24,MATCH($I44,코드설정!$C$5:$C$24,0)),""))</f>
        <v/>
      </c>
      <c r="R44" s="49" t="n"/>
      <c r="S44" s="50" t="n"/>
      <c r="T44" s="51" t="n"/>
      <c r="U44" s="43">
        <f>IF(OR($B44="",$C44=""),"",$C44-$B44+1)</f>
        <v/>
      </c>
      <c r="V44" s="52" t="n"/>
      <c r="W44" s="53">
        <f>IF(OR($V44="",$O44=""),"",$V44*$O44)</f>
        <v/>
      </c>
      <c r="X44" s="45" t="n"/>
      <c r="Y44" s="49" t="n"/>
    </row>
    <row r="45">
      <c r="A45" s="43">
        <f>IF($B45="","",COUNT($B$5:$B45))</f>
        <v/>
      </c>
      <c r="B45" s="44" t="n"/>
      <c r="C45" s="44" t="n"/>
      <c r="D45" s="45" t="n"/>
      <c r="E45" s="45" t="n"/>
      <c r="F45" s="45" t="n"/>
      <c r="G45" s="46">
        <f>IF($F45="","",IFERROR(INDEX(사건마스터!$B$5:$B$64,MATCH($F45,사건마스터!$A$5:$A$64,0)),""))</f>
        <v/>
      </c>
      <c r="H45" s="47">
        <f>IF($F45="","",IFERROR(INDEX(사건마스터!$C$5:$C$64,MATCH($F45,사건마스터!$A$5:$A$64,0)),""))</f>
        <v/>
      </c>
      <c r="I45" s="48">
        <f>IF($F45="","",IFERROR(INDEX(사건마스터!$H$5:$H$64,MATCH($F45,사건마스터!$A$5:$A$64,0)),""))</f>
        <v/>
      </c>
      <c r="J45" s="48">
        <f>IF($F45="","",IFERROR(INDEX(사건마스터!$AH$5:$AH$64,MATCH($F45,사건마스터!$A$5:$A$64,0)),""))</f>
        <v/>
      </c>
      <c r="K45" s="48">
        <f>IF($F45="","",IFERROR(INDEX(사건마스터!$AI$5:$AI$64,MATCH($F45,사건마스터!$A$5:$A$64,0)),""))</f>
        <v/>
      </c>
      <c r="L45" s="48">
        <f>IF($F45="","",IFERROR(INDEX(사건마스터!$AJ$5:$AJ$64,MATCH($F45,사건마스터!$A$5:$A$64,0)),""))</f>
        <v/>
      </c>
      <c r="M45" s="48">
        <f>IF($F45="","",IFERROR(INDEX(사건마스터!$AK$5:$AK$64,MATCH($F45,사건마스터!$A$5:$A$64,0)),""))</f>
        <v/>
      </c>
      <c r="N45" s="48">
        <f>IF($F45="","",IFERROR(INDEX(사건마스터!$AL$5:$AL$64,MATCH($F45,사건마스터!$A$5:$A$64,0)),""))</f>
        <v/>
      </c>
      <c r="O45" s="43">
        <f>IF($I45="","",COUNTIF($I45:$N45,"?*"))</f>
        <v/>
      </c>
      <c r="P45" s="46">
        <f>IF($I45="","",_xlfn.TEXTJOIN(", ",TRUE,$I45:$N45))</f>
        <v/>
      </c>
      <c r="Q45" s="47">
        <f>IF($I45="","",IFERROR(INDEX(코드설정!$D$5:$D$24,MATCH($I45,코드설정!$C$5:$C$24,0)),""))</f>
        <v/>
      </c>
      <c r="R45" s="49" t="n"/>
      <c r="S45" s="50" t="n"/>
      <c r="T45" s="51" t="n"/>
      <c r="U45" s="43">
        <f>IF(OR($B45="",$C45=""),"",$C45-$B45+1)</f>
        <v/>
      </c>
      <c r="V45" s="52" t="n"/>
      <c r="W45" s="53">
        <f>IF(OR($V45="",$O45=""),"",$V45*$O45)</f>
        <v/>
      </c>
      <c r="X45" s="45" t="n"/>
      <c r="Y45" s="49" t="n"/>
    </row>
    <row r="46">
      <c r="A46" s="43">
        <f>IF($B46="","",COUNT($B$5:$B46))</f>
        <v/>
      </c>
      <c r="B46" s="44" t="n"/>
      <c r="C46" s="44" t="n"/>
      <c r="D46" s="45" t="n"/>
      <c r="E46" s="45" t="n"/>
      <c r="F46" s="45" t="n"/>
      <c r="G46" s="46">
        <f>IF($F46="","",IFERROR(INDEX(사건마스터!$B$5:$B$64,MATCH($F46,사건마스터!$A$5:$A$64,0)),""))</f>
        <v/>
      </c>
      <c r="H46" s="47">
        <f>IF($F46="","",IFERROR(INDEX(사건마스터!$C$5:$C$64,MATCH($F46,사건마스터!$A$5:$A$64,0)),""))</f>
        <v/>
      </c>
      <c r="I46" s="48">
        <f>IF($F46="","",IFERROR(INDEX(사건마스터!$H$5:$H$64,MATCH($F46,사건마스터!$A$5:$A$64,0)),""))</f>
        <v/>
      </c>
      <c r="J46" s="48">
        <f>IF($F46="","",IFERROR(INDEX(사건마스터!$AH$5:$AH$64,MATCH($F46,사건마스터!$A$5:$A$64,0)),""))</f>
        <v/>
      </c>
      <c r="K46" s="48">
        <f>IF($F46="","",IFERROR(INDEX(사건마스터!$AI$5:$AI$64,MATCH($F46,사건마스터!$A$5:$A$64,0)),""))</f>
        <v/>
      </c>
      <c r="L46" s="48">
        <f>IF($F46="","",IFERROR(INDEX(사건마스터!$AJ$5:$AJ$64,MATCH($F46,사건마스터!$A$5:$A$64,0)),""))</f>
        <v/>
      </c>
      <c r="M46" s="48">
        <f>IF($F46="","",IFERROR(INDEX(사건마스터!$AK$5:$AK$64,MATCH($F46,사건마스터!$A$5:$A$64,0)),""))</f>
        <v/>
      </c>
      <c r="N46" s="48">
        <f>IF($F46="","",IFERROR(INDEX(사건마스터!$AL$5:$AL$64,MATCH($F46,사건마스터!$A$5:$A$64,0)),""))</f>
        <v/>
      </c>
      <c r="O46" s="43">
        <f>IF($I46="","",COUNTIF($I46:$N46,"?*"))</f>
        <v/>
      </c>
      <c r="P46" s="46">
        <f>IF($I46="","",_xlfn.TEXTJOIN(", ",TRUE,$I46:$N46))</f>
        <v/>
      </c>
      <c r="Q46" s="47">
        <f>IF($I46="","",IFERROR(INDEX(코드설정!$D$5:$D$24,MATCH($I46,코드설정!$C$5:$C$24,0)),""))</f>
        <v/>
      </c>
      <c r="R46" s="49" t="n"/>
      <c r="S46" s="50" t="n"/>
      <c r="T46" s="51" t="n"/>
      <c r="U46" s="43">
        <f>IF(OR($B46="",$C46=""),"",$C46-$B46+1)</f>
        <v/>
      </c>
      <c r="V46" s="52" t="n"/>
      <c r="W46" s="53">
        <f>IF(OR($V46="",$O46=""),"",$V46*$O46)</f>
        <v/>
      </c>
      <c r="X46" s="45" t="n"/>
      <c r="Y46" s="49" t="n"/>
    </row>
    <row r="47">
      <c r="A47" s="43">
        <f>IF($B47="","",COUNT($B$5:$B47))</f>
        <v/>
      </c>
      <c r="B47" s="44" t="n"/>
      <c r="C47" s="44" t="n"/>
      <c r="D47" s="45" t="n"/>
      <c r="E47" s="45" t="n"/>
      <c r="F47" s="45" t="n"/>
      <c r="G47" s="46">
        <f>IF($F47="","",IFERROR(INDEX(사건마스터!$B$5:$B$64,MATCH($F47,사건마스터!$A$5:$A$64,0)),""))</f>
        <v/>
      </c>
      <c r="H47" s="47">
        <f>IF($F47="","",IFERROR(INDEX(사건마스터!$C$5:$C$64,MATCH($F47,사건마스터!$A$5:$A$64,0)),""))</f>
        <v/>
      </c>
      <c r="I47" s="48">
        <f>IF($F47="","",IFERROR(INDEX(사건마스터!$H$5:$H$64,MATCH($F47,사건마스터!$A$5:$A$64,0)),""))</f>
        <v/>
      </c>
      <c r="J47" s="48">
        <f>IF($F47="","",IFERROR(INDEX(사건마스터!$AH$5:$AH$64,MATCH($F47,사건마스터!$A$5:$A$64,0)),""))</f>
        <v/>
      </c>
      <c r="K47" s="48">
        <f>IF($F47="","",IFERROR(INDEX(사건마스터!$AI$5:$AI$64,MATCH($F47,사건마스터!$A$5:$A$64,0)),""))</f>
        <v/>
      </c>
      <c r="L47" s="48">
        <f>IF($F47="","",IFERROR(INDEX(사건마스터!$AJ$5:$AJ$64,MATCH($F47,사건마스터!$A$5:$A$64,0)),""))</f>
        <v/>
      </c>
      <c r="M47" s="48">
        <f>IF($F47="","",IFERROR(INDEX(사건마스터!$AK$5:$AK$64,MATCH($F47,사건마스터!$A$5:$A$64,0)),""))</f>
        <v/>
      </c>
      <c r="N47" s="48">
        <f>IF($F47="","",IFERROR(INDEX(사건마스터!$AL$5:$AL$64,MATCH($F47,사건마스터!$A$5:$A$64,0)),""))</f>
        <v/>
      </c>
      <c r="O47" s="43">
        <f>IF($I47="","",COUNTIF($I47:$N47,"?*"))</f>
        <v/>
      </c>
      <c r="P47" s="46">
        <f>IF($I47="","",_xlfn.TEXTJOIN(", ",TRUE,$I47:$N47))</f>
        <v/>
      </c>
      <c r="Q47" s="47">
        <f>IF($I47="","",IFERROR(INDEX(코드설정!$D$5:$D$24,MATCH($I47,코드설정!$C$5:$C$24,0)),""))</f>
        <v/>
      </c>
      <c r="R47" s="49" t="n"/>
      <c r="S47" s="50" t="n"/>
      <c r="T47" s="51" t="n"/>
      <c r="U47" s="43">
        <f>IF(OR($B47="",$C47=""),"",$C47-$B47+1)</f>
        <v/>
      </c>
      <c r="V47" s="52" t="n"/>
      <c r="W47" s="53">
        <f>IF(OR($V47="",$O47=""),"",$V47*$O47)</f>
        <v/>
      </c>
      <c r="X47" s="45" t="n"/>
      <c r="Y47" s="49" t="n"/>
    </row>
    <row r="48">
      <c r="A48" s="43">
        <f>IF($B48="","",COUNT($B$5:$B48))</f>
        <v/>
      </c>
      <c r="B48" s="44" t="n"/>
      <c r="C48" s="44" t="n"/>
      <c r="D48" s="45" t="n"/>
      <c r="E48" s="45" t="n"/>
      <c r="F48" s="45" t="n"/>
      <c r="G48" s="46">
        <f>IF($F48="","",IFERROR(INDEX(사건마스터!$B$5:$B$64,MATCH($F48,사건마스터!$A$5:$A$64,0)),""))</f>
        <v/>
      </c>
      <c r="H48" s="47">
        <f>IF($F48="","",IFERROR(INDEX(사건마스터!$C$5:$C$64,MATCH($F48,사건마스터!$A$5:$A$64,0)),""))</f>
        <v/>
      </c>
      <c r="I48" s="48">
        <f>IF($F48="","",IFERROR(INDEX(사건마스터!$H$5:$H$64,MATCH($F48,사건마스터!$A$5:$A$64,0)),""))</f>
        <v/>
      </c>
      <c r="J48" s="48">
        <f>IF($F48="","",IFERROR(INDEX(사건마스터!$AH$5:$AH$64,MATCH($F48,사건마스터!$A$5:$A$64,0)),""))</f>
        <v/>
      </c>
      <c r="K48" s="48">
        <f>IF($F48="","",IFERROR(INDEX(사건마스터!$AI$5:$AI$64,MATCH($F48,사건마스터!$A$5:$A$64,0)),""))</f>
        <v/>
      </c>
      <c r="L48" s="48">
        <f>IF($F48="","",IFERROR(INDEX(사건마스터!$AJ$5:$AJ$64,MATCH($F48,사건마스터!$A$5:$A$64,0)),""))</f>
        <v/>
      </c>
      <c r="M48" s="48">
        <f>IF($F48="","",IFERROR(INDEX(사건마스터!$AK$5:$AK$64,MATCH($F48,사건마스터!$A$5:$A$64,0)),""))</f>
        <v/>
      </c>
      <c r="N48" s="48">
        <f>IF($F48="","",IFERROR(INDEX(사건마스터!$AL$5:$AL$64,MATCH($F48,사건마스터!$A$5:$A$64,0)),""))</f>
        <v/>
      </c>
      <c r="O48" s="43">
        <f>IF($I48="","",COUNTIF($I48:$N48,"?*"))</f>
        <v/>
      </c>
      <c r="P48" s="46">
        <f>IF($I48="","",_xlfn.TEXTJOIN(", ",TRUE,$I48:$N48))</f>
        <v/>
      </c>
      <c r="Q48" s="47">
        <f>IF($I48="","",IFERROR(INDEX(코드설정!$D$5:$D$24,MATCH($I48,코드설정!$C$5:$C$24,0)),""))</f>
        <v/>
      </c>
      <c r="R48" s="49" t="n"/>
      <c r="S48" s="50" t="n"/>
      <c r="T48" s="51" t="n"/>
      <c r="U48" s="43">
        <f>IF(OR($B48="",$C48=""),"",$C48-$B48+1)</f>
        <v/>
      </c>
      <c r="V48" s="52" t="n"/>
      <c r="W48" s="53">
        <f>IF(OR($V48="",$O48=""),"",$V48*$O48)</f>
        <v/>
      </c>
      <c r="X48" s="45" t="n"/>
      <c r="Y48" s="49" t="n"/>
    </row>
    <row r="49">
      <c r="A49" s="43">
        <f>IF($B49="","",COUNT($B$5:$B49))</f>
        <v/>
      </c>
      <c r="B49" s="44" t="n"/>
      <c r="C49" s="44" t="n"/>
      <c r="D49" s="45" t="n"/>
      <c r="E49" s="45" t="n"/>
      <c r="F49" s="45" t="n"/>
      <c r="G49" s="46">
        <f>IF($F49="","",IFERROR(INDEX(사건마스터!$B$5:$B$64,MATCH($F49,사건마스터!$A$5:$A$64,0)),""))</f>
        <v/>
      </c>
      <c r="H49" s="47">
        <f>IF($F49="","",IFERROR(INDEX(사건마스터!$C$5:$C$64,MATCH($F49,사건마스터!$A$5:$A$64,0)),""))</f>
        <v/>
      </c>
      <c r="I49" s="48">
        <f>IF($F49="","",IFERROR(INDEX(사건마스터!$H$5:$H$64,MATCH($F49,사건마스터!$A$5:$A$64,0)),""))</f>
        <v/>
      </c>
      <c r="J49" s="48">
        <f>IF($F49="","",IFERROR(INDEX(사건마스터!$AH$5:$AH$64,MATCH($F49,사건마스터!$A$5:$A$64,0)),""))</f>
        <v/>
      </c>
      <c r="K49" s="48">
        <f>IF($F49="","",IFERROR(INDEX(사건마스터!$AI$5:$AI$64,MATCH($F49,사건마스터!$A$5:$A$64,0)),""))</f>
        <v/>
      </c>
      <c r="L49" s="48">
        <f>IF($F49="","",IFERROR(INDEX(사건마스터!$AJ$5:$AJ$64,MATCH($F49,사건마스터!$A$5:$A$64,0)),""))</f>
        <v/>
      </c>
      <c r="M49" s="48">
        <f>IF($F49="","",IFERROR(INDEX(사건마스터!$AK$5:$AK$64,MATCH($F49,사건마스터!$A$5:$A$64,0)),""))</f>
        <v/>
      </c>
      <c r="N49" s="48">
        <f>IF($F49="","",IFERROR(INDEX(사건마스터!$AL$5:$AL$64,MATCH($F49,사건마스터!$A$5:$A$64,0)),""))</f>
        <v/>
      </c>
      <c r="O49" s="43">
        <f>IF($I49="","",COUNTIF($I49:$N49,"?*"))</f>
        <v/>
      </c>
      <c r="P49" s="46">
        <f>IF($I49="","",_xlfn.TEXTJOIN(", ",TRUE,$I49:$N49))</f>
        <v/>
      </c>
      <c r="Q49" s="47">
        <f>IF($I49="","",IFERROR(INDEX(코드설정!$D$5:$D$24,MATCH($I49,코드설정!$C$5:$C$24,0)),""))</f>
        <v/>
      </c>
      <c r="R49" s="49" t="n"/>
      <c r="S49" s="50" t="n"/>
      <c r="T49" s="51" t="n"/>
      <c r="U49" s="43">
        <f>IF(OR($B49="",$C49=""),"",$C49-$B49+1)</f>
        <v/>
      </c>
      <c r="V49" s="52" t="n"/>
      <c r="W49" s="53">
        <f>IF(OR($V49="",$O49=""),"",$V49*$O49)</f>
        <v/>
      </c>
      <c r="X49" s="45" t="n"/>
      <c r="Y49" s="49" t="n"/>
    </row>
    <row r="50">
      <c r="A50" s="43">
        <f>IF($B50="","",COUNT($B$5:$B50))</f>
        <v/>
      </c>
      <c r="B50" s="44" t="n"/>
      <c r="C50" s="44" t="n"/>
      <c r="D50" s="45" t="n"/>
      <c r="E50" s="45" t="n"/>
      <c r="F50" s="45" t="n"/>
      <c r="G50" s="46">
        <f>IF($F50="","",IFERROR(INDEX(사건마스터!$B$5:$B$64,MATCH($F50,사건마스터!$A$5:$A$64,0)),""))</f>
        <v/>
      </c>
      <c r="H50" s="47">
        <f>IF($F50="","",IFERROR(INDEX(사건마스터!$C$5:$C$64,MATCH($F50,사건마스터!$A$5:$A$64,0)),""))</f>
        <v/>
      </c>
      <c r="I50" s="48">
        <f>IF($F50="","",IFERROR(INDEX(사건마스터!$H$5:$H$64,MATCH($F50,사건마스터!$A$5:$A$64,0)),""))</f>
        <v/>
      </c>
      <c r="J50" s="48">
        <f>IF($F50="","",IFERROR(INDEX(사건마스터!$AH$5:$AH$64,MATCH($F50,사건마스터!$A$5:$A$64,0)),""))</f>
        <v/>
      </c>
      <c r="K50" s="48">
        <f>IF($F50="","",IFERROR(INDEX(사건마스터!$AI$5:$AI$64,MATCH($F50,사건마스터!$A$5:$A$64,0)),""))</f>
        <v/>
      </c>
      <c r="L50" s="48">
        <f>IF($F50="","",IFERROR(INDEX(사건마스터!$AJ$5:$AJ$64,MATCH($F50,사건마스터!$A$5:$A$64,0)),""))</f>
        <v/>
      </c>
      <c r="M50" s="48">
        <f>IF($F50="","",IFERROR(INDEX(사건마스터!$AK$5:$AK$64,MATCH($F50,사건마스터!$A$5:$A$64,0)),""))</f>
        <v/>
      </c>
      <c r="N50" s="48">
        <f>IF($F50="","",IFERROR(INDEX(사건마스터!$AL$5:$AL$64,MATCH($F50,사건마스터!$A$5:$A$64,0)),""))</f>
        <v/>
      </c>
      <c r="O50" s="43">
        <f>IF($I50="","",COUNTIF($I50:$N50,"?*"))</f>
        <v/>
      </c>
      <c r="P50" s="46">
        <f>IF($I50="","",_xlfn.TEXTJOIN(", ",TRUE,$I50:$N50))</f>
        <v/>
      </c>
      <c r="Q50" s="47">
        <f>IF($I50="","",IFERROR(INDEX(코드설정!$D$5:$D$24,MATCH($I50,코드설정!$C$5:$C$24,0)),""))</f>
        <v/>
      </c>
      <c r="R50" s="49" t="n"/>
      <c r="S50" s="50" t="n"/>
      <c r="T50" s="51" t="n"/>
      <c r="U50" s="43">
        <f>IF(OR($B50="",$C50=""),"",$C50-$B50+1)</f>
        <v/>
      </c>
      <c r="V50" s="52" t="n"/>
      <c r="W50" s="53">
        <f>IF(OR($V50="",$O50=""),"",$V50*$O50)</f>
        <v/>
      </c>
      <c r="X50" s="45" t="n"/>
      <c r="Y50" s="49" t="n"/>
    </row>
    <row r="51">
      <c r="A51" s="43">
        <f>IF($B51="","",COUNT($B$5:$B51))</f>
        <v/>
      </c>
      <c r="B51" s="44" t="n"/>
      <c r="C51" s="44" t="n"/>
      <c r="D51" s="45" t="n"/>
      <c r="E51" s="45" t="n"/>
      <c r="F51" s="45" t="n"/>
      <c r="G51" s="46">
        <f>IF($F51="","",IFERROR(INDEX(사건마스터!$B$5:$B$64,MATCH($F51,사건마스터!$A$5:$A$64,0)),""))</f>
        <v/>
      </c>
      <c r="H51" s="47">
        <f>IF($F51="","",IFERROR(INDEX(사건마스터!$C$5:$C$64,MATCH($F51,사건마스터!$A$5:$A$64,0)),""))</f>
        <v/>
      </c>
      <c r="I51" s="48">
        <f>IF($F51="","",IFERROR(INDEX(사건마스터!$H$5:$H$64,MATCH($F51,사건마스터!$A$5:$A$64,0)),""))</f>
        <v/>
      </c>
      <c r="J51" s="48">
        <f>IF($F51="","",IFERROR(INDEX(사건마스터!$AH$5:$AH$64,MATCH($F51,사건마스터!$A$5:$A$64,0)),""))</f>
        <v/>
      </c>
      <c r="K51" s="48">
        <f>IF($F51="","",IFERROR(INDEX(사건마스터!$AI$5:$AI$64,MATCH($F51,사건마스터!$A$5:$A$64,0)),""))</f>
        <v/>
      </c>
      <c r="L51" s="48">
        <f>IF($F51="","",IFERROR(INDEX(사건마스터!$AJ$5:$AJ$64,MATCH($F51,사건마스터!$A$5:$A$64,0)),""))</f>
        <v/>
      </c>
      <c r="M51" s="48">
        <f>IF($F51="","",IFERROR(INDEX(사건마스터!$AK$5:$AK$64,MATCH($F51,사건마스터!$A$5:$A$64,0)),""))</f>
        <v/>
      </c>
      <c r="N51" s="48">
        <f>IF($F51="","",IFERROR(INDEX(사건마스터!$AL$5:$AL$64,MATCH($F51,사건마스터!$A$5:$A$64,0)),""))</f>
        <v/>
      </c>
      <c r="O51" s="43">
        <f>IF($I51="","",COUNTIF($I51:$N51,"?*"))</f>
        <v/>
      </c>
      <c r="P51" s="46">
        <f>IF($I51="","",_xlfn.TEXTJOIN(", ",TRUE,$I51:$N51))</f>
        <v/>
      </c>
      <c r="Q51" s="47">
        <f>IF($I51="","",IFERROR(INDEX(코드설정!$D$5:$D$24,MATCH($I51,코드설정!$C$5:$C$24,0)),""))</f>
        <v/>
      </c>
      <c r="R51" s="49" t="n"/>
      <c r="S51" s="50" t="n"/>
      <c r="T51" s="51" t="n"/>
      <c r="U51" s="43">
        <f>IF(OR($B51="",$C51=""),"",$C51-$B51+1)</f>
        <v/>
      </c>
      <c r="V51" s="52" t="n"/>
      <c r="W51" s="53">
        <f>IF(OR($V51="",$O51=""),"",$V51*$O51)</f>
        <v/>
      </c>
      <c r="X51" s="45" t="n"/>
      <c r="Y51" s="49" t="n"/>
    </row>
    <row r="52">
      <c r="A52" s="43">
        <f>IF($B52="","",COUNT($B$5:$B52))</f>
        <v/>
      </c>
      <c r="B52" s="44" t="n"/>
      <c r="C52" s="44" t="n"/>
      <c r="D52" s="45" t="n"/>
      <c r="E52" s="45" t="n"/>
      <c r="F52" s="45" t="n"/>
      <c r="G52" s="46">
        <f>IF($F52="","",IFERROR(INDEX(사건마스터!$B$5:$B$64,MATCH($F52,사건마스터!$A$5:$A$64,0)),""))</f>
        <v/>
      </c>
      <c r="H52" s="47">
        <f>IF($F52="","",IFERROR(INDEX(사건마스터!$C$5:$C$64,MATCH($F52,사건마스터!$A$5:$A$64,0)),""))</f>
        <v/>
      </c>
      <c r="I52" s="48">
        <f>IF($F52="","",IFERROR(INDEX(사건마스터!$H$5:$H$64,MATCH($F52,사건마스터!$A$5:$A$64,0)),""))</f>
        <v/>
      </c>
      <c r="J52" s="48">
        <f>IF($F52="","",IFERROR(INDEX(사건마스터!$AH$5:$AH$64,MATCH($F52,사건마스터!$A$5:$A$64,0)),""))</f>
        <v/>
      </c>
      <c r="K52" s="48">
        <f>IF($F52="","",IFERROR(INDEX(사건마스터!$AI$5:$AI$64,MATCH($F52,사건마스터!$A$5:$A$64,0)),""))</f>
        <v/>
      </c>
      <c r="L52" s="48">
        <f>IF($F52="","",IFERROR(INDEX(사건마스터!$AJ$5:$AJ$64,MATCH($F52,사건마스터!$A$5:$A$64,0)),""))</f>
        <v/>
      </c>
      <c r="M52" s="48">
        <f>IF($F52="","",IFERROR(INDEX(사건마스터!$AK$5:$AK$64,MATCH($F52,사건마스터!$A$5:$A$64,0)),""))</f>
        <v/>
      </c>
      <c r="N52" s="48">
        <f>IF($F52="","",IFERROR(INDEX(사건마스터!$AL$5:$AL$64,MATCH($F52,사건마스터!$A$5:$A$64,0)),""))</f>
        <v/>
      </c>
      <c r="O52" s="43">
        <f>IF($I52="","",COUNTIF($I52:$N52,"?*"))</f>
        <v/>
      </c>
      <c r="P52" s="46">
        <f>IF($I52="","",_xlfn.TEXTJOIN(", ",TRUE,$I52:$N52))</f>
        <v/>
      </c>
      <c r="Q52" s="47">
        <f>IF($I52="","",IFERROR(INDEX(코드설정!$D$5:$D$24,MATCH($I52,코드설정!$C$5:$C$24,0)),""))</f>
        <v/>
      </c>
      <c r="R52" s="49" t="n"/>
      <c r="S52" s="50" t="n"/>
      <c r="T52" s="51" t="n"/>
      <c r="U52" s="43">
        <f>IF(OR($B52="",$C52=""),"",$C52-$B52+1)</f>
        <v/>
      </c>
      <c r="V52" s="52" t="n"/>
      <c r="W52" s="53">
        <f>IF(OR($V52="",$O52=""),"",$V52*$O52)</f>
        <v/>
      </c>
      <c r="X52" s="45" t="n"/>
      <c r="Y52" s="49" t="n"/>
    </row>
    <row r="53">
      <c r="A53" s="43">
        <f>IF($B53="","",COUNT($B$5:$B53))</f>
        <v/>
      </c>
      <c r="B53" s="44" t="n"/>
      <c r="C53" s="44" t="n"/>
      <c r="D53" s="45" t="n"/>
      <c r="E53" s="45" t="n"/>
      <c r="F53" s="45" t="n"/>
      <c r="G53" s="46">
        <f>IF($F53="","",IFERROR(INDEX(사건마스터!$B$5:$B$64,MATCH($F53,사건마스터!$A$5:$A$64,0)),""))</f>
        <v/>
      </c>
      <c r="H53" s="47">
        <f>IF($F53="","",IFERROR(INDEX(사건마스터!$C$5:$C$64,MATCH($F53,사건마스터!$A$5:$A$64,0)),""))</f>
        <v/>
      </c>
      <c r="I53" s="48">
        <f>IF($F53="","",IFERROR(INDEX(사건마스터!$H$5:$H$64,MATCH($F53,사건마스터!$A$5:$A$64,0)),""))</f>
        <v/>
      </c>
      <c r="J53" s="48">
        <f>IF($F53="","",IFERROR(INDEX(사건마스터!$AH$5:$AH$64,MATCH($F53,사건마스터!$A$5:$A$64,0)),""))</f>
        <v/>
      </c>
      <c r="K53" s="48">
        <f>IF($F53="","",IFERROR(INDEX(사건마스터!$AI$5:$AI$64,MATCH($F53,사건마스터!$A$5:$A$64,0)),""))</f>
        <v/>
      </c>
      <c r="L53" s="48">
        <f>IF($F53="","",IFERROR(INDEX(사건마스터!$AJ$5:$AJ$64,MATCH($F53,사건마스터!$A$5:$A$64,0)),""))</f>
        <v/>
      </c>
      <c r="M53" s="48">
        <f>IF($F53="","",IFERROR(INDEX(사건마스터!$AK$5:$AK$64,MATCH($F53,사건마스터!$A$5:$A$64,0)),""))</f>
        <v/>
      </c>
      <c r="N53" s="48">
        <f>IF($F53="","",IFERROR(INDEX(사건마스터!$AL$5:$AL$64,MATCH($F53,사건마스터!$A$5:$A$64,0)),""))</f>
        <v/>
      </c>
      <c r="O53" s="43">
        <f>IF($I53="","",COUNTIF($I53:$N53,"?*"))</f>
        <v/>
      </c>
      <c r="P53" s="46">
        <f>IF($I53="","",_xlfn.TEXTJOIN(", ",TRUE,$I53:$N53))</f>
        <v/>
      </c>
      <c r="Q53" s="47">
        <f>IF($I53="","",IFERROR(INDEX(코드설정!$D$5:$D$24,MATCH($I53,코드설정!$C$5:$C$24,0)),""))</f>
        <v/>
      </c>
      <c r="R53" s="49" t="n"/>
      <c r="S53" s="50" t="n"/>
      <c r="T53" s="51" t="n"/>
      <c r="U53" s="43">
        <f>IF(OR($B53="",$C53=""),"",$C53-$B53+1)</f>
        <v/>
      </c>
      <c r="V53" s="52" t="n"/>
      <c r="W53" s="53">
        <f>IF(OR($V53="",$O53=""),"",$V53*$O53)</f>
        <v/>
      </c>
      <c r="X53" s="45" t="n"/>
      <c r="Y53" s="49" t="n"/>
    </row>
    <row r="54">
      <c r="A54" s="43">
        <f>IF($B54="","",COUNT($B$5:$B54))</f>
        <v/>
      </c>
      <c r="B54" s="44" t="n"/>
      <c r="C54" s="44" t="n"/>
      <c r="D54" s="45" t="n"/>
      <c r="E54" s="45" t="n"/>
      <c r="F54" s="45" t="n"/>
      <c r="G54" s="46">
        <f>IF($F54="","",IFERROR(INDEX(사건마스터!$B$5:$B$64,MATCH($F54,사건마스터!$A$5:$A$64,0)),""))</f>
        <v/>
      </c>
      <c r="H54" s="47">
        <f>IF($F54="","",IFERROR(INDEX(사건마스터!$C$5:$C$64,MATCH($F54,사건마스터!$A$5:$A$64,0)),""))</f>
        <v/>
      </c>
      <c r="I54" s="48">
        <f>IF($F54="","",IFERROR(INDEX(사건마스터!$H$5:$H$64,MATCH($F54,사건마스터!$A$5:$A$64,0)),""))</f>
        <v/>
      </c>
      <c r="J54" s="48">
        <f>IF($F54="","",IFERROR(INDEX(사건마스터!$AH$5:$AH$64,MATCH($F54,사건마스터!$A$5:$A$64,0)),""))</f>
        <v/>
      </c>
      <c r="K54" s="48">
        <f>IF($F54="","",IFERROR(INDEX(사건마스터!$AI$5:$AI$64,MATCH($F54,사건마스터!$A$5:$A$64,0)),""))</f>
        <v/>
      </c>
      <c r="L54" s="48">
        <f>IF($F54="","",IFERROR(INDEX(사건마스터!$AJ$5:$AJ$64,MATCH($F54,사건마스터!$A$5:$A$64,0)),""))</f>
        <v/>
      </c>
      <c r="M54" s="48">
        <f>IF($F54="","",IFERROR(INDEX(사건마스터!$AK$5:$AK$64,MATCH($F54,사건마스터!$A$5:$A$64,0)),""))</f>
        <v/>
      </c>
      <c r="N54" s="48">
        <f>IF($F54="","",IFERROR(INDEX(사건마스터!$AL$5:$AL$64,MATCH($F54,사건마스터!$A$5:$A$64,0)),""))</f>
        <v/>
      </c>
      <c r="O54" s="43">
        <f>IF($I54="","",COUNTIF($I54:$N54,"?*"))</f>
        <v/>
      </c>
      <c r="P54" s="46">
        <f>IF($I54="","",_xlfn.TEXTJOIN(", ",TRUE,$I54:$N54))</f>
        <v/>
      </c>
      <c r="Q54" s="47">
        <f>IF($I54="","",IFERROR(INDEX(코드설정!$D$5:$D$24,MATCH($I54,코드설정!$C$5:$C$24,0)),""))</f>
        <v/>
      </c>
      <c r="R54" s="49" t="n"/>
      <c r="S54" s="50" t="n"/>
      <c r="T54" s="51" t="n"/>
      <c r="U54" s="43">
        <f>IF(OR($B54="",$C54=""),"",$C54-$B54+1)</f>
        <v/>
      </c>
      <c r="V54" s="52" t="n"/>
      <c r="W54" s="53">
        <f>IF(OR($V54="",$O54=""),"",$V54*$O54)</f>
        <v/>
      </c>
      <c r="X54" s="45" t="n"/>
      <c r="Y54" s="49" t="n"/>
    </row>
    <row r="55">
      <c r="A55" s="43">
        <f>IF($B55="","",COUNT($B$5:$B55))</f>
        <v/>
      </c>
      <c r="B55" s="44" t="n"/>
      <c r="C55" s="44" t="n"/>
      <c r="D55" s="45" t="n"/>
      <c r="E55" s="45" t="n"/>
      <c r="F55" s="45" t="n"/>
      <c r="G55" s="46">
        <f>IF($F55="","",IFERROR(INDEX(사건마스터!$B$5:$B$64,MATCH($F55,사건마스터!$A$5:$A$64,0)),""))</f>
        <v/>
      </c>
      <c r="H55" s="47">
        <f>IF($F55="","",IFERROR(INDEX(사건마스터!$C$5:$C$64,MATCH($F55,사건마스터!$A$5:$A$64,0)),""))</f>
        <v/>
      </c>
      <c r="I55" s="48">
        <f>IF($F55="","",IFERROR(INDEX(사건마스터!$H$5:$H$64,MATCH($F55,사건마스터!$A$5:$A$64,0)),""))</f>
        <v/>
      </c>
      <c r="J55" s="48">
        <f>IF($F55="","",IFERROR(INDEX(사건마스터!$AH$5:$AH$64,MATCH($F55,사건마스터!$A$5:$A$64,0)),""))</f>
        <v/>
      </c>
      <c r="K55" s="48">
        <f>IF($F55="","",IFERROR(INDEX(사건마스터!$AI$5:$AI$64,MATCH($F55,사건마스터!$A$5:$A$64,0)),""))</f>
        <v/>
      </c>
      <c r="L55" s="48">
        <f>IF($F55="","",IFERROR(INDEX(사건마스터!$AJ$5:$AJ$64,MATCH($F55,사건마스터!$A$5:$A$64,0)),""))</f>
        <v/>
      </c>
      <c r="M55" s="48">
        <f>IF($F55="","",IFERROR(INDEX(사건마스터!$AK$5:$AK$64,MATCH($F55,사건마스터!$A$5:$A$64,0)),""))</f>
        <v/>
      </c>
      <c r="N55" s="48">
        <f>IF($F55="","",IFERROR(INDEX(사건마스터!$AL$5:$AL$64,MATCH($F55,사건마스터!$A$5:$A$64,0)),""))</f>
        <v/>
      </c>
      <c r="O55" s="43">
        <f>IF($I55="","",COUNTIF($I55:$N55,"?*"))</f>
        <v/>
      </c>
      <c r="P55" s="46">
        <f>IF($I55="","",_xlfn.TEXTJOIN(", ",TRUE,$I55:$N55))</f>
        <v/>
      </c>
      <c r="Q55" s="47">
        <f>IF($I55="","",IFERROR(INDEX(코드설정!$D$5:$D$24,MATCH($I55,코드설정!$C$5:$C$24,0)),""))</f>
        <v/>
      </c>
      <c r="R55" s="49" t="n"/>
      <c r="S55" s="50" t="n"/>
      <c r="T55" s="51" t="n"/>
      <c r="U55" s="43">
        <f>IF(OR($B55="",$C55=""),"",$C55-$B55+1)</f>
        <v/>
      </c>
      <c r="V55" s="52" t="n"/>
      <c r="W55" s="53">
        <f>IF(OR($V55="",$O55=""),"",$V55*$O55)</f>
        <v/>
      </c>
      <c r="X55" s="45" t="n"/>
      <c r="Y55" s="49" t="n"/>
    </row>
    <row r="56">
      <c r="A56" s="43">
        <f>IF($B56="","",COUNT($B$5:$B56))</f>
        <v/>
      </c>
      <c r="B56" s="44" t="n"/>
      <c r="C56" s="44" t="n"/>
      <c r="D56" s="45" t="n"/>
      <c r="E56" s="45" t="n"/>
      <c r="F56" s="45" t="n"/>
      <c r="G56" s="46">
        <f>IF($F56="","",IFERROR(INDEX(사건마스터!$B$5:$B$64,MATCH($F56,사건마스터!$A$5:$A$64,0)),""))</f>
        <v/>
      </c>
      <c r="H56" s="47">
        <f>IF($F56="","",IFERROR(INDEX(사건마스터!$C$5:$C$64,MATCH($F56,사건마스터!$A$5:$A$64,0)),""))</f>
        <v/>
      </c>
      <c r="I56" s="48">
        <f>IF($F56="","",IFERROR(INDEX(사건마스터!$H$5:$H$64,MATCH($F56,사건마스터!$A$5:$A$64,0)),""))</f>
        <v/>
      </c>
      <c r="J56" s="48">
        <f>IF($F56="","",IFERROR(INDEX(사건마스터!$AH$5:$AH$64,MATCH($F56,사건마스터!$A$5:$A$64,0)),""))</f>
        <v/>
      </c>
      <c r="K56" s="48">
        <f>IF($F56="","",IFERROR(INDEX(사건마스터!$AI$5:$AI$64,MATCH($F56,사건마스터!$A$5:$A$64,0)),""))</f>
        <v/>
      </c>
      <c r="L56" s="48">
        <f>IF($F56="","",IFERROR(INDEX(사건마스터!$AJ$5:$AJ$64,MATCH($F56,사건마스터!$A$5:$A$64,0)),""))</f>
        <v/>
      </c>
      <c r="M56" s="48">
        <f>IF($F56="","",IFERROR(INDEX(사건마스터!$AK$5:$AK$64,MATCH($F56,사건마스터!$A$5:$A$64,0)),""))</f>
        <v/>
      </c>
      <c r="N56" s="48">
        <f>IF($F56="","",IFERROR(INDEX(사건마스터!$AL$5:$AL$64,MATCH($F56,사건마스터!$A$5:$A$64,0)),""))</f>
        <v/>
      </c>
      <c r="O56" s="43">
        <f>IF($I56="","",COUNTIF($I56:$N56,"?*"))</f>
        <v/>
      </c>
      <c r="P56" s="46">
        <f>IF($I56="","",_xlfn.TEXTJOIN(", ",TRUE,$I56:$N56))</f>
        <v/>
      </c>
      <c r="Q56" s="47">
        <f>IF($I56="","",IFERROR(INDEX(코드설정!$D$5:$D$24,MATCH($I56,코드설정!$C$5:$C$24,0)),""))</f>
        <v/>
      </c>
      <c r="R56" s="49" t="n"/>
      <c r="S56" s="50" t="n"/>
      <c r="T56" s="51" t="n"/>
      <c r="U56" s="43">
        <f>IF(OR($B56="",$C56=""),"",$C56-$B56+1)</f>
        <v/>
      </c>
      <c r="V56" s="52" t="n"/>
      <c r="W56" s="53">
        <f>IF(OR($V56="",$O56=""),"",$V56*$O56)</f>
        <v/>
      </c>
      <c r="X56" s="45" t="n"/>
      <c r="Y56" s="49" t="n"/>
    </row>
    <row r="57">
      <c r="A57" s="43">
        <f>IF($B57="","",COUNT($B$5:$B57))</f>
        <v/>
      </c>
      <c r="B57" s="44" t="n"/>
      <c r="C57" s="44" t="n"/>
      <c r="D57" s="45" t="n"/>
      <c r="E57" s="45" t="n"/>
      <c r="F57" s="45" t="n"/>
      <c r="G57" s="46">
        <f>IF($F57="","",IFERROR(INDEX(사건마스터!$B$5:$B$64,MATCH($F57,사건마스터!$A$5:$A$64,0)),""))</f>
        <v/>
      </c>
      <c r="H57" s="47">
        <f>IF($F57="","",IFERROR(INDEX(사건마스터!$C$5:$C$64,MATCH($F57,사건마스터!$A$5:$A$64,0)),""))</f>
        <v/>
      </c>
      <c r="I57" s="48">
        <f>IF($F57="","",IFERROR(INDEX(사건마스터!$H$5:$H$64,MATCH($F57,사건마스터!$A$5:$A$64,0)),""))</f>
        <v/>
      </c>
      <c r="J57" s="48">
        <f>IF($F57="","",IFERROR(INDEX(사건마스터!$AH$5:$AH$64,MATCH($F57,사건마스터!$A$5:$A$64,0)),""))</f>
        <v/>
      </c>
      <c r="K57" s="48">
        <f>IF($F57="","",IFERROR(INDEX(사건마스터!$AI$5:$AI$64,MATCH($F57,사건마스터!$A$5:$A$64,0)),""))</f>
        <v/>
      </c>
      <c r="L57" s="48">
        <f>IF($F57="","",IFERROR(INDEX(사건마스터!$AJ$5:$AJ$64,MATCH($F57,사건마스터!$A$5:$A$64,0)),""))</f>
        <v/>
      </c>
      <c r="M57" s="48">
        <f>IF($F57="","",IFERROR(INDEX(사건마스터!$AK$5:$AK$64,MATCH($F57,사건마스터!$A$5:$A$64,0)),""))</f>
        <v/>
      </c>
      <c r="N57" s="48">
        <f>IF($F57="","",IFERROR(INDEX(사건마스터!$AL$5:$AL$64,MATCH($F57,사건마스터!$A$5:$A$64,0)),""))</f>
        <v/>
      </c>
      <c r="O57" s="43">
        <f>IF($I57="","",COUNTIF($I57:$N57,"?*"))</f>
        <v/>
      </c>
      <c r="P57" s="46">
        <f>IF($I57="","",_xlfn.TEXTJOIN(", ",TRUE,$I57:$N57))</f>
        <v/>
      </c>
      <c r="Q57" s="47">
        <f>IF($I57="","",IFERROR(INDEX(코드설정!$D$5:$D$24,MATCH($I57,코드설정!$C$5:$C$24,0)),""))</f>
        <v/>
      </c>
      <c r="R57" s="49" t="n"/>
      <c r="S57" s="50" t="n"/>
      <c r="T57" s="51" t="n"/>
      <c r="U57" s="43">
        <f>IF(OR($B57="",$C57=""),"",$C57-$B57+1)</f>
        <v/>
      </c>
      <c r="V57" s="52" t="n"/>
      <c r="W57" s="53">
        <f>IF(OR($V57="",$O57=""),"",$V57*$O57)</f>
        <v/>
      </c>
      <c r="X57" s="45" t="n"/>
      <c r="Y57" s="49" t="n"/>
    </row>
    <row r="58">
      <c r="A58" s="43">
        <f>IF($B58="","",COUNT($B$5:$B58))</f>
        <v/>
      </c>
      <c r="B58" s="44" t="n"/>
      <c r="C58" s="44" t="n"/>
      <c r="D58" s="45" t="n"/>
      <c r="E58" s="45" t="n"/>
      <c r="F58" s="45" t="n"/>
      <c r="G58" s="46">
        <f>IF($F58="","",IFERROR(INDEX(사건마스터!$B$5:$B$64,MATCH($F58,사건마스터!$A$5:$A$64,0)),""))</f>
        <v/>
      </c>
      <c r="H58" s="47">
        <f>IF($F58="","",IFERROR(INDEX(사건마스터!$C$5:$C$64,MATCH($F58,사건마스터!$A$5:$A$64,0)),""))</f>
        <v/>
      </c>
      <c r="I58" s="48">
        <f>IF($F58="","",IFERROR(INDEX(사건마스터!$H$5:$H$64,MATCH($F58,사건마스터!$A$5:$A$64,0)),""))</f>
        <v/>
      </c>
      <c r="J58" s="48">
        <f>IF($F58="","",IFERROR(INDEX(사건마스터!$AH$5:$AH$64,MATCH($F58,사건마스터!$A$5:$A$64,0)),""))</f>
        <v/>
      </c>
      <c r="K58" s="48">
        <f>IF($F58="","",IFERROR(INDEX(사건마스터!$AI$5:$AI$64,MATCH($F58,사건마스터!$A$5:$A$64,0)),""))</f>
        <v/>
      </c>
      <c r="L58" s="48">
        <f>IF($F58="","",IFERROR(INDEX(사건마스터!$AJ$5:$AJ$64,MATCH($F58,사건마스터!$A$5:$A$64,0)),""))</f>
        <v/>
      </c>
      <c r="M58" s="48">
        <f>IF($F58="","",IFERROR(INDEX(사건마스터!$AK$5:$AK$64,MATCH($F58,사건마스터!$A$5:$A$64,0)),""))</f>
        <v/>
      </c>
      <c r="N58" s="48">
        <f>IF($F58="","",IFERROR(INDEX(사건마스터!$AL$5:$AL$64,MATCH($F58,사건마스터!$A$5:$A$64,0)),""))</f>
        <v/>
      </c>
      <c r="O58" s="43">
        <f>IF($I58="","",COUNTIF($I58:$N58,"?*"))</f>
        <v/>
      </c>
      <c r="P58" s="46">
        <f>IF($I58="","",_xlfn.TEXTJOIN(", ",TRUE,$I58:$N58))</f>
        <v/>
      </c>
      <c r="Q58" s="47">
        <f>IF($I58="","",IFERROR(INDEX(코드설정!$D$5:$D$24,MATCH($I58,코드설정!$C$5:$C$24,0)),""))</f>
        <v/>
      </c>
      <c r="R58" s="49" t="n"/>
      <c r="S58" s="50" t="n"/>
      <c r="T58" s="51" t="n"/>
      <c r="U58" s="43">
        <f>IF(OR($B58="",$C58=""),"",$C58-$B58+1)</f>
        <v/>
      </c>
      <c r="V58" s="52" t="n"/>
      <c r="W58" s="53">
        <f>IF(OR($V58="",$O58=""),"",$V58*$O58)</f>
        <v/>
      </c>
      <c r="X58" s="45" t="n"/>
      <c r="Y58" s="49" t="n"/>
    </row>
    <row r="59">
      <c r="A59" s="43">
        <f>IF($B59="","",COUNT($B$5:$B59))</f>
        <v/>
      </c>
      <c r="B59" s="44" t="n"/>
      <c r="C59" s="44" t="n"/>
      <c r="D59" s="45" t="n"/>
      <c r="E59" s="45" t="n"/>
      <c r="F59" s="45" t="n"/>
      <c r="G59" s="46">
        <f>IF($F59="","",IFERROR(INDEX(사건마스터!$B$5:$B$64,MATCH($F59,사건마스터!$A$5:$A$64,0)),""))</f>
        <v/>
      </c>
      <c r="H59" s="47">
        <f>IF($F59="","",IFERROR(INDEX(사건마스터!$C$5:$C$64,MATCH($F59,사건마스터!$A$5:$A$64,0)),""))</f>
        <v/>
      </c>
      <c r="I59" s="48">
        <f>IF($F59="","",IFERROR(INDEX(사건마스터!$H$5:$H$64,MATCH($F59,사건마스터!$A$5:$A$64,0)),""))</f>
        <v/>
      </c>
      <c r="J59" s="48">
        <f>IF($F59="","",IFERROR(INDEX(사건마스터!$AH$5:$AH$64,MATCH($F59,사건마스터!$A$5:$A$64,0)),""))</f>
        <v/>
      </c>
      <c r="K59" s="48">
        <f>IF($F59="","",IFERROR(INDEX(사건마스터!$AI$5:$AI$64,MATCH($F59,사건마스터!$A$5:$A$64,0)),""))</f>
        <v/>
      </c>
      <c r="L59" s="48">
        <f>IF($F59="","",IFERROR(INDEX(사건마스터!$AJ$5:$AJ$64,MATCH($F59,사건마스터!$A$5:$A$64,0)),""))</f>
        <v/>
      </c>
      <c r="M59" s="48">
        <f>IF($F59="","",IFERROR(INDEX(사건마스터!$AK$5:$AK$64,MATCH($F59,사건마스터!$A$5:$A$64,0)),""))</f>
        <v/>
      </c>
      <c r="N59" s="48">
        <f>IF($F59="","",IFERROR(INDEX(사건마스터!$AL$5:$AL$64,MATCH($F59,사건마스터!$A$5:$A$64,0)),""))</f>
        <v/>
      </c>
      <c r="O59" s="43">
        <f>IF($I59="","",COUNTIF($I59:$N59,"?*"))</f>
        <v/>
      </c>
      <c r="P59" s="46">
        <f>IF($I59="","",_xlfn.TEXTJOIN(", ",TRUE,$I59:$N59))</f>
        <v/>
      </c>
      <c r="Q59" s="47">
        <f>IF($I59="","",IFERROR(INDEX(코드설정!$D$5:$D$24,MATCH($I59,코드설정!$C$5:$C$24,0)),""))</f>
        <v/>
      </c>
      <c r="R59" s="49" t="n"/>
      <c r="S59" s="50" t="n"/>
      <c r="T59" s="51" t="n"/>
      <c r="U59" s="43">
        <f>IF(OR($B59="",$C59=""),"",$C59-$B59+1)</f>
        <v/>
      </c>
      <c r="V59" s="52" t="n"/>
      <c r="W59" s="53">
        <f>IF(OR($V59="",$O59=""),"",$V59*$O59)</f>
        <v/>
      </c>
      <c r="X59" s="45" t="n"/>
      <c r="Y59" s="49" t="n"/>
    </row>
    <row r="60">
      <c r="A60" s="43">
        <f>IF($B60="","",COUNT($B$5:$B60))</f>
        <v/>
      </c>
      <c r="B60" s="44" t="n"/>
      <c r="C60" s="44" t="n"/>
      <c r="D60" s="45" t="n"/>
      <c r="E60" s="45" t="n"/>
      <c r="F60" s="45" t="n"/>
      <c r="G60" s="46">
        <f>IF($F60="","",IFERROR(INDEX(사건마스터!$B$5:$B$64,MATCH($F60,사건마스터!$A$5:$A$64,0)),""))</f>
        <v/>
      </c>
      <c r="H60" s="47">
        <f>IF($F60="","",IFERROR(INDEX(사건마스터!$C$5:$C$64,MATCH($F60,사건마스터!$A$5:$A$64,0)),""))</f>
        <v/>
      </c>
      <c r="I60" s="48">
        <f>IF($F60="","",IFERROR(INDEX(사건마스터!$H$5:$H$64,MATCH($F60,사건마스터!$A$5:$A$64,0)),""))</f>
        <v/>
      </c>
      <c r="J60" s="48">
        <f>IF($F60="","",IFERROR(INDEX(사건마스터!$AH$5:$AH$64,MATCH($F60,사건마스터!$A$5:$A$64,0)),""))</f>
        <v/>
      </c>
      <c r="K60" s="48">
        <f>IF($F60="","",IFERROR(INDEX(사건마스터!$AI$5:$AI$64,MATCH($F60,사건마스터!$A$5:$A$64,0)),""))</f>
        <v/>
      </c>
      <c r="L60" s="48">
        <f>IF($F60="","",IFERROR(INDEX(사건마스터!$AJ$5:$AJ$64,MATCH($F60,사건마스터!$A$5:$A$64,0)),""))</f>
        <v/>
      </c>
      <c r="M60" s="48">
        <f>IF($F60="","",IFERROR(INDEX(사건마스터!$AK$5:$AK$64,MATCH($F60,사건마스터!$A$5:$A$64,0)),""))</f>
        <v/>
      </c>
      <c r="N60" s="48">
        <f>IF($F60="","",IFERROR(INDEX(사건마스터!$AL$5:$AL$64,MATCH($F60,사건마스터!$A$5:$A$64,0)),""))</f>
        <v/>
      </c>
      <c r="O60" s="43">
        <f>IF($I60="","",COUNTIF($I60:$N60,"?*"))</f>
        <v/>
      </c>
      <c r="P60" s="46">
        <f>IF($I60="","",_xlfn.TEXTJOIN(", ",TRUE,$I60:$N60))</f>
        <v/>
      </c>
      <c r="Q60" s="47">
        <f>IF($I60="","",IFERROR(INDEX(코드설정!$D$5:$D$24,MATCH($I60,코드설정!$C$5:$C$24,0)),""))</f>
        <v/>
      </c>
      <c r="R60" s="49" t="n"/>
      <c r="S60" s="50" t="n"/>
      <c r="T60" s="51" t="n"/>
      <c r="U60" s="43">
        <f>IF(OR($B60="",$C60=""),"",$C60-$B60+1)</f>
        <v/>
      </c>
      <c r="V60" s="52" t="n"/>
      <c r="W60" s="53">
        <f>IF(OR($V60="",$O60=""),"",$V60*$O60)</f>
        <v/>
      </c>
      <c r="X60" s="45" t="n"/>
      <c r="Y60" s="49" t="n"/>
    </row>
    <row r="61">
      <c r="A61" s="43">
        <f>IF($B61="","",COUNT($B$5:$B61))</f>
        <v/>
      </c>
      <c r="B61" s="44" t="n"/>
      <c r="C61" s="44" t="n"/>
      <c r="D61" s="45" t="n"/>
      <c r="E61" s="45" t="n"/>
      <c r="F61" s="45" t="n"/>
      <c r="G61" s="46">
        <f>IF($F61="","",IFERROR(INDEX(사건마스터!$B$5:$B$64,MATCH($F61,사건마스터!$A$5:$A$64,0)),""))</f>
        <v/>
      </c>
      <c r="H61" s="47">
        <f>IF($F61="","",IFERROR(INDEX(사건마스터!$C$5:$C$64,MATCH($F61,사건마스터!$A$5:$A$64,0)),""))</f>
        <v/>
      </c>
      <c r="I61" s="48">
        <f>IF($F61="","",IFERROR(INDEX(사건마스터!$H$5:$H$64,MATCH($F61,사건마스터!$A$5:$A$64,0)),""))</f>
        <v/>
      </c>
      <c r="J61" s="48">
        <f>IF($F61="","",IFERROR(INDEX(사건마스터!$AH$5:$AH$64,MATCH($F61,사건마스터!$A$5:$A$64,0)),""))</f>
        <v/>
      </c>
      <c r="K61" s="48">
        <f>IF($F61="","",IFERROR(INDEX(사건마스터!$AI$5:$AI$64,MATCH($F61,사건마스터!$A$5:$A$64,0)),""))</f>
        <v/>
      </c>
      <c r="L61" s="48">
        <f>IF($F61="","",IFERROR(INDEX(사건마스터!$AJ$5:$AJ$64,MATCH($F61,사건마스터!$A$5:$A$64,0)),""))</f>
        <v/>
      </c>
      <c r="M61" s="48">
        <f>IF($F61="","",IFERROR(INDEX(사건마스터!$AK$5:$AK$64,MATCH($F61,사건마스터!$A$5:$A$64,0)),""))</f>
        <v/>
      </c>
      <c r="N61" s="48">
        <f>IF($F61="","",IFERROR(INDEX(사건마스터!$AL$5:$AL$64,MATCH($F61,사건마스터!$A$5:$A$64,0)),""))</f>
        <v/>
      </c>
      <c r="O61" s="43">
        <f>IF($I61="","",COUNTIF($I61:$N61,"?*"))</f>
        <v/>
      </c>
      <c r="P61" s="46">
        <f>IF($I61="","",_xlfn.TEXTJOIN(", ",TRUE,$I61:$N61))</f>
        <v/>
      </c>
      <c r="Q61" s="47">
        <f>IF($I61="","",IFERROR(INDEX(코드설정!$D$5:$D$24,MATCH($I61,코드설정!$C$5:$C$24,0)),""))</f>
        <v/>
      </c>
      <c r="R61" s="49" t="n"/>
      <c r="S61" s="50" t="n"/>
      <c r="T61" s="51" t="n"/>
      <c r="U61" s="43">
        <f>IF(OR($B61="",$C61=""),"",$C61-$B61+1)</f>
        <v/>
      </c>
      <c r="V61" s="52" t="n"/>
      <c r="W61" s="53">
        <f>IF(OR($V61="",$O61=""),"",$V61*$O61)</f>
        <v/>
      </c>
      <c r="X61" s="45" t="n"/>
      <c r="Y61" s="49" t="n"/>
    </row>
    <row r="62">
      <c r="A62" s="43">
        <f>IF($B62="","",COUNT($B$5:$B62))</f>
        <v/>
      </c>
      <c r="B62" s="44" t="n"/>
      <c r="C62" s="44" t="n"/>
      <c r="D62" s="45" t="n"/>
      <c r="E62" s="45" t="n"/>
      <c r="F62" s="45" t="n"/>
      <c r="G62" s="46">
        <f>IF($F62="","",IFERROR(INDEX(사건마스터!$B$5:$B$64,MATCH($F62,사건마스터!$A$5:$A$64,0)),""))</f>
        <v/>
      </c>
      <c r="H62" s="47">
        <f>IF($F62="","",IFERROR(INDEX(사건마스터!$C$5:$C$64,MATCH($F62,사건마스터!$A$5:$A$64,0)),""))</f>
        <v/>
      </c>
      <c r="I62" s="48">
        <f>IF($F62="","",IFERROR(INDEX(사건마스터!$H$5:$H$64,MATCH($F62,사건마스터!$A$5:$A$64,0)),""))</f>
        <v/>
      </c>
      <c r="J62" s="48">
        <f>IF($F62="","",IFERROR(INDEX(사건마스터!$AH$5:$AH$64,MATCH($F62,사건마스터!$A$5:$A$64,0)),""))</f>
        <v/>
      </c>
      <c r="K62" s="48">
        <f>IF($F62="","",IFERROR(INDEX(사건마스터!$AI$5:$AI$64,MATCH($F62,사건마스터!$A$5:$A$64,0)),""))</f>
        <v/>
      </c>
      <c r="L62" s="48">
        <f>IF($F62="","",IFERROR(INDEX(사건마스터!$AJ$5:$AJ$64,MATCH($F62,사건마스터!$A$5:$A$64,0)),""))</f>
        <v/>
      </c>
      <c r="M62" s="48">
        <f>IF($F62="","",IFERROR(INDEX(사건마스터!$AK$5:$AK$64,MATCH($F62,사건마스터!$A$5:$A$64,0)),""))</f>
        <v/>
      </c>
      <c r="N62" s="48">
        <f>IF($F62="","",IFERROR(INDEX(사건마스터!$AL$5:$AL$64,MATCH($F62,사건마스터!$A$5:$A$64,0)),""))</f>
        <v/>
      </c>
      <c r="O62" s="43">
        <f>IF($I62="","",COUNTIF($I62:$N62,"?*"))</f>
        <v/>
      </c>
      <c r="P62" s="46">
        <f>IF($I62="","",_xlfn.TEXTJOIN(", ",TRUE,$I62:$N62))</f>
        <v/>
      </c>
      <c r="Q62" s="47">
        <f>IF($I62="","",IFERROR(INDEX(코드설정!$D$5:$D$24,MATCH($I62,코드설정!$C$5:$C$24,0)),""))</f>
        <v/>
      </c>
      <c r="R62" s="49" t="n"/>
      <c r="S62" s="50" t="n"/>
      <c r="T62" s="51" t="n"/>
      <c r="U62" s="43">
        <f>IF(OR($B62="",$C62=""),"",$C62-$B62+1)</f>
        <v/>
      </c>
      <c r="V62" s="52" t="n"/>
      <c r="W62" s="53">
        <f>IF(OR($V62="",$O62=""),"",$V62*$O62)</f>
        <v/>
      </c>
      <c r="X62" s="45" t="n"/>
      <c r="Y62" s="49" t="n"/>
    </row>
    <row r="63">
      <c r="A63" s="43">
        <f>IF($B63="","",COUNT($B$5:$B63))</f>
        <v/>
      </c>
      <c r="B63" s="44" t="n"/>
      <c r="C63" s="44" t="n"/>
      <c r="D63" s="45" t="n"/>
      <c r="E63" s="45" t="n"/>
      <c r="F63" s="45" t="n"/>
      <c r="G63" s="46">
        <f>IF($F63="","",IFERROR(INDEX(사건마스터!$B$5:$B$64,MATCH($F63,사건마스터!$A$5:$A$64,0)),""))</f>
        <v/>
      </c>
      <c r="H63" s="47">
        <f>IF($F63="","",IFERROR(INDEX(사건마스터!$C$5:$C$64,MATCH($F63,사건마스터!$A$5:$A$64,0)),""))</f>
        <v/>
      </c>
      <c r="I63" s="48">
        <f>IF($F63="","",IFERROR(INDEX(사건마스터!$H$5:$H$64,MATCH($F63,사건마스터!$A$5:$A$64,0)),""))</f>
        <v/>
      </c>
      <c r="J63" s="48">
        <f>IF($F63="","",IFERROR(INDEX(사건마스터!$AH$5:$AH$64,MATCH($F63,사건마스터!$A$5:$A$64,0)),""))</f>
        <v/>
      </c>
      <c r="K63" s="48">
        <f>IF($F63="","",IFERROR(INDEX(사건마스터!$AI$5:$AI$64,MATCH($F63,사건마스터!$A$5:$A$64,0)),""))</f>
        <v/>
      </c>
      <c r="L63" s="48">
        <f>IF($F63="","",IFERROR(INDEX(사건마스터!$AJ$5:$AJ$64,MATCH($F63,사건마스터!$A$5:$A$64,0)),""))</f>
        <v/>
      </c>
      <c r="M63" s="48">
        <f>IF($F63="","",IFERROR(INDEX(사건마스터!$AK$5:$AK$64,MATCH($F63,사건마스터!$A$5:$A$64,0)),""))</f>
        <v/>
      </c>
      <c r="N63" s="48">
        <f>IF($F63="","",IFERROR(INDEX(사건마스터!$AL$5:$AL$64,MATCH($F63,사건마스터!$A$5:$A$64,0)),""))</f>
        <v/>
      </c>
      <c r="O63" s="43">
        <f>IF($I63="","",COUNTIF($I63:$N63,"?*"))</f>
        <v/>
      </c>
      <c r="P63" s="46">
        <f>IF($I63="","",_xlfn.TEXTJOIN(", ",TRUE,$I63:$N63))</f>
        <v/>
      </c>
      <c r="Q63" s="47">
        <f>IF($I63="","",IFERROR(INDEX(코드설정!$D$5:$D$24,MATCH($I63,코드설정!$C$5:$C$24,0)),""))</f>
        <v/>
      </c>
      <c r="R63" s="49" t="n"/>
      <c r="S63" s="50" t="n"/>
      <c r="T63" s="51" t="n"/>
      <c r="U63" s="43">
        <f>IF(OR($B63="",$C63=""),"",$C63-$B63+1)</f>
        <v/>
      </c>
      <c r="V63" s="52" t="n"/>
      <c r="W63" s="53">
        <f>IF(OR($V63="",$O63=""),"",$V63*$O63)</f>
        <v/>
      </c>
      <c r="X63" s="45" t="n"/>
      <c r="Y63" s="49" t="n"/>
    </row>
    <row r="64">
      <c r="A64" s="43">
        <f>IF($B64="","",COUNT($B$5:$B64))</f>
        <v/>
      </c>
      <c r="B64" s="44" t="n"/>
      <c r="C64" s="44" t="n"/>
      <c r="D64" s="45" t="n"/>
      <c r="E64" s="45" t="n"/>
      <c r="F64" s="45" t="n"/>
      <c r="G64" s="46">
        <f>IF($F64="","",IFERROR(INDEX(사건마스터!$B$5:$B$64,MATCH($F64,사건마스터!$A$5:$A$64,0)),""))</f>
        <v/>
      </c>
      <c r="H64" s="47">
        <f>IF($F64="","",IFERROR(INDEX(사건마스터!$C$5:$C$64,MATCH($F64,사건마스터!$A$5:$A$64,0)),""))</f>
        <v/>
      </c>
      <c r="I64" s="48">
        <f>IF($F64="","",IFERROR(INDEX(사건마스터!$H$5:$H$64,MATCH($F64,사건마스터!$A$5:$A$64,0)),""))</f>
        <v/>
      </c>
      <c r="J64" s="48">
        <f>IF($F64="","",IFERROR(INDEX(사건마스터!$AH$5:$AH$64,MATCH($F64,사건마스터!$A$5:$A$64,0)),""))</f>
        <v/>
      </c>
      <c r="K64" s="48">
        <f>IF($F64="","",IFERROR(INDEX(사건마스터!$AI$5:$AI$64,MATCH($F64,사건마스터!$A$5:$A$64,0)),""))</f>
        <v/>
      </c>
      <c r="L64" s="48">
        <f>IF($F64="","",IFERROR(INDEX(사건마스터!$AJ$5:$AJ$64,MATCH($F64,사건마스터!$A$5:$A$64,0)),""))</f>
        <v/>
      </c>
      <c r="M64" s="48">
        <f>IF($F64="","",IFERROR(INDEX(사건마스터!$AK$5:$AK$64,MATCH($F64,사건마스터!$A$5:$A$64,0)),""))</f>
        <v/>
      </c>
      <c r="N64" s="48">
        <f>IF($F64="","",IFERROR(INDEX(사건마스터!$AL$5:$AL$64,MATCH($F64,사건마스터!$A$5:$A$64,0)),""))</f>
        <v/>
      </c>
      <c r="O64" s="43">
        <f>IF($I64="","",COUNTIF($I64:$N64,"?*"))</f>
        <v/>
      </c>
      <c r="P64" s="46">
        <f>IF($I64="","",_xlfn.TEXTJOIN(", ",TRUE,$I64:$N64))</f>
        <v/>
      </c>
      <c r="Q64" s="47">
        <f>IF($I64="","",IFERROR(INDEX(코드설정!$D$5:$D$24,MATCH($I64,코드설정!$C$5:$C$24,0)),""))</f>
        <v/>
      </c>
      <c r="R64" s="49" t="n"/>
      <c r="S64" s="50" t="n"/>
      <c r="T64" s="51" t="n"/>
      <c r="U64" s="43">
        <f>IF(OR($B64="",$C64=""),"",$C64-$B64+1)</f>
        <v/>
      </c>
      <c r="V64" s="52" t="n"/>
      <c r="W64" s="53">
        <f>IF(OR($V64="",$O64=""),"",$V64*$O64)</f>
        <v/>
      </c>
      <c r="X64" s="45" t="n"/>
      <c r="Y64" s="49" t="n"/>
    </row>
    <row r="65">
      <c r="A65" s="43">
        <f>IF($B65="","",COUNT($B$5:$B65))</f>
        <v/>
      </c>
      <c r="B65" s="44" t="n"/>
      <c r="C65" s="44" t="n"/>
      <c r="D65" s="45" t="n"/>
      <c r="E65" s="45" t="n"/>
      <c r="F65" s="45" t="n"/>
      <c r="G65" s="46">
        <f>IF($F65="","",IFERROR(INDEX(사건마스터!$B$5:$B$64,MATCH($F65,사건마스터!$A$5:$A$64,0)),""))</f>
        <v/>
      </c>
      <c r="H65" s="47">
        <f>IF($F65="","",IFERROR(INDEX(사건마스터!$C$5:$C$64,MATCH($F65,사건마스터!$A$5:$A$64,0)),""))</f>
        <v/>
      </c>
      <c r="I65" s="48">
        <f>IF($F65="","",IFERROR(INDEX(사건마스터!$H$5:$H$64,MATCH($F65,사건마스터!$A$5:$A$64,0)),""))</f>
        <v/>
      </c>
      <c r="J65" s="48">
        <f>IF($F65="","",IFERROR(INDEX(사건마스터!$AH$5:$AH$64,MATCH($F65,사건마스터!$A$5:$A$64,0)),""))</f>
        <v/>
      </c>
      <c r="K65" s="48">
        <f>IF($F65="","",IFERROR(INDEX(사건마스터!$AI$5:$AI$64,MATCH($F65,사건마스터!$A$5:$A$64,0)),""))</f>
        <v/>
      </c>
      <c r="L65" s="48">
        <f>IF($F65="","",IFERROR(INDEX(사건마스터!$AJ$5:$AJ$64,MATCH($F65,사건마스터!$A$5:$A$64,0)),""))</f>
        <v/>
      </c>
      <c r="M65" s="48">
        <f>IF($F65="","",IFERROR(INDEX(사건마스터!$AK$5:$AK$64,MATCH($F65,사건마스터!$A$5:$A$64,0)),""))</f>
        <v/>
      </c>
      <c r="N65" s="48">
        <f>IF($F65="","",IFERROR(INDEX(사건마스터!$AL$5:$AL$64,MATCH($F65,사건마스터!$A$5:$A$64,0)),""))</f>
        <v/>
      </c>
      <c r="O65" s="43">
        <f>IF($I65="","",COUNTIF($I65:$N65,"?*"))</f>
        <v/>
      </c>
      <c r="P65" s="46">
        <f>IF($I65="","",_xlfn.TEXTJOIN(", ",TRUE,$I65:$N65))</f>
        <v/>
      </c>
      <c r="Q65" s="47">
        <f>IF($I65="","",IFERROR(INDEX(코드설정!$D$5:$D$24,MATCH($I65,코드설정!$C$5:$C$24,0)),""))</f>
        <v/>
      </c>
      <c r="R65" s="49" t="n"/>
      <c r="S65" s="50" t="n"/>
      <c r="T65" s="51" t="n"/>
      <c r="U65" s="43">
        <f>IF(OR($B65="",$C65=""),"",$C65-$B65+1)</f>
        <v/>
      </c>
      <c r="V65" s="52" t="n"/>
      <c r="W65" s="53">
        <f>IF(OR($V65="",$O65=""),"",$V65*$O65)</f>
        <v/>
      </c>
      <c r="X65" s="45" t="n"/>
      <c r="Y65" s="49" t="n"/>
    </row>
    <row r="66">
      <c r="A66" s="43">
        <f>IF($B66="","",COUNT($B$5:$B66))</f>
        <v/>
      </c>
      <c r="B66" s="44" t="n"/>
      <c r="C66" s="44" t="n"/>
      <c r="D66" s="45" t="n"/>
      <c r="E66" s="45" t="n"/>
      <c r="F66" s="45" t="n"/>
      <c r="G66" s="46">
        <f>IF($F66="","",IFERROR(INDEX(사건마스터!$B$5:$B$64,MATCH($F66,사건마스터!$A$5:$A$64,0)),""))</f>
        <v/>
      </c>
      <c r="H66" s="47">
        <f>IF($F66="","",IFERROR(INDEX(사건마스터!$C$5:$C$64,MATCH($F66,사건마스터!$A$5:$A$64,0)),""))</f>
        <v/>
      </c>
      <c r="I66" s="48">
        <f>IF($F66="","",IFERROR(INDEX(사건마스터!$H$5:$H$64,MATCH($F66,사건마스터!$A$5:$A$64,0)),""))</f>
        <v/>
      </c>
      <c r="J66" s="48">
        <f>IF($F66="","",IFERROR(INDEX(사건마스터!$AH$5:$AH$64,MATCH($F66,사건마스터!$A$5:$A$64,0)),""))</f>
        <v/>
      </c>
      <c r="K66" s="48">
        <f>IF($F66="","",IFERROR(INDEX(사건마스터!$AI$5:$AI$64,MATCH($F66,사건마스터!$A$5:$A$64,0)),""))</f>
        <v/>
      </c>
      <c r="L66" s="48">
        <f>IF($F66="","",IFERROR(INDEX(사건마스터!$AJ$5:$AJ$64,MATCH($F66,사건마스터!$A$5:$A$64,0)),""))</f>
        <v/>
      </c>
      <c r="M66" s="48">
        <f>IF($F66="","",IFERROR(INDEX(사건마스터!$AK$5:$AK$64,MATCH($F66,사건마스터!$A$5:$A$64,0)),""))</f>
        <v/>
      </c>
      <c r="N66" s="48">
        <f>IF($F66="","",IFERROR(INDEX(사건마스터!$AL$5:$AL$64,MATCH($F66,사건마스터!$A$5:$A$64,0)),""))</f>
        <v/>
      </c>
      <c r="O66" s="43">
        <f>IF($I66="","",COUNTIF($I66:$N66,"?*"))</f>
        <v/>
      </c>
      <c r="P66" s="46">
        <f>IF($I66="","",_xlfn.TEXTJOIN(", ",TRUE,$I66:$N66))</f>
        <v/>
      </c>
      <c r="Q66" s="47">
        <f>IF($I66="","",IFERROR(INDEX(코드설정!$D$5:$D$24,MATCH($I66,코드설정!$C$5:$C$24,0)),""))</f>
        <v/>
      </c>
      <c r="R66" s="49" t="n"/>
      <c r="S66" s="50" t="n"/>
      <c r="T66" s="51" t="n"/>
      <c r="U66" s="43">
        <f>IF(OR($B66="",$C66=""),"",$C66-$B66+1)</f>
        <v/>
      </c>
      <c r="V66" s="52" t="n"/>
      <c r="W66" s="53">
        <f>IF(OR($V66="",$O66=""),"",$V66*$O66)</f>
        <v/>
      </c>
      <c r="X66" s="45" t="n"/>
      <c r="Y66" s="49" t="n"/>
    </row>
    <row r="67">
      <c r="A67" s="43">
        <f>IF($B67="","",COUNT($B$5:$B67))</f>
        <v/>
      </c>
      <c r="B67" s="44" t="n"/>
      <c r="C67" s="44" t="n"/>
      <c r="D67" s="45" t="n"/>
      <c r="E67" s="45" t="n"/>
      <c r="F67" s="45" t="n"/>
      <c r="G67" s="46">
        <f>IF($F67="","",IFERROR(INDEX(사건마스터!$B$5:$B$64,MATCH($F67,사건마스터!$A$5:$A$64,0)),""))</f>
        <v/>
      </c>
      <c r="H67" s="47">
        <f>IF($F67="","",IFERROR(INDEX(사건마스터!$C$5:$C$64,MATCH($F67,사건마스터!$A$5:$A$64,0)),""))</f>
        <v/>
      </c>
      <c r="I67" s="48">
        <f>IF($F67="","",IFERROR(INDEX(사건마스터!$H$5:$H$64,MATCH($F67,사건마스터!$A$5:$A$64,0)),""))</f>
        <v/>
      </c>
      <c r="J67" s="48">
        <f>IF($F67="","",IFERROR(INDEX(사건마스터!$AH$5:$AH$64,MATCH($F67,사건마스터!$A$5:$A$64,0)),""))</f>
        <v/>
      </c>
      <c r="K67" s="48">
        <f>IF($F67="","",IFERROR(INDEX(사건마스터!$AI$5:$AI$64,MATCH($F67,사건마스터!$A$5:$A$64,0)),""))</f>
        <v/>
      </c>
      <c r="L67" s="48">
        <f>IF($F67="","",IFERROR(INDEX(사건마스터!$AJ$5:$AJ$64,MATCH($F67,사건마스터!$A$5:$A$64,0)),""))</f>
        <v/>
      </c>
      <c r="M67" s="48">
        <f>IF($F67="","",IFERROR(INDEX(사건마스터!$AK$5:$AK$64,MATCH($F67,사건마스터!$A$5:$A$64,0)),""))</f>
        <v/>
      </c>
      <c r="N67" s="48">
        <f>IF($F67="","",IFERROR(INDEX(사건마스터!$AL$5:$AL$64,MATCH($F67,사건마스터!$A$5:$A$64,0)),""))</f>
        <v/>
      </c>
      <c r="O67" s="43">
        <f>IF($I67="","",COUNTIF($I67:$N67,"?*"))</f>
        <v/>
      </c>
      <c r="P67" s="46">
        <f>IF($I67="","",_xlfn.TEXTJOIN(", ",TRUE,$I67:$N67))</f>
        <v/>
      </c>
      <c r="Q67" s="47">
        <f>IF($I67="","",IFERROR(INDEX(코드설정!$D$5:$D$24,MATCH($I67,코드설정!$C$5:$C$24,0)),""))</f>
        <v/>
      </c>
      <c r="R67" s="49" t="n"/>
      <c r="S67" s="50" t="n"/>
      <c r="T67" s="51" t="n"/>
      <c r="U67" s="43">
        <f>IF(OR($B67="",$C67=""),"",$C67-$B67+1)</f>
        <v/>
      </c>
      <c r="V67" s="52" t="n"/>
      <c r="W67" s="53">
        <f>IF(OR($V67="",$O67=""),"",$V67*$O67)</f>
        <v/>
      </c>
      <c r="X67" s="45" t="n"/>
      <c r="Y67" s="49" t="n"/>
    </row>
    <row r="68">
      <c r="A68" s="43">
        <f>IF($B68="","",COUNT($B$5:$B68))</f>
        <v/>
      </c>
      <c r="B68" s="44" t="n"/>
      <c r="C68" s="44" t="n"/>
      <c r="D68" s="45" t="n"/>
      <c r="E68" s="45" t="n"/>
      <c r="F68" s="45" t="n"/>
      <c r="G68" s="46">
        <f>IF($F68="","",IFERROR(INDEX(사건마스터!$B$5:$B$64,MATCH($F68,사건마스터!$A$5:$A$64,0)),""))</f>
        <v/>
      </c>
      <c r="H68" s="47">
        <f>IF($F68="","",IFERROR(INDEX(사건마스터!$C$5:$C$64,MATCH($F68,사건마스터!$A$5:$A$64,0)),""))</f>
        <v/>
      </c>
      <c r="I68" s="48">
        <f>IF($F68="","",IFERROR(INDEX(사건마스터!$H$5:$H$64,MATCH($F68,사건마스터!$A$5:$A$64,0)),""))</f>
        <v/>
      </c>
      <c r="J68" s="48">
        <f>IF($F68="","",IFERROR(INDEX(사건마스터!$AH$5:$AH$64,MATCH($F68,사건마스터!$A$5:$A$64,0)),""))</f>
        <v/>
      </c>
      <c r="K68" s="48">
        <f>IF($F68="","",IFERROR(INDEX(사건마스터!$AI$5:$AI$64,MATCH($F68,사건마스터!$A$5:$A$64,0)),""))</f>
        <v/>
      </c>
      <c r="L68" s="48">
        <f>IF($F68="","",IFERROR(INDEX(사건마스터!$AJ$5:$AJ$64,MATCH($F68,사건마스터!$A$5:$A$64,0)),""))</f>
        <v/>
      </c>
      <c r="M68" s="48">
        <f>IF($F68="","",IFERROR(INDEX(사건마스터!$AK$5:$AK$64,MATCH($F68,사건마스터!$A$5:$A$64,0)),""))</f>
        <v/>
      </c>
      <c r="N68" s="48">
        <f>IF($F68="","",IFERROR(INDEX(사건마스터!$AL$5:$AL$64,MATCH($F68,사건마스터!$A$5:$A$64,0)),""))</f>
        <v/>
      </c>
      <c r="O68" s="43">
        <f>IF($I68="","",COUNTIF($I68:$N68,"?*"))</f>
        <v/>
      </c>
      <c r="P68" s="46">
        <f>IF($I68="","",_xlfn.TEXTJOIN(", ",TRUE,$I68:$N68))</f>
        <v/>
      </c>
      <c r="Q68" s="47">
        <f>IF($I68="","",IFERROR(INDEX(코드설정!$D$5:$D$24,MATCH($I68,코드설정!$C$5:$C$24,0)),""))</f>
        <v/>
      </c>
      <c r="R68" s="49" t="n"/>
      <c r="S68" s="50" t="n"/>
      <c r="T68" s="51" t="n"/>
      <c r="U68" s="43">
        <f>IF(OR($B68="",$C68=""),"",$C68-$B68+1)</f>
        <v/>
      </c>
      <c r="V68" s="52" t="n"/>
      <c r="W68" s="53">
        <f>IF(OR($V68="",$O68=""),"",$V68*$O68)</f>
        <v/>
      </c>
      <c r="X68" s="45" t="n"/>
      <c r="Y68" s="49" t="n"/>
    </row>
    <row r="69">
      <c r="A69" s="43">
        <f>IF($B69="","",COUNT($B$5:$B69))</f>
        <v/>
      </c>
      <c r="B69" s="44" t="n"/>
      <c r="C69" s="44" t="n"/>
      <c r="D69" s="45" t="n"/>
      <c r="E69" s="45" t="n"/>
      <c r="F69" s="45" t="n"/>
      <c r="G69" s="46">
        <f>IF($F69="","",IFERROR(INDEX(사건마스터!$B$5:$B$64,MATCH($F69,사건마스터!$A$5:$A$64,0)),""))</f>
        <v/>
      </c>
      <c r="H69" s="47">
        <f>IF($F69="","",IFERROR(INDEX(사건마스터!$C$5:$C$64,MATCH($F69,사건마스터!$A$5:$A$64,0)),""))</f>
        <v/>
      </c>
      <c r="I69" s="48">
        <f>IF($F69="","",IFERROR(INDEX(사건마스터!$H$5:$H$64,MATCH($F69,사건마스터!$A$5:$A$64,0)),""))</f>
        <v/>
      </c>
      <c r="J69" s="48">
        <f>IF($F69="","",IFERROR(INDEX(사건마스터!$AH$5:$AH$64,MATCH($F69,사건마스터!$A$5:$A$64,0)),""))</f>
        <v/>
      </c>
      <c r="K69" s="48">
        <f>IF($F69="","",IFERROR(INDEX(사건마스터!$AI$5:$AI$64,MATCH($F69,사건마스터!$A$5:$A$64,0)),""))</f>
        <v/>
      </c>
      <c r="L69" s="48">
        <f>IF($F69="","",IFERROR(INDEX(사건마스터!$AJ$5:$AJ$64,MATCH($F69,사건마스터!$A$5:$A$64,0)),""))</f>
        <v/>
      </c>
      <c r="M69" s="48">
        <f>IF($F69="","",IFERROR(INDEX(사건마스터!$AK$5:$AK$64,MATCH($F69,사건마스터!$A$5:$A$64,0)),""))</f>
        <v/>
      </c>
      <c r="N69" s="48">
        <f>IF($F69="","",IFERROR(INDEX(사건마스터!$AL$5:$AL$64,MATCH($F69,사건마스터!$A$5:$A$64,0)),""))</f>
        <v/>
      </c>
      <c r="O69" s="43">
        <f>IF($I69="","",COUNTIF($I69:$N69,"?*"))</f>
        <v/>
      </c>
      <c r="P69" s="46">
        <f>IF($I69="","",_xlfn.TEXTJOIN(", ",TRUE,$I69:$N69))</f>
        <v/>
      </c>
      <c r="Q69" s="47">
        <f>IF($I69="","",IFERROR(INDEX(코드설정!$D$5:$D$24,MATCH($I69,코드설정!$C$5:$C$24,0)),""))</f>
        <v/>
      </c>
      <c r="R69" s="49" t="n"/>
      <c r="S69" s="50" t="n"/>
      <c r="T69" s="51" t="n"/>
      <c r="U69" s="43">
        <f>IF(OR($B69="",$C69=""),"",$C69-$B69+1)</f>
        <v/>
      </c>
      <c r="V69" s="52" t="n"/>
      <c r="W69" s="53">
        <f>IF(OR($V69="",$O69=""),"",$V69*$O69)</f>
        <v/>
      </c>
      <c r="X69" s="45" t="n"/>
      <c r="Y69" s="49" t="n"/>
    </row>
    <row r="70">
      <c r="A70" s="43">
        <f>IF($B70="","",COUNT($B$5:$B70))</f>
        <v/>
      </c>
      <c r="B70" s="44" t="n"/>
      <c r="C70" s="44" t="n"/>
      <c r="D70" s="45" t="n"/>
      <c r="E70" s="45" t="n"/>
      <c r="F70" s="45" t="n"/>
      <c r="G70" s="46">
        <f>IF($F70="","",IFERROR(INDEX(사건마스터!$B$5:$B$64,MATCH($F70,사건마스터!$A$5:$A$64,0)),""))</f>
        <v/>
      </c>
      <c r="H70" s="47">
        <f>IF($F70="","",IFERROR(INDEX(사건마스터!$C$5:$C$64,MATCH($F70,사건마스터!$A$5:$A$64,0)),""))</f>
        <v/>
      </c>
      <c r="I70" s="48">
        <f>IF($F70="","",IFERROR(INDEX(사건마스터!$H$5:$H$64,MATCH($F70,사건마스터!$A$5:$A$64,0)),""))</f>
        <v/>
      </c>
      <c r="J70" s="48">
        <f>IF($F70="","",IFERROR(INDEX(사건마스터!$AH$5:$AH$64,MATCH($F70,사건마스터!$A$5:$A$64,0)),""))</f>
        <v/>
      </c>
      <c r="K70" s="48">
        <f>IF($F70="","",IFERROR(INDEX(사건마스터!$AI$5:$AI$64,MATCH($F70,사건마스터!$A$5:$A$64,0)),""))</f>
        <v/>
      </c>
      <c r="L70" s="48">
        <f>IF($F70="","",IFERROR(INDEX(사건마스터!$AJ$5:$AJ$64,MATCH($F70,사건마스터!$A$5:$A$64,0)),""))</f>
        <v/>
      </c>
      <c r="M70" s="48">
        <f>IF($F70="","",IFERROR(INDEX(사건마스터!$AK$5:$AK$64,MATCH($F70,사건마스터!$A$5:$A$64,0)),""))</f>
        <v/>
      </c>
      <c r="N70" s="48">
        <f>IF($F70="","",IFERROR(INDEX(사건마스터!$AL$5:$AL$64,MATCH($F70,사건마스터!$A$5:$A$64,0)),""))</f>
        <v/>
      </c>
      <c r="O70" s="43">
        <f>IF($I70="","",COUNTIF($I70:$N70,"?*"))</f>
        <v/>
      </c>
      <c r="P70" s="46">
        <f>IF($I70="","",_xlfn.TEXTJOIN(", ",TRUE,$I70:$N70))</f>
        <v/>
      </c>
      <c r="Q70" s="47">
        <f>IF($I70="","",IFERROR(INDEX(코드설정!$D$5:$D$24,MATCH($I70,코드설정!$C$5:$C$24,0)),""))</f>
        <v/>
      </c>
      <c r="R70" s="49" t="n"/>
      <c r="S70" s="50" t="n"/>
      <c r="T70" s="51" t="n"/>
      <c r="U70" s="43">
        <f>IF(OR($B70="",$C70=""),"",$C70-$B70+1)</f>
        <v/>
      </c>
      <c r="V70" s="52" t="n"/>
      <c r="W70" s="53">
        <f>IF(OR($V70="",$O70=""),"",$V70*$O70)</f>
        <v/>
      </c>
      <c r="X70" s="45" t="n"/>
      <c r="Y70" s="49" t="n"/>
    </row>
    <row r="71">
      <c r="A71" s="43">
        <f>IF($B71="","",COUNT($B$5:$B71))</f>
        <v/>
      </c>
      <c r="B71" s="44" t="n"/>
      <c r="C71" s="44" t="n"/>
      <c r="D71" s="45" t="n"/>
      <c r="E71" s="45" t="n"/>
      <c r="F71" s="45" t="n"/>
      <c r="G71" s="46">
        <f>IF($F71="","",IFERROR(INDEX(사건마스터!$B$5:$B$64,MATCH($F71,사건마스터!$A$5:$A$64,0)),""))</f>
        <v/>
      </c>
      <c r="H71" s="47">
        <f>IF($F71="","",IFERROR(INDEX(사건마스터!$C$5:$C$64,MATCH($F71,사건마스터!$A$5:$A$64,0)),""))</f>
        <v/>
      </c>
      <c r="I71" s="48">
        <f>IF($F71="","",IFERROR(INDEX(사건마스터!$H$5:$H$64,MATCH($F71,사건마스터!$A$5:$A$64,0)),""))</f>
        <v/>
      </c>
      <c r="J71" s="48">
        <f>IF($F71="","",IFERROR(INDEX(사건마스터!$AH$5:$AH$64,MATCH($F71,사건마스터!$A$5:$A$64,0)),""))</f>
        <v/>
      </c>
      <c r="K71" s="48">
        <f>IF($F71="","",IFERROR(INDEX(사건마스터!$AI$5:$AI$64,MATCH($F71,사건마스터!$A$5:$A$64,0)),""))</f>
        <v/>
      </c>
      <c r="L71" s="48">
        <f>IF($F71="","",IFERROR(INDEX(사건마스터!$AJ$5:$AJ$64,MATCH($F71,사건마스터!$A$5:$A$64,0)),""))</f>
        <v/>
      </c>
      <c r="M71" s="48">
        <f>IF($F71="","",IFERROR(INDEX(사건마스터!$AK$5:$AK$64,MATCH($F71,사건마스터!$A$5:$A$64,0)),""))</f>
        <v/>
      </c>
      <c r="N71" s="48">
        <f>IF($F71="","",IFERROR(INDEX(사건마스터!$AL$5:$AL$64,MATCH($F71,사건마스터!$A$5:$A$64,0)),""))</f>
        <v/>
      </c>
      <c r="O71" s="43">
        <f>IF($I71="","",COUNTIF($I71:$N71,"?*"))</f>
        <v/>
      </c>
      <c r="P71" s="46">
        <f>IF($I71="","",_xlfn.TEXTJOIN(", ",TRUE,$I71:$N71))</f>
        <v/>
      </c>
      <c r="Q71" s="47">
        <f>IF($I71="","",IFERROR(INDEX(코드설정!$D$5:$D$24,MATCH($I71,코드설정!$C$5:$C$24,0)),""))</f>
        <v/>
      </c>
      <c r="R71" s="49" t="n"/>
      <c r="S71" s="50" t="n"/>
      <c r="T71" s="51" t="n"/>
      <c r="U71" s="43">
        <f>IF(OR($B71="",$C71=""),"",$C71-$B71+1)</f>
        <v/>
      </c>
      <c r="V71" s="52" t="n"/>
      <c r="W71" s="53">
        <f>IF(OR($V71="",$O71=""),"",$V71*$O71)</f>
        <v/>
      </c>
      <c r="X71" s="45" t="n"/>
      <c r="Y71" s="49" t="n"/>
    </row>
    <row r="72">
      <c r="A72" s="43">
        <f>IF($B72="","",COUNT($B$5:$B72))</f>
        <v/>
      </c>
      <c r="B72" s="44" t="n"/>
      <c r="C72" s="44" t="n"/>
      <c r="D72" s="45" t="n"/>
      <c r="E72" s="45" t="n"/>
      <c r="F72" s="45" t="n"/>
      <c r="G72" s="46">
        <f>IF($F72="","",IFERROR(INDEX(사건마스터!$B$5:$B$64,MATCH($F72,사건마스터!$A$5:$A$64,0)),""))</f>
        <v/>
      </c>
      <c r="H72" s="47">
        <f>IF($F72="","",IFERROR(INDEX(사건마스터!$C$5:$C$64,MATCH($F72,사건마스터!$A$5:$A$64,0)),""))</f>
        <v/>
      </c>
      <c r="I72" s="48">
        <f>IF($F72="","",IFERROR(INDEX(사건마스터!$H$5:$H$64,MATCH($F72,사건마스터!$A$5:$A$64,0)),""))</f>
        <v/>
      </c>
      <c r="J72" s="48">
        <f>IF($F72="","",IFERROR(INDEX(사건마스터!$AH$5:$AH$64,MATCH($F72,사건마스터!$A$5:$A$64,0)),""))</f>
        <v/>
      </c>
      <c r="K72" s="48">
        <f>IF($F72="","",IFERROR(INDEX(사건마스터!$AI$5:$AI$64,MATCH($F72,사건마스터!$A$5:$A$64,0)),""))</f>
        <v/>
      </c>
      <c r="L72" s="48">
        <f>IF($F72="","",IFERROR(INDEX(사건마스터!$AJ$5:$AJ$64,MATCH($F72,사건마스터!$A$5:$A$64,0)),""))</f>
        <v/>
      </c>
      <c r="M72" s="48">
        <f>IF($F72="","",IFERROR(INDEX(사건마스터!$AK$5:$AK$64,MATCH($F72,사건마스터!$A$5:$A$64,0)),""))</f>
        <v/>
      </c>
      <c r="N72" s="48">
        <f>IF($F72="","",IFERROR(INDEX(사건마스터!$AL$5:$AL$64,MATCH($F72,사건마스터!$A$5:$A$64,0)),""))</f>
        <v/>
      </c>
      <c r="O72" s="43">
        <f>IF($I72="","",COUNTIF($I72:$N72,"?*"))</f>
        <v/>
      </c>
      <c r="P72" s="46">
        <f>IF($I72="","",_xlfn.TEXTJOIN(", ",TRUE,$I72:$N72))</f>
        <v/>
      </c>
      <c r="Q72" s="47">
        <f>IF($I72="","",IFERROR(INDEX(코드설정!$D$5:$D$24,MATCH($I72,코드설정!$C$5:$C$24,0)),""))</f>
        <v/>
      </c>
      <c r="R72" s="49" t="n"/>
      <c r="S72" s="50" t="n"/>
      <c r="T72" s="51" t="n"/>
      <c r="U72" s="43">
        <f>IF(OR($B72="",$C72=""),"",$C72-$B72+1)</f>
        <v/>
      </c>
      <c r="V72" s="52" t="n"/>
      <c r="W72" s="53">
        <f>IF(OR($V72="",$O72=""),"",$V72*$O72)</f>
        <v/>
      </c>
      <c r="X72" s="45" t="n"/>
      <c r="Y72" s="49" t="n"/>
    </row>
    <row r="73">
      <c r="A73" s="43">
        <f>IF($B73="","",COUNT($B$5:$B73))</f>
        <v/>
      </c>
      <c r="B73" s="44" t="n"/>
      <c r="C73" s="44" t="n"/>
      <c r="D73" s="45" t="n"/>
      <c r="E73" s="45" t="n"/>
      <c r="F73" s="45" t="n"/>
      <c r="G73" s="46">
        <f>IF($F73="","",IFERROR(INDEX(사건마스터!$B$5:$B$64,MATCH($F73,사건마스터!$A$5:$A$64,0)),""))</f>
        <v/>
      </c>
      <c r="H73" s="47">
        <f>IF($F73="","",IFERROR(INDEX(사건마스터!$C$5:$C$64,MATCH($F73,사건마스터!$A$5:$A$64,0)),""))</f>
        <v/>
      </c>
      <c r="I73" s="48">
        <f>IF($F73="","",IFERROR(INDEX(사건마스터!$H$5:$H$64,MATCH($F73,사건마스터!$A$5:$A$64,0)),""))</f>
        <v/>
      </c>
      <c r="J73" s="48">
        <f>IF($F73="","",IFERROR(INDEX(사건마스터!$AH$5:$AH$64,MATCH($F73,사건마스터!$A$5:$A$64,0)),""))</f>
        <v/>
      </c>
      <c r="K73" s="48">
        <f>IF($F73="","",IFERROR(INDEX(사건마스터!$AI$5:$AI$64,MATCH($F73,사건마스터!$A$5:$A$64,0)),""))</f>
        <v/>
      </c>
      <c r="L73" s="48">
        <f>IF($F73="","",IFERROR(INDEX(사건마스터!$AJ$5:$AJ$64,MATCH($F73,사건마스터!$A$5:$A$64,0)),""))</f>
        <v/>
      </c>
      <c r="M73" s="48">
        <f>IF($F73="","",IFERROR(INDEX(사건마스터!$AK$5:$AK$64,MATCH($F73,사건마스터!$A$5:$A$64,0)),""))</f>
        <v/>
      </c>
      <c r="N73" s="48">
        <f>IF($F73="","",IFERROR(INDEX(사건마스터!$AL$5:$AL$64,MATCH($F73,사건마스터!$A$5:$A$64,0)),""))</f>
        <v/>
      </c>
      <c r="O73" s="43">
        <f>IF($I73="","",COUNTIF($I73:$N73,"?*"))</f>
        <v/>
      </c>
      <c r="P73" s="46">
        <f>IF($I73="","",_xlfn.TEXTJOIN(", ",TRUE,$I73:$N73))</f>
        <v/>
      </c>
      <c r="Q73" s="47">
        <f>IF($I73="","",IFERROR(INDEX(코드설정!$D$5:$D$24,MATCH($I73,코드설정!$C$5:$C$24,0)),""))</f>
        <v/>
      </c>
      <c r="R73" s="49" t="n"/>
      <c r="S73" s="50" t="n"/>
      <c r="T73" s="51" t="n"/>
      <c r="U73" s="43">
        <f>IF(OR($B73="",$C73=""),"",$C73-$B73+1)</f>
        <v/>
      </c>
      <c r="V73" s="52" t="n"/>
      <c r="W73" s="53">
        <f>IF(OR($V73="",$O73=""),"",$V73*$O73)</f>
        <v/>
      </c>
      <c r="X73" s="45" t="n"/>
      <c r="Y73" s="49" t="n"/>
    </row>
    <row r="74">
      <c r="A74" s="43">
        <f>IF($B74="","",COUNT($B$5:$B74))</f>
        <v/>
      </c>
      <c r="B74" s="44" t="n"/>
      <c r="C74" s="44" t="n"/>
      <c r="D74" s="45" t="n"/>
      <c r="E74" s="45" t="n"/>
      <c r="F74" s="45" t="n"/>
      <c r="G74" s="46">
        <f>IF($F74="","",IFERROR(INDEX(사건마스터!$B$5:$B$64,MATCH($F74,사건마스터!$A$5:$A$64,0)),""))</f>
        <v/>
      </c>
      <c r="H74" s="47">
        <f>IF($F74="","",IFERROR(INDEX(사건마스터!$C$5:$C$64,MATCH($F74,사건마스터!$A$5:$A$64,0)),""))</f>
        <v/>
      </c>
      <c r="I74" s="48">
        <f>IF($F74="","",IFERROR(INDEX(사건마스터!$H$5:$H$64,MATCH($F74,사건마스터!$A$5:$A$64,0)),""))</f>
        <v/>
      </c>
      <c r="J74" s="48">
        <f>IF($F74="","",IFERROR(INDEX(사건마스터!$AH$5:$AH$64,MATCH($F74,사건마스터!$A$5:$A$64,0)),""))</f>
        <v/>
      </c>
      <c r="K74" s="48">
        <f>IF($F74="","",IFERROR(INDEX(사건마스터!$AI$5:$AI$64,MATCH($F74,사건마스터!$A$5:$A$64,0)),""))</f>
        <v/>
      </c>
      <c r="L74" s="48">
        <f>IF($F74="","",IFERROR(INDEX(사건마스터!$AJ$5:$AJ$64,MATCH($F74,사건마스터!$A$5:$A$64,0)),""))</f>
        <v/>
      </c>
      <c r="M74" s="48">
        <f>IF($F74="","",IFERROR(INDEX(사건마스터!$AK$5:$AK$64,MATCH($F74,사건마스터!$A$5:$A$64,0)),""))</f>
        <v/>
      </c>
      <c r="N74" s="48">
        <f>IF($F74="","",IFERROR(INDEX(사건마스터!$AL$5:$AL$64,MATCH($F74,사건마스터!$A$5:$A$64,0)),""))</f>
        <v/>
      </c>
      <c r="O74" s="43">
        <f>IF($I74="","",COUNTIF($I74:$N74,"?*"))</f>
        <v/>
      </c>
      <c r="P74" s="46">
        <f>IF($I74="","",_xlfn.TEXTJOIN(", ",TRUE,$I74:$N74))</f>
        <v/>
      </c>
      <c r="Q74" s="47">
        <f>IF($I74="","",IFERROR(INDEX(코드설정!$D$5:$D$24,MATCH($I74,코드설정!$C$5:$C$24,0)),""))</f>
        <v/>
      </c>
      <c r="R74" s="49" t="n"/>
      <c r="S74" s="50" t="n"/>
      <c r="T74" s="51" t="n"/>
      <c r="U74" s="43">
        <f>IF(OR($B74="",$C74=""),"",$C74-$B74+1)</f>
        <v/>
      </c>
      <c r="V74" s="52" t="n"/>
      <c r="W74" s="53">
        <f>IF(OR($V74="",$O74=""),"",$V74*$O74)</f>
        <v/>
      </c>
      <c r="X74" s="45" t="n"/>
      <c r="Y74" s="49" t="n"/>
    </row>
    <row r="75">
      <c r="A75" s="43">
        <f>IF($B75="","",COUNT($B$5:$B75))</f>
        <v/>
      </c>
      <c r="B75" s="44" t="n"/>
      <c r="C75" s="44" t="n"/>
      <c r="D75" s="45" t="n"/>
      <c r="E75" s="45" t="n"/>
      <c r="F75" s="45" t="n"/>
      <c r="G75" s="46">
        <f>IF($F75="","",IFERROR(INDEX(사건마스터!$B$5:$B$64,MATCH($F75,사건마스터!$A$5:$A$64,0)),""))</f>
        <v/>
      </c>
      <c r="H75" s="47">
        <f>IF($F75="","",IFERROR(INDEX(사건마스터!$C$5:$C$64,MATCH($F75,사건마스터!$A$5:$A$64,0)),""))</f>
        <v/>
      </c>
      <c r="I75" s="48">
        <f>IF($F75="","",IFERROR(INDEX(사건마스터!$H$5:$H$64,MATCH($F75,사건마스터!$A$5:$A$64,0)),""))</f>
        <v/>
      </c>
      <c r="J75" s="48">
        <f>IF($F75="","",IFERROR(INDEX(사건마스터!$AH$5:$AH$64,MATCH($F75,사건마스터!$A$5:$A$64,0)),""))</f>
        <v/>
      </c>
      <c r="K75" s="48">
        <f>IF($F75="","",IFERROR(INDEX(사건마스터!$AI$5:$AI$64,MATCH($F75,사건마스터!$A$5:$A$64,0)),""))</f>
        <v/>
      </c>
      <c r="L75" s="48">
        <f>IF($F75="","",IFERROR(INDEX(사건마스터!$AJ$5:$AJ$64,MATCH($F75,사건마스터!$A$5:$A$64,0)),""))</f>
        <v/>
      </c>
      <c r="M75" s="48">
        <f>IF($F75="","",IFERROR(INDEX(사건마스터!$AK$5:$AK$64,MATCH($F75,사건마스터!$A$5:$A$64,0)),""))</f>
        <v/>
      </c>
      <c r="N75" s="48">
        <f>IF($F75="","",IFERROR(INDEX(사건마스터!$AL$5:$AL$64,MATCH($F75,사건마스터!$A$5:$A$64,0)),""))</f>
        <v/>
      </c>
      <c r="O75" s="43">
        <f>IF($I75="","",COUNTIF($I75:$N75,"?*"))</f>
        <v/>
      </c>
      <c r="P75" s="46">
        <f>IF($I75="","",_xlfn.TEXTJOIN(", ",TRUE,$I75:$N75))</f>
        <v/>
      </c>
      <c r="Q75" s="47">
        <f>IF($I75="","",IFERROR(INDEX(코드설정!$D$5:$D$24,MATCH($I75,코드설정!$C$5:$C$24,0)),""))</f>
        <v/>
      </c>
      <c r="R75" s="49" t="n"/>
      <c r="S75" s="50" t="n"/>
      <c r="T75" s="51" t="n"/>
      <c r="U75" s="43">
        <f>IF(OR($B75="",$C75=""),"",$C75-$B75+1)</f>
        <v/>
      </c>
      <c r="V75" s="52" t="n"/>
      <c r="W75" s="53">
        <f>IF(OR($V75="",$O75=""),"",$V75*$O75)</f>
        <v/>
      </c>
      <c r="X75" s="45" t="n"/>
      <c r="Y75" s="49" t="n"/>
    </row>
    <row r="76">
      <c r="A76" s="43">
        <f>IF($B76="","",COUNT($B$5:$B76))</f>
        <v/>
      </c>
      <c r="B76" s="44" t="n"/>
      <c r="C76" s="44" t="n"/>
      <c r="D76" s="45" t="n"/>
      <c r="E76" s="45" t="n"/>
      <c r="F76" s="45" t="n"/>
      <c r="G76" s="46">
        <f>IF($F76="","",IFERROR(INDEX(사건마스터!$B$5:$B$64,MATCH($F76,사건마스터!$A$5:$A$64,0)),""))</f>
        <v/>
      </c>
      <c r="H76" s="47">
        <f>IF($F76="","",IFERROR(INDEX(사건마스터!$C$5:$C$64,MATCH($F76,사건마스터!$A$5:$A$64,0)),""))</f>
        <v/>
      </c>
      <c r="I76" s="48">
        <f>IF($F76="","",IFERROR(INDEX(사건마스터!$H$5:$H$64,MATCH($F76,사건마스터!$A$5:$A$64,0)),""))</f>
        <v/>
      </c>
      <c r="J76" s="48">
        <f>IF($F76="","",IFERROR(INDEX(사건마스터!$AH$5:$AH$64,MATCH($F76,사건마스터!$A$5:$A$64,0)),""))</f>
        <v/>
      </c>
      <c r="K76" s="48">
        <f>IF($F76="","",IFERROR(INDEX(사건마스터!$AI$5:$AI$64,MATCH($F76,사건마스터!$A$5:$A$64,0)),""))</f>
        <v/>
      </c>
      <c r="L76" s="48">
        <f>IF($F76="","",IFERROR(INDEX(사건마스터!$AJ$5:$AJ$64,MATCH($F76,사건마스터!$A$5:$A$64,0)),""))</f>
        <v/>
      </c>
      <c r="M76" s="48">
        <f>IF($F76="","",IFERROR(INDEX(사건마스터!$AK$5:$AK$64,MATCH($F76,사건마스터!$A$5:$A$64,0)),""))</f>
        <v/>
      </c>
      <c r="N76" s="48">
        <f>IF($F76="","",IFERROR(INDEX(사건마스터!$AL$5:$AL$64,MATCH($F76,사건마스터!$A$5:$A$64,0)),""))</f>
        <v/>
      </c>
      <c r="O76" s="43">
        <f>IF($I76="","",COUNTIF($I76:$N76,"?*"))</f>
        <v/>
      </c>
      <c r="P76" s="46">
        <f>IF($I76="","",_xlfn.TEXTJOIN(", ",TRUE,$I76:$N76))</f>
        <v/>
      </c>
      <c r="Q76" s="47">
        <f>IF($I76="","",IFERROR(INDEX(코드설정!$D$5:$D$24,MATCH($I76,코드설정!$C$5:$C$24,0)),""))</f>
        <v/>
      </c>
      <c r="R76" s="49" t="n"/>
      <c r="S76" s="50" t="n"/>
      <c r="T76" s="51" t="n"/>
      <c r="U76" s="43">
        <f>IF(OR($B76="",$C76=""),"",$C76-$B76+1)</f>
        <v/>
      </c>
      <c r="V76" s="52" t="n"/>
      <c r="W76" s="53">
        <f>IF(OR($V76="",$O76=""),"",$V76*$O76)</f>
        <v/>
      </c>
      <c r="X76" s="45" t="n"/>
      <c r="Y76" s="49" t="n"/>
    </row>
    <row r="77">
      <c r="A77" s="43">
        <f>IF($B77="","",COUNT($B$5:$B77))</f>
        <v/>
      </c>
      <c r="B77" s="44" t="n"/>
      <c r="C77" s="44" t="n"/>
      <c r="D77" s="45" t="n"/>
      <c r="E77" s="45" t="n"/>
      <c r="F77" s="45" t="n"/>
      <c r="G77" s="46">
        <f>IF($F77="","",IFERROR(INDEX(사건마스터!$B$5:$B$64,MATCH($F77,사건마스터!$A$5:$A$64,0)),""))</f>
        <v/>
      </c>
      <c r="H77" s="47">
        <f>IF($F77="","",IFERROR(INDEX(사건마스터!$C$5:$C$64,MATCH($F77,사건마스터!$A$5:$A$64,0)),""))</f>
        <v/>
      </c>
      <c r="I77" s="48">
        <f>IF($F77="","",IFERROR(INDEX(사건마스터!$H$5:$H$64,MATCH($F77,사건마스터!$A$5:$A$64,0)),""))</f>
        <v/>
      </c>
      <c r="J77" s="48">
        <f>IF($F77="","",IFERROR(INDEX(사건마스터!$AH$5:$AH$64,MATCH($F77,사건마스터!$A$5:$A$64,0)),""))</f>
        <v/>
      </c>
      <c r="K77" s="48">
        <f>IF($F77="","",IFERROR(INDEX(사건마스터!$AI$5:$AI$64,MATCH($F77,사건마스터!$A$5:$A$64,0)),""))</f>
        <v/>
      </c>
      <c r="L77" s="48">
        <f>IF($F77="","",IFERROR(INDEX(사건마스터!$AJ$5:$AJ$64,MATCH($F77,사건마스터!$A$5:$A$64,0)),""))</f>
        <v/>
      </c>
      <c r="M77" s="48">
        <f>IF($F77="","",IFERROR(INDEX(사건마스터!$AK$5:$AK$64,MATCH($F77,사건마스터!$A$5:$A$64,0)),""))</f>
        <v/>
      </c>
      <c r="N77" s="48">
        <f>IF($F77="","",IFERROR(INDEX(사건마스터!$AL$5:$AL$64,MATCH($F77,사건마스터!$A$5:$A$64,0)),""))</f>
        <v/>
      </c>
      <c r="O77" s="43">
        <f>IF($I77="","",COUNTIF($I77:$N77,"?*"))</f>
        <v/>
      </c>
      <c r="P77" s="46">
        <f>IF($I77="","",_xlfn.TEXTJOIN(", ",TRUE,$I77:$N77))</f>
        <v/>
      </c>
      <c r="Q77" s="47">
        <f>IF($I77="","",IFERROR(INDEX(코드설정!$D$5:$D$24,MATCH($I77,코드설정!$C$5:$C$24,0)),""))</f>
        <v/>
      </c>
      <c r="R77" s="49" t="n"/>
      <c r="S77" s="50" t="n"/>
      <c r="T77" s="51" t="n"/>
      <c r="U77" s="43">
        <f>IF(OR($B77="",$C77=""),"",$C77-$B77+1)</f>
        <v/>
      </c>
      <c r="V77" s="52" t="n"/>
      <c r="W77" s="53">
        <f>IF(OR($V77="",$O77=""),"",$V77*$O77)</f>
        <v/>
      </c>
      <c r="X77" s="45" t="n"/>
      <c r="Y77" s="49" t="n"/>
    </row>
    <row r="78">
      <c r="A78" s="43">
        <f>IF($B78="","",COUNT($B$5:$B78))</f>
        <v/>
      </c>
      <c r="B78" s="44" t="n"/>
      <c r="C78" s="44" t="n"/>
      <c r="D78" s="45" t="n"/>
      <c r="E78" s="45" t="n"/>
      <c r="F78" s="45" t="n"/>
      <c r="G78" s="46">
        <f>IF($F78="","",IFERROR(INDEX(사건마스터!$B$5:$B$64,MATCH($F78,사건마스터!$A$5:$A$64,0)),""))</f>
        <v/>
      </c>
      <c r="H78" s="47">
        <f>IF($F78="","",IFERROR(INDEX(사건마스터!$C$5:$C$64,MATCH($F78,사건마스터!$A$5:$A$64,0)),""))</f>
        <v/>
      </c>
      <c r="I78" s="48">
        <f>IF($F78="","",IFERROR(INDEX(사건마스터!$H$5:$H$64,MATCH($F78,사건마스터!$A$5:$A$64,0)),""))</f>
        <v/>
      </c>
      <c r="J78" s="48">
        <f>IF($F78="","",IFERROR(INDEX(사건마스터!$AH$5:$AH$64,MATCH($F78,사건마스터!$A$5:$A$64,0)),""))</f>
        <v/>
      </c>
      <c r="K78" s="48">
        <f>IF($F78="","",IFERROR(INDEX(사건마스터!$AI$5:$AI$64,MATCH($F78,사건마스터!$A$5:$A$64,0)),""))</f>
        <v/>
      </c>
      <c r="L78" s="48">
        <f>IF($F78="","",IFERROR(INDEX(사건마스터!$AJ$5:$AJ$64,MATCH($F78,사건마스터!$A$5:$A$64,0)),""))</f>
        <v/>
      </c>
      <c r="M78" s="48">
        <f>IF($F78="","",IFERROR(INDEX(사건마스터!$AK$5:$AK$64,MATCH($F78,사건마스터!$A$5:$A$64,0)),""))</f>
        <v/>
      </c>
      <c r="N78" s="48">
        <f>IF($F78="","",IFERROR(INDEX(사건마스터!$AL$5:$AL$64,MATCH($F78,사건마스터!$A$5:$A$64,0)),""))</f>
        <v/>
      </c>
      <c r="O78" s="43">
        <f>IF($I78="","",COUNTIF($I78:$N78,"?*"))</f>
        <v/>
      </c>
      <c r="P78" s="46">
        <f>IF($I78="","",_xlfn.TEXTJOIN(", ",TRUE,$I78:$N78))</f>
        <v/>
      </c>
      <c r="Q78" s="47">
        <f>IF($I78="","",IFERROR(INDEX(코드설정!$D$5:$D$24,MATCH($I78,코드설정!$C$5:$C$24,0)),""))</f>
        <v/>
      </c>
      <c r="R78" s="49" t="n"/>
      <c r="S78" s="50" t="n"/>
      <c r="T78" s="51" t="n"/>
      <c r="U78" s="43">
        <f>IF(OR($B78="",$C78=""),"",$C78-$B78+1)</f>
        <v/>
      </c>
      <c r="V78" s="52" t="n"/>
      <c r="W78" s="53">
        <f>IF(OR($V78="",$O78=""),"",$V78*$O78)</f>
        <v/>
      </c>
      <c r="X78" s="45" t="n"/>
      <c r="Y78" s="49" t="n"/>
    </row>
    <row r="79">
      <c r="A79" s="43">
        <f>IF($B79="","",COUNT($B$5:$B79))</f>
        <v/>
      </c>
      <c r="B79" s="44" t="n"/>
      <c r="C79" s="44" t="n"/>
      <c r="D79" s="45" t="n"/>
      <c r="E79" s="45" t="n"/>
      <c r="F79" s="45" t="n"/>
      <c r="G79" s="46">
        <f>IF($F79="","",IFERROR(INDEX(사건마스터!$B$5:$B$64,MATCH($F79,사건마스터!$A$5:$A$64,0)),""))</f>
        <v/>
      </c>
      <c r="H79" s="47">
        <f>IF($F79="","",IFERROR(INDEX(사건마스터!$C$5:$C$64,MATCH($F79,사건마스터!$A$5:$A$64,0)),""))</f>
        <v/>
      </c>
      <c r="I79" s="48">
        <f>IF($F79="","",IFERROR(INDEX(사건마스터!$H$5:$H$64,MATCH($F79,사건마스터!$A$5:$A$64,0)),""))</f>
        <v/>
      </c>
      <c r="J79" s="48">
        <f>IF($F79="","",IFERROR(INDEX(사건마스터!$AH$5:$AH$64,MATCH($F79,사건마스터!$A$5:$A$64,0)),""))</f>
        <v/>
      </c>
      <c r="K79" s="48">
        <f>IF($F79="","",IFERROR(INDEX(사건마스터!$AI$5:$AI$64,MATCH($F79,사건마스터!$A$5:$A$64,0)),""))</f>
        <v/>
      </c>
      <c r="L79" s="48">
        <f>IF($F79="","",IFERROR(INDEX(사건마스터!$AJ$5:$AJ$64,MATCH($F79,사건마스터!$A$5:$A$64,0)),""))</f>
        <v/>
      </c>
      <c r="M79" s="48">
        <f>IF($F79="","",IFERROR(INDEX(사건마스터!$AK$5:$AK$64,MATCH($F79,사건마스터!$A$5:$A$64,0)),""))</f>
        <v/>
      </c>
      <c r="N79" s="48">
        <f>IF($F79="","",IFERROR(INDEX(사건마스터!$AL$5:$AL$64,MATCH($F79,사건마스터!$A$5:$A$64,0)),""))</f>
        <v/>
      </c>
      <c r="O79" s="43">
        <f>IF($I79="","",COUNTIF($I79:$N79,"?*"))</f>
        <v/>
      </c>
      <c r="P79" s="46">
        <f>IF($I79="","",_xlfn.TEXTJOIN(", ",TRUE,$I79:$N79))</f>
        <v/>
      </c>
      <c r="Q79" s="47">
        <f>IF($I79="","",IFERROR(INDEX(코드설정!$D$5:$D$24,MATCH($I79,코드설정!$C$5:$C$24,0)),""))</f>
        <v/>
      </c>
      <c r="R79" s="49" t="n"/>
      <c r="S79" s="50" t="n"/>
      <c r="T79" s="51" t="n"/>
      <c r="U79" s="43">
        <f>IF(OR($B79="",$C79=""),"",$C79-$B79+1)</f>
        <v/>
      </c>
      <c r="V79" s="52" t="n"/>
      <c r="W79" s="53">
        <f>IF(OR($V79="",$O79=""),"",$V79*$O79)</f>
        <v/>
      </c>
      <c r="X79" s="45" t="n"/>
      <c r="Y79" s="49" t="n"/>
    </row>
    <row r="80">
      <c r="A80" s="43">
        <f>IF($B80="","",COUNT($B$5:$B80))</f>
        <v/>
      </c>
      <c r="B80" s="44" t="n"/>
      <c r="C80" s="44" t="n"/>
      <c r="D80" s="45" t="n"/>
      <c r="E80" s="45" t="n"/>
      <c r="F80" s="45" t="n"/>
      <c r="G80" s="46">
        <f>IF($F80="","",IFERROR(INDEX(사건마스터!$B$5:$B$64,MATCH($F80,사건마스터!$A$5:$A$64,0)),""))</f>
        <v/>
      </c>
      <c r="H80" s="47">
        <f>IF($F80="","",IFERROR(INDEX(사건마스터!$C$5:$C$64,MATCH($F80,사건마스터!$A$5:$A$64,0)),""))</f>
        <v/>
      </c>
      <c r="I80" s="48">
        <f>IF($F80="","",IFERROR(INDEX(사건마스터!$H$5:$H$64,MATCH($F80,사건마스터!$A$5:$A$64,0)),""))</f>
        <v/>
      </c>
      <c r="J80" s="48">
        <f>IF($F80="","",IFERROR(INDEX(사건마스터!$AH$5:$AH$64,MATCH($F80,사건마스터!$A$5:$A$64,0)),""))</f>
        <v/>
      </c>
      <c r="K80" s="48">
        <f>IF($F80="","",IFERROR(INDEX(사건마스터!$AI$5:$AI$64,MATCH($F80,사건마스터!$A$5:$A$64,0)),""))</f>
        <v/>
      </c>
      <c r="L80" s="48">
        <f>IF($F80="","",IFERROR(INDEX(사건마스터!$AJ$5:$AJ$64,MATCH($F80,사건마스터!$A$5:$A$64,0)),""))</f>
        <v/>
      </c>
      <c r="M80" s="48">
        <f>IF($F80="","",IFERROR(INDEX(사건마스터!$AK$5:$AK$64,MATCH($F80,사건마스터!$A$5:$A$64,0)),""))</f>
        <v/>
      </c>
      <c r="N80" s="48">
        <f>IF($F80="","",IFERROR(INDEX(사건마스터!$AL$5:$AL$64,MATCH($F80,사건마스터!$A$5:$A$64,0)),""))</f>
        <v/>
      </c>
      <c r="O80" s="43">
        <f>IF($I80="","",COUNTIF($I80:$N80,"?*"))</f>
        <v/>
      </c>
      <c r="P80" s="46">
        <f>IF($I80="","",_xlfn.TEXTJOIN(", ",TRUE,$I80:$N80))</f>
        <v/>
      </c>
      <c r="Q80" s="47">
        <f>IF($I80="","",IFERROR(INDEX(코드설정!$D$5:$D$24,MATCH($I80,코드설정!$C$5:$C$24,0)),""))</f>
        <v/>
      </c>
      <c r="R80" s="49" t="n"/>
      <c r="S80" s="50" t="n"/>
      <c r="T80" s="51" t="n"/>
      <c r="U80" s="43">
        <f>IF(OR($B80="",$C80=""),"",$C80-$B80+1)</f>
        <v/>
      </c>
      <c r="V80" s="52" t="n"/>
      <c r="W80" s="53">
        <f>IF(OR($V80="",$O80=""),"",$V80*$O80)</f>
        <v/>
      </c>
      <c r="X80" s="45" t="n"/>
      <c r="Y80" s="49" t="n"/>
    </row>
    <row r="81">
      <c r="A81" s="43">
        <f>IF($B81="","",COUNT($B$5:$B81))</f>
        <v/>
      </c>
      <c r="B81" s="44" t="n"/>
      <c r="C81" s="44" t="n"/>
      <c r="D81" s="45" t="n"/>
      <c r="E81" s="45" t="n"/>
      <c r="F81" s="45" t="n"/>
      <c r="G81" s="46">
        <f>IF($F81="","",IFERROR(INDEX(사건마스터!$B$5:$B$64,MATCH($F81,사건마스터!$A$5:$A$64,0)),""))</f>
        <v/>
      </c>
      <c r="H81" s="47">
        <f>IF($F81="","",IFERROR(INDEX(사건마스터!$C$5:$C$64,MATCH($F81,사건마스터!$A$5:$A$64,0)),""))</f>
        <v/>
      </c>
      <c r="I81" s="48">
        <f>IF($F81="","",IFERROR(INDEX(사건마스터!$H$5:$H$64,MATCH($F81,사건마스터!$A$5:$A$64,0)),""))</f>
        <v/>
      </c>
      <c r="J81" s="48">
        <f>IF($F81="","",IFERROR(INDEX(사건마스터!$AH$5:$AH$64,MATCH($F81,사건마스터!$A$5:$A$64,0)),""))</f>
        <v/>
      </c>
      <c r="K81" s="48">
        <f>IF($F81="","",IFERROR(INDEX(사건마스터!$AI$5:$AI$64,MATCH($F81,사건마스터!$A$5:$A$64,0)),""))</f>
        <v/>
      </c>
      <c r="L81" s="48">
        <f>IF($F81="","",IFERROR(INDEX(사건마스터!$AJ$5:$AJ$64,MATCH($F81,사건마스터!$A$5:$A$64,0)),""))</f>
        <v/>
      </c>
      <c r="M81" s="48">
        <f>IF($F81="","",IFERROR(INDEX(사건마스터!$AK$5:$AK$64,MATCH($F81,사건마스터!$A$5:$A$64,0)),""))</f>
        <v/>
      </c>
      <c r="N81" s="48">
        <f>IF($F81="","",IFERROR(INDEX(사건마스터!$AL$5:$AL$64,MATCH($F81,사건마스터!$A$5:$A$64,0)),""))</f>
        <v/>
      </c>
      <c r="O81" s="43">
        <f>IF($I81="","",COUNTIF($I81:$N81,"?*"))</f>
        <v/>
      </c>
      <c r="P81" s="46">
        <f>IF($I81="","",_xlfn.TEXTJOIN(", ",TRUE,$I81:$N81))</f>
        <v/>
      </c>
      <c r="Q81" s="47">
        <f>IF($I81="","",IFERROR(INDEX(코드설정!$D$5:$D$24,MATCH($I81,코드설정!$C$5:$C$24,0)),""))</f>
        <v/>
      </c>
      <c r="R81" s="49" t="n"/>
      <c r="S81" s="50" t="n"/>
      <c r="T81" s="51" t="n"/>
      <c r="U81" s="43">
        <f>IF(OR($B81="",$C81=""),"",$C81-$B81+1)</f>
        <v/>
      </c>
      <c r="V81" s="52" t="n"/>
      <c r="W81" s="53">
        <f>IF(OR($V81="",$O81=""),"",$V81*$O81)</f>
        <v/>
      </c>
      <c r="X81" s="45" t="n"/>
      <c r="Y81" s="49" t="n"/>
    </row>
    <row r="82">
      <c r="A82" s="43">
        <f>IF($B82="","",COUNT($B$5:$B82))</f>
        <v/>
      </c>
      <c r="B82" s="44" t="n"/>
      <c r="C82" s="44" t="n"/>
      <c r="D82" s="45" t="n"/>
      <c r="E82" s="45" t="n"/>
      <c r="F82" s="45" t="n"/>
      <c r="G82" s="46">
        <f>IF($F82="","",IFERROR(INDEX(사건마스터!$B$5:$B$64,MATCH($F82,사건마스터!$A$5:$A$64,0)),""))</f>
        <v/>
      </c>
      <c r="H82" s="47">
        <f>IF($F82="","",IFERROR(INDEX(사건마스터!$C$5:$C$64,MATCH($F82,사건마스터!$A$5:$A$64,0)),""))</f>
        <v/>
      </c>
      <c r="I82" s="48">
        <f>IF($F82="","",IFERROR(INDEX(사건마스터!$H$5:$H$64,MATCH($F82,사건마스터!$A$5:$A$64,0)),""))</f>
        <v/>
      </c>
      <c r="J82" s="48">
        <f>IF($F82="","",IFERROR(INDEX(사건마스터!$AH$5:$AH$64,MATCH($F82,사건마스터!$A$5:$A$64,0)),""))</f>
        <v/>
      </c>
      <c r="K82" s="48">
        <f>IF($F82="","",IFERROR(INDEX(사건마스터!$AI$5:$AI$64,MATCH($F82,사건마스터!$A$5:$A$64,0)),""))</f>
        <v/>
      </c>
      <c r="L82" s="48">
        <f>IF($F82="","",IFERROR(INDEX(사건마스터!$AJ$5:$AJ$64,MATCH($F82,사건마스터!$A$5:$A$64,0)),""))</f>
        <v/>
      </c>
      <c r="M82" s="48">
        <f>IF($F82="","",IFERROR(INDEX(사건마스터!$AK$5:$AK$64,MATCH($F82,사건마스터!$A$5:$A$64,0)),""))</f>
        <v/>
      </c>
      <c r="N82" s="48">
        <f>IF($F82="","",IFERROR(INDEX(사건마스터!$AL$5:$AL$64,MATCH($F82,사건마스터!$A$5:$A$64,0)),""))</f>
        <v/>
      </c>
      <c r="O82" s="43">
        <f>IF($I82="","",COUNTIF($I82:$N82,"?*"))</f>
        <v/>
      </c>
      <c r="P82" s="46">
        <f>IF($I82="","",_xlfn.TEXTJOIN(", ",TRUE,$I82:$N82))</f>
        <v/>
      </c>
      <c r="Q82" s="47">
        <f>IF($I82="","",IFERROR(INDEX(코드설정!$D$5:$D$24,MATCH($I82,코드설정!$C$5:$C$24,0)),""))</f>
        <v/>
      </c>
      <c r="R82" s="49" t="n"/>
      <c r="S82" s="50" t="n"/>
      <c r="T82" s="51" t="n"/>
      <c r="U82" s="43">
        <f>IF(OR($B82="",$C82=""),"",$C82-$B82+1)</f>
        <v/>
      </c>
      <c r="V82" s="52" t="n"/>
      <c r="W82" s="53">
        <f>IF(OR($V82="",$O82=""),"",$V82*$O82)</f>
        <v/>
      </c>
      <c r="X82" s="45" t="n"/>
      <c r="Y82" s="49" t="n"/>
    </row>
    <row r="83">
      <c r="A83" s="43">
        <f>IF($B83="","",COUNT($B$5:$B83))</f>
        <v/>
      </c>
      <c r="B83" s="44" t="n"/>
      <c r="C83" s="44" t="n"/>
      <c r="D83" s="45" t="n"/>
      <c r="E83" s="45" t="n"/>
      <c r="F83" s="45" t="n"/>
      <c r="G83" s="46">
        <f>IF($F83="","",IFERROR(INDEX(사건마스터!$B$5:$B$64,MATCH($F83,사건마스터!$A$5:$A$64,0)),""))</f>
        <v/>
      </c>
      <c r="H83" s="47">
        <f>IF($F83="","",IFERROR(INDEX(사건마스터!$C$5:$C$64,MATCH($F83,사건마스터!$A$5:$A$64,0)),""))</f>
        <v/>
      </c>
      <c r="I83" s="48">
        <f>IF($F83="","",IFERROR(INDEX(사건마스터!$H$5:$H$64,MATCH($F83,사건마스터!$A$5:$A$64,0)),""))</f>
        <v/>
      </c>
      <c r="J83" s="48">
        <f>IF($F83="","",IFERROR(INDEX(사건마스터!$AH$5:$AH$64,MATCH($F83,사건마스터!$A$5:$A$64,0)),""))</f>
        <v/>
      </c>
      <c r="K83" s="48">
        <f>IF($F83="","",IFERROR(INDEX(사건마스터!$AI$5:$AI$64,MATCH($F83,사건마스터!$A$5:$A$64,0)),""))</f>
        <v/>
      </c>
      <c r="L83" s="48">
        <f>IF($F83="","",IFERROR(INDEX(사건마스터!$AJ$5:$AJ$64,MATCH($F83,사건마스터!$A$5:$A$64,0)),""))</f>
        <v/>
      </c>
      <c r="M83" s="48">
        <f>IF($F83="","",IFERROR(INDEX(사건마스터!$AK$5:$AK$64,MATCH($F83,사건마스터!$A$5:$A$64,0)),""))</f>
        <v/>
      </c>
      <c r="N83" s="48">
        <f>IF($F83="","",IFERROR(INDEX(사건마스터!$AL$5:$AL$64,MATCH($F83,사건마스터!$A$5:$A$64,0)),""))</f>
        <v/>
      </c>
      <c r="O83" s="43">
        <f>IF($I83="","",COUNTIF($I83:$N83,"?*"))</f>
        <v/>
      </c>
      <c r="P83" s="46">
        <f>IF($I83="","",_xlfn.TEXTJOIN(", ",TRUE,$I83:$N83))</f>
        <v/>
      </c>
      <c r="Q83" s="47">
        <f>IF($I83="","",IFERROR(INDEX(코드설정!$D$5:$D$24,MATCH($I83,코드설정!$C$5:$C$24,0)),""))</f>
        <v/>
      </c>
      <c r="R83" s="49" t="n"/>
      <c r="S83" s="50" t="n"/>
      <c r="T83" s="51" t="n"/>
      <c r="U83" s="43">
        <f>IF(OR($B83="",$C83=""),"",$C83-$B83+1)</f>
        <v/>
      </c>
      <c r="V83" s="52" t="n"/>
      <c r="W83" s="53">
        <f>IF(OR($V83="",$O83=""),"",$V83*$O83)</f>
        <v/>
      </c>
      <c r="X83" s="45" t="n"/>
      <c r="Y83" s="49" t="n"/>
    </row>
    <row r="84">
      <c r="A84" s="43">
        <f>IF($B84="","",COUNT($B$5:$B84))</f>
        <v/>
      </c>
      <c r="B84" s="44" t="n"/>
      <c r="C84" s="44" t="n"/>
      <c r="D84" s="45" t="n"/>
      <c r="E84" s="45" t="n"/>
      <c r="F84" s="45" t="n"/>
      <c r="G84" s="46">
        <f>IF($F84="","",IFERROR(INDEX(사건마스터!$B$5:$B$64,MATCH($F84,사건마스터!$A$5:$A$64,0)),""))</f>
        <v/>
      </c>
      <c r="H84" s="47">
        <f>IF($F84="","",IFERROR(INDEX(사건마스터!$C$5:$C$64,MATCH($F84,사건마스터!$A$5:$A$64,0)),""))</f>
        <v/>
      </c>
      <c r="I84" s="48">
        <f>IF($F84="","",IFERROR(INDEX(사건마스터!$H$5:$H$64,MATCH($F84,사건마스터!$A$5:$A$64,0)),""))</f>
        <v/>
      </c>
      <c r="J84" s="48">
        <f>IF($F84="","",IFERROR(INDEX(사건마스터!$AH$5:$AH$64,MATCH($F84,사건마스터!$A$5:$A$64,0)),""))</f>
        <v/>
      </c>
      <c r="K84" s="48">
        <f>IF($F84="","",IFERROR(INDEX(사건마스터!$AI$5:$AI$64,MATCH($F84,사건마스터!$A$5:$A$64,0)),""))</f>
        <v/>
      </c>
      <c r="L84" s="48">
        <f>IF($F84="","",IFERROR(INDEX(사건마스터!$AJ$5:$AJ$64,MATCH($F84,사건마스터!$A$5:$A$64,0)),""))</f>
        <v/>
      </c>
      <c r="M84" s="48">
        <f>IF($F84="","",IFERROR(INDEX(사건마스터!$AK$5:$AK$64,MATCH($F84,사건마스터!$A$5:$A$64,0)),""))</f>
        <v/>
      </c>
      <c r="N84" s="48">
        <f>IF($F84="","",IFERROR(INDEX(사건마스터!$AL$5:$AL$64,MATCH($F84,사건마스터!$A$5:$A$64,0)),""))</f>
        <v/>
      </c>
      <c r="O84" s="43">
        <f>IF($I84="","",COUNTIF($I84:$N84,"?*"))</f>
        <v/>
      </c>
      <c r="P84" s="46">
        <f>IF($I84="","",_xlfn.TEXTJOIN(", ",TRUE,$I84:$N84))</f>
        <v/>
      </c>
      <c r="Q84" s="47">
        <f>IF($I84="","",IFERROR(INDEX(코드설정!$D$5:$D$24,MATCH($I84,코드설정!$C$5:$C$24,0)),""))</f>
        <v/>
      </c>
      <c r="R84" s="49" t="n"/>
      <c r="S84" s="50" t="n"/>
      <c r="T84" s="51" t="n"/>
      <c r="U84" s="43">
        <f>IF(OR($B84="",$C84=""),"",$C84-$B84+1)</f>
        <v/>
      </c>
      <c r="V84" s="52" t="n"/>
      <c r="W84" s="53">
        <f>IF(OR($V84="",$O84=""),"",$V84*$O84)</f>
        <v/>
      </c>
      <c r="X84" s="45" t="n"/>
      <c r="Y84" s="49" t="n"/>
    </row>
    <row r="85">
      <c r="A85" s="43">
        <f>IF($B85="","",COUNT($B$5:$B85))</f>
        <v/>
      </c>
      <c r="B85" s="44" t="n"/>
      <c r="C85" s="44" t="n"/>
      <c r="D85" s="45" t="n"/>
      <c r="E85" s="45" t="n"/>
      <c r="F85" s="45" t="n"/>
      <c r="G85" s="46">
        <f>IF($F85="","",IFERROR(INDEX(사건마스터!$B$5:$B$64,MATCH($F85,사건마스터!$A$5:$A$64,0)),""))</f>
        <v/>
      </c>
      <c r="H85" s="47">
        <f>IF($F85="","",IFERROR(INDEX(사건마스터!$C$5:$C$64,MATCH($F85,사건마스터!$A$5:$A$64,0)),""))</f>
        <v/>
      </c>
      <c r="I85" s="48">
        <f>IF($F85="","",IFERROR(INDEX(사건마스터!$H$5:$H$64,MATCH($F85,사건마스터!$A$5:$A$64,0)),""))</f>
        <v/>
      </c>
      <c r="J85" s="48">
        <f>IF($F85="","",IFERROR(INDEX(사건마스터!$AH$5:$AH$64,MATCH($F85,사건마스터!$A$5:$A$64,0)),""))</f>
        <v/>
      </c>
      <c r="K85" s="48">
        <f>IF($F85="","",IFERROR(INDEX(사건마스터!$AI$5:$AI$64,MATCH($F85,사건마스터!$A$5:$A$64,0)),""))</f>
        <v/>
      </c>
      <c r="L85" s="48">
        <f>IF($F85="","",IFERROR(INDEX(사건마스터!$AJ$5:$AJ$64,MATCH($F85,사건마스터!$A$5:$A$64,0)),""))</f>
        <v/>
      </c>
      <c r="M85" s="48">
        <f>IF($F85="","",IFERROR(INDEX(사건마스터!$AK$5:$AK$64,MATCH($F85,사건마스터!$A$5:$A$64,0)),""))</f>
        <v/>
      </c>
      <c r="N85" s="48">
        <f>IF($F85="","",IFERROR(INDEX(사건마스터!$AL$5:$AL$64,MATCH($F85,사건마스터!$A$5:$A$64,0)),""))</f>
        <v/>
      </c>
      <c r="O85" s="43">
        <f>IF($I85="","",COUNTIF($I85:$N85,"?*"))</f>
        <v/>
      </c>
      <c r="P85" s="46">
        <f>IF($I85="","",_xlfn.TEXTJOIN(", ",TRUE,$I85:$N85))</f>
        <v/>
      </c>
      <c r="Q85" s="47">
        <f>IF($I85="","",IFERROR(INDEX(코드설정!$D$5:$D$24,MATCH($I85,코드설정!$C$5:$C$24,0)),""))</f>
        <v/>
      </c>
      <c r="R85" s="49" t="n"/>
      <c r="S85" s="50" t="n"/>
      <c r="T85" s="51" t="n"/>
      <c r="U85" s="43">
        <f>IF(OR($B85="",$C85=""),"",$C85-$B85+1)</f>
        <v/>
      </c>
      <c r="V85" s="52" t="n"/>
      <c r="W85" s="53">
        <f>IF(OR($V85="",$O85=""),"",$V85*$O85)</f>
        <v/>
      </c>
      <c r="X85" s="45" t="n"/>
      <c r="Y85" s="49" t="n"/>
    </row>
    <row r="86">
      <c r="A86" s="43">
        <f>IF($B86="","",COUNT($B$5:$B86))</f>
        <v/>
      </c>
      <c r="B86" s="44" t="n"/>
      <c r="C86" s="44" t="n"/>
      <c r="D86" s="45" t="n"/>
      <c r="E86" s="45" t="n"/>
      <c r="F86" s="45" t="n"/>
      <c r="G86" s="46">
        <f>IF($F86="","",IFERROR(INDEX(사건마스터!$B$5:$B$64,MATCH($F86,사건마스터!$A$5:$A$64,0)),""))</f>
        <v/>
      </c>
      <c r="H86" s="47">
        <f>IF($F86="","",IFERROR(INDEX(사건마스터!$C$5:$C$64,MATCH($F86,사건마스터!$A$5:$A$64,0)),""))</f>
        <v/>
      </c>
      <c r="I86" s="48">
        <f>IF($F86="","",IFERROR(INDEX(사건마스터!$H$5:$H$64,MATCH($F86,사건마스터!$A$5:$A$64,0)),""))</f>
        <v/>
      </c>
      <c r="J86" s="48">
        <f>IF($F86="","",IFERROR(INDEX(사건마스터!$AH$5:$AH$64,MATCH($F86,사건마스터!$A$5:$A$64,0)),""))</f>
        <v/>
      </c>
      <c r="K86" s="48">
        <f>IF($F86="","",IFERROR(INDEX(사건마스터!$AI$5:$AI$64,MATCH($F86,사건마스터!$A$5:$A$64,0)),""))</f>
        <v/>
      </c>
      <c r="L86" s="48">
        <f>IF($F86="","",IFERROR(INDEX(사건마스터!$AJ$5:$AJ$64,MATCH($F86,사건마스터!$A$5:$A$64,0)),""))</f>
        <v/>
      </c>
      <c r="M86" s="48">
        <f>IF($F86="","",IFERROR(INDEX(사건마스터!$AK$5:$AK$64,MATCH($F86,사건마스터!$A$5:$A$64,0)),""))</f>
        <v/>
      </c>
      <c r="N86" s="48">
        <f>IF($F86="","",IFERROR(INDEX(사건마스터!$AL$5:$AL$64,MATCH($F86,사건마스터!$A$5:$A$64,0)),""))</f>
        <v/>
      </c>
      <c r="O86" s="43">
        <f>IF($I86="","",COUNTIF($I86:$N86,"?*"))</f>
        <v/>
      </c>
      <c r="P86" s="46">
        <f>IF($I86="","",_xlfn.TEXTJOIN(", ",TRUE,$I86:$N86))</f>
        <v/>
      </c>
      <c r="Q86" s="47">
        <f>IF($I86="","",IFERROR(INDEX(코드설정!$D$5:$D$24,MATCH($I86,코드설정!$C$5:$C$24,0)),""))</f>
        <v/>
      </c>
      <c r="R86" s="49" t="n"/>
      <c r="S86" s="50" t="n"/>
      <c r="T86" s="51" t="n"/>
      <c r="U86" s="43">
        <f>IF(OR($B86="",$C86=""),"",$C86-$B86+1)</f>
        <v/>
      </c>
      <c r="V86" s="52" t="n"/>
      <c r="W86" s="53">
        <f>IF(OR($V86="",$O86=""),"",$V86*$O86)</f>
        <v/>
      </c>
      <c r="X86" s="45" t="n"/>
      <c r="Y86" s="49" t="n"/>
    </row>
    <row r="87">
      <c r="A87" s="43">
        <f>IF($B87="","",COUNT($B$5:$B87))</f>
        <v/>
      </c>
      <c r="B87" s="44" t="n"/>
      <c r="C87" s="44" t="n"/>
      <c r="D87" s="45" t="n"/>
      <c r="E87" s="45" t="n"/>
      <c r="F87" s="45" t="n"/>
      <c r="G87" s="46">
        <f>IF($F87="","",IFERROR(INDEX(사건마스터!$B$5:$B$64,MATCH($F87,사건마스터!$A$5:$A$64,0)),""))</f>
        <v/>
      </c>
      <c r="H87" s="47">
        <f>IF($F87="","",IFERROR(INDEX(사건마스터!$C$5:$C$64,MATCH($F87,사건마스터!$A$5:$A$64,0)),""))</f>
        <v/>
      </c>
      <c r="I87" s="48">
        <f>IF($F87="","",IFERROR(INDEX(사건마스터!$H$5:$H$64,MATCH($F87,사건마스터!$A$5:$A$64,0)),""))</f>
        <v/>
      </c>
      <c r="J87" s="48">
        <f>IF($F87="","",IFERROR(INDEX(사건마스터!$AH$5:$AH$64,MATCH($F87,사건마스터!$A$5:$A$64,0)),""))</f>
        <v/>
      </c>
      <c r="K87" s="48">
        <f>IF($F87="","",IFERROR(INDEX(사건마스터!$AI$5:$AI$64,MATCH($F87,사건마스터!$A$5:$A$64,0)),""))</f>
        <v/>
      </c>
      <c r="L87" s="48">
        <f>IF($F87="","",IFERROR(INDEX(사건마스터!$AJ$5:$AJ$64,MATCH($F87,사건마스터!$A$5:$A$64,0)),""))</f>
        <v/>
      </c>
      <c r="M87" s="48">
        <f>IF($F87="","",IFERROR(INDEX(사건마스터!$AK$5:$AK$64,MATCH($F87,사건마스터!$A$5:$A$64,0)),""))</f>
        <v/>
      </c>
      <c r="N87" s="48">
        <f>IF($F87="","",IFERROR(INDEX(사건마스터!$AL$5:$AL$64,MATCH($F87,사건마스터!$A$5:$A$64,0)),""))</f>
        <v/>
      </c>
      <c r="O87" s="43">
        <f>IF($I87="","",COUNTIF($I87:$N87,"?*"))</f>
        <v/>
      </c>
      <c r="P87" s="46">
        <f>IF($I87="","",_xlfn.TEXTJOIN(", ",TRUE,$I87:$N87))</f>
        <v/>
      </c>
      <c r="Q87" s="47">
        <f>IF($I87="","",IFERROR(INDEX(코드설정!$D$5:$D$24,MATCH($I87,코드설정!$C$5:$C$24,0)),""))</f>
        <v/>
      </c>
      <c r="R87" s="49" t="n"/>
      <c r="S87" s="50" t="n"/>
      <c r="T87" s="51" t="n"/>
      <c r="U87" s="43">
        <f>IF(OR($B87="",$C87=""),"",$C87-$B87+1)</f>
        <v/>
      </c>
      <c r="V87" s="52" t="n"/>
      <c r="W87" s="53">
        <f>IF(OR($V87="",$O87=""),"",$V87*$O87)</f>
        <v/>
      </c>
      <c r="X87" s="45" t="n"/>
      <c r="Y87" s="49" t="n"/>
    </row>
    <row r="88">
      <c r="A88" s="43">
        <f>IF($B88="","",COUNT($B$5:$B88))</f>
        <v/>
      </c>
      <c r="B88" s="44" t="n"/>
      <c r="C88" s="44" t="n"/>
      <c r="D88" s="45" t="n"/>
      <c r="E88" s="45" t="n"/>
      <c r="F88" s="45" t="n"/>
      <c r="G88" s="46">
        <f>IF($F88="","",IFERROR(INDEX(사건마스터!$B$5:$B$64,MATCH($F88,사건마스터!$A$5:$A$64,0)),""))</f>
        <v/>
      </c>
      <c r="H88" s="47">
        <f>IF($F88="","",IFERROR(INDEX(사건마스터!$C$5:$C$64,MATCH($F88,사건마스터!$A$5:$A$64,0)),""))</f>
        <v/>
      </c>
      <c r="I88" s="48">
        <f>IF($F88="","",IFERROR(INDEX(사건마스터!$H$5:$H$64,MATCH($F88,사건마스터!$A$5:$A$64,0)),""))</f>
        <v/>
      </c>
      <c r="J88" s="48">
        <f>IF($F88="","",IFERROR(INDEX(사건마스터!$AH$5:$AH$64,MATCH($F88,사건마스터!$A$5:$A$64,0)),""))</f>
        <v/>
      </c>
      <c r="K88" s="48">
        <f>IF($F88="","",IFERROR(INDEX(사건마스터!$AI$5:$AI$64,MATCH($F88,사건마스터!$A$5:$A$64,0)),""))</f>
        <v/>
      </c>
      <c r="L88" s="48">
        <f>IF($F88="","",IFERROR(INDEX(사건마스터!$AJ$5:$AJ$64,MATCH($F88,사건마스터!$A$5:$A$64,0)),""))</f>
        <v/>
      </c>
      <c r="M88" s="48">
        <f>IF($F88="","",IFERROR(INDEX(사건마스터!$AK$5:$AK$64,MATCH($F88,사건마스터!$A$5:$A$64,0)),""))</f>
        <v/>
      </c>
      <c r="N88" s="48">
        <f>IF($F88="","",IFERROR(INDEX(사건마스터!$AL$5:$AL$64,MATCH($F88,사건마스터!$A$5:$A$64,0)),""))</f>
        <v/>
      </c>
      <c r="O88" s="43">
        <f>IF($I88="","",COUNTIF($I88:$N88,"?*"))</f>
        <v/>
      </c>
      <c r="P88" s="46">
        <f>IF($I88="","",_xlfn.TEXTJOIN(", ",TRUE,$I88:$N88))</f>
        <v/>
      </c>
      <c r="Q88" s="47">
        <f>IF($I88="","",IFERROR(INDEX(코드설정!$D$5:$D$24,MATCH($I88,코드설정!$C$5:$C$24,0)),""))</f>
        <v/>
      </c>
      <c r="R88" s="49" t="n"/>
      <c r="S88" s="50" t="n"/>
      <c r="T88" s="51" t="n"/>
      <c r="U88" s="43">
        <f>IF(OR($B88="",$C88=""),"",$C88-$B88+1)</f>
        <v/>
      </c>
      <c r="V88" s="52" t="n"/>
      <c r="W88" s="53">
        <f>IF(OR($V88="",$O88=""),"",$V88*$O88)</f>
        <v/>
      </c>
      <c r="X88" s="45" t="n"/>
      <c r="Y88" s="49" t="n"/>
    </row>
    <row r="89">
      <c r="A89" s="43">
        <f>IF($B89="","",COUNT($B$5:$B89))</f>
        <v/>
      </c>
      <c r="B89" s="44" t="n"/>
      <c r="C89" s="44" t="n"/>
      <c r="D89" s="45" t="n"/>
      <c r="E89" s="45" t="n"/>
      <c r="F89" s="45" t="n"/>
      <c r="G89" s="46">
        <f>IF($F89="","",IFERROR(INDEX(사건마스터!$B$5:$B$64,MATCH($F89,사건마스터!$A$5:$A$64,0)),""))</f>
        <v/>
      </c>
      <c r="H89" s="47">
        <f>IF($F89="","",IFERROR(INDEX(사건마스터!$C$5:$C$64,MATCH($F89,사건마스터!$A$5:$A$64,0)),""))</f>
        <v/>
      </c>
      <c r="I89" s="48">
        <f>IF($F89="","",IFERROR(INDEX(사건마스터!$H$5:$H$64,MATCH($F89,사건마스터!$A$5:$A$64,0)),""))</f>
        <v/>
      </c>
      <c r="J89" s="48">
        <f>IF($F89="","",IFERROR(INDEX(사건마스터!$AH$5:$AH$64,MATCH($F89,사건마스터!$A$5:$A$64,0)),""))</f>
        <v/>
      </c>
      <c r="K89" s="48">
        <f>IF($F89="","",IFERROR(INDEX(사건마스터!$AI$5:$AI$64,MATCH($F89,사건마스터!$A$5:$A$64,0)),""))</f>
        <v/>
      </c>
      <c r="L89" s="48">
        <f>IF($F89="","",IFERROR(INDEX(사건마스터!$AJ$5:$AJ$64,MATCH($F89,사건마스터!$A$5:$A$64,0)),""))</f>
        <v/>
      </c>
      <c r="M89" s="48">
        <f>IF($F89="","",IFERROR(INDEX(사건마스터!$AK$5:$AK$64,MATCH($F89,사건마스터!$A$5:$A$64,0)),""))</f>
        <v/>
      </c>
      <c r="N89" s="48">
        <f>IF($F89="","",IFERROR(INDEX(사건마스터!$AL$5:$AL$64,MATCH($F89,사건마스터!$A$5:$A$64,0)),""))</f>
        <v/>
      </c>
      <c r="O89" s="43">
        <f>IF($I89="","",COUNTIF($I89:$N89,"?*"))</f>
        <v/>
      </c>
      <c r="P89" s="46">
        <f>IF($I89="","",_xlfn.TEXTJOIN(", ",TRUE,$I89:$N89))</f>
        <v/>
      </c>
      <c r="Q89" s="47">
        <f>IF($I89="","",IFERROR(INDEX(코드설정!$D$5:$D$24,MATCH($I89,코드설정!$C$5:$C$24,0)),""))</f>
        <v/>
      </c>
      <c r="R89" s="49" t="n"/>
      <c r="S89" s="50" t="n"/>
      <c r="T89" s="51" t="n"/>
      <c r="U89" s="43">
        <f>IF(OR($B89="",$C89=""),"",$C89-$B89+1)</f>
        <v/>
      </c>
      <c r="V89" s="52" t="n"/>
      <c r="W89" s="53">
        <f>IF(OR($V89="",$O89=""),"",$V89*$O89)</f>
        <v/>
      </c>
      <c r="X89" s="45" t="n"/>
      <c r="Y89" s="49" t="n"/>
    </row>
    <row r="90">
      <c r="A90" s="43">
        <f>IF($B90="","",COUNT($B$5:$B90))</f>
        <v/>
      </c>
      <c r="B90" s="44" t="n"/>
      <c r="C90" s="44" t="n"/>
      <c r="D90" s="45" t="n"/>
      <c r="E90" s="45" t="n"/>
      <c r="F90" s="45" t="n"/>
      <c r="G90" s="46">
        <f>IF($F90="","",IFERROR(INDEX(사건마스터!$B$5:$B$64,MATCH($F90,사건마스터!$A$5:$A$64,0)),""))</f>
        <v/>
      </c>
      <c r="H90" s="47">
        <f>IF($F90="","",IFERROR(INDEX(사건마스터!$C$5:$C$64,MATCH($F90,사건마스터!$A$5:$A$64,0)),""))</f>
        <v/>
      </c>
      <c r="I90" s="48">
        <f>IF($F90="","",IFERROR(INDEX(사건마스터!$H$5:$H$64,MATCH($F90,사건마스터!$A$5:$A$64,0)),""))</f>
        <v/>
      </c>
      <c r="J90" s="48">
        <f>IF($F90="","",IFERROR(INDEX(사건마스터!$AH$5:$AH$64,MATCH($F90,사건마스터!$A$5:$A$64,0)),""))</f>
        <v/>
      </c>
      <c r="K90" s="48">
        <f>IF($F90="","",IFERROR(INDEX(사건마스터!$AI$5:$AI$64,MATCH($F90,사건마스터!$A$5:$A$64,0)),""))</f>
        <v/>
      </c>
      <c r="L90" s="48">
        <f>IF($F90="","",IFERROR(INDEX(사건마스터!$AJ$5:$AJ$64,MATCH($F90,사건마스터!$A$5:$A$64,0)),""))</f>
        <v/>
      </c>
      <c r="M90" s="48">
        <f>IF($F90="","",IFERROR(INDEX(사건마스터!$AK$5:$AK$64,MATCH($F90,사건마스터!$A$5:$A$64,0)),""))</f>
        <v/>
      </c>
      <c r="N90" s="48">
        <f>IF($F90="","",IFERROR(INDEX(사건마스터!$AL$5:$AL$64,MATCH($F90,사건마스터!$A$5:$A$64,0)),""))</f>
        <v/>
      </c>
      <c r="O90" s="43">
        <f>IF($I90="","",COUNTIF($I90:$N90,"?*"))</f>
        <v/>
      </c>
      <c r="P90" s="46">
        <f>IF($I90="","",_xlfn.TEXTJOIN(", ",TRUE,$I90:$N90))</f>
        <v/>
      </c>
      <c r="Q90" s="47">
        <f>IF($I90="","",IFERROR(INDEX(코드설정!$D$5:$D$24,MATCH($I90,코드설정!$C$5:$C$24,0)),""))</f>
        <v/>
      </c>
      <c r="R90" s="49" t="n"/>
      <c r="S90" s="50" t="n"/>
      <c r="T90" s="51" t="n"/>
      <c r="U90" s="43">
        <f>IF(OR($B90="",$C90=""),"",$C90-$B90+1)</f>
        <v/>
      </c>
      <c r="V90" s="52" t="n"/>
      <c r="W90" s="53">
        <f>IF(OR($V90="",$O90=""),"",$V90*$O90)</f>
        <v/>
      </c>
      <c r="X90" s="45" t="n"/>
      <c r="Y90" s="49" t="n"/>
    </row>
    <row r="91">
      <c r="A91" s="43">
        <f>IF($B91="","",COUNT($B$5:$B91))</f>
        <v/>
      </c>
      <c r="B91" s="44" t="n"/>
      <c r="C91" s="44" t="n"/>
      <c r="D91" s="45" t="n"/>
      <c r="E91" s="45" t="n"/>
      <c r="F91" s="45" t="n"/>
      <c r="G91" s="46">
        <f>IF($F91="","",IFERROR(INDEX(사건마스터!$B$5:$B$64,MATCH($F91,사건마스터!$A$5:$A$64,0)),""))</f>
        <v/>
      </c>
      <c r="H91" s="47">
        <f>IF($F91="","",IFERROR(INDEX(사건마스터!$C$5:$C$64,MATCH($F91,사건마스터!$A$5:$A$64,0)),""))</f>
        <v/>
      </c>
      <c r="I91" s="48">
        <f>IF($F91="","",IFERROR(INDEX(사건마스터!$H$5:$H$64,MATCH($F91,사건마스터!$A$5:$A$64,0)),""))</f>
        <v/>
      </c>
      <c r="J91" s="48">
        <f>IF($F91="","",IFERROR(INDEX(사건마스터!$AH$5:$AH$64,MATCH($F91,사건마스터!$A$5:$A$64,0)),""))</f>
        <v/>
      </c>
      <c r="K91" s="48">
        <f>IF($F91="","",IFERROR(INDEX(사건마스터!$AI$5:$AI$64,MATCH($F91,사건마스터!$A$5:$A$64,0)),""))</f>
        <v/>
      </c>
      <c r="L91" s="48">
        <f>IF($F91="","",IFERROR(INDEX(사건마스터!$AJ$5:$AJ$64,MATCH($F91,사건마스터!$A$5:$A$64,0)),""))</f>
        <v/>
      </c>
      <c r="M91" s="48">
        <f>IF($F91="","",IFERROR(INDEX(사건마스터!$AK$5:$AK$64,MATCH($F91,사건마스터!$A$5:$A$64,0)),""))</f>
        <v/>
      </c>
      <c r="N91" s="48">
        <f>IF($F91="","",IFERROR(INDEX(사건마스터!$AL$5:$AL$64,MATCH($F91,사건마스터!$A$5:$A$64,0)),""))</f>
        <v/>
      </c>
      <c r="O91" s="43">
        <f>IF($I91="","",COUNTIF($I91:$N91,"?*"))</f>
        <v/>
      </c>
      <c r="P91" s="46">
        <f>IF($I91="","",_xlfn.TEXTJOIN(", ",TRUE,$I91:$N91))</f>
        <v/>
      </c>
      <c r="Q91" s="47">
        <f>IF($I91="","",IFERROR(INDEX(코드설정!$D$5:$D$24,MATCH($I91,코드설정!$C$5:$C$24,0)),""))</f>
        <v/>
      </c>
      <c r="R91" s="49" t="n"/>
      <c r="S91" s="50" t="n"/>
      <c r="T91" s="51" t="n"/>
      <c r="U91" s="43">
        <f>IF(OR($B91="",$C91=""),"",$C91-$B91+1)</f>
        <v/>
      </c>
      <c r="V91" s="52" t="n"/>
      <c r="W91" s="53">
        <f>IF(OR($V91="",$O91=""),"",$V91*$O91)</f>
        <v/>
      </c>
      <c r="X91" s="45" t="n"/>
      <c r="Y91" s="49" t="n"/>
    </row>
    <row r="92">
      <c r="A92" s="43">
        <f>IF($B92="","",COUNT($B$5:$B92))</f>
        <v/>
      </c>
      <c r="B92" s="44" t="n"/>
      <c r="C92" s="44" t="n"/>
      <c r="D92" s="45" t="n"/>
      <c r="E92" s="45" t="n"/>
      <c r="F92" s="45" t="n"/>
      <c r="G92" s="46">
        <f>IF($F92="","",IFERROR(INDEX(사건마스터!$B$5:$B$64,MATCH($F92,사건마스터!$A$5:$A$64,0)),""))</f>
        <v/>
      </c>
      <c r="H92" s="47">
        <f>IF($F92="","",IFERROR(INDEX(사건마스터!$C$5:$C$64,MATCH($F92,사건마스터!$A$5:$A$64,0)),""))</f>
        <v/>
      </c>
      <c r="I92" s="48">
        <f>IF($F92="","",IFERROR(INDEX(사건마스터!$H$5:$H$64,MATCH($F92,사건마스터!$A$5:$A$64,0)),""))</f>
        <v/>
      </c>
      <c r="J92" s="48">
        <f>IF($F92="","",IFERROR(INDEX(사건마스터!$AH$5:$AH$64,MATCH($F92,사건마스터!$A$5:$A$64,0)),""))</f>
        <v/>
      </c>
      <c r="K92" s="48">
        <f>IF($F92="","",IFERROR(INDEX(사건마스터!$AI$5:$AI$64,MATCH($F92,사건마스터!$A$5:$A$64,0)),""))</f>
        <v/>
      </c>
      <c r="L92" s="48">
        <f>IF($F92="","",IFERROR(INDEX(사건마스터!$AJ$5:$AJ$64,MATCH($F92,사건마스터!$A$5:$A$64,0)),""))</f>
        <v/>
      </c>
      <c r="M92" s="48">
        <f>IF($F92="","",IFERROR(INDEX(사건마스터!$AK$5:$AK$64,MATCH($F92,사건마스터!$A$5:$A$64,0)),""))</f>
        <v/>
      </c>
      <c r="N92" s="48">
        <f>IF($F92="","",IFERROR(INDEX(사건마스터!$AL$5:$AL$64,MATCH($F92,사건마스터!$A$5:$A$64,0)),""))</f>
        <v/>
      </c>
      <c r="O92" s="43">
        <f>IF($I92="","",COUNTIF($I92:$N92,"?*"))</f>
        <v/>
      </c>
      <c r="P92" s="46">
        <f>IF($I92="","",_xlfn.TEXTJOIN(", ",TRUE,$I92:$N92))</f>
        <v/>
      </c>
      <c r="Q92" s="47">
        <f>IF($I92="","",IFERROR(INDEX(코드설정!$D$5:$D$24,MATCH($I92,코드설정!$C$5:$C$24,0)),""))</f>
        <v/>
      </c>
      <c r="R92" s="49" t="n"/>
      <c r="S92" s="50" t="n"/>
      <c r="T92" s="51" t="n"/>
      <c r="U92" s="43">
        <f>IF(OR($B92="",$C92=""),"",$C92-$B92+1)</f>
        <v/>
      </c>
      <c r="V92" s="52" t="n"/>
      <c r="W92" s="53">
        <f>IF(OR($V92="",$O92=""),"",$V92*$O92)</f>
        <v/>
      </c>
      <c r="X92" s="45" t="n"/>
      <c r="Y92" s="49" t="n"/>
    </row>
    <row r="93">
      <c r="A93" s="43">
        <f>IF($B93="","",COUNT($B$5:$B93))</f>
        <v/>
      </c>
      <c r="B93" s="44" t="n"/>
      <c r="C93" s="44" t="n"/>
      <c r="D93" s="45" t="n"/>
      <c r="E93" s="45" t="n"/>
      <c r="F93" s="45" t="n"/>
      <c r="G93" s="46">
        <f>IF($F93="","",IFERROR(INDEX(사건마스터!$B$5:$B$64,MATCH($F93,사건마스터!$A$5:$A$64,0)),""))</f>
        <v/>
      </c>
      <c r="H93" s="47">
        <f>IF($F93="","",IFERROR(INDEX(사건마스터!$C$5:$C$64,MATCH($F93,사건마스터!$A$5:$A$64,0)),""))</f>
        <v/>
      </c>
      <c r="I93" s="48">
        <f>IF($F93="","",IFERROR(INDEX(사건마스터!$H$5:$H$64,MATCH($F93,사건마스터!$A$5:$A$64,0)),""))</f>
        <v/>
      </c>
      <c r="J93" s="48">
        <f>IF($F93="","",IFERROR(INDEX(사건마스터!$AH$5:$AH$64,MATCH($F93,사건마스터!$A$5:$A$64,0)),""))</f>
        <v/>
      </c>
      <c r="K93" s="48">
        <f>IF($F93="","",IFERROR(INDEX(사건마스터!$AI$5:$AI$64,MATCH($F93,사건마스터!$A$5:$A$64,0)),""))</f>
        <v/>
      </c>
      <c r="L93" s="48">
        <f>IF($F93="","",IFERROR(INDEX(사건마스터!$AJ$5:$AJ$64,MATCH($F93,사건마스터!$A$5:$A$64,0)),""))</f>
        <v/>
      </c>
      <c r="M93" s="48">
        <f>IF($F93="","",IFERROR(INDEX(사건마스터!$AK$5:$AK$64,MATCH($F93,사건마스터!$A$5:$A$64,0)),""))</f>
        <v/>
      </c>
      <c r="N93" s="48">
        <f>IF($F93="","",IFERROR(INDEX(사건마스터!$AL$5:$AL$64,MATCH($F93,사건마스터!$A$5:$A$64,0)),""))</f>
        <v/>
      </c>
      <c r="O93" s="43">
        <f>IF($I93="","",COUNTIF($I93:$N93,"?*"))</f>
        <v/>
      </c>
      <c r="P93" s="46">
        <f>IF($I93="","",_xlfn.TEXTJOIN(", ",TRUE,$I93:$N93))</f>
        <v/>
      </c>
      <c r="Q93" s="47">
        <f>IF($I93="","",IFERROR(INDEX(코드설정!$D$5:$D$24,MATCH($I93,코드설정!$C$5:$C$24,0)),""))</f>
        <v/>
      </c>
      <c r="R93" s="49" t="n"/>
      <c r="S93" s="50" t="n"/>
      <c r="T93" s="51" t="n"/>
      <c r="U93" s="43">
        <f>IF(OR($B93="",$C93=""),"",$C93-$B93+1)</f>
        <v/>
      </c>
      <c r="V93" s="52" t="n"/>
      <c r="W93" s="53">
        <f>IF(OR($V93="",$O93=""),"",$V93*$O93)</f>
        <v/>
      </c>
      <c r="X93" s="45" t="n"/>
      <c r="Y93" s="49" t="n"/>
    </row>
    <row r="94">
      <c r="A94" s="43">
        <f>IF($B94="","",COUNT($B$5:$B94))</f>
        <v/>
      </c>
      <c r="B94" s="44" t="n"/>
      <c r="C94" s="44" t="n"/>
      <c r="D94" s="45" t="n"/>
      <c r="E94" s="45" t="n"/>
      <c r="F94" s="45" t="n"/>
      <c r="G94" s="46">
        <f>IF($F94="","",IFERROR(INDEX(사건마스터!$B$5:$B$64,MATCH($F94,사건마스터!$A$5:$A$64,0)),""))</f>
        <v/>
      </c>
      <c r="H94" s="47">
        <f>IF($F94="","",IFERROR(INDEX(사건마스터!$C$5:$C$64,MATCH($F94,사건마스터!$A$5:$A$64,0)),""))</f>
        <v/>
      </c>
      <c r="I94" s="48">
        <f>IF($F94="","",IFERROR(INDEX(사건마스터!$H$5:$H$64,MATCH($F94,사건마스터!$A$5:$A$64,0)),""))</f>
        <v/>
      </c>
      <c r="J94" s="48">
        <f>IF($F94="","",IFERROR(INDEX(사건마스터!$AH$5:$AH$64,MATCH($F94,사건마스터!$A$5:$A$64,0)),""))</f>
        <v/>
      </c>
      <c r="K94" s="48">
        <f>IF($F94="","",IFERROR(INDEX(사건마스터!$AI$5:$AI$64,MATCH($F94,사건마스터!$A$5:$A$64,0)),""))</f>
        <v/>
      </c>
      <c r="L94" s="48">
        <f>IF($F94="","",IFERROR(INDEX(사건마스터!$AJ$5:$AJ$64,MATCH($F94,사건마스터!$A$5:$A$64,0)),""))</f>
        <v/>
      </c>
      <c r="M94" s="48">
        <f>IF($F94="","",IFERROR(INDEX(사건마스터!$AK$5:$AK$64,MATCH($F94,사건마스터!$A$5:$A$64,0)),""))</f>
        <v/>
      </c>
      <c r="N94" s="48">
        <f>IF($F94="","",IFERROR(INDEX(사건마스터!$AL$5:$AL$64,MATCH($F94,사건마스터!$A$5:$A$64,0)),""))</f>
        <v/>
      </c>
      <c r="O94" s="43">
        <f>IF($I94="","",COUNTIF($I94:$N94,"?*"))</f>
        <v/>
      </c>
      <c r="P94" s="46">
        <f>IF($I94="","",_xlfn.TEXTJOIN(", ",TRUE,$I94:$N94))</f>
        <v/>
      </c>
      <c r="Q94" s="47">
        <f>IF($I94="","",IFERROR(INDEX(코드설정!$D$5:$D$24,MATCH($I94,코드설정!$C$5:$C$24,0)),""))</f>
        <v/>
      </c>
      <c r="R94" s="49" t="n"/>
      <c r="S94" s="50" t="n"/>
      <c r="T94" s="51" t="n"/>
      <c r="U94" s="43">
        <f>IF(OR($B94="",$C94=""),"",$C94-$B94+1)</f>
        <v/>
      </c>
      <c r="V94" s="52" t="n"/>
      <c r="W94" s="53">
        <f>IF(OR($V94="",$O94=""),"",$V94*$O94)</f>
        <v/>
      </c>
      <c r="X94" s="45" t="n"/>
      <c r="Y94" s="49" t="n"/>
    </row>
    <row r="95">
      <c r="A95" s="43">
        <f>IF($B95="","",COUNT($B$5:$B95))</f>
        <v/>
      </c>
      <c r="B95" s="44" t="n"/>
      <c r="C95" s="44" t="n"/>
      <c r="D95" s="45" t="n"/>
      <c r="E95" s="45" t="n"/>
      <c r="F95" s="45" t="n"/>
      <c r="G95" s="46">
        <f>IF($F95="","",IFERROR(INDEX(사건마스터!$B$5:$B$64,MATCH($F95,사건마스터!$A$5:$A$64,0)),""))</f>
        <v/>
      </c>
      <c r="H95" s="47">
        <f>IF($F95="","",IFERROR(INDEX(사건마스터!$C$5:$C$64,MATCH($F95,사건마스터!$A$5:$A$64,0)),""))</f>
        <v/>
      </c>
      <c r="I95" s="48">
        <f>IF($F95="","",IFERROR(INDEX(사건마스터!$H$5:$H$64,MATCH($F95,사건마스터!$A$5:$A$64,0)),""))</f>
        <v/>
      </c>
      <c r="J95" s="48">
        <f>IF($F95="","",IFERROR(INDEX(사건마스터!$AH$5:$AH$64,MATCH($F95,사건마스터!$A$5:$A$64,0)),""))</f>
        <v/>
      </c>
      <c r="K95" s="48">
        <f>IF($F95="","",IFERROR(INDEX(사건마스터!$AI$5:$AI$64,MATCH($F95,사건마스터!$A$5:$A$64,0)),""))</f>
        <v/>
      </c>
      <c r="L95" s="48">
        <f>IF($F95="","",IFERROR(INDEX(사건마스터!$AJ$5:$AJ$64,MATCH($F95,사건마스터!$A$5:$A$64,0)),""))</f>
        <v/>
      </c>
      <c r="M95" s="48">
        <f>IF($F95="","",IFERROR(INDEX(사건마스터!$AK$5:$AK$64,MATCH($F95,사건마스터!$A$5:$A$64,0)),""))</f>
        <v/>
      </c>
      <c r="N95" s="48">
        <f>IF($F95="","",IFERROR(INDEX(사건마스터!$AL$5:$AL$64,MATCH($F95,사건마스터!$A$5:$A$64,0)),""))</f>
        <v/>
      </c>
      <c r="O95" s="43">
        <f>IF($I95="","",COUNTIF($I95:$N95,"?*"))</f>
        <v/>
      </c>
      <c r="P95" s="46">
        <f>IF($I95="","",_xlfn.TEXTJOIN(", ",TRUE,$I95:$N95))</f>
        <v/>
      </c>
      <c r="Q95" s="47">
        <f>IF($I95="","",IFERROR(INDEX(코드설정!$D$5:$D$24,MATCH($I95,코드설정!$C$5:$C$24,0)),""))</f>
        <v/>
      </c>
      <c r="R95" s="49" t="n"/>
      <c r="S95" s="50" t="n"/>
      <c r="T95" s="51" t="n"/>
      <c r="U95" s="43">
        <f>IF(OR($B95="",$C95=""),"",$C95-$B95+1)</f>
        <v/>
      </c>
      <c r="V95" s="52" t="n"/>
      <c r="W95" s="53">
        <f>IF(OR($V95="",$O95=""),"",$V95*$O95)</f>
        <v/>
      </c>
      <c r="X95" s="45" t="n"/>
      <c r="Y95" s="49" t="n"/>
    </row>
    <row r="96">
      <c r="A96" s="43">
        <f>IF($B96="","",COUNT($B$5:$B96))</f>
        <v/>
      </c>
      <c r="B96" s="44" t="n"/>
      <c r="C96" s="44" t="n"/>
      <c r="D96" s="45" t="n"/>
      <c r="E96" s="45" t="n"/>
      <c r="F96" s="45" t="n"/>
      <c r="G96" s="46">
        <f>IF($F96="","",IFERROR(INDEX(사건마스터!$B$5:$B$64,MATCH($F96,사건마스터!$A$5:$A$64,0)),""))</f>
        <v/>
      </c>
      <c r="H96" s="47">
        <f>IF($F96="","",IFERROR(INDEX(사건마스터!$C$5:$C$64,MATCH($F96,사건마스터!$A$5:$A$64,0)),""))</f>
        <v/>
      </c>
      <c r="I96" s="48">
        <f>IF($F96="","",IFERROR(INDEX(사건마스터!$H$5:$H$64,MATCH($F96,사건마스터!$A$5:$A$64,0)),""))</f>
        <v/>
      </c>
      <c r="J96" s="48">
        <f>IF($F96="","",IFERROR(INDEX(사건마스터!$AH$5:$AH$64,MATCH($F96,사건마스터!$A$5:$A$64,0)),""))</f>
        <v/>
      </c>
      <c r="K96" s="48">
        <f>IF($F96="","",IFERROR(INDEX(사건마스터!$AI$5:$AI$64,MATCH($F96,사건마스터!$A$5:$A$64,0)),""))</f>
        <v/>
      </c>
      <c r="L96" s="48">
        <f>IF($F96="","",IFERROR(INDEX(사건마스터!$AJ$5:$AJ$64,MATCH($F96,사건마스터!$A$5:$A$64,0)),""))</f>
        <v/>
      </c>
      <c r="M96" s="48">
        <f>IF($F96="","",IFERROR(INDEX(사건마스터!$AK$5:$AK$64,MATCH($F96,사건마스터!$A$5:$A$64,0)),""))</f>
        <v/>
      </c>
      <c r="N96" s="48">
        <f>IF($F96="","",IFERROR(INDEX(사건마스터!$AL$5:$AL$64,MATCH($F96,사건마스터!$A$5:$A$64,0)),""))</f>
        <v/>
      </c>
      <c r="O96" s="43">
        <f>IF($I96="","",COUNTIF($I96:$N96,"?*"))</f>
        <v/>
      </c>
      <c r="P96" s="46">
        <f>IF($I96="","",_xlfn.TEXTJOIN(", ",TRUE,$I96:$N96))</f>
        <v/>
      </c>
      <c r="Q96" s="47">
        <f>IF($I96="","",IFERROR(INDEX(코드설정!$D$5:$D$24,MATCH($I96,코드설정!$C$5:$C$24,0)),""))</f>
        <v/>
      </c>
      <c r="R96" s="49" t="n"/>
      <c r="S96" s="50" t="n"/>
      <c r="T96" s="51" t="n"/>
      <c r="U96" s="43">
        <f>IF(OR($B96="",$C96=""),"",$C96-$B96+1)</f>
        <v/>
      </c>
      <c r="V96" s="52" t="n"/>
      <c r="W96" s="53">
        <f>IF(OR($V96="",$O96=""),"",$V96*$O96)</f>
        <v/>
      </c>
      <c r="X96" s="45" t="n"/>
      <c r="Y96" s="49" t="n"/>
    </row>
    <row r="97">
      <c r="A97" s="43">
        <f>IF($B97="","",COUNT($B$5:$B97))</f>
        <v/>
      </c>
      <c r="B97" s="44" t="n"/>
      <c r="C97" s="44" t="n"/>
      <c r="D97" s="45" t="n"/>
      <c r="E97" s="45" t="n"/>
      <c r="F97" s="45" t="n"/>
      <c r="G97" s="46">
        <f>IF($F97="","",IFERROR(INDEX(사건마스터!$B$5:$B$64,MATCH($F97,사건마스터!$A$5:$A$64,0)),""))</f>
        <v/>
      </c>
      <c r="H97" s="47">
        <f>IF($F97="","",IFERROR(INDEX(사건마스터!$C$5:$C$64,MATCH($F97,사건마스터!$A$5:$A$64,0)),""))</f>
        <v/>
      </c>
      <c r="I97" s="48">
        <f>IF($F97="","",IFERROR(INDEX(사건마스터!$H$5:$H$64,MATCH($F97,사건마스터!$A$5:$A$64,0)),""))</f>
        <v/>
      </c>
      <c r="J97" s="48">
        <f>IF($F97="","",IFERROR(INDEX(사건마스터!$AH$5:$AH$64,MATCH($F97,사건마스터!$A$5:$A$64,0)),""))</f>
        <v/>
      </c>
      <c r="K97" s="48">
        <f>IF($F97="","",IFERROR(INDEX(사건마스터!$AI$5:$AI$64,MATCH($F97,사건마스터!$A$5:$A$64,0)),""))</f>
        <v/>
      </c>
      <c r="L97" s="48">
        <f>IF($F97="","",IFERROR(INDEX(사건마스터!$AJ$5:$AJ$64,MATCH($F97,사건마스터!$A$5:$A$64,0)),""))</f>
        <v/>
      </c>
      <c r="M97" s="48">
        <f>IF($F97="","",IFERROR(INDEX(사건마스터!$AK$5:$AK$64,MATCH($F97,사건마스터!$A$5:$A$64,0)),""))</f>
        <v/>
      </c>
      <c r="N97" s="48">
        <f>IF($F97="","",IFERROR(INDEX(사건마스터!$AL$5:$AL$64,MATCH($F97,사건마스터!$A$5:$A$64,0)),""))</f>
        <v/>
      </c>
      <c r="O97" s="43">
        <f>IF($I97="","",COUNTIF($I97:$N97,"?*"))</f>
        <v/>
      </c>
      <c r="P97" s="46">
        <f>IF($I97="","",_xlfn.TEXTJOIN(", ",TRUE,$I97:$N97))</f>
        <v/>
      </c>
      <c r="Q97" s="47">
        <f>IF($I97="","",IFERROR(INDEX(코드설정!$D$5:$D$24,MATCH($I97,코드설정!$C$5:$C$24,0)),""))</f>
        <v/>
      </c>
      <c r="R97" s="49" t="n"/>
      <c r="S97" s="50" t="n"/>
      <c r="T97" s="51" t="n"/>
      <c r="U97" s="43">
        <f>IF(OR($B97="",$C97=""),"",$C97-$B97+1)</f>
        <v/>
      </c>
      <c r="V97" s="52" t="n"/>
      <c r="W97" s="53">
        <f>IF(OR($V97="",$O97=""),"",$V97*$O97)</f>
        <v/>
      </c>
      <c r="X97" s="45" t="n"/>
      <c r="Y97" s="49" t="n"/>
    </row>
    <row r="98">
      <c r="A98" s="43">
        <f>IF($B98="","",COUNT($B$5:$B98))</f>
        <v/>
      </c>
      <c r="B98" s="44" t="n"/>
      <c r="C98" s="44" t="n"/>
      <c r="D98" s="45" t="n"/>
      <c r="E98" s="45" t="n"/>
      <c r="F98" s="45" t="n"/>
      <c r="G98" s="46">
        <f>IF($F98="","",IFERROR(INDEX(사건마스터!$B$5:$B$64,MATCH($F98,사건마스터!$A$5:$A$64,0)),""))</f>
        <v/>
      </c>
      <c r="H98" s="47">
        <f>IF($F98="","",IFERROR(INDEX(사건마스터!$C$5:$C$64,MATCH($F98,사건마스터!$A$5:$A$64,0)),""))</f>
        <v/>
      </c>
      <c r="I98" s="48">
        <f>IF($F98="","",IFERROR(INDEX(사건마스터!$H$5:$H$64,MATCH($F98,사건마스터!$A$5:$A$64,0)),""))</f>
        <v/>
      </c>
      <c r="J98" s="48">
        <f>IF($F98="","",IFERROR(INDEX(사건마스터!$AH$5:$AH$64,MATCH($F98,사건마스터!$A$5:$A$64,0)),""))</f>
        <v/>
      </c>
      <c r="K98" s="48">
        <f>IF($F98="","",IFERROR(INDEX(사건마스터!$AI$5:$AI$64,MATCH($F98,사건마스터!$A$5:$A$64,0)),""))</f>
        <v/>
      </c>
      <c r="L98" s="48">
        <f>IF($F98="","",IFERROR(INDEX(사건마스터!$AJ$5:$AJ$64,MATCH($F98,사건마스터!$A$5:$A$64,0)),""))</f>
        <v/>
      </c>
      <c r="M98" s="48">
        <f>IF($F98="","",IFERROR(INDEX(사건마스터!$AK$5:$AK$64,MATCH($F98,사건마스터!$A$5:$A$64,0)),""))</f>
        <v/>
      </c>
      <c r="N98" s="48">
        <f>IF($F98="","",IFERROR(INDEX(사건마스터!$AL$5:$AL$64,MATCH($F98,사건마스터!$A$5:$A$64,0)),""))</f>
        <v/>
      </c>
      <c r="O98" s="43">
        <f>IF($I98="","",COUNTIF($I98:$N98,"?*"))</f>
        <v/>
      </c>
      <c r="P98" s="46">
        <f>IF($I98="","",_xlfn.TEXTJOIN(", ",TRUE,$I98:$N98))</f>
        <v/>
      </c>
      <c r="Q98" s="47">
        <f>IF($I98="","",IFERROR(INDEX(코드설정!$D$5:$D$24,MATCH($I98,코드설정!$C$5:$C$24,0)),""))</f>
        <v/>
      </c>
      <c r="R98" s="49" t="n"/>
      <c r="S98" s="50" t="n"/>
      <c r="T98" s="51" t="n"/>
      <c r="U98" s="43">
        <f>IF(OR($B98="",$C98=""),"",$C98-$B98+1)</f>
        <v/>
      </c>
      <c r="V98" s="52" t="n"/>
      <c r="W98" s="53">
        <f>IF(OR($V98="",$O98=""),"",$V98*$O98)</f>
        <v/>
      </c>
      <c r="X98" s="45" t="n"/>
      <c r="Y98" s="49" t="n"/>
    </row>
    <row r="99">
      <c r="A99" s="43">
        <f>IF($B99="","",COUNT($B$5:$B99))</f>
        <v/>
      </c>
      <c r="B99" s="44" t="n"/>
      <c r="C99" s="44" t="n"/>
      <c r="D99" s="45" t="n"/>
      <c r="E99" s="45" t="n"/>
      <c r="F99" s="45" t="n"/>
      <c r="G99" s="46">
        <f>IF($F99="","",IFERROR(INDEX(사건마스터!$B$5:$B$64,MATCH($F99,사건마스터!$A$5:$A$64,0)),""))</f>
        <v/>
      </c>
      <c r="H99" s="47">
        <f>IF($F99="","",IFERROR(INDEX(사건마스터!$C$5:$C$64,MATCH($F99,사건마스터!$A$5:$A$64,0)),""))</f>
        <v/>
      </c>
      <c r="I99" s="48">
        <f>IF($F99="","",IFERROR(INDEX(사건마스터!$H$5:$H$64,MATCH($F99,사건마스터!$A$5:$A$64,0)),""))</f>
        <v/>
      </c>
      <c r="J99" s="48">
        <f>IF($F99="","",IFERROR(INDEX(사건마스터!$AH$5:$AH$64,MATCH($F99,사건마스터!$A$5:$A$64,0)),""))</f>
        <v/>
      </c>
      <c r="K99" s="48">
        <f>IF($F99="","",IFERROR(INDEX(사건마스터!$AI$5:$AI$64,MATCH($F99,사건마스터!$A$5:$A$64,0)),""))</f>
        <v/>
      </c>
      <c r="L99" s="48">
        <f>IF($F99="","",IFERROR(INDEX(사건마스터!$AJ$5:$AJ$64,MATCH($F99,사건마스터!$A$5:$A$64,0)),""))</f>
        <v/>
      </c>
      <c r="M99" s="48">
        <f>IF($F99="","",IFERROR(INDEX(사건마스터!$AK$5:$AK$64,MATCH($F99,사건마스터!$A$5:$A$64,0)),""))</f>
        <v/>
      </c>
      <c r="N99" s="48">
        <f>IF($F99="","",IFERROR(INDEX(사건마스터!$AL$5:$AL$64,MATCH($F99,사건마스터!$A$5:$A$64,0)),""))</f>
        <v/>
      </c>
      <c r="O99" s="43">
        <f>IF($I99="","",COUNTIF($I99:$N99,"?*"))</f>
        <v/>
      </c>
      <c r="P99" s="46">
        <f>IF($I99="","",_xlfn.TEXTJOIN(", ",TRUE,$I99:$N99))</f>
        <v/>
      </c>
      <c r="Q99" s="47">
        <f>IF($I99="","",IFERROR(INDEX(코드설정!$D$5:$D$24,MATCH($I99,코드설정!$C$5:$C$24,0)),""))</f>
        <v/>
      </c>
      <c r="R99" s="49" t="n"/>
      <c r="S99" s="50" t="n"/>
      <c r="T99" s="51" t="n"/>
      <c r="U99" s="43">
        <f>IF(OR($B99="",$C99=""),"",$C99-$B99+1)</f>
        <v/>
      </c>
      <c r="V99" s="52" t="n"/>
      <c r="W99" s="53">
        <f>IF(OR($V99="",$O99=""),"",$V99*$O99)</f>
        <v/>
      </c>
      <c r="X99" s="45" t="n"/>
      <c r="Y99" s="49" t="n"/>
    </row>
    <row r="100">
      <c r="A100" s="43">
        <f>IF($B100="","",COUNT($B$5:$B100))</f>
        <v/>
      </c>
      <c r="B100" s="44" t="n"/>
      <c r="C100" s="44" t="n"/>
      <c r="D100" s="45" t="n"/>
      <c r="E100" s="45" t="n"/>
      <c r="F100" s="45" t="n"/>
      <c r="G100" s="46">
        <f>IF($F100="","",IFERROR(INDEX(사건마스터!$B$5:$B$64,MATCH($F100,사건마스터!$A$5:$A$64,0)),""))</f>
        <v/>
      </c>
      <c r="H100" s="47">
        <f>IF($F100="","",IFERROR(INDEX(사건마스터!$C$5:$C$64,MATCH($F100,사건마스터!$A$5:$A$64,0)),""))</f>
        <v/>
      </c>
      <c r="I100" s="48">
        <f>IF($F100="","",IFERROR(INDEX(사건마스터!$H$5:$H$64,MATCH($F100,사건마스터!$A$5:$A$64,0)),""))</f>
        <v/>
      </c>
      <c r="J100" s="48">
        <f>IF($F100="","",IFERROR(INDEX(사건마스터!$AH$5:$AH$64,MATCH($F100,사건마스터!$A$5:$A$64,0)),""))</f>
        <v/>
      </c>
      <c r="K100" s="48">
        <f>IF($F100="","",IFERROR(INDEX(사건마스터!$AI$5:$AI$64,MATCH($F100,사건마스터!$A$5:$A$64,0)),""))</f>
        <v/>
      </c>
      <c r="L100" s="48">
        <f>IF($F100="","",IFERROR(INDEX(사건마스터!$AJ$5:$AJ$64,MATCH($F100,사건마스터!$A$5:$A$64,0)),""))</f>
        <v/>
      </c>
      <c r="M100" s="48">
        <f>IF($F100="","",IFERROR(INDEX(사건마스터!$AK$5:$AK$64,MATCH($F100,사건마스터!$A$5:$A$64,0)),""))</f>
        <v/>
      </c>
      <c r="N100" s="48">
        <f>IF($F100="","",IFERROR(INDEX(사건마스터!$AL$5:$AL$64,MATCH($F100,사건마스터!$A$5:$A$64,0)),""))</f>
        <v/>
      </c>
      <c r="O100" s="43">
        <f>IF($I100="","",COUNTIF($I100:$N100,"?*"))</f>
        <v/>
      </c>
      <c r="P100" s="46">
        <f>IF($I100="","",_xlfn.TEXTJOIN(", ",TRUE,$I100:$N100))</f>
        <v/>
      </c>
      <c r="Q100" s="47">
        <f>IF($I100="","",IFERROR(INDEX(코드설정!$D$5:$D$24,MATCH($I100,코드설정!$C$5:$C$24,0)),""))</f>
        <v/>
      </c>
      <c r="R100" s="49" t="n"/>
      <c r="S100" s="50" t="n"/>
      <c r="T100" s="51" t="n"/>
      <c r="U100" s="43">
        <f>IF(OR($B100="",$C100=""),"",$C100-$B100+1)</f>
        <v/>
      </c>
      <c r="V100" s="52" t="n"/>
      <c r="W100" s="53">
        <f>IF(OR($V100="",$O100=""),"",$V100*$O100)</f>
        <v/>
      </c>
      <c r="X100" s="45" t="n"/>
      <c r="Y100" s="49" t="n"/>
    </row>
    <row r="101">
      <c r="A101" s="43">
        <f>IF($B101="","",COUNT($B$5:$B101))</f>
        <v/>
      </c>
      <c r="B101" s="44" t="n"/>
      <c r="C101" s="44" t="n"/>
      <c r="D101" s="45" t="n"/>
      <c r="E101" s="45" t="n"/>
      <c r="F101" s="45" t="n"/>
      <c r="G101" s="46">
        <f>IF($F101="","",IFERROR(INDEX(사건마스터!$B$5:$B$64,MATCH($F101,사건마스터!$A$5:$A$64,0)),""))</f>
        <v/>
      </c>
      <c r="H101" s="47">
        <f>IF($F101="","",IFERROR(INDEX(사건마스터!$C$5:$C$64,MATCH($F101,사건마스터!$A$5:$A$64,0)),""))</f>
        <v/>
      </c>
      <c r="I101" s="48">
        <f>IF($F101="","",IFERROR(INDEX(사건마스터!$H$5:$H$64,MATCH($F101,사건마스터!$A$5:$A$64,0)),""))</f>
        <v/>
      </c>
      <c r="J101" s="48">
        <f>IF($F101="","",IFERROR(INDEX(사건마스터!$AH$5:$AH$64,MATCH($F101,사건마스터!$A$5:$A$64,0)),""))</f>
        <v/>
      </c>
      <c r="K101" s="48">
        <f>IF($F101="","",IFERROR(INDEX(사건마스터!$AI$5:$AI$64,MATCH($F101,사건마스터!$A$5:$A$64,0)),""))</f>
        <v/>
      </c>
      <c r="L101" s="48">
        <f>IF($F101="","",IFERROR(INDEX(사건마스터!$AJ$5:$AJ$64,MATCH($F101,사건마스터!$A$5:$A$64,0)),""))</f>
        <v/>
      </c>
      <c r="M101" s="48">
        <f>IF($F101="","",IFERROR(INDEX(사건마스터!$AK$5:$AK$64,MATCH($F101,사건마스터!$A$5:$A$64,0)),""))</f>
        <v/>
      </c>
      <c r="N101" s="48">
        <f>IF($F101="","",IFERROR(INDEX(사건마스터!$AL$5:$AL$64,MATCH($F101,사건마스터!$A$5:$A$64,0)),""))</f>
        <v/>
      </c>
      <c r="O101" s="43">
        <f>IF($I101="","",COUNTIF($I101:$N101,"?*"))</f>
        <v/>
      </c>
      <c r="P101" s="46">
        <f>IF($I101="","",_xlfn.TEXTJOIN(", ",TRUE,$I101:$N101))</f>
        <v/>
      </c>
      <c r="Q101" s="47">
        <f>IF($I101="","",IFERROR(INDEX(코드설정!$D$5:$D$24,MATCH($I101,코드설정!$C$5:$C$24,0)),""))</f>
        <v/>
      </c>
      <c r="R101" s="49" t="n"/>
      <c r="S101" s="50" t="n"/>
      <c r="T101" s="51" t="n"/>
      <c r="U101" s="43">
        <f>IF(OR($B101="",$C101=""),"",$C101-$B101+1)</f>
        <v/>
      </c>
      <c r="V101" s="52" t="n"/>
      <c r="W101" s="53">
        <f>IF(OR($V101="",$O101=""),"",$V101*$O101)</f>
        <v/>
      </c>
      <c r="X101" s="45" t="n"/>
      <c r="Y101" s="49" t="n"/>
    </row>
    <row r="102">
      <c r="A102" s="43">
        <f>IF($B102="","",COUNT($B$5:$B102))</f>
        <v/>
      </c>
      <c r="B102" s="44" t="n"/>
      <c r="C102" s="44" t="n"/>
      <c r="D102" s="45" t="n"/>
      <c r="E102" s="45" t="n"/>
      <c r="F102" s="45" t="n"/>
      <c r="G102" s="46">
        <f>IF($F102="","",IFERROR(INDEX(사건마스터!$B$5:$B$64,MATCH($F102,사건마스터!$A$5:$A$64,0)),""))</f>
        <v/>
      </c>
      <c r="H102" s="47">
        <f>IF($F102="","",IFERROR(INDEX(사건마스터!$C$5:$C$64,MATCH($F102,사건마스터!$A$5:$A$64,0)),""))</f>
        <v/>
      </c>
      <c r="I102" s="48">
        <f>IF($F102="","",IFERROR(INDEX(사건마스터!$H$5:$H$64,MATCH($F102,사건마스터!$A$5:$A$64,0)),""))</f>
        <v/>
      </c>
      <c r="J102" s="48">
        <f>IF($F102="","",IFERROR(INDEX(사건마스터!$AH$5:$AH$64,MATCH($F102,사건마스터!$A$5:$A$64,0)),""))</f>
        <v/>
      </c>
      <c r="K102" s="48">
        <f>IF($F102="","",IFERROR(INDEX(사건마스터!$AI$5:$AI$64,MATCH($F102,사건마스터!$A$5:$A$64,0)),""))</f>
        <v/>
      </c>
      <c r="L102" s="48">
        <f>IF($F102="","",IFERROR(INDEX(사건마스터!$AJ$5:$AJ$64,MATCH($F102,사건마스터!$A$5:$A$64,0)),""))</f>
        <v/>
      </c>
      <c r="M102" s="48">
        <f>IF($F102="","",IFERROR(INDEX(사건마스터!$AK$5:$AK$64,MATCH($F102,사건마스터!$A$5:$A$64,0)),""))</f>
        <v/>
      </c>
      <c r="N102" s="48">
        <f>IF($F102="","",IFERROR(INDEX(사건마스터!$AL$5:$AL$64,MATCH($F102,사건마스터!$A$5:$A$64,0)),""))</f>
        <v/>
      </c>
      <c r="O102" s="43">
        <f>IF($I102="","",COUNTIF($I102:$N102,"?*"))</f>
        <v/>
      </c>
      <c r="P102" s="46">
        <f>IF($I102="","",_xlfn.TEXTJOIN(", ",TRUE,$I102:$N102))</f>
        <v/>
      </c>
      <c r="Q102" s="47">
        <f>IF($I102="","",IFERROR(INDEX(코드설정!$D$5:$D$24,MATCH($I102,코드설정!$C$5:$C$24,0)),""))</f>
        <v/>
      </c>
      <c r="R102" s="49" t="n"/>
      <c r="S102" s="50" t="n"/>
      <c r="T102" s="51" t="n"/>
      <c r="U102" s="43">
        <f>IF(OR($B102="",$C102=""),"",$C102-$B102+1)</f>
        <v/>
      </c>
      <c r="V102" s="52" t="n"/>
      <c r="W102" s="53">
        <f>IF(OR($V102="",$O102=""),"",$V102*$O102)</f>
        <v/>
      </c>
      <c r="X102" s="45" t="n"/>
      <c r="Y102" s="49" t="n"/>
    </row>
    <row r="103">
      <c r="A103" s="43">
        <f>IF($B103="","",COUNT($B$5:$B103))</f>
        <v/>
      </c>
      <c r="B103" s="44" t="n"/>
      <c r="C103" s="44" t="n"/>
      <c r="D103" s="45" t="n"/>
      <c r="E103" s="45" t="n"/>
      <c r="F103" s="45" t="n"/>
      <c r="G103" s="46">
        <f>IF($F103="","",IFERROR(INDEX(사건마스터!$B$5:$B$64,MATCH($F103,사건마스터!$A$5:$A$64,0)),""))</f>
        <v/>
      </c>
      <c r="H103" s="47">
        <f>IF($F103="","",IFERROR(INDEX(사건마스터!$C$5:$C$64,MATCH($F103,사건마스터!$A$5:$A$64,0)),""))</f>
        <v/>
      </c>
      <c r="I103" s="48">
        <f>IF($F103="","",IFERROR(INDEX(사건마스터!$H$5:$H$64,MATCH($F103,사건마스터!$A$5:$A$64,0)),""))</f>
        <v/>
      </c>
      <c r="J103" s="48">
        <f>IF($F103="","",IFERROR(INDEX(사건마스터!$AH$5:$AH$64,MATCH($F103,사건마스터!$A$5:$A$64,0)),""))</f>
        <v/>
      </c>
      <c r="K103" s="48">
        <f>IF($F103="","",IFERROR(INDEX(사건마스터!$AI$5:$AI$64,MATCH($F103,사건마스터!$A$5:$A$64,0)),""))</f>
        <v/>
      </c>
      <c r="L103" s="48">
        <f>IF($F103="","",IFERROR(INDEX(사건마스터!$AJ$5:$AJ$64,MATCH($F103,사건마스터!$A$5:$A$64,0)),""))</f>
        <v/>
      </c>
      <c r="M103" s="48">
        <f>IF($F103="","",IFERROR(INDEX(사건마스터!$AK$5:$AK$64,MATCH($F103,사건마스터!$A$5:$A$64,0)),""))</f>
        <v/>
      </c>
      <c r="N103" s="48">
        <f>IF($F103="","",IFERROR(INDEX(사건마스터!$AL$5:$AL$64,MATCH($F103,사건마스터!$A$5:$A$64,0)),""))</f>
        <v/>
      </c>
      <c r="O103" s="43">
        <f>IF($I103="","",COUNTIF($I103:$N103,"?*"))</f>
        <v/>
      </c>
      <c r="P103" s="46">
        <f>IF($I103="","",_xlfn.TEXTJOIN(", ",TRUE,$I103:$N103))</f>
        <v/>
      </c>
      <c r="Q103" s="47">
        <f>IF($I103="","",IFERROR(INDEX(코드설정!$D$5:$D$24,MATCH($I103,코드설정!$C$5:$C$24,0)),""))</f>
        <v/>
      </c>
      <c r="R103" s="49" t="n"/>
      <c r="S103" s="50" t="n"/>
      <c r="T103" s="51" t="n"/>
      <c r="U103" s="43">
        <f>IF(OR($B103="",$C103=""),"",$C103-$B103+1)</f>
        <v/>
      </c>
      <c r="V103" s="52" t="n"/>
      <c r="W103" s="53">
        <f>IF(OR($V103="",$O103=""),"",$V103*$O103)</f>
        <v/>
      </c>
      <c r="X103" s="45" t="n"/>
      <c r="Y103" s="49" t="n"/>
    </row>
    <row r="104">
      <c r="A104" s="43">
        <f>IF($B104="","",COUNT($B$5:$B104))</f>
        <v/>
      </c>
      <c r="B104" s="44" t="n"/>
      <c r="C104" s="44" t="n"/>
      <c r="D104" s="45" t="n"/>
      <c r="E104" s="45" t="n"/>
      <c r="F104" s="45" t="n"/>
      <c r="G104" s="46">
        <f>IF($F104="","",IFERROR(INDEX(사건마스터!$B$5:$B$64,MATCH($F104,사건마스터!$A$5:$A$64,0)),""))</f>
        <v/>
      </c>
      <c r="H104" s="47">
        <f>IF($F104="","",IFERROR(INDEX(사건마스터!$C$5:$C$64,MATCH($F104,사건마스터!$A$5:$A$64,0)),""))</f>
        <v/>
      </c>
      <c r="I104" s="48">
        <f>IF($F104="","",IFERROR(INDEX(사건마스터!$H$5:$H$64,MATCH($F104,사건마스터!$A$5:$A$64,0)),""))</f>
        <v/>
      </c>
      <c r="J104" s="48">
        <f>IF($F104="","",IFERROR(INDEX(사건마스터!$AH$5:$AH$64,MATCH($F104,사건마스터!$A$5:$A$64,0)),""))</f>
        <v/>
      </c>
      <c r="K104" s="48">
        <f>IF($F104="","",IFERROR(INDEX(사건마스터!$AI$5:$AI$64,MATCH($F104,사건마스터!$A$5:$A$64,0)),""))</f>
        <v/>
      </c>
      <c r="L104" s="48">
        <f>IF($F104="","",IFERROR(INDEX(사건마스터!$AJ$5:$AJ$64,MATCH($F104,사건마스터!$A$5:$A$64,0)),""))</f>
        <v/>
      </c>
      <c r="M104" s="48">
        <f>IF($F104="","",IFERROR(INDEX(사건마스터!$AK$5:$AK$64,MATCH($F104,사건마스터!$A$5:$A$64,0)),""))</f>
        <v/>
      </c>
      <c r="N104" s="48">
        <f>IF($F104="","",IFERROR(INDEX(사건마스터!$AL$5:$AL$64,MATCH($F104,사건마스터!$A$5:$A$64,0)),""))</f>
        <v/>
      </c>
      <c r="O104" s="43">
        <f>IF($I104="","",COUNTIF($I104:$N104,"?*"))</f>
        <v/>
      </c>
      <c r="P104" s="46">
        <f>IF($I104="","",_xlfn.TEXTJOIN(", ",TRUE,$I104:$N104))</f>
        <v/>
      </c>
      <c r="Q104" s="47">
        <f>IF($I104="","",IFERROR(INDEX(코드설정!$D$5:$D$24,MATCH($I104,코드설정!$C$5:$C$24,0)),""))</f>
        <v/>
      </c>
      <c r="R104" s="49" t="n"/>
      <c r="S104" s="50" t="n"/>
      <c r="T104" s="51" t="n"/>
      <c r="U104" s="43">
        <f>IF(OR($B104="",$C104=""),"",$C104-$B104+1)</f>
        <v/>
      </c>
      <c r="V104" s="52" t="n"/>
      <c r="W104" s="53">
        <f>IF(OR($V104="",$O104=""),"",$V104*$O104)</f>
        <v/>
      </c>
      <c r="X104" s="45" t="n"/>
      <c r="Y104" s="49" t="n"/>
    </row>
    <row r="105">
      <c r="A105" s="43">
        <f>IF($B105="","",COUNT($B$5:$B105))</f>
        <v/>
      </c>
      <c r="B105" s="44" t="n"/>
      <c r="C105" s="44" t="n"/>
      <c r="D105" s="45" t="n"/>
      <c r="E105" s="45" t="n"/>
      <c r="F105" s="45" t="n"/>
      <c r="G105" s="46">
        <f>IF($F105="","",IFERROR(INDEX(사건마스터!$B$5:$B$64,MATCH($F105,사건마스터!$A$5:$A$64,0)),""))</f>
        <v/>
      </c>
      <c r="H105" s="47">
        <f>IF($F105="","",IFERROR(INDEX(사건마스터!$C$5:$C$64,MATCH($F105,사건마스터!$A$5:$A$64,0)),""))</f>
        <v/>
      </c>
      <c r="I105" s="48">
        <f>IF($F105="","",IFERROR(INDEX(사건마스터!$H$5:$H$64,MATCH($F105,사건마스터!$A$5:$A$64,0)),""))</f>
        <v/>
      </c>
      <c r="J105" s="48">
        <f>IF($F105="","",IFERROR(INDEX(사건마스터!$AH$5:$AH$64,MATCH($F105,사건마스터!$A$5:$A$64,0)),""))</f>
        <v/>
      </c>
      <c r="K105" s="48">
        <f>IF($F105="","",IFERROR(INDEX(사건마스터!$AI$5:$AI$64,MATCH($F105,사건마스터!$A$5:$A$64,0)),""))</f>
        <v/>
      </c>
      <c r="L105" s="48">
        <f>IF($F105="","",IFERROR(INDEX(사건마스터!$AJ$5:$AJ$64,MATCH($F105,사건마스터!$A$5:$A$64,0)),""))</f>
        <v/>
      </c>
      <c r="M105" s="48">
        <f>IF($F105="","",IFERROR(INDEX(사건마스터!$AK$5:$AK$64,MATCH($F105,사건마스터!$A$5:$A$64,0)),""))</f>
        <v/>
      </c>
      <c r="N105" s="48">
        <f>IF($F105="","",IFERROR(INDEX(사건마스터!$AL$5:$AL$64,MATCH($F105,사건마스터!$A$5:$A$64,0)),""))</f>
        <v/>
      </c>
      <c r="O105" s="43">
        <f>IF($I105="","",COUNTIF($I105:$N105,"?*"))</f>
        <v/>
      </c>
      <c r="P105" s="46">
        <f>IF($I105="","",_xlfn.TEXTJOIN(", ",TRUE,$I105:$N105))</f>
        <v/>
      </c>
      <c r="Q105" s="47">
        <f>IF($I105="","",IFERROR(INDEX(코드설정!$D$5:$D$24,MATCH($I105,코드설정!$C$5:$C$24,0)),""))</f>
        <v/>
      </c>
      <c r="R105" s="49" t="n"/>
      <c r="S105" s="50" t="n"/>
      <c r="T105" s="51" t="n"/>
      <c r="U105" s="43">
        <f>IF(OR($B105="",$C105=""),"",$C105-$B105+1)</f>
        <v/>
      </c>
      <c r="V105" s="52" t="n"/>
      <c r="W105" s="53">
        <f>IF(OR($V105="",$O105=""),"",$V105*$O105)</f>
        <v/>
      </c>
      <c r="X105" s="45" t="n"/>
      <c r="Y105" s="49" t="n"/>
    </row>
    <row r="106">
      <c r="A106" s="43">
        <f>IF($B106="","",COUNT($B$5:$B106))</f>
        <v/>
      </c>
      <c r="B106" s="44" t="n"/>
      <c r="C106" s="44" t="n"/>
      <c r="D106" s="45" t="n"/>
      <c r="E106" s="45" t="n"/>
      <c r="F106" s="45" t="n"/>
      <c r="G106" s="46">
        <f>IF($F106="","",IFERROR(INDEX(사건마스터!$B$5:$B$64,MATCH($F106,사건마스터!$A$5:$A$64,0)),""))</f>
        <v/>
      </c>
      <c r="H106" s="47">
        <f>IF($F106="","",IFERROR(INDEX(사건마스터!$C$5:$C$64,MATCH($F106,사건마스터!$A$5:$A$64,0)),""))</f>
        <v/>
      </c>
      <c r="I106" s="48">
        <f>IF($F106="","",IFERROR(INDEX(사건마스터!$H$5:$H$64,MATCH($F106,사건마스터!$A$5:$A$64,0)),""))</f>
        <v/>
      </c>
      <c r="J106" s="48">
        <f>IF($F106="","",IFERROR(INDEX(사건마스터!$AH$5:$AH$64,MATCH($F106,사건마스터!$A$5:$A$64,0)),""))</f>
        <v/>
      </c>
      <c r="K106" s="48">
        <f>IF($F106="","",IFERROR(INDEX(사건마스터!$AI$5:$AI$64,MATCH($F106,사건마스터!$A$5:$A$64,0)),""))</f>
        <v/>
      </c>
      <c r="L106" s="48">
        <f>IF($F106="","",IFERROR(INDEX(사건마스터!$AJ$5:$AJ$64,MATCH($F106,사건마스터!$A$5:$A$64,0)),""))</f>
        <v/>
      </c>
      <c r="M106" s="48">
        <f>IF($F106="","",IFERROR(INDEX(사건마스터!$AK$5:$AK$64,MATCH($F106,사건마스터!$A$5:$A$64,0)),""))</f>
        <v/>
      </c>
      <c r="N106" s="48">
        <f>IF($F106="","",IFERROR(INDEX(사건마스터!$AL$5:$AL$64,MATCH($F106,사건마스터!$A$5:$A$64,0)),""))</f>
        <v/>
      </c>
      <c r="O106" s="43">
        <f>IF($I106="","",COUNTIF($I106:$N106,"?*"))</f>
        <v/>
      </c>
      <c r="P106" s="46">
        <f>IF($I106="","",_xlfn.TEXTJOIN(", ",TRUE,$I106:$N106))</f>
        <v/>
      </c>
      <c r="Q106" s="47">
        <f>IF($I106="","",IFERROR(INDEX(코드설정!$D$5:$D$24,MATCH($I106,코드설정!$C$5:$C$24,0)),""))</f>
        <v/>
      </c>
      <c r="R106" s="49" t="n"/>
      <c r="S106" s="50" t="n"/>
      <c r="T106" s="51" t="n"/>
      <c r="U106" s="43">
        <f>IF(OR($B106="",$C106=""),"",$C106-$B106+1)</f>
        <v/>
      </c>
      <c r="V106" s="52" t="n"/>
      <c r="W106" s="53">
        <f>IF(OR($V106="",$O106=""),"",$V106*$O106)</f>
        <v/>
      </c>
      <c r="X106" s="45" t="n"/>
      <c r="Y106" s="49" t="n"/>
    </row>
    <row r="107">
      <c r="A107" s="43">
        <f>IF($B107="","",COUNT($B$5:$B107))</f>
        <v/>
      </c>
      <c r="B107" s="44" t="n"/>
      <c r="C107" s="44" t="n"/>
      <c r="D107" s="45" t="n"/>
      <c r="E107" s="45" t="n"/>
      <c r="F107" s="45" t="n"/>
      <c r="G107" s="46">
        <f>IF($F107="","",IFERROR(INDEX(사건마스터!$B$5:$B$64,MATCH($F107,사건마스터!$A$5:$A$64,0)),""))</f>
        <v/>
      </c>
      <c r="H107" s="47">
        <f>IF($F107="","",IFERROR(INDEX(사건마스터!$C$5:$C$64,MATCH($F107,사건마스터!$A$5:$A$64,0)),""))</f>
        <v/>
      </c>
      <c r="I107" s="48">
        <f>IF($F107="","",IFERROR(INDEX(사건마스터!$H$5:$H$64,MATCH($F107,사건마스터!$A$5:$A$64,0)),""))</f>
        <v/>
      </c>
      <c r="J107" s="48">
        <f>IF($F107="","",IFERROR(INDEX(사건마스터!$AH$5:$AH$64,MATCH($F107,사건마스터!$A$5:$A$64,0)),""))</f>
        <v/>
      </c>
      <c r="K107" s="48">
        <f>IF($F107="","",IFERROR(INDEX(사건마스터!$AI$5:$AI$64,MATCH($F107,사건마스터!$A$5:$A$64,0)),""))</f>
        <v/>
      </c>
      <c r="L107" s="48">
        <f>IF($F107="","",IFERROR(INDEX(사건마스터!$AJ$5:$AJ$64,MATCH($F107,사건마스터!$A$5:$A$64,0)),""))</f>
        <v/>
      </c>
      <c r="M107" s="48">
        <f>IF($F107="","",IFERROR(INDEX(사건마스터!$AK$5:$AK$64,MATCH($F107,사건마스터!$A$5:$A$64,0)),""))</f>
        <v/>
      </c>
      <c r="N107" s="48">
        <f>IF($F107="","",IFERROR(INDEX(사건마스터!$AL$5:$AL$64,MATCH($F107,사건마스터!$A$5:$A$64,0)),""))</f>
        <v/>
      </c>
      <c r="O107" s="43">
        <f>IF($I107="","",COUNTIF($I107:$N107,"?*"))</f>
        <v/>
      </c>
      <c r="P107" s="46">
        <f>IF($I107="","",_xlfn.TEXTJOIN(", ",TRUE,$I107:$N107))</f>
        <v/>
      </c>
      <c r="Q107" s="47">
        <f>IF($I107="","",IFERROR(INDEX(코드설정!$D$5:$D$24,MATCH($I107,코드설정!$C$5:$C$24,0)),""))</f>
        <v/>
      </c>
      <c r="R107" s="49" t="n"/>
      <c r="S107" s="50" t="n"/>
      <c r="T107" s="51" t="n"/>
      <c r="U107" s="43">
        <f>IF(OR($B107="",$C107=""),"",$C107-$B107+1)</f>
        <v/>
      </c>
      <c r="V107" s="52" t="n"/>
      <c r="W107" s="53">
        <f>IF(OR($V107="",$O107=""),"",$V107*$O107)</f>
        <v/>
      </c>
      <c r="X107" s="45" t="n"/>
      <c r="Y107" s="49" t="n"/>
    </row>
    <row r="108">
      <c r="A108" s="43">
        <f>IF($B108="","",COUNT($B$5:$B108))</f>
        <v/>
      </c>
      <c r="B108" s="44" t="n"/>
      <c r="C108" s="44" t="n"/>
      <c r="D108" s="45" t="n"/>
      <c r="E108" s="45" t="n"/>
      <c r="F108" s="45" t="n"/>
      <c r="G108" s="46">
        <f>IF($F108="","",IFERROR(INDEX(사건마스터!$B$5:$B$64,MATCH($F108,사건마스터!$A$5:$A$64,0)),""))</f>
        <v/>
      </c>
      <c r="H108" s="47">
        <f>IF($F108="","",IFERROR(INDEX(사건마스터!$C$5:$C$64,MATCH($F108,사건마스터!$A$5:$A$64,0)),""))</f>
        <v/>
      </c>
      <c r="I108" s="48">
        <f>IF($F108="","",IFERROR(INDEX(사건마스터!$H$5:$H$64,MATCH($F108,사건마스터!$A$5:$A$64,0)),""))</f>
        <v/>
      </c>
      <c r="J108" s="48">
        <f>IF($F108="","",IFERROR(INDEX(사건마스터!$AH$5:$AH$64,MATCH($F108,사건마스터!$A$5:$A$64,0)),""))</f>
        <v/>
      </c>
      <c r="K108" s="48">
        <f>IF($F108="","",IFERROR(INDEX(사건마스터!$AI$5:$AI$64,MATCH($F108,사건마스터!$A$5:$A$64,0)),""))</f>
        <v/>
      </c>
      <c r="L108" s="48">
        <f>IF($F108="","",IFERROR(INDEX(사건마스터!$AJ$5:$AJ$64,MATCH($F108,사건마스터!$A$5:$A$64,0)),""))</f>
        <v/>
      </c>
      <c r="M108" s="48">
        <f>IF($F108="","",IFERROR(INDEX(사건마스터!$AK$5:$AK$64,MATCH($F108,사건마스터!$A$5:$A$64,0)),""))</f>
        <v/>
      </c>
      <c r="N108" s="48">
        <f>IF($F108="","",IFERROR(INDEX(사건마스터!$AL$5:$AL$64,MATCH($F108,사건마스터!$A$5:$A$64,0)),""))</f>
        <v/>
      </c>
      <c r="O108" s="43">
        <f>IF($I108="","",COUNTIF($I108:$N108,"?*"))</f>
        <v/>
      </c>
      <c r="P108" s="46">
        <f>IF($I108="","",_xlfn.TEXTJOIN(", ",TRUE,$I108:$N108))</f>
        <v/>
      </c>
      <c r="Q108" s="47">
        <f>IF($I108="","",IFERROR(INDEX(코드설정!$D$5:$D$24,MATCH($I108,코드설정!$C$5:$C$24,0)),""))</f>
        <v/>
      </c>
      <c r="R108" s="49" t="n"/>
      <c r="S108" s="50" t="n"/>
      <c r="T108" s="51" t="n"/>
      <c r="U108" s="43">
        <f>IF(OR($B108="",$C108=""),"",$C108-$B108+1)</f>
        <v/>
      </c>
      <c r="V108" s="52" t="n"/>
      <c r="W108" s="53">
        <f>IF(OR($V108="",$O108=""),"",$V108*$O108)</f>
        <v/>
      </c>
      <c r="X108" s="45" t="n"/>
      <c r="Y108" s="49" t="n"/>
    </row>
    <row r="109">
      <c r="A109" s="43">
        <f>IF($B109="","",COUNT($B$5:$B109))</f>
        <v/>
      </c>
      <c r="B109" s="44" t="n"/>
      <c r="C109" s="44" t="n"/>
      <c r="D109" s="45" t="n"/>
      <c r="E109" s="45" t="n"/>
      <c r="F109" s="45" t="n"/>
      <c r="G109" s="46">
        <f>IF($F109="","",IFERROR(INDEX(사건마스터!$B$5:$B$64,MATCH($F109,사건마스터!$A$5:$A$64,0)),""))</f>
        <v/>
      </c>
      <c r="H109" s="47">
        <f>IF($F109="","",IFERROR(INDEX(사건마스터!$C$5:$C$64,MATCH($F109,사건마스터!$A$5:$A$64,0)),""))</f>
        <v/>
      </c>
      <c r="I109" s="48">
        <f>IF($F109="","",IFERROR(INDEX(사건마스터!$H$5:$H$64,MATCH($F109,사건마스터!$A$5:$A$64,0)),""))</f>
        <v/>
      </c>
      <c r="J109" s="48">
        <f>IF($F109="","",IFERROR(INDEX(사건마스터!$AH$5:$AH$64,MATCH($F109,사건마스터!$A$5:$A$64,0)),""))</f>
        <v/>
      </c>
      <c r="K109" s="48">
        <f>IF($F109="","",IFERROR(INDEX(사건마스터!$AI$5:$AI$64,MATCH($F109,사건마스터!$A$5:$A$64,0)),""))</f>
        <v/>
      </c>
      <c r="L109" s="48">
        <f>IF($F109="","",IFERROR(INDEX(사건마스터!$AJ$5:$AJ$64,MATCH($F109,사건마스터!$A$5:$A$64,0)),""))</f>
        <v/>
      </c>
      <c r="M109" s="48">
        <f>IF($F109="","",IFERROR(INDEX(사건마스터!$AK$5:$AK$64,MATCH($F109,사건마스터!$A$5:$A$64,0)),""))</f>
        <v/>
      </c>
      <c r="N109" s="48">
        <f>IF($F109="","",IFERROR(INDEX(사건마스터!$AL$5:$AL$64,MATCH($F109,사건마스터!$A$5:$A$64,0)),""))</f>
        <v/>
      </c>
      <c r="O109" s="43">
        <f>IF($I109="","",COUNTIF($I109:$N109,"?*"))</f>
        <v/>
      </c>
      <c r="P109" s="46">
        <f>IF($I109="","",_xlfn.TEXTJOIN(", ",TRUE,$I109:$N109))</f>
        <v/>
      </c>
      <c r="Q109" s="47">
        <f>IF($I109="","",IFERROR(INDEX(코드설정!$D$5:$D$24,MATCH($I109,코드설정!$C$5:$C$24,0)),""))</f>
        <v/>
      </c>
      <c r="R109" s="49" t="n"/>
      <c r="S109" s="50" t="n"/>
      <c r="T109" s="51" t="n"/>
      <c r="U109" s="43">
        <f>IF(OR($B109="",$C109=""),"",$C109-$B109+1)</f>
        <v/>
      </c>
      <c r="V109" s="52" t="n"/>
      <c r="W109" s="53">
        <f>IF(OR($V109="",$O109=""),"",$V109*$O109)</f>
        <v/>
      </c>
      <c r="X109" s="45" t="n"/>
      <c r="Y109" s="49" t="n"/>
    </row>
    <row r="110">
      <c r="A110" s="43">
        <f>IF($B110="","",COUNT($B$5:$B110))</f>
        <v/>
      </c>
      <c r="B110" s="44" t="n"/>
      <c r="C110" s="44" t="n"/>
      <c r="D110" s="45" t="n"/>
      <c r="E110" s="45" t="n"/>
      <c r="F110" s="45" t="n"/>
      <c r="G110" s="46">
        <f>IF($F110="","",IFERROR(INDEX(사건마스터!$B$5:$B$64,MATCH($F110,사건마스터!$A$5:$A$64,0)),""))</f>
        <v/>
      </c>
      <c r="H110" s="47">
        <f>IF($F110="","",IFERROR(INDEX(사건마스터!$C$5:$C$64,MATCH($F110,사건마스터!$A$5:$A$64,0)),""))</f>
        <v/>
      </c>
      <c r="I110" s="48">
        <f>IF($F110="","",IFERROR(INDEX(사건마스터!$H$5:$H$64,MATCH($F110,사건마스터!$A$5:$A$64,0)),""))</f>
        <v/>
      </c>
      <c r="J110" s="48">
        <f>IF($F110="","",IFERROR(INDEX(사건마스터!$AH$5:$AH$64,MATCH($F110,사건마스터!$A$5:$A$64,0)),""))</f>
        <v/>
      </c>
      <c r="K110" s="48">
        <f>IF($F110="","",IFERROR(INDEX(사건마스터!$AI$5:$AI$64,MATCH($F110,사건마스터!$A$5:$A$64,0)),""))</f>
        <v/>
      </c>
      <c r="L110" s="48">
        <f>IF($F110="","",IFERROR(INDEX(사건마스터!$AJ$5:$AJ$64,MATCH($F110,사건마스터!$A$5:$A$64,0)),""))</f>
        <v/>
      </c>
      <c r="M110" s="48">
        <f>IF($F110="","",IFERROR(INDEX(사건마스터!$AK$5:$AK$64,MATCH($F110,사건마스터!$A$5:$A$64,0)),""))</f>
        <v/>
      </c>
      <c r="N110" s="48">
        <f>IF($F110="","",IFERROR(INDEX(사건마스터!$AL$5:$AL$64,MATCH($F110,사건마스터!$A$5:$A$64,0)),""))</f>
        <v/>
      </c>
      <c r="O110" s="43">
        <f>IF($I110="","",COUNTIF($I110:$N110,"?*"))</f>
        <v/>
      </c>
      <c r="P110" s="46">
        <f>IF($I110="","",_xlfn.TEXTJOIN(", ",TRUE,$I110:$N110))</f>
        <v/>
      </c>
      <c r="Q110" s="47">
        <f>IF($I110="","",IFERROR(INDEX(코드설정!$D$5:$D$24,MATCH($I110,코드설정!$C$5:$C$24,0)),""))</f>
        <v/>
      </c>
      <c r="R110" s="49" t="n"/>
      <c r="S110" s="50" t="n"/>
      <c r="T110" s="51" t="n"/>
      <c r="U110" s="43">
        <f>IF(OR($B110="",$C110=""),"",$C110-$B110+1)</f>
        <v/>
      </c>
      <c r="V110" s="52" t="n"/>
      <c r="W110" s="53">
        <f>IF(OR($V110="",$O110=""),"",$V110*$O110)</f>
        <v/>
      </c>
      <c r="X110" s="45" t="n"/>
      <c r="Y110" s="49" t="n"/>
    </row>
    <row r="111">
      <c r="A111" s="43">
        <f>IF($B111="","",COUNT($B$5:$B111))</f>
        <v/>
      </c>
      <c r="B111" s="44" t="n"/>
      <c r="C111" s="44" t="n"/>
      <c r="D111" s="45" t="n"/>
      <c r="E111" s="45" t="n"/>
      <c r="F111" s="45" t="n"/>
      <c r="G111" s="46">
        <f>IF($F111="","",IFERROR(INDEX(사건마스터!$B$5:$B$64,MATCH($F111,사건마스터!$A$5:$A$64,0)),""))</f>
        <v/>
      </c>
      <c r="H111" s="47">
        <f>IF($F111="","",IFERROR(INDEX(사건마스터!$C$5:$C$64,MATCH($F111,사건마스터!$A$5:$A$64,0)),""))</f>
        <v/>
      </c>
      <c r="I111" s="48">
        <f>IF($F111="","",IFERROR(INDEX(사건마스터!$H$5:$H$64,MATCH($F111,사건마스터!$A$5:$A$64,0)),""))</f>
        <v/>
      </c>
      <c r="J111" s="48">
        <f>IF($F111="","",IFERROR(INDEX(사건마스터!$AH$5:$AH$64,MATCH($F111,사건마스터!$A$5:$A$64,0)),""))</f>
        <v/>
      </c>
      <c r="K111" s="48">
        <f>IF($F111="","",IFERROR(INDEX(사건마스터!$AI$5:$AI$64,MATCH($F111,사건마스터!$A$5:$A$64,0)),""))</f>
        <v/>
      </c>
      <c r="L111" s="48">
        <f>IF($F111="","",IFERROR(INDEX(사건마스터!$AJ$5:$AJ$64,MATCH($F111,사건마스터!$A$5:$A$64,0)),""))</f>
        <v/>
      </c>
      <c r="M111" s="48">
        <f>IF($F111="","",IFERROR(INDEX(사건마스터!$AK$5:$AK$64,MATCH($F111,사건마스터!$A$5:$A$64,0)),""))</f>
        <v/>
      </c>
      <c r="N111" s="48">
        <f>IF($F111="","",IFERROR(INDEX(사건마스터!$AL$5:$AL$64,MATCH($F111,사건마스터!$A$5:$A$64,0)),""))</f>
        <v/>
      </c>
      <c r="O111" s="43">
        <f>IF($I111="","",COUNTIF($I111:$N111,"?*"))</f>
        <v/>
      </c>
      <c r="P111" s="46">
        <f>IF($I111="","",_xlfn.TEXTJOIN(", ",TRUE,$I111:$N111))</f>
        <v/>
      </c>
      <c r="Q111" s="47">
        <f>IF($I111="","",IFERROR(INDEX(코드설정!$D$5:$D$24,MATCH($I111,코드설정!$C$5:$C$24,0)),""))</f>
        <v/>
      </c>
      <c r="R111" s="49" t="n"/>
      <c r="S111" s="50" t="n"/>
      <c r="T111" s="51" t="n"/>
      <c r="U111" s="43">
        <f>IF(OR($B111="",$C111=""),"",$C111-$B111+1)</f>
        <v/>
      </c>
      <c r="V111" s="52" t="n"/>
      <c r="W111" s="53">
        <f>IF(OR($V111="",$O111=""),"",$V111*$O111)</f>
        <v/>
      </c>
      <c r="X111" s="45" t="n"/>
      <c r="Y111" s="49" t="n"/>
    </row>
    <row r="112">
      <c r="A112" s="43">
        <f>IF($B112="","",COUNT($B$5:$B112))</f>
        <v/>
      </c>
      <c r="B112" s="44" t="n"/>
      <c r="C112" s="44" t="n"/>
      <c r="D112" s="45" t="n"/>
      <c r="E112" s="45" t="n"/>
      <c r="F112" s="45" t="n"/>
      <c r="G112" s="46">
        <f>IF($F112="","",IFERROR(INDEX(사건마스터!$B$5:$B$64,MATCH($F112,사건마스터!$A$5:$A$64,0)),""))</f>
        <v/>
      </c>
      <c r="H112" s="47">
        <f>IF($F112="","",IFERROR(INDEX(사건마스터!$C$5:$C$64,MATCH($F112,사건마스터!$A$5:$A$64,0)),""))</f>
        <v/>
      </c>
      <c r="I112" s="48">
        <f>IF($F112="","",IFERROR(INDEX(사건마스터!$H$5:$H$64,MATCH($F112,사건마스터!$A$5:$A$64,0)),""))</f>
        <v/>
      </c>
      <c r="J112" s="48">
        <f>IF($F112="","",IFERROR(INDEX(사건마스터!$AH$5:$AH$64,MATCH($F112,사건마스터!$A$5:$A$64,0)),""))</f>
        <v/>
      </c>
      <c r="K112" s="48">
        <f>IF($F112="","",IFERROR(INDEX(사건마스터!$AI$5:$AI$64,MATCH($F112,사건마스터!$A$5:$A$64,0)),""))</f>
        <v/>
      </c>
      <c r="L112" s="48">
        <f>IF($F112="","",IFERROR(INDEX(사건마스터!$AJ$5:$AJ$64,MATCH($F112,사건마스터!$A$5:$A$64,0)),""))</f>
        <v/>
      </c>
      <c r="M112" s="48">
        <f>IF($F112="","",IFERROR(INDEX(사건마스터!$AK$5:$AK$64,MATCH($F112,사건마스터!$A$5:$A$64,0)),""))</f>
        <v/>
      </c>
      <c r="N112" s="48">
        <f>IF($F112="","",IFERROR(INDEX(사건마스터!$AL$5:$AL$64,MATCH($F112,사건마스터!$A$5:$A$64,0)),""))</f>
        <v/>
      </c>
      <c r="O112" s="43">
        <f>IF($I112="","",COUNTIF($I112:$N112,"?*"))</f>
        <v/>
      </c>
      <c r="P112" s="46">
        <f>IF($I112="","",_xlfn.TEXTJOIN(", ",TRUE,$I112:$N112))</f>
        <v/>
      </c>
      <c r="Q112" s="47">
        <f>IF($I112="","",IFERROR(INDEX(코드설정!$D$5:$D$24,MATCH($I112,코드설정!$C$5:$C$24,0)),""))</f>
        <v/>
      </c>
      <c r="R112" s="49" t="n"/>
      <c r="S112" s="50" t="n"/>
      <c r="T112" s="51" t="n"/>
      <c r="U112" s="43">
        <f>IF(OR($B112="",$C112=""),"",$C112-$B112+1)</f>
        <v/>
      </c>
      <c r="V112" s="52" t="n"/>
      <c r="W112" s="53">
        <f>IF(OR($V112="",$O112=""),"",$V112*$O112)</f>
        <v/>
      </c>
      <c r="X112" s="45" t="n"/>
      <c r="Y112" s="49" t="n"/>
    </row>
    <row r="113">
      <c r="A113" s="43">
        <f>IF($B113="","",COUNT($B$5:$B113))</f>
        <v/>
      </c>
      <c r="B113" s="44" t="n"/>
      <c r="C113" s="44" t="n"/>
      <c r="D113" s="45" t="n"/>
      <c r="E113" s="45" t="n"/>
      <c r="F113" s="45" t="n"/>
      <c r="G113" s="46">
        <f>IF($F113="","",IFERROR(INDEX(사건마스터!$B$5:$B$64,MATCH($F113,사건마스터!$A$5:$A$64,0)),""))</f>
        <v/>
      </c>
      <c r="H113" s="47">
        <f>IF($F113="","",IFERROR(INDEX(사건마스터!$C$5:$C$64,MATCH($F113,사건마스터!$A$5:$A$64,0)),""))</f>
        <v/>
      </c>
      <c r="I113" s="48">
        <f>IF($F113="","",IFERROR(INDEX(사건마스터!$H$5:$H$64,MATCH($F113,사건마스터!$A$5:$A$64,0)),""))</f>
        <v/>
      </c>
      <c r="J113" s="48">
        <f>IF($F113="","",IFERROR(INDEX(사건마스터!$AH$5:$AH$64,MATCH($F113,사건마스터!$A$5:$A$64,0)),""))</f>
        <v/>
      </c>
      <c r="K113" s="48">
        <f>IF($F113="","",IFERROR(INDEX(사건마스터!$AI$5:$AI$64,MATCH($F113,사건마스터!$A$5:$A$64,0)),""))</f>
        <v/>
      </c>
      <c r="L113" s="48">
        <f>IF($F113="","",IFERROR(INDEX(사건마스터!$AJ$5:$AJ$64,MATCH($F113,사건마스터!$A$5:$A$64,0)),""))</f>
        <v/>
      </c>
      <c r="M113" s="48">
        <f>IF($F113="","",IFERROR(INDEX(사건마스터!$AK$5:$AK$64,MATCH($F113,사건마스터!$A$5:$A$64,0)),""))</f>
        <v/>
      </c>
      <c r="N113" s="48">
        <f>IF($F113="","",IFERROR(INDEX(사건마스터!$AL$5:$AL$64,MATCH($F113,사건마스터!$A$5:$A$64,0)),""))</f>
        <v/>
      </c>
      <c r="O113" s="43">
        <f>IF($I113="","",COUNTIF($I113:$N113,"?*"))</f>
        <v/>
      </c>
      <c r="P113" s="46">
        <f>IF($I113="","",_xlfn.TEXTJOIN(", ",TRUE,$I113:$N113))</f>
        <v/>
      </c>
      <c r="Q113" s="47">
        <f>IF($I113="","",IFERROR(INDEX(코드설정!$D$5:$D$24,MATCH($I113,코드설정!$C$5:$C$24,0)),""))</f>
        <v/>
      </c>
      <c r="R113" s="49" t="n"/>
      <c r="S113" s="50" t="n"/>
      <c r="T113" s="51" t="n"/>
      <c r="U113" s="43">
        <f>IF(OR($B113="",$C113=""),"",$C113-$B113+1)</f>
        <v/>
      </c>
      <c r="V113" s="52" t="n"/>
      <c r="W113" s="53">
        <f>IF(OR($V113="",$O113=""),"",$V113*$O113)</f>
        <v/>
      </c>
      <c r="X113" s="45" t="n"/>
      <c r="Y113" s="49" t="n"/>
    </row>
    <row r="114">
      <c r="A114" s="43">
        <f>IF($B114="","",COUNT($B$5:$B114))</f>
        <v/>
      </c>
      <c r="B114" s="44" t="n"/>
      <c r="C114" s="44" t="n"/>
      <c r="D114" s="45" t="n"/>
      <c r="E114" s="45" t="n"/>
      <c r="F114" s="45" t="n"/>
      <c r="G114" s="46">
        <f>IF($F114="","",IFERROR(INDEX(사건마스터!$B$5:$B$64,MATCH($F114,사건마스터!$A$5:$A$64,0)),""))</f>
        <v/>
      </c>
      <c r="H114" s="47">
        <f>IF($F114="","",IFERROR(INDEX(사건마스터!$C$5:$C$64,MATCH($F114,사건마스터!$A$5:$A$64,0)),""))</f>
        <v/>
      </c>
      <c r="I114" s="48">
        <f>IF($F114="","",IFERROR(INDEX(사건마스터!$H$5:$H$64,MATCH($F114,사건마스터!$A$5:$A$64,0)),""))</f>
        <v/>
      </c>
      <c r="J114" s="48">
        <f>IF($F114="","",IFERROR(INDEX(사건마스터!$AH$5:$AH$64,MATCH($F114,사건마스터!$A$5:$A$64,0)),""))</f>
        <v/>
      </c>
      <c r="K114" s="48">
        <f>IF($F114="","",IFERROR(INDEX(사건마스터!$AI$5:$AI$64,MATCH($F114,사건마스터!$A$5:$A$64,0)),""))</f>
        <v/>
      </c>
      <c r="L114" s="48">
        <f>IF($F114="","",IFERROR(INDEX(사건마스터!$AJ$5:$AJ$64,MATCH($F114,사건마스터!$A$5:$A$64,0)),""))</f>
        <v/>
      </c>
      <c r="M114" s="48">
        <f>IF($F114="","",IFERROR(INDEX(사건마스터!$AK$5:$AK$64,MATCH($F114,사건마스터!$A$5:$A$64,0)),""))</f>
        <v/>
      </c>
      <c r="N114" s="48">
        <f>IF($F114="","",IFERROR(INDEX(사건마스터!$AL$5:$AL$64,MATCH($F114,사건마스터!$A$5:$A$64,0)),""))</f>
        <v/>
      </c>
      <c r="O114" s="43">
        <f>IF($I114="","",COUNTIF($I114:$N114,"?*"))</f>
        <v/>
      </c>
      <c r="P114" s="46">
        <f>IF($I114="","",_xlfn.TEXTJOIN(", ",TRUE,$I114:$N114))</f>
        <v/>
      </c>
      <c r="Q114" s="47">
        <f>IF($I114="","",IFERROR(INDEX(코드설정!$D$5:$D$24,MATCH($I114,코드설정!$C$5:$C$24,0)),""))</f>
        <v/>
      </c>
      <c r="R114" s="49" t="n"/>
      <c r="S114" s="50" t="n"/>
      <c r="T114" s="51" t="n"/>
      <c r="U114" s="43">
        <f>IF(OR($B114="",$C114=""),"",$C114-$B114+1)</f>
        <v/>
      </c>
      <c r="V114" s="52" t="n"/>
      <c r="W114" s="53">
        <f>IF(OR($V114="",$O114=""),"",$V114*$O114)</f>
        <v/>
      </c>
      <c r="X114" s="45" t="n"/>
      <c r="Y114" s="49" t="n"/>
    </row>
    <row r="115">
      <c r="A115" s="43">
        <f>IF($B115="","",COUNT($B$5:$B115))</f>
        <v/>
      </c>
      <c r="B115" s="44" t="n"/>
      <c r="C115" s="44" t="n"/>
      <c r="D115" s="45" t="n"/>
      <c r="E115" s="45" t="n"/>
      <c r="F115" s="45" t="n"/>
      <c r="G115" s="46">
        <f>IF($F115="","",IFERROR(INDEX(사건마스터!$B$5:$B$64,MATCH($F115,사건마스터!$A$5:$A$64,0)),""))</f>
        <v/>
      </c>
      <c r="H115" s="47">
        <f>IF($F115="","",IFERROR(INDEX(사건마스터!$C$5:$C$64,MATCH($F115,사건마스터!$A$5:$A$64,0)),""))</f>
        <v/>
      </c>
      <c r="I115" s="48">
        <f>IF($F115="","",IFERROR(INDEX(사건마스터!$H$5:$H$64,MATCH($F115,사건마스터!$A$5:$A$64,0)),""))</f>
        <v/>
      </c>
      <c r="J115" s="48">
        <f>IF($F115="","",IFERROR(INDEX(사건마스터!$AH$5:$AH$64,MATCH($F115,사건마스터!$A$5:$A$64,0)),""))</f>
        <v/>
      </c>
      <c r="K115" s="48">
        <f>IF($F115="","",IFERROR(INDEX(사건마스터!$AI$5:$AI$64,MATCH($F115,사건마스터!$A$5:$A$64,0)),""))</f>
        <v/>
      </c>
      <c r="L115" s="48">
        <f>IF($F115="","",IFERROR(INDEX(사건마스터!$AJ$5:$AJ$64,MATCH($F115,사건마스터!$A$5:$A$64,0)),""))</f>
        <v/>
      </c>
      <c r="M115" s="48">
        <f>IF($F115="","",IFERROR(INDEX(사건마스터!$AK$5:$AK$64,MATCH($F115,사건마스터!$A$5:$A$64,0)),""))</f>
        <v/>
      </c>
      <c r="N115" s="48">
        <f>IF($F115="","",IFERROR(INDEX(사건마스터!$AL$5:$AL$64,MATCH($F115,사건마스터!$A$5:$A$64,0)),""))</f>
        <v/>
      </c>
      <c r="O115" s="43">
        <f>IF($I115="","",COUNTIF($I115:$N115,"?*"))</f>
        <v/>
      </c>
      <c r="P115" s="46">
        <f>IF($I115="","",_xlfn.TEXTJOIN(", ",TRUE,$I115:$N115))</f>
        <v/>
      </c>
      <c r="Q115" s="47">
        <f>IF($I115="","",IFERROR(INDEX(코드설정!$D$5:$D$24,MATCH($I115,코드설정!$C$5:$C$24,0)),""))</f>
        <v/>
      </c>
      <c r="R115" s="49" t="n"/>
      <c r="S115" s="50" t="n"/>
      <c r="T115" s="51" t="n"/>
      <c r="U115" s="43">
        <f>IF(OR($B115="",$C115=""),"",$C115-$B115+1)</f>
        <v/>
      </c>
      <c r="V115" s="52" t="n"/>
      <c r="W115" s="53">
        <f>IF(OR($V115="",$O115=""),"",$V115*$O115)</f>
        <v/>
      </c>
      <c r="X115" s="45" t="n"/>
      <c r="Y115" s="49" t="n"/>
    </row>
    <row r="116">
      <c r="A116" s="43">
        <f>IF($B116="","",COUNT($B$5:$B116))</f>
        <v/>
      </c>
      <c r="B116" s="44" t="n"/>
      <c r="C116" s="44" t="n"/>
      <c r="D116" s="45" t="n"/>
      <c r="E116" s="45" t="n"/>
      <c r="F116" s="45" t="n"/>
      <c r="G116" s="46">
        <f>IF($F116="","",IFERROR(INDEX(사건마스터!$B$5:$B$64,MATCH($F116,사건마스터!$A$5:$A$64,0)),""))</f>
        <v/>
      </c>
      <c r="H116" s="47">
        <f>IF($F116="","",IFERROR(INDEX(사건마스터!$C$5:$C$64,MATCH($F116,사건마스터!$A$5:$A$64,0)),""))</f>
        <v/>
      </c>
      <c r="I116" s="48">
        <f>IF($F116="","",IFERROR(INDEX(사건마스터!$H$5:$H$64,MATCH($F116,사건마스터!$A$5:$A$64,0)),""))</f>
        <v/>
      </c>
      <c r="J116" s="48">
        <f>IF($F116="","",IFERROR(INDEX(사건마스터!$AH$5:$AH$64,MATCH($F116,사건마스터!$A$5:$A$64,0)),""))</f>
        <v/>
      </c>
      <c r="K116" s="48">
        <f>IF($F116="","",IFERROR(INDEX(사건마스터!$AI$5:$AI$64,MATCH($F116,사건마스터!$A$5:$A$64,0)),""))</f>
        <v/>
      </c>
      <c r="L116" s="48">
        <f>IF($F116="","",IFERROR(INDEX(사건마스터!$AJ$5:$AJ$64,MATCH($F116,사건마스터!$A$5:$A$64,0)),""))</f>
        <v/>
      </c>
      <c r="M116" s="48">
        <f>IF($F116="","",IFERROR(INDEX(사건마스터!$AK$5:$AK$64,MATCH($F116,사건마스터!$A$5:$A$64,0)),""))</f>
        <v/>
      </c>
      <c r="N116" s="48">
        <f>IF($F116="","",IFERROR(INDEX(사건마스터!$AL$5:$AL$64,MATCH($F116,사건마스터!$A$5:$A$64,0)),""))</f>
        <v/>
      </c>
      <c r="O116" s="43">
        <f>IF($I116="","",COUNTIF($I116:$N116,"?*"))</f>
        <v/>
      </c>
      <c r="P116" s="46">
        <f>IF($I116="","",_xlfn.TEXTJOIN(", ",TRUE,$I116:$N116))</f>
        <v/>
      </c>
      <c r="Q116" s="47">
        <f>IF($I116="","",IFERROR(INDEX(코드설정!$D$5:$D$24,MATCH($I116,코드설정!$C$5:$C$24,0)),""))</f>
        <v/>
      </c>
      <c r="R116" s="49" t="n"/>
      <c r="S116" s="50" t="n"/>
      <c r="T116" s="51" t="n"/>
      <c r="U116" s="43">
        <f>IF(OR($B116="",$C116=""),"",$C116-$B116+1)</f>
        <v/>
      </c>
      <c r="V116" s="52" t="n"/>
      <c r="W116" s="53">
        <f>IF(OR($V116="",$O116=""),"",$V116*$O116)</f>
        <v/>
      </c>
      <c r="X116" s="45" t="n"/>
      <c r="Y116" s="49" t="n"/>
    </row>
    <row r="117">
      <c r="A117" s="43">
        <f>IF($B117="","",COUNT($B$5:$B117))</f>
        <v/>
      </c>
      <c r="B117" s="44" t="n"/>
      <c r="C117" s="44" t="n"/>
      <c r="D117" s="45" t="n"/>
      <c r="E117" s="45" t="n"/>
      <c r="F117" s="45" t="n"/>
      <c r="G117" s="46">
        <f>IF($F117="","",IFERROR(INDEX(사건마스터!$B$5:$B$64,MATCH($F117,사건마스터!$A$5:$A$64,0)),""))</f>
        <v/>
      </c>
      <c r="H117" s="47">
        <f>IF($F117="","",IFERROR(INDEX(사건마스터!$C$5:$C$64,MATCH($F117,사건마스터!$A$5:$A$64,0)),""))</f>
        <v/>
      </c>
      <c r="I117" s="48">
        <f>IF($F117="","",IFERROR(INDEX(사건마스터!$H$5:$H$64,MATCH($F117,사건마스터!$A$5:$A$64,0)),""))</f>
        <v/>
      </c>
      <c r="J117" s="48">
        <f>IF($F117="","",IFERROR(INDEX(사건마스터!$AH$5:$AH$64,MATCH($F117,사건마스터!$A$5:$A$64,0)),""))</f>
        <v/>
      </c>
      <c r="K117" s="48">
        <f>IF($F117="","",IFERROR(INDEX(사건마스터!$AI$5:$AI$64,MATCH($F117,사건마스터!$A$5:$A$64,0)),""))</f>
        <v/>
      </c>
      <c r="L117" s="48">
        <f>IF($F117="","",IFERROR(INDEX(사건마스터!$AJ$5:$AJ$64,MATCH($F117,사건마스터!$A$5:$A$64,0)),""))</f>
        <v/>
      </c>
      <c r="M117" s="48">
        <f>IF($F117="","",IFERROR(INDEX(사건마스터!$AK$5:$AK$64,MATCH($F117,사건마스터!$A$5:$A$64,0)),""))</f>
        <v/>
      </c>
      <c r="N117" s="48">
        <f>IF($F117="","",IFERROR(INDEX(사건마스터!$AL$5:$AL$64,MATCH($F117,사건마스터!$A$5:$A$64,0)),""))</f>
        <v/>
      </c>
      <c r="O117" s="43">
        <f>IF($I117="","",COUNTIF($I117:$N117,"?*"))</f>
        <v/>
      </c>
      <c r="P117" s="46">
        <f>IF($I117="","",_xlfn.TEXTJOIN(", ",TRUE,$I117:$N117))</f>
        <v/>
      </c>
      <c r="Q117" s="47">
        <f>IF($I117="","",IFERROR(INDEX(코드설정!$D$5:$D$24,MATCH($I117,코드설정!$C$5:$C$24,0)),""))</f>
        <v/>
      </c>
      <c r="R117" s="49" t="n"/>
      <c r="S117" s="50" t="n"/>
      <c r="T117" s="51" t="n"/>
      <c r="U117" s="43">
        <f>IF(OR($B117="",$C117=""),"",$C117-$B117+1)</f>
        <v/>
      </c>
      <c r="V117" s="52" t="n"/>
      <c r="W117" s="53">
        <f>IF(OR($V117="",$O117=""),"",$V117*$O117)</f>
        <v/>
      </c>
      <c r="X117" s="45" t="n"/>
      <c r="Y117" s="49" t="n"/>
    </row>
    <row r="118">
      <c r="A118" s="43">
        <f>IF($B118="","",COUNT($B$5:$B118))</f>
        <v/>
      </c>
      <c r="B118" s="44" t="n"/>
      <c r="C118" s="44" t="n"/>
      <c r="D118" s="45" t="n"/>
      <c r="E118" s="45" t="n"/>
      <c r="F118" s="45" t="n"/>
      <c r="G118" s="46">
        <f>IF($F118="","",IFERROR(INDEX(사건마스터!$B$5:$B$64,MATCH($F118,사건마스터!$A$5:$A$64,0)),""))</f>
        <v/>
      </c>
      <c r="H118" s="47">
        <f>IF($F118="","",IFERROR(INDEX(사건마스터!$C$5:$C$64,MATCH($F118,사건마스터!$A$5:$A$64,0)),""))</f>
        <v/>
      </c>
      <c r="I118" s="48">
        <f>IF($F118="","",IFERROR(INDEX(사건마스터!$H$5:$H$64,MATCH($F118,사건마스터!$A$5:$A$64,0)),""))</f>
        <v/>
      </c>
      <c r="J118" s="48">
        <f>IF($F118="","",IFERROR(INDEX(사건마스터!$AH$5:$AH$64,MATCH($F118,사건마스터!$A$5:$A$64,0)),""))</f>
        <v/>
      </c>
      <c r="K118" s="48">
        <f>IF($F118="","",IFERROR(INDEX(사건마스터!$AI$5:$AI$64,MATCH($F118,사건마스터!$A$5:$A$64,0)),""))</f>
        <v/>
      </c>
      <c r="L118" s="48">
        <f>IF($F118="","",IFERROR(INDEX(사건마스터!$AJ$5:$AJ$64,MATCH($F118,사건마스터!$A$5:$A$64,0)),""))</f>
        <v/>
      </c>
      <c r="M118" s="48">
        <f>IF($F118="","",IFERROR(INDEX(사건마스터!$AK$5:$AK$64,MATCH($F118,사건마스터!$A$5:$A$64,0)),""))</f>
        <v/>
      </c>
      <c r="N118" s="48">
        <f>IF($F118="","",IFERROR(INDEX(사건마스터!$AL$5:$AL$64,MATCH($F118,사건마스터!$A$5:$A$64,0)),""))</f>
        <v/>
      </c>
      <c r="O118" s="43">
        <f>IF($I118="","",COUNTIF($I118:$N118,"?*"))</f>
        <v/>
      </c>
      <c r="P118" s="46">
        <f>IF($I118="","",_xlfn.TEXTJOIN(", ",TRUE,$I118:$N118))</f>
        <v/>
      </c>
      <c r="Q118" s="47">
        <f>IF($I118="","",IFERROR(INDEX(코드설정!$D$5:$D$24,MATCH($I118,코드설정!$C$5:$C$24,0)),""))</f>
        <v/>
      </c>
      <c r="R118" s="49" t="n"/>
      <c r="S118" s="50" t="n"/>
      <c r="T118" s="51" t="n"/>
      <c r="U118" s="43">
        <f>IF(OR($B118="",$C118=""),"",$C118-$B118+1)</f>
        <v/>
      </c>
      <c r="V118" s="52" t="n"/>
      <c r="W118" s="53">
        <f>IF(OR($V118="",$O118=""),"",$V118*$O118)</f>
        <v/>
      </c>
      <c r="X118" s="45" t="n"/>
      <c r="Y118" s="49" t="n"/>
    </row>
    <row r="119">
      <c r="A119" s="43">
        <f>IF($B119="","",COUNT($B$5:$B119))</f>
        <v/>
      </c>
      <c r="B119" s="44" t="n"/>
      <c r="C119" s="44" t="n"/>
      <c r="D119" s="45" t="n"/>
      <c r="E119" s="45" t="n"/>
      <c r="F119" s="45" t="n"/>
      <c r="G119" s="46">
        <f>IF($F119="","",IFERROR(INDEX(사건마스터!$B$5:$B$64,MATCH($F119,사건마스터!$A$5:$A$64,0)),""))</f>
        <v/>
      </c>
      <c r="H119" s="47">
        <f>IF($F119="","",IFERROR(INDEX(사건마스터!$C$5:$C$64,MATCH($F119,사건마스터!$A$5:$A$64,0)),""))</f>
        <v/>
      </c>
      <c r="I119" s="48">
        <f>IF($F119="","",IFERROR(INDEX(사건마스터!$H$5:$H$64,MATCH($F119,사건마스터!$A$5:$A$64,0)),""))</f>
        <v/>
      </c>
      <c r="J119" s="48">
        <f>IF($F119="","",IFERROR(INDEX(사건마스터!$AH$5:$AH$64,MATCH($F119,사건마스터!$A$5:$A$64,0)),""))</f>
        <v/>
      </c>
      <c r="K119" s="48">
        <f>IF($F119="","",IFERROR(INDEX(사건마스터!$AI$5:$AI$64,MATCH($F119,사건마스터!$A$5:$A$64,0)),""))</f>
        <v/>
      </c>
      <c r="L119" s="48">
        <f>IF($F119="","",IFERROR(INDEX(사건마스터!$AJ$5:$AJ$64,MATCH($F119,사건마스터!$A$5:$A$64,0)),""))</f>
        <v/>
      </c>
      <c r="M119" s="48">
        <f>IF($F119="","",IFERROR(INDEX(사건마스터!$AK$5:$AK$64,MATCH($F119,사건마스터!$A$5:$A$64,0)),""))</f>
        <v/>
      </c>
      <c r="N119" s="48">
        <f>IF($F119="","",IFERROR(INDEX(사건마스터!$AL$5:$AL$64,MATCH($F119,사건마스터!$A$5:$A$64,0)),""))</f>
        <v/>
      </c>
      <c r="O119" s="43">
        <f>IF($I119="","",COUNTIF($I119:$N119,"?*"))</f>
        <v/>
      </c>
      <c r="P119" s="46">
        <f>IF($I119="","",_xlfn.TEXTJOIN(", ",TRUE,$I119:$N119))</f>
        <v/>
      </c>
      <c r="Q119" s="47">
        <f>IF($I119="","",IFERROR(INDEX(코드설정!$D$5:$D$24,MATCH($I119,코드설정!$C$5:$C$24,0)),""))</f>
        <v/>
      </c>
      <c r="R119" s="49" t="n"/>
      <c r="S119" s="50" t="n"/>
      <c r="T119" s="51" t="n"/>
      <c r="U119" s="43">
        <f>IF(OR($B119="",$C119=""),"",$C119-$B119+1)</f>
        <v/>
      </c>
      <c r="V119" s="52" t="n"/>
      <c r="W119" s="53">
        <f>IF(OR($V119="",$O119=""),"",$V119*$O119)</f>
        <v/>
      </c>
      <c r="X119" s="45" t="n"/>
      <c r="Y119" s="49" t="n"/>
    </row>
    <row r="120">
      <c r="A120" s="43">
        <f>IF($B120="","",COUNT($B$5:$B120))</f>
        <v/>
      </c>
      <c r="B120" s="44" t="n"/>
      <c r="C120" s="44" t="n"/>
      <c r="D120" s="45" t="n"/>
      <c r="E120" s="45" t="n"/>
      <c r="F120" s="45" t="n"/>
      <c r="G120" s="46">
        <f>IF($F120="","",IFERROR(INDEX(사건마스터!$B$5:$B$64,MATCH($F120,사건마스터!$A$5:$A$64,0)),""))</f>
        <v/>
      </c>
      <c r="H120" s="47">
        <f>IF($F120="","",IFERROR(INDEX(사건마스터!$C$5:$C$64,MATCH($F120,사건마스터!$A$5:$A$64,0)),""))</f>
        <v/>
      </c>
      <c r="I120" s="48">
        <f>IF($F120="","",IFERROR(INDEX(사건마스터!$H$5:$H$64,MATCH($F120,사건마스터!$A$5:$A$64,0)),""))</f>
        <v/>
      </c>
      <c r="J120" s="48">
        <f>IF($F120="","",IFERROR(INDEX(사건마스터!$AH$5:$AH$64,MATCH($F120,사건마스터!$A$5:$A$64,0)),""))</f>
        <v/>
      </c>
      <c r="K120" s="48">
        <f>IF($F120="","",IFERROR(INDEX(사건마스터!$AI$5:$AI$64,MATCH($F120,사건마스터!$A$5:$A$64,0)),""))</f>
        <v/>
      </c>
      <c r="L120" s="48">
        <f>IF($F120="","",IFERROR(INDEX(사건마스터!$AJ$5:$AJ$64,MATCH($F120,사건마스터!$A$5:$A$64,0)),""))</f>
        <v/>
      </c>
      <c r="M120" s="48">
        <f>IF($F120="","",IFERROR(INDEX(사건마스터!$AK$5:$AK$64,MATCH($F120,사건마스터!$A$5:$A$64,0)),""))</f>
        <v/>
      </c>
      <c r="N120" s="48">
        <f>IF($F120="","",IFERROR(INDEX(사건마스터!$AL$5:$AL$64,MATCH($F120,사건마스터!$A$5:$A$64,0)),""))</f>
        <v/>
      </c>
      <c r="O120" s="43">
        <f>IF($I120="","",COUNTIF($I120:$N120,"?*"))</f>
        <v/>
      </c>
      <c r="P120" s="46">
        <f>IF($I120="","",_xlfn.TEXTJOIN(", ",TRUE,$I120:$N120))</f>
        <v/>
      </c>
      <c r="Q120" s="47">
        <f>IF($I120="","",IFERROR(INDEX(코드설정!$D$5:$D$24,MATCH($I120,코드설정!$C$5:$C$24,0)),""))</f>
        <v/>
      </c>
      <c r="R120" s="49" t="n"/>
      <c r="S120" s="50" t="n"/>
      <c r="T120" s="51" t="n"/>
      <c r="U120" s="43">
        <f>IF(OR($B120="",$C120=""),"",$C120-$B120+1)</f>
        <v/>
      </c>
      <c r="V120" s="52" t="n"/>
      <c r="W120" s="53">
        <f>IF(OR($V120="",$O120=""),"",$V120*$O120)</f>
        <v/>
      </c>
      <c r="X120" s="45" t="n"/>
      <c r="Y120" s="49" t="n"/>
    </row>
    <row r="121">
      <c r="A121" s="43">
        <f>IF($B121="","",COUNT($B$5:$B121))</f>
        <v/>
      </c>
      <c r="B121" s="44" t="n"/>
      <c r="C121" s="44" t="n"/>
      <c r="D121" s="45" t="n"/>
      <c r="E121" s="45" t="n"/>
      <c r="F121" s="45" t="n"/>
      <c r="G121" s="46">
        <f>IF($F121="","",IFERROR(INDEX(사건마스터!$B$5:$B$64,MATCH($F121,사건마스터!$A$5:$A$64,0)),""))</f>
        <v/>
      </c>
      <c r="H121" s="47">
        <f>IF($F121="","",IFERROR(INDEX(사건마스터!$C$5:$C$64,MATCH($F121,사건마스터!$A$5:$A$64,0)),""))</f>
        <v/>
      </c>
      <c r="I121" s="48">
        <f>IF($F121="","",IFERROR(INDEX(사건마스터!$H$5:$H$64,MATCH($F121,사건마스터!$A$5:$A$64,0)),""))</f>
        <v/>
      </c>
      <c r="J121" s="48">
        <f>IF($F121="","",IFERROR(INDEX(사건마스터!$AH$5:$AH$64,MATCH($F121,사건마스터!$A$5:$A$64,0)),""))</f>
        <v/>
      </c>
      <c r="K121" s="48">
        <f>IF($F121="","",IFERROR(INDEX(사건마스터!$AI$5:$AI$64,MATCH($F121,사건마스터!$A$5:$A$64,0)),""))</f>
        <v/>
      </c>
      <c r="L121" s="48">
        <f>IF($F121="","",IFERROR(INDEX(사건마스터!$AJ$5:$AJ$64,MATCH($F121,사건마스터!$A$5:$A$64,0)),""))</f>
        <v/>
      </c>
      <c r="M121" s="48">
        <f>IF($F121="","",IFERROR(INDEX(사건마스터!$AK$5:$AK$64,MATCH($F121,사건마스터!$A$5:$A$64,0)),""))</f>
        <v/>
      </c>
      <c r="N121" s="48">
        <f>IF($F121="","",IFERROR(INDEX(사건마스터!$AL$5:$AL$64,MATCH($F121,사건마스터!$A$5:$A$64,0)),""))</f>
        <v/>
      </c>
      <c r="O121" s="43">
        <f>IF($I121="","",COUNTIF($I121:$N121,"?*"))</f>
        <v/>
      </c>
      <c r="P121" s="46">
        <f>IF($I121="","",_xlfn.TEXTJOIN(", ",TRUE,$I121:$N121))</f>
        <v/>
      </c>
      <c r="Q121" s="47">
        <f>IF($I121="","",IFERROR(INDEX(코드설정!$D$5:$D$24,MATCH($I121,코드설정!$C$5:$C$24,0)),""))</f>
        <v/>
      </c>
      <c r="R121" s="49" t="n"/>
      <c r="S121" s="50" t="n"/>
      <c r="T121" s="51" t="n"/>
      <c r="U121" s="43">
        <f>IF(OR($B121="",$C121=""),"",$C121-$B121+1)</f>
        <v/>
      </c>
      <c r="V121" s="52" t="n"/>
      <c r="W121" s="53">
        <f>IF(OR($V121="",$O121=""),"",$V121*$O121)</f>
        <v/>
      </c>
      <c r="X121" s="45" t="n"/>
      <c r="Y121" s="49" t="n"/>
    </row>
    <row r="122">
      <c r="A122" s="43">
        <f>IF($B122="","",COUNT($B$5:$B122))</f>
        <v/>
      </c>
      <c r="B122" s="44" t="n"/>
      <c r="C122" s="44" t="n"/>
      <c r="D122" s="45" t="n"/>
      <c r="E122" s="45" t="n"/>
      <c r="F122" s="45" t="n"/>
      <c r="G122" s="46">
        <f>IF($F122="","",IFERROR(INDEX(사건마스터!$B$5:$B$64,MATCH($F122,사건마스터!$A$5:$A$64,0)),""))</f>
        <v/>
      </c>
      <c r="H122" s="47">
        <f>IF($F122="","",IFERROR(INDEX(사건마스터!$C$5:$C$64,MATCH($F122,사건마스터!$A$5:$A$64,0)),""))</f>
        <v/>
      </c>
      <c r="I122" s="48">
        <f>IF($F122="","",IFERROR(INDEX(사건마스터!$H$5:$H$64,MATCH($F122,사건마스터!$A$5:$A$64,0)),""))</f>
        <v/>
      </c>
      <c r="J122" s="48">
        <f>IF($F122="","",IFERROR(INDEX(사건마스터!$AH$5:$AH$64,MATCH($F122,사건마스터!$A$5:$A$64,0)),""))</f>
        <v/>
      </c>
      <c r="K122" s="48">
        <f>IF($F122="","",IFERROR(INDEX(사건마스터!$AI$5:$AI$64,MATCH($F122,사건마스터!$A$5:$A$64,0)),""))</f>
        <v/>
      </c>
      <c r="L122" s="48">
        <f>IF($F122="","",IFERROR(INDEX(사건마스터!$AJ$5:$AJ$64,MATCH($F122,사건마스터!$A$5:$A$64,0)),""))</f>
        <v/>
      </c>
      <c r="M122" s="48">
        <f>IF($F122="","",IFERROR(INDEX(사건마스터!$AK$5:$AK$64,MATCH($F122,사건마스터!$A$5:$A$64,0)),""))</f>
        <v/>
      </c>
      <c r="N122" s="48">
        <f>IF($F122="","",IFERROR(INDEX(사건마스터!$AL$5:$AL$64,MATCH($F122,사건마스터!$A$5:$A$64,0)),""))</f>
        <v/>
      </c>
      <c r="O122" s="43">
        <f>IF($I122="","",COUNTIF($I122:$N122,"?*"))</f>
        <v/>
      </c>
      <c r="P122" s="46">
        <f>IF($I122="","",_xlfn.TEXTJOIN(", ",TRUE,$I122:$N122))</f>
        <v/>
      </c>
      <c r="Q122" s="47">
        <f>IF($I122="","",IFERROR(INDEX(코드설정!$D$5:$D$24,MATCH($I122,코드설정!$C$5:$C$24,0)),""))</f>
        <v/>
      </c>
      <c r="R122" s="49" t="n"/>
      <c r="S122" s="50" t="n"/>
      <c r="T122" s="51" t="n"/>
      <c r="U122" s="43">
        <f>IF(OR($B122="",$C122=""),"",$C122-$B122+1)</f>
        <v/>
      </c>
      <c r="V122" s="52" t="n"/>
      <c r="W122" s="53">
        <f>IF(OR($V122="",$O122=""),"",$V122*$O122)</f>
        <v/>
      </c>
      <c r="X122" s="45" t="n"/>
      <c r="Y122" s="49" t="n"/>
    </row>
    <row r="123">
      <c r="A123" s="43">
        <f>IF($B123="","",COUNT($B$5:$B123))</f>
        <v/>
      </c>
      <c r="B123" s="44" t="n"/>
      <c r="C123" s="44" t="n"/>
      <c r="D123" s="45" t="n"/>
      <c r="E123" s="45" t="n"/>
      <c r="F123" s="45" t="n"/>
      <c r="G123" s="46">
        <f>IF($F123="","",IFERROR(INDEX(사건마스터!$B$5:$B$64,MATCH($F123,사건마스터!$A$5:$A$64,0)),""))</f>
        <v/>
      </c>
      <c r="H123" s="47">
        <f>IF($F123="","",IFERROR(INDEX(사건마스터!$C$5:$C$64,MATCH($F123,사건마스터!$A$5:$A$64,0)),""))</f>
        <v/>
      </c>
      <c r="I123" s="48">
        <f>IF($F123="","",IFERROR(INDEX(사건마스터!$H$5:$H$64,MATCH($F123,사건마스터!$A$5:$A$64,0)),""))</f>
        <v/>
      </c>
      <c r="J123" s="48">
        <f>IF($F123="","",IFERROR(INDEX(사건마스터!$AH$5:$AH$64,MATCH($F123,사건마스터!$A$5:$A$64,0)),""))</f>
        <v/>
      </c>
      <c r="K123" s="48">
        <f>IF($F123="","",IFERROR(INDEX(사건마스터!$AI$5:$AI$64,MATCH($F123,사건마스터!$A$5:$A$64,0)),""))</f>
        <v/>
      </c>
      <c r="L123" s="48">
        <f>IF($F123="","",IFERROR(INDEX(사건마스터!$AJ$5:$AJ$64,MATCH($F123,사건마스터!$A$5:$A$64,0)),""))</f>
        <v/>
      </c>
      <c r="M123" s="48">
        <f>IF($F123="","",IFERROR(INDEX(사건마스터!$AK$5:$AK$64,MATCH($F123,사건마스터!$A$5:$A$64,0)),""))</f>
        <v/>
      </c>
      <c r="N123" s="48">
        <f>IF($F123="","",IFERROR(INDEX(사건마스터!$AL$5:$AL$64,MATCH($F123,사건마스터!$A$5:$A$64,0)),""))</f>
        <v/>
      </c>
      <c r="O123" s="43">
        <f>IF($I123="","",COUNTIF($I123:$N123,"?*"))</f>
        <v/>
      </c>
      <c r="P123" s="46">
        <f>IF($I123="","",_xlfn.TEXTJOIN(", ",TRUE,$I123:$N123))</f>
        <v/>
      </c>
      <c r="Q123" s="47">
        <f>IF($I123="","",IFERROR(INDEX(코드설정!$D$5:$D$24,MATCH($I123,코드설정!$C$5:$C$24,0)),""))</f>
        <v/>
      </c>
      <c r="R123" s="49" t="n"/>
      <c r="S123" s="50" t="n"/>
      <c r="T123" s="51" t="n"/>
      <c r="U123" s="43">
        <f>IF(OR($B123="",$C123=""),"",$C123-$B123+1)</f>
        <v/>
      </c>
      <c r="V123" s="52" t="n"/>
      <c r="W123" s="53">
        <f>IF(OR($V123="",$O123=""),"",$V123*$O123)</f>
        <v/>
      </c>
      <c r="X123" s="45" t="n"/>
      <c r="Y123" s="49" t="n"/>
    </row>
    <row r="124">
      <c r="A124" s="43">
        <f>IF($B124="","",COUNT($B$5:$B124))</f>
        <v/>
      </c>
      <c r="B124" s="44" t="n"/>
      <c r="C124" s="44" t="n"/>
      <c r="D124" s="45" t="n"/>
      <c r="E124" s="45" t="n"/>
      <c r="F124" s="45" t="n"/>
      <c r="G124" s="46">
        <f>IF($F124="","",IFERROR(INDEX(사건마스터!$B$5:$B$64,MATCH($F124,사건마스터!$A$5:$A$64,0)),""))</f>
        <v/>
      </c>
      <c r="H124" s="47">
        <f>IF($F124="","",IFERROR(INDEX(사건마스터!$C$5:$C$64,MATCH($F124,사건마스터!$A$5:$A$64,0)),""))</f>
        <v/>
      </c>
      <c r="I124" s="48">
        <f>IF($F124="","",IFERROR(INDEX(사건마스터!$H$5:$H$64,MATCH($F124,사건마스터!$A$5:$A$64,0)),""))</f>
        <v/>
      </c>
      <c r="J124" s="48">
        <f>IF($F124="","",IFERROR(INDEX(사건마스터!$AH$5:$AH$64,MATCH($F124,사건마스터!$A$5:$A$64,0)),""))</f>
        <v/>
      </c>
      <c r="K124" s="48">
        <f>IF($F124="","",IFERROR(INDEX(사건마스터!$AI$5:$AI$64,MATCH($F124,사건마스터!$A$5:$A$64,0)),""))</f>
        <v/>
      </c>
      <c r="L124" s="48">
        <f>IF($F124="","",IFERROR(INDEX(사건마스터!$AJ$5:$AJ$64,MATCH($F124,사건마스터!$A$5:$A$64,0)),""))</f>
        <v/>
      </c>
      <c r="M124" s="48">
        <f>IF($F124="","",IFERROR(INDEX(사건마스터!$AK$5:$AK$64,MATCH($F124,사건마스터!$A$5:$A$64,0)),""))</f>
        <v/>
      </c>
      <c r="N124" s="48">
        <f>IF($F124="","",IFERROR(INDEX(사건마스터!$AL$5:$AL$64,MATCH($F124,사건마스터!$A$5:$A$64,0)),""))</f>
        <v/>
      </c>
      <c r="O124" s="43">
        <f>IF($I124="","",COUNTIF($I124:$N124,"?*"))</f>
        <v/>
      </c>
      <c r="P124" s="46">
        <f>IF($I124="","",_xlfn.TEXTJOIN(", ",TRUE,$I124:$N124))</f>
        <v/>
      </c>
      <c r="Q124" s="47">
        <f>IF($I124="","",IFERROR(INDEX(코드설정!$D$5:$D$24,MATCH($I124,코드설정!$C$5:$C$24,0)),""))</f>
        <v/>
      </c>
      <c r="R124" s="49" t="n"/>
      <c r="S124" s="50" t="n"/>
      <c r="T124" s="51" t="n"/>
      <c r="U124" s="43">
        <f>IF(OR($B124="",$C124=""),"",$C124-$B124+1)</f>
        <v/>
      </c>
      <c r="V124" s="52" t="n"/>
      <c r="W124" s="53">
        <f>IF(OR($V124="",$O124=""),"",$V124*$O124)</f>
        <v/>
      </c>
      <c r="X124" s="45" t="n"/>
      <c r="Y124" s="49" t="n"/>
    </row>
    <row r="125">
      <c r="A125" s="43">
        <f>IF($B125="","",COUNT($B$5:$B125))</f>
        <v/>
      </c>
      <c r="B125" s="44" t="n"/>
      <c r="C125" s="44" t="n"/>
      <c r="D125" s="45" t="n"/>
      <c r="E125" s="45" t="n"/>
      <c r="F125" s="45" t="n"/>
      <c r="G125" s="46">
        <f>IF($F125="","",IFERROR(INDEX(사건마스터!$B$5:$B$64,MATCH($F125,사건마스터!$A$5:$A$64,0)),""))</f>
        <v/>
      </c>
      <c r="H125" s="47">
        <f>IF($F125="","",IFERROR(INDEX(사건마스터!$C$5:$C$64,MATCH($F125,사건마스터!$A$5:$A$64,0)),""))</f>
        <v/>
      </c>
      <c r="I125" s="48">
        <f>IF($F125="","",IFERROR(INDEX(사건마스터!$H$5:$H$64,MATCH($F125,사건마스터!$A$5:$A$64,0)),""))</f>
        <v/>
      </c>
      <c r="J125" s="48">
        <f>IF($F125="","",IFERROR(INDEX(사건마스터!$AH$5:$AH$64,MATCH($F125,사건마스터!$A$5:$A$64,0)),""))</f>
        <v/>
      </c>
      <c r="K125" s="48">
        <f>IF($F125="","",IFERROR(INDEX(사건마스터!$AI$5:$AI$64,MATCH($F125,사건마스터!$A$5:$A$64,0)),""))</f>
        <v/>
      </c>
      <c r="L125" s="48">
        <f>IF($F125="","",IFERROR(INDEX(사건마스터!$AJ$5:$AJ$64,MATCH($F125,사건마스터!$A$5:$A$64,0)),""))</f>
        <v/>
      </c>
      <c r="M125" s="48">
        <f>IF($F125="","",IFERROR(INDEX(사건마스터!$AK$5:$AK$64,MATCH($F125,사건마스터!$A$5:$A$64,0)),""))</f>
        <v/>
      </c>
      <c r="N125" s="48">
        <f>IF($F125="","",IFERROR(INDEX(사건마스터!$AL$5:$AL$64,MATCH($F125,사건마스터!$A$5:$A$64,0)),""))</f>
        <v/>
      </c>
      <c r="O125" s="43">
        <f>IF($I125="","",COUNTIF($I125:$N125,"?*"))</f>
        <v/>
      </c>
      <c r="P125" s="46">
        <f>IF($I125="","",_xlfn.TEXTJOIN(", ",TRUE,$I125:$N125))</f>
        <v/>
      </c>
      <c r="Q125" s="47">
        <f>IF($I125="","",IFERROR(INDEX(코드설정!$D$5:$D$24,MATCH($I125,코드설정!$C$5:$C$24,0)),""))</f>
        <v/>
      </c>
      <c r="R125" s="49" t="n"/>
      <c r="S125" s="50" t="n"/>
      <c r="T125" s="51" t="n"/>
      <c r="U125" s="43">
        <f>IF(OR($B125="",$C125=""),"",$C125-$B125+1)</f>
        <v/>
      </c>
      <c r="V125" s="52" t="n"/>
      <c r="W125" s="53">
        <f>IF(OR($V125="",$O125=""),"",$V125*$O125)</f>
        <v/>
      </c>
      <c r="X125" s="45" t="n"/>
      <c r="Y125" s="49" t="n"/>
    </row>
    <row r="126">
      <c r="A126" s="43">
        <f>IF($B126="","",COUNT($B$5:$B126))</f>
        <v/>
      </c>
      <c r="B126" s="44" t="n"/>
      <c r="C126" s="44" t="n"/>
      <c r="D126" s="45" t="n"/>
      <c r="E126" s="45" t="n"/>
      <c r="F126" s="45" t="n"/>
      <c r="G126" s="46">
        <f>IF($F126="","",IFERROR(INDEX(사건마스터!$B$5:$B$64,MATCH($F126,사건마스터!$A$5:$A$64,0)),""))</f>
        <v/>
      </c>
      <c r="H126" s="47">
        <f>IF($F126="","",IFERROR(INDEX(사건마스터!$C$5:$C$64,MATCH($F126,사건마스터!$A$5:$A$64,0)),""))</f>
        <v/>
      </c>
      <c r="I126" s="48">
        <f>IF($F126="","",IFERROR(INDEX(사건마스터!$H$5:$H$64,MATCH($F126,사건마스터!$A$5:$A$64,0)),""))</f>
        <v/>
      </c>
      <c r="J126" s="48">
        <f>IF($F126="","",IFERROR(INDEX(사건마스터!$AH$5:$AH$64,MATCH($F126,사건마스터!$A$5:$A$64,0)),""))</f>
        <v/>
      </c>
      <c r="K126" s="48">
        <f>IF($F126="","",IFERROR(INDEX(사건마스터!$AI$5:$AI$64,MATCH($F126,사건마스터!$A$5:$A$64,0)),""))</f>
        <v/>
      </c>
      <c r="L126" s="48">
        <f>IF($F126="","",IFERROR(INDEX(사건마스터!$AJ$5:$AJ$64,MATCH($F126,사건마스터!$A$5:$A$64,0)),""))</f>
        <v/>
      </c>
      <c r="M126" s="48">
        <f>IF($F126="","",IFERROR(INDEX(사건마스터!$AK$5:$AK$64,MATCH($F126,사건마스터!$A$5:$A$64,0)),""))</f>
        <v/>
      </c>
      <c r="N126" s="48">
        <f>IF($F126="","",IFERROR(INDEX(사건마스터!$AL$5:$AL$64,MATCH($F126,사건마스터!$A$5:$A$64,0)),""))</f>
        <v/>
      </c>
      <c r="O126" s="43">
        <f>IF($I126="","",COUNTIF($I126:$N126,"?*"))</f>
        <v/>
      </c>
      <c r="P126" s="46">
        <f>IF($I126="","",_xlfn.TEXTJOIN(", ",TRUE,$I126:$N126))</f>
        <v/>
      </c>
      <c r="Q126" s="47">
        <f>IF($I126="","",IFERROR(INDEX(코드설정!$D$5:$D$24,MATCH($I126,코드설정!$C$5:$C$24,0)),""))</f>
        <v/>
      </c>
      <c r="R126" s="49" t="n"/>
      <c r="S126" s="50" t="n"/>
      <c r="T126" s="51" t="n"/>
      <c r="U126" s="43">
        <f>IF(OR($B126="",$C126=""),"",$C126-$B126+1)</f>
        <v/>
      </c>
      <c r="V126" s="52" t="n"/>
      <c r="W126" s="53">
        <f>IF(OR($V126="",$O126=""),"",$V126*$O126)</f>
        <v/>
      </c>
      <c r="X126" s="45" t="n"/>
      <c r="Y126" s="49" t="n"/>
    </row>
    <row r="127">
      <c r="A127" s="43">
        <f>IF($B127="","",COUNT($B$5:$B127))</f>
        <v/>
      </c>
      <c r="B127" s="44" t="n"/>
      <c r="C127" s="44" t="n"/>
      <c r="D127" s="45" t="n"/>
      <c r="E127" s="45" t="n"/>
      <c r="F127" s="45" t="n"/>
      <c r="G127" s="46">
        <f>IF($F127="","",IFERROR(INDEX(사건마스터!$B$5:$B$64,MATCH($F127,사건마스터!$A$5:$A$64,0)),""))</f>
        <v/>
      </c>
      <c r="H127" s="47">
        <f>IF($F127="","",IFERROR(INDEX(사건마스터!$C$5:$C$64,MATCH($F127,사건마스터!$A$5:$A$64,0)),""))</f>
        <v/>
      </c>
      <c r="I127" s="48">
        <f>IF($F127="","",IFERROR(INDEX(사건마스터!$H$5:$H$64,MATCH($F127,사건마스터!$A$5:$A$64,0)),""))</f>
        <v/>
      </c>
      <c r="J127" s="48">
        <f>IF($F127="","",IFERROR(INDEX(사건마스터!$AH$5:$AH$64,MATCH($F127,사건마스터!$A$5:$A$64,0)),""))</f>
        <v/>
      </c>
      <c r="K127" s="48">
        <f>IF($F127="","",IFERROR(INDEX(사건마스터!$AI$5:$AI$64,MATCH($F127,사건마스터!$A$5:$A$64,0)),""))</f>
        <v/>
      </c>
      <c r="L127" s="48">
        <f>IF($F127="","",IFERROR(INDEX(사건마스터!$AJ$5:$AJ$64,MATCH($F127,사건마스터!$A$5:$A$64,0)),""))</f>
        <v/>
      </c>
      <c r="M127" s="48">
        <f>IF($F127="","",IFERROR(INDEX(사건마스터!$AK$5:$AK$64,MATCH($F127,사건마스터!$A$5:$A$64,0)),""))</f>
        <v/>
      </c>
      <c r="N127" s="48">
        <f>IF($F127="","",IFERROR(INDEX(사건마스터!$AL$5:$AL$64,MATCH($F127,사건마스터!$A$5:$A$64,0)),""))</f>
        <v/>
      </c>
      <c r="O127" s="43">
        <f>IF($I127="","",COUNTIF($I127:$N127,"?*"))</f>
        <v/>
      </c>
      <c r="P127" s="46">
        <f>IF($I127="","",_xlfn.TEXTJOIN(", ",TRUE,$I127:$N127))</f>
        <v/>
      </c>
      <c r="Q127" s="47">
        <f>IF($I127="","",IFERROR(INDEX(코드설정!$D$5:$D$24,MATCH($I127,코드설정!$C$5:$C$24,0)),""))</f>
        <v/>
      </c>
      <c r="R127" s="49" t="n"/>
      <c r="S127" s="50" t="n"/>
      <c r="T127" s="51" t="n"/>
      <c r="U127" s="43">
        <f>IF(OR($B127="",$C127=""),"",$C127-$B127+1)</f>
        <v/>
      </c>
      <c r="V127" s="52" t="n"/>
      <c r="W127" s="53">
        <f>IF(OR($V127="",$O127=""),"",$V127*$O127)</f>
        <v/>
      </c>
      <c r="X127" s="45" t="n"/>
      <c r="Y127" s="49" t="n"/>
    </row>
    <row r="128">
      <c r="A128" s="43">
        <f>IF($B128="","",COUNT($B$5:$B128))</f>
        <v/>
      </c>
      <c r="B128" s="44" t="n"/>
      <c r="C128" s="44" t="n"/>
      <c r="D128" s="45" t="n"/>
      <c r="E128" s="45" t="n"/>
      <c r="F128" s="45" t="n"/>
      <c r="G128" s="46">
        <f>IF($F128="","",IFERROR(INDEX(사건마스터!$B$5:$B$64,MATCH($F128,사건마스터!$A$5:$A$64,0)),""))</f>
        <v/>
      </c>
      <c r="H128" s="47">
        <f>IF($F128="","",IFERROR(INDEX(사건마스터!$C$5:$C$64,MATCH($F128,사건마스터!$A$5:$A$64,0)),""))</f>
        <v/>
      </c>
      <c r="I128" s="48">
        <f>IF($F128="","",IFERROR(INDEX(사건마스터!$H$5:$H$64,MATCH($F128,사건마스터!$A$5:$A$64,0)),""))</f>
        <v/>
      </c>
      <c r="J128" s="48">
        <f>IF($F128="","",IFERROR(INDEX(사건마스터!$AH$5:$AH$64,MATCH($F128,사건마스터!$A$5:$A$64,0)),""))</f>
        <v/>
      </c>
      <c r="K128" s="48">
        <f>IF($F128="","",IFERROR(INDEX(사건마스터!$AI$5:$AI$64,MATCH($F128,사건마스터!$A$5:$A$64,0)),""))</f>
        <v/>
      </c>
      <c r="L128" s="48">
        <f>IF($F128="","",IFERROR(INDEX(사건마스터!$AJ$5:$AJ$64,MATCH($F128,사건마스터!$A$5:$A$64,0)),""))</f>
        <v/>
      </c>
      <c r="M128" s="48">
        <f>IF($F128="","",IFERROR(INDEX(사건마스터!$AK$5:$AK$64,MATCH($F128,사건마스터!$A$5:$A$64,0)),""))</f>
        <v/>
      </c>
      <c r="N128" s="48">
        <f>IF($F128="","",IFERROR(INDEX(사건마스터!$AL$5:$AL$64,MATCH($F128,사건마스터!$A$5:$A$64,0)),""))</f>
        <v/>
      </c>
      <c r="O128" s="43">
        <f>IF($I128="","",COUNTIF($I128:$N128,"?*"))</f>
        <v/>
      </c>
      <c r="P128" s="46">
        <f>IF($I128="","",_xlfn.TEXTJOIN(", ",TRUE,$I128:$N128))</f>
        <v/>
      </c>
      <c r="Q128" s="47">
        <f>IF($I128="","",IFERROR(INDEX(코드설정!$D$5:$D$24,MATCH($I128,코드설정!$C$5:$C$24,0)),""))</f>
        <v/>
      </c>
      <c r="R128" s="49" t="n"/>
      <c r="S128" s="50" t="n"/>
      <c r="T128" s="51" t="n"/>
      <c r="U128" s="43">
        <f>IF(OR($B128="",$C128=""),"",$C128-$B128+1)</f>
        <v/>
      </c>
      <c r="V128" s="52" t="n"/>
      <c r="W128" s="53">
        <f>IF(OR($V128="",$O128=""),"",$V128*$O128)</f>
        <v/>
      </c>
      <c r="X128" s="45" t="n"/>
      <c r="Y128" s="49" t="n"/>
    </row>
    <row r="129">
      <c r="A129" s="43">
        <f>IF($B129="","",COUNT($B$5:$B129))</f>
        <v/>
      </c>
      <c r="B129" s="44" t="n"/>
      <c r="C129" s="44" t="n"/>
      <c r="D129" s="45" t="n"/>
      <c r="E129" s="45" t="n"/>
      <c r="F129" s="45" t="n"/>
      <c r="G129" s="46">
        <f>IF($F129="","",IFERROR(INDEX(사건마스터!$B$5:$B$64,MATCH($F129,사건마스터!$A$5:$A$64,0)),""))</f>
        <v/>
      </c>
      <c r="H129" s="47">
        <f>IF($F129="","",IFERROR(INDEX(사건마스터!$C$5:$C$64,MATCH($F129,사건마스터!$A$5:$A$64,0)),""))</f>
        <v/>
      </c>
      <c r="I129" s="48">
        <f>IF($F129="","",IFERROR(INDEX(사건마스터!$H$5:$H$64,MATCH($F129,사건마스터!$A$5:$A$64,0)),""))</f>
        <v/>
      </c>
      <c r="J129" s="48">
        <f>IF($F129="","",IFERROR(INDEX(사건마스터!$AH$5:$AH$64,MATCH($F129,사건마스터!$A$5:$A$64,0)),""))</f>
        <v/>
      </c>
      <c r="K129" s="48">
        <f>IF($F129="","",IFERROR(INDEX(사건마스터!$AI$5:$AI$64,MATCH($F129,사건마스터!$A$5:$A$64,0)),""))</f>
        <v/>
      </c>
      <c r="L129" s="48">
        <f>IF($F129="","",IFERROR(INDEX(사건마스터!$AJ$5:$AJ$64,MATCH($F129,사건마스터!$A$5:$A$64,0)),""))</f>
        <v/>
      </c>
      <c r="M129" s="48">
        <f>IF($F129="","",IFERROR(INDEX(사건마스터!$AK$5:$AK$64,MATCH($F129,사건마스터!$A$5:$A$64,0)),""))</f>
        <v/>
      </c>
      <c r="N129" s="48">
        <f>IF($F129="","",IFERROR(INDEX(사건마스터!$AL$5:$AL$64,MATCH($F129,사건마스터!$A$5:$A$64,0)),""))</f>
        <v/>
      </c>
      <c r="O129" s="43">
        <f>IF($I129="","",COUNTIF($I129:$N129,"?*"))</f>
        <v/>
      </c>
      <c r="P129" s="46">
        <f>IF($I129="","",_xlfn.TEXTJOIN(", ",TRUE,$I129:$N129))</f>
        <v/>
      </c>
      <c r="Q129" s="47">
        <f>IF($I129="","",IFERROR(INDEX(코드설정!$D$5:$D$24,MATCH($I129,코드설정!$C$5:$C$24,0)),""))</f>
        <v/>
      </c>
      <c r="R129" s="49" t="n"/>
      <c r="S129" s="50" t="n"/>
      <c r="T129" s="51" t="n"/>
      <c r="U129" s="43">
        <f>IF(OR($B129="",$C129=""),"",$C129-$B129+1)</f>
        <v/>
      </c>
      <c r="V129" s="52" t="n"/>
      <c r="W129" s="53">
        <f>IF(OR($V129="",$O129=""),"",$V129*$O129)</f>
        <v/>
      </c>
      <c r="X129" s="45" t="n"/>
      <c r="Y129" s="49" t="n"/>
    </row>
    <row r="130">
      <c r="A130" s="43">
        <f>IF($B130="","",COUNT($B$5:$B130))</f>
        <v/>
      </c>
      <c r="B130" s="44" t="n"/>
      <c r="C130" s="44" t="n"/>
      <c r="D130" s="45" t="n"/>
      <c r="E130" s="45" t="n"/>
      <c r="F130" s="45" t="n"/>
      <c r="G130" s="46">
        <f>IF($F130="","",IFERROR(INDEX(사건마스터!$B$5:$B$64,MATCH($F130,사건마스터!$A$5:$A$64,0)),""))</f>
        <v/>
      </c>
      <c r="H130" s="47">
        <f>IF($F130="","",IFERROR(INDEX(사건마스터!$C$5:$C$64,MATCH($F130,사건마스터!$A$5:$A$64,0)),""))</f>
        <v/>
      </c>
      <c r="I130" s="48">
        <f>IF($F130="","",IFERROR(INDEX(사건마스터!$H$5:$H$64,MATCH($F130,사건마스터!$A$5:$A$64,0)),""))</f>
        <v/>
      </c>
      <c r="J130" s="48">
        <f>IF($F130="","",IFERROR(INDEX(사건마스터!$AH$5:$AH$64,MATCH($F130,사건마스터!$A$5:$A$64,0)),""))</f>
        <v/>
      </c>
      <c r="K130" s="48">
        <f>IF($F130="","",IFERROR(INDEX(사건마스터!$AI$5:$AI$64,MATCH($F130,사건마스터!$A$5:$A$64,0)),""))</f>
        <v/>
      </c>
      <c r="L130" s="48">
        <f>IF($F130="","",IFERROR(INDEX(사건마스터!$AJ$5:$AJ$64,MATCH($F130,사건마스터!$A$5:$A$64,0)),""))</f>
        <v/>
      </c>
      <c r="M130" s="48">
        <f>IF($F130="","",IFERROR(INDEX(사건마스터!$AK$5:$AK$64,MATCH($F130,사건마스터!$A$5:$A$64,0)),""))</f>
        <v/>
      </c>
      <c r="N130" s="48">
        <f>IF($F130="","",IFERROR(INDEX(사건마스터!$AL$5:$AL$64,MATCH($F130,사건마스터!$A$5:$A$64,0)),""))</f>
        <v/>
      </c>
      <c r="O130" s="43">
        <f>IF($I130="","",COUNTIF($I130:$N130,"?*"))</f>
        <v/>
      </c>
      <c r="P130" s="46">
        <f>IF($I130="","",_xlfn.TEXTJOIN(", ",TRUE,$I130:$N130))</f>
        <v/>
      </c>
      <c r="Q130" s="47">
        <f>IF($I130="","",IFERROR(INDEX(코드설정!$D$5:$D$24,MATCH($I130,코드설정!$C$5:$C$24,0)),""))</f>
        <v/>
      </c>
      <c r="R130" s="49" t="n"/>
      <c r="S130" s="50" t="n"/>
      <c r="T130" s="51" t="n"/>
      <c r="U130" s="43">
        <f>IF(OR($B130="",$C130=""),"",$C130-$B130+1)</f>
        <v/>
      </c>
      <c r="V130" s="52" t="n"/>
      <c r="W130" s="53">
        <f>IF(OR($V130="",$O130=""),"",$V130*$O130)</f>
        <v/>
      </c>
      <c r="X130" s="45" t="n"/>
      <c r="Y130" s="49" t="n"/>
    </row>
    <row r="131">
      <c r="A131" s="43">
        <f>IF($B131="","",COUNT($B$5:$B131))</f>
        <v/>
      </c>
      <c r="B131" s="44" t="n"/>
      <c r="C131" s="44" t="n"/>
      <c r="D131" s="45" t="n"/>
      <c r="E131" s="45" t="n"/>
      <c r="F131" s="45" t="n"/>
      <c r="G131" s="46">
        <f>IF($F131="","",IFERROR(INDEX(사건마스터!$B$5:$B$64,MATCH($F131,사건마스터!$A$5:$A$64,0)),""))</f>
        <v/>
      </c>
      <c r="H131" s="47">
        <f>IF($F131="","",IFERROR(INDEX(사건마스터!$C$5:$C$64,MATCH($F131,사건마스터!$A$5:$A$64,0)),""))</f>
        <v/>
      </c>
      <c r="I131" s="48">
        <f>IF($F131="","",IFERROR(INDEX(사건마스터!$H$5:$H$64,MATCH($F131,사건마스터!$A$5:$A$64,0)),""))</f>
        <v/>
      </c>
      <c r="J131" s="48">
        <f>IF($F131="","",IFERROR(INDEX(사건마스터!$AH$5:$AH$64,MATCH($F131,사건마스터!$A$5:$A$64,0)),""))</f>
        <v/>
      </c>
      <c r="K131" s="48">
        <f>IF($F131="","",IFERROR(INDEX(사건마스터!$AI$5:$AI$64,MATCH($F131,사건마스터!$A$5:$A$64,0)),""))</f>
        <v/>
      </c>
      <c r="L131" s="48">
        <f>IF($F131="","",IFERROR(INDEX(사건마스터!$AJ$5:$AJ$64,MATCH($F131,사건마스터!$A$5:$A$64,0)),""))</f>
        <v/>
      </c>
      <c r="M131" s="48">
        <f>IF($F131="","",IFERROR(INDEX(사건마스터!$AK$5:$AK$64,MATCH($F131,사건마스터!$A$5:$A$64,0)),""))</f>
        <v/>
      </c>
      <c r="N131" s="48">
        <f>IF($F131="","",IFERROR(INDEX(사건마스터!$AL$5:$AL$64,MATCH($F131,사건마스터!$A$5:$A$64,0)),""))</f>
        <v/>
      </c>
      <c r="O131" s="43">
        <f>IF($I131="","",COUNTIF($I131:$N131,"?*"))</f>
        <v/>
      </c>
      <c r="P131" s="46">
        <f>IF($I131="","",_xlfn.TEXTJOIN(", ",TRUE,$I131:$N131))</f>
        <v/>
      </c>
      <c r="Q131" s="47">
        <f>IF($I131="","",IFERROR(INDEX(코드설정!$D$5:$D$24,MATCH($I131,코드설정!$C$5:$C$24,0)),""))</f>
        <v/>
      </c>
      <c r="R131" s="49" t="n"/>
      <c r="S131" s="50" t="n"/>
      <c r="T131" s="51" t="n"/>
      <c r="U131" s="43">
        <f>IF(OR($B131="",$C131=""),"",$C131-$B131+1)</f>
        <v/>
      </c>
      <c r="V131" s="52" t="n"/>
      <c r="W131" s="53">
        <f>IF(OR($V131="",$O131=""),"",$V131*$O131)</f>
        <v/>
      </c>
      <c r="X131" s="45" t="n"/>
      <c r="Y131" s="49" t="n"/>
    </row>
    <row r="132">
      <c r="A132" s="43">
        <f>IF($B132="","",COUNT($B$5:$B132))</f>
        <v/>
      </c>
      <c r="B132" s="44" t="n"/>
      <c r="C132" s="44" t="n"/>
      <c r="D132" s="45" t="n"/>
      <c r="E132" s="45" t="n"/>
      <c r="F132" s="45" t="n"/>
      <c r="G132" s="46">
        <f>IF($F132="","",IFERROR(INDEX(사건마스터!$B$5:$B$64,MATCH($F132,사건마스터!$A$5:$A$64,0)),""))</f>
        <v/>
      </c>
      <c r="H132" s="47">
        <f>IF($F132="","",IFERROR(INDEX(사건마스터!$C$5:$C$64,MATCH($F132,사건마스터!$A$5:$A$64,0)),""))</f>
        <v/>
      </c>
      <c r="I132" s="48">
        <f>IF($F132="","",IFERROR(INDEX(사건마스터!$H$5:$H$64,MATCH($F132,사건마스터!$A$5:$A$64,0)),""))</f>
        <v/>
      </c>
      <c r="J132" s="48">
        <f>IF($F132="","",IFERROR(INDEX(사건마스터!$AH$5:$AH$64,MATCH($F132,사건마스터!$A$5:$A$64,0)),""))</f>
        <v/>
      </c>
      <c r="K132" s="48">
        <f>IF($F132="","",IFERROR(INDEX(사건마스터!$AI$5:$AI$64,MATCH($F132,사건마스터!$A$5:$A$64,0)),""))</f>
        <v/>
      </c>
      <c r="L132" s="48">
        <f>IF($F132="","",IFERROR(INDEX(사건마스터!$AJ$5:$AJ$64,MATCH($F132,사건마스터!$A$5:$A$64,0)),""))</f>
        <v/>
      </c>
      <c r="M132" s="48">
        <f>IF($F132="","",IFERROR(INDEX(사건마스터!$AK$5:$AK$64,MATCH($F132,사건마스터!$A$5:$A$64,0)),""))</f>
        <v/>
      </c>
      <c r="N132" s="48">
        <f>IF($F132="","",IFERROR(INDEX(사건마스터!$AL$5:$AL$64,MATCH($F132,사건마스터!$A$5:$A$64,0)),""))</f>
        <v/>
      </c>
      <c r="O132" s="43">
        <f>IF($I132="","",COUNTIF($I132:$N132,"?*"))</f>
        <v/>
      </c>
      <c r="P132" s="46">
        <f>IF($I132="","",_xlfn.TEXTJOIN(", ",TRUE,$I132:$N132))</f>
        <v/>
      </c>
      <c r="Q132" s="47">
        <f>IF($I132="","",IFERROR(INDEX(코드설정!$D$5:$D$24,MATCH($I132,코드설정!$C$5:$C$24,0)),""))</f>
        <v/>
      </c>
      <c r="R132" s="49" t="n"/>
      <c r="S132" s="50" t="n"/>
      <c r="T132" s="51" t="n"/>
      <c r="U132" s="43">
        <f>IF(OR($B132="",$C132=""),"",$C132-$B132+1)</f>
        <v/>
      </c>
      <c r="V132" s="52" t="n"/>
      <c r="W132" s="53">
        <f>IF(OR($V132="",$O132=""),"",$V132*$O132)</f>
        <v/>
      </c>
      <c r="X132" s="45" t="n"/>
      <c r="Y132" s="49" t="n"/>
    </row>
    <row r="133">
      <c r="A133" s="43">
        <f>IF($B133="","",COUNT($B$5:$B133))</f>
        <v/>
      </c>
      <c r="B133" s="44" t="n"/>
      <c r="C133" s="44" t="n"/>
      <c r="D133" s="45" t="n"/>
      <c r="E133" s="45" t="n"/>
      <c r="F133" s="45" t="n"/>
      <c r="G133" s="46">
        <f>IF($F133="","",IFERROR(INDEX(사건마스터!$B$5:$B$64,MATCH($F133,사건마스터!$A$5:$A$64,0)),""))</f>
        <v/>
      </c>
      <c r="H133" s="47">
        <f>IF($F133="","",IFERROR(INDEX(사건마스터!$C$5:$C$64,MATCH($F133,사건마스터!$A$5:$A$64,0)),""))</f>
        <v/>
      </c>
      <c r="I133" s="48">
        <f>IF($F133="","",IFERROR(INDEX(사건마스터!$H$5:$H$64,MATCH($F133,사건마스터!$A$5:$A$64,0)),""))</f>
        <v/>
      </c>
      <c r="J133" s="48">
        <f>IF($F133="","",IFERROR(INDEX(사건마스터!$AH$5:$AH$64,MATCH($F133,사건마스터!$A$5:$A$64,0)),""))</f>
        <v/>
      </c>
      <c r="K133" s="48">
        <f>IF($F133="","",IFERROR(INDEX(사건마스터!$AI$5:$AI$64,MATCH($F133,사건마스터!$A$5:$A$64,0)),""))</f>
        <v/>
      </c>
      <c r="L133" s="48">
        <f>IF($F133="","",IFERROR(INDEX(사건마스터!$AJ$5:$AJ$64,MATCH($F133,사건마스터!$A$5:$A$64,0)),""))</f>
        <v/>
      </c>
      <c r="M133" s="48">
        <f>IF($F133="","",IFERROR(INDEX(사건마스터!$AK$5:$AK$64,MATCH($F133,사건마스터!$A$5:$A$64,0)),""))</f>
        <v/>
      </c>
      <c r="N133" s="48">
        <f>IF($F133="","",IFERROR(INDEX(사건마스터!$AL$5:$AL$64,MATCH($F133,사건마스터!$A$5:$A$64,0)),""))</f>
        <v/>
      </c>
      <c r="O133" s="43">
        <f>IF($I133="","",COUNTIF($I133:$N133,"?*"))</f>
        <v/>
      </c>
      <c r="P133" s="46">
        <f>IF($I133="","",_xlfn.TEXTJOIN(", ",TRUE,$I133:$N133))</f>
        <v/>
      </c>
      <c r="Q133" s="47">
        <f>IF($I133="","",IFERROR(INDEX(코드설정!$D$5:$D$24,MATCH($I133,코드설정!$C$5:$C$24,0)),""))</f>
        <v/>
      </c>
      <c r="R133" s="49" t="n"/>
      <c r="S133" s="50" t="n"/>
      <c r="T133" s="51" t="n"/>
      <c r="U133" s="43">
        <f>IF(OR($B133="",$C133=""),"",$C133-$B133+1)</f>
        <v/>
      </c>
      <c r="V133" s="52" t="n"/>
      <c r="W133" s="53">
        <f>IF(OR($V133="",$O133=""),"",$V133*$O133)</f>
        <v/>
      </c>
      <c r="X133" s="45" t="n"/>
      <c r="Y133" s="49" t="n"/>
    </row>
    <row r="134">
      <c r="A134" s="43">
        <f>IF($B134="","",COUNT($B$5:$B134))</f>
        <v/>
      </c>
      <c r="B134" s="44" t="n"/>
      <c r="C134" s="44" t="n"/>
      <c r="D134" s="45" t="n"/>
      <c r="E134" s="45" t="n"/>
      <c r="F134" s="45" t="n"/>
      <c r="G134" s="46">
        <f>IF($F134="","",IFERROR(INDEX(사건마스터!$B$5:$B$64,MATCH($F134,사건마스터!$A$5:$A$64,0)),""))</f>
        <v/>
      </c>
      <c r="H134" s="47">
        <f>IF($F134="","",IFERROR(INDEX(사건마스터!$C$5:$C$64,MATCH($F134,사건마스터!$A$5:$A$64,0)),""))</f>
        <v/>
      </c>
      <c r="I134" s="48">
        <f>IF($F134="","",IFERROR(INDEX(사건마스터!$H$5:$H$64,MATCH($F134,사건마스터!$A$5:$A$64,0)),""))</f>
        <v/>
      </c>
      <c r="J134" s="48">
        <f>IF($F134="","",IFERROR(INDEX(사건마스터!$AH$5:$AH$64,MATCH($F134,사건마스터!$A$5:$A$64,0)),""))</f>
        <v/>
      </c>
      <c r="K134" s="48">
        <f>IF($F134="","",IFERROR(INDEX(사건마스터!$AI$5:$AI$64,MATCH($F134,사건마스터!$A$5:$A$64,0)),""))</f>
        <v/>
      </c>
      <c r="L134" s="48">
        <f>IF($F134="","",IFERROR(INDEX(사건마스터!$AJ$5:$AJ$64,MATCH($F134,사건마스터!$A$5:$A$64,0)),""))</f>
        <v/>
      </c>
      <c r="M134" s="48">
        <f>IF($F134="","",IFERROR(INDEX(사건마스터!$AK$5:$AK$64,MATCH($F134,사건마스터!$A$5:$A$64,0)),""))</f>
        <v/>
      </c>
      <c r="N134" s="48">
        <f>IF($F134="","",IFERROR(INDEX(사건마스터!$AL$5:$AL$64,MATCH($F134,사건마스터!$A$5:$A$64,0)),""))</f>
        <v/>
      </c>
      <c r="O134" s="43">
        <f>IF($I134="","",COUNTIF($I134:$N134,"?*"))</f>
        <v/>
      </c>
      <c r="P134" s="46">
        <f>IF($I134="","",_xlfn.TEXTJOIN(", ",TRUE,$I134:$N134))</f>
        <v/>
      </c>
      <c r="Q134" s="47">
        <f>IF($I134="","",IFERROR(INDEX(코드설정!$D$5:$D$24,MATCH($I134,코드설정!$C$5:$C$24,0)),""))</f>
        <v/>
      </c>
      <c r="R134" s="49" t="n"/>
      <c r="S134" s="50" t="n"/>
      <c r="T134" s="51" t="n"/>
      <c r="U134" s="43">
        <f>IF(OR($B134="",$C134=""),"",$C134-$B134+1)</f>
        <v/>
      </c>
      <c r="V134" s="52" t="n"/>
      <c r="W134" s="53">
        <f>IF(OR($V134="",$O134=""),"",$V134*$O134)</f>
        <v/>
      </c>
      <c r="X134" s="45" t="n"/>
      <c r="Y134" s="49" t="n"/>
    </row>
    <row r="135">
      <c r="A135" s="43">
        <f>IF($B135="","",COUNT($B$5:$B135))</f>
        <v/>
      </c>
      <c r="B135" s="44" t="n"/>
      <c r="C135" s="44" t="n"/>
      <c r="D135" s="45" t="n"/>
      <c r="E135" s="45" t="n"/>
      <c r="F135" s="45" t="n"/>
      <c r="G135" s="46">
        <f>IF($F135="","",IFERROR(INDEX(사건마스터!$B$5:$B$64,MATCH($F135,사건마스터!$A$5:$A$64,0)),""))</f>
        <v/>
      </c>
      <c r="H135" s="47">
        <f>IF($F135="","",IFERROR(INDEX(사건마스터!$C$5:$C$64,MATCH($F135,사건마스터!$A$5:$A$64,0)),""))</f>
        <v/>
      </c>
      <c r="I135" s="48">
        <f>IF($F135="","",IFERROR(INDEX(사건마스터!$H$5:$H$64,MATCH($F135,사건마스터!$A$5:$A$64,0)),""))</f>
        <v/>
      </c>
      <c r="J135" s="48">
        <f>IF($F135="","",IFERROR(INDEX(사건마스터!$AH$5:$AH$64,MATCH($F135,사건마스터!$A$5:$A$64,0)),""))</f>
        <v/>
      </c>
      <c r="K135" s="48">
        <f>IF($F135="","",IFERROR(INDEX(사건마스터!$AI$5:$AI$64,MATCH($F135,사건마스터!$A$5:$A$64,0)),""))</f>
        <v/>
      </c>
      <c r="L135" s="48">
        <f>IF($F135="","",IFERROR(INDEX(사건마스터!$AJ$5:$AJ$64,MATCH($F135,사건마스터!$A$5:$A$64,0)),""))</f>
        <v/>
      </c>
      <c r="M135" s="48">
        <f>IF($F135="","",IFERROR(INDEX(사건마스터!$AK$5:$AK$64,MATCH($F135,사건마스터!$A$5:$A$64,0)),""))</f>
        <v/>
      </c>
      <c r="N135" s="48">
        <f>IF($F135="","",IFERROR(INDEX(사건마스터!$AL$5:$AL$64,MATCH($F135,사건마스터!$A$5:$A$64,0)),""))</f>
        <v/>
      </c>
      <c r="O135" s="43">
        <f>IF($I135="","",COUNTIF($I135:$N135,"?*"))</f>
        <v/>
      </c>
      <c r="P135" s="46">
        <f>IF($I135="","",_xlfn.TEXTJOIN(", ",TRUE,$I135:$N135))</f>
        <v/>
      </c>
      <c r="Q135" s="47">
        <f>IF($I135="","",IFERROR(INDEX(코드설정!$D$5:$D$24,MATCH($I135,코드설정!$C$5:$C$24,0)),""))</f>
        <v/>
      </c>
      <c r="R135" s="49" t="n"/>
      <c r="S135" s="50" t="n"/>
      <c r="T135" s="51" t="n"/>
      <c r="U135" s="43">
        <f>IF(OR($B135="",$C135=""),"",$C135-$B135+1)</f>
        <v/>
      </c>
      <c r="V135" s="52" t="n"/>
      <c r="W135" s="53">
        <f>IF(OR($V135="",$O135=""),"",$V135*$O135)</f>
        <v/>
      </c>
      <c r="X135" s="45" t="n"/>
      <c r="Y135" s="49" t="n"/>
    </row>
    <row r="136">
      <c r="A136" s="43">
        <f>IF($B136="","",COUNT($B$5:$B136))</f>
        <v/>
      </c>
      <c r="B136" s="44" t="n"/>
      <c r="C136" s="44" t="n"/>
      <c r="D136" s="45" t="n"/>
      <c r="E136" s="45" t="n"/>
      <c r="F136" s="45" t="n"/>
      <c r="G136" s="46">
        <f>IF($F136="","",IFERROR(INDEX(사건마스터!$B$5:$B$64,MATCH($F136,사건마스터!$A$5:$A$64,0)),""))</f>
        <v/>
      </c>
      <c r="H136" s="47">
        <f>IF($F136="","",IFERROR(INDEX(사건마스터!$C$5:$C$64,MATCH($F136,사건마스터!$A$5:$A$64,0)),""))</f>
        <v/>
      </c>
      <c r="I136" s="48">
        <f>IF($F136="","",IFERROR(INDEX(사건마스터!$H$5:$H$64,MATCH($F136,사건마스터!$A$5:$A$64,0)),""))</f>
        <v/>
      </c>
      <c r="J136" s="48">
        <f>IF($F136="","",IFERROR(INDEX(사건마스터!$AH$5:$AH$64,MATCH($F136,사건마스터!$A$5:$A$64,0)),""))</f>
        <v/>
      </c>
      <c r="K136" s="48">
        <f>IF($F136="","",IFERROR(INDEX(사건마스터!$AI$5:$AI$64,MATCH($F136,사건마스터!$A$5:$A$64,0)),""))</f>
        <v/>
      </c>
      <c r="L136" s="48">
        <f>IF($F136="","",IFERROR(INDEX(사건마스터!$AJ$5:$AJ$64,MATCH($F136,사건마스터!$A$5:$A$64,0)),""))</f>
        <v/>
      </c>
      <c r="M136" s="48">
        <f>IF($F136="","",IFERROR(INDEX(사건마스터!$AK$5:$AK$64,MATCH($F136,사건마스터!$A$5:$A$64,0)),""))</f>
        <v/>
      </c>
      <c r="N136" s="48">
        <f>IF($F136="","",IFERROR(INDEX(사건마스터!$AL$5:$AL$64,MATCH($F136,사건마스터!$A$5:$A$64,0)),""))</f>
        <v/>
      </c>
      <c r="O136" s="43">
        <f>IF($I136="","",COUNTIF($I136:$N136,"?*"))</f>
        <v/>
      </c>
      <c r="P136" s="46">
        <f>IF($I136="","",_xlfn.TEXTJOIN(", ",TRUE,$I136:$N136))</f>
        <v/>
      </c>
      <c r="Q136" s="47">
        <f>IF($I136="","",IFERROR(INDEX(코드설정!$D$5:$D$24,MATCH($I136,코드설정!$C$5:$C$24,0)),""))</f>
        <v/>
      </c>
      <c r="R136" s="49" t="n"/>
      <c r="S136" s="50" t="n"/>
      <c r="T136" s="51" t="n"/>
      <c r="U136" s="43">
        <f>IF(OR($B136="",$C136=""),"",$C136-$B136+1)</f>
        <v/>
      </c>
      <c r="V136" s="52" t="n"/>
      <c r="W136" s="53">
        <f>IF(OR($V136="",$O136=""),"",$V136*$O136)</f>
        <v/>
      </c>
      <c r="X136" s="45" t="n"/>
      <c r="Y136" s="49" t="n"/>
    </row>
    <row r="137">
      <c r="A137" s="43">
        <f>IF($B137="","",COUNT($B$5:$B137))</f>
        <v/>
      </c>
      <c r="B137" s="44" t="n"/>
      <c r="C137" s="44" t="n"/>
      <c r="D137" s="45" t="n"/>
      <c r="E137" s="45" t="n"/>
      <c r="F137" s="45" t="n"/>
      <c r="G137" s="46">
        <f>IF($F137="","",IFERROR(INDEX(사건마스터!$B$5:$B$64,MATCH($F137,사건마스터!$A$5:$A$64,0)),""))</f>
        <v/>
      </c>
      <c r="H137" s="47">
        <f>IF($F137="","",IFERROR(INDEX(사건마스터!$C$5:$C$64,MATCH($F137,사건마스터!$A$5:$A$64,0)),""))</f>
        <v/>
      </c>
      <c r="I137" s="48">
        <f>IF($F137="","",IFERROR(INDEX(사건마스터!$H$5:$H$64,MATCH($F137,사건마스터!$A$5:$A$64,0)),""))</f>
        <v/>
      </c>
      <c r="J137" s="48">
        <f>IF($F137="","",IFERROR(INDEX(사건마스터!$AH$5:$AH$64,MATCH($F137,사건마스터!$A$5:$A$64,0)),""))</f>
        <v/>
      </c>
      <c r="K137" s="48">
        <f>IF($F137="","",IFERROR(INDEX(사건마스터!$AI$5:$AI$64,MATCH($F137,사건마스터!$A$5:$A$64,0)),""))</f>
        <v/>
      </c>
      <c r="L137" s="48">
        <f>IF($F137="","",IFERROR(INDEX(사건마스터!$AJ$5:$AJ$64,MATCH($F137,사건마스터!$A$5:$A$64,0)),""))</f>
        <v/>
      </c>
      <c r="M137" s="48">
        <f>IF($F137="","",IFERROR(INDEX(사건마스터!$AK$5:$AK$64,MATCH($F137,사건마스터!$A$5:$A$64,0)),""))</f>
        <v/>
      </c>
      <c r="N137" s="48">
        <f>IF($F137="","",IFERROR(INDEX(사건마스터!$AL$5:$AL$64,MATCH($F137,사건마스터!$A$5:$A$64,0)),""))</f>
        <v/>
      </c>
      <c r="O137" s="43">
        <f>IF($I137="","",COUNTIF($I137:$N137,"?*"))</f>
        <v/>
      </c>
      <c r="P137" s="46">
        <f>IF($I137="","",_xlfn.TEXTJOIN(", ",TRUE,$I137:$N137))</f>
        <v/>
      </c>
      <c r="Q137" s="47">
        <f>IF($I137="","",IFERROR(INDEX(코드설정!$D$5:$D$24,MATCH($I137,코드설정!$C$5:$C$24,0)),""))</f>
        <v/>
      </c>
      <c r="R137" s="49" t="n"/>
      <c r="S137" s="50" t="n"/>
      <c r="T137" s="51" t="n"/>
      <c r="U137" s="43">
        <f>IF(OR($B137="",$C137=""),"",$C137-$B137+1)</f>
        <v/>
      </c>
      <c r="V137" s="52" t="n"/>
      <c r="W137" s="53">
        <f>IF(OR($V137="",$O137=""),"",$V137*$O137)</f>
        <v/>
      </c>
      <c r="X137" s="45" t="n"/>
      <c r="Y137" s="49" t="n"/>
    </row>
    <row r="138">
      <c r="A138" s="43">
        <f>IF($B138="","",COUNT($B$5:$B138))</f>
        <v/>
      </c>
      <c r="B138" s="44" t="n"/>
      <c r="C138" s="44" t="n"/>
      <c r="D138" s="45" t="n"/>
      <c r="E138" s="45" t="n"/>
      <c r="F138" s="45" t="n"/>
      <c r="G138" s="46">
        <f>IF($F138="","",IFERROR(INDEX(사건마스터!$B$5:$B$64,MATCH($F138,사건마스터!$A$5:$A$64,0)),""))</f>
        <v/>
      </c>
      <c r="H138" s="47">
        <f>IF($F138="","",IFERROR(INDEX(사건마스터!$C$5:$C$64,MATCH($F138,사건마스터!$A$5:$A$64,0)),""))</f>
        <v/>
      </c>
      <c r="I138" s="48">
        <f>IF($F138="","",IFERROR(INDEX(사건마스터!$H$5:$H$64,MATCH($F138,사건마스터!$A$5:$A$64,0)),""))</f>
        <v/>
      </c>
      <c r="J138" s="48">
        <f>IF($F138="","",IFERROR(INDEX(사건마스터!$AH$5:$AH$64,MATCH($F138,사건마스터!$A$5:$A$64,0)),""))</f>
        <v/>
      </c>
      <c r="K138" s="48">
        <f>IF($F138="","",IFERROR(INDEX(사건마스터!$AI$5:$AI$64,MATCH($F138,사건마스터!$A$5:$A$64,0)),""))</f>
        <v/>
      </c>
      <c r="L138" s="48">
        <f>IF($F138="","",IFERROR(INDEX(사건마스터!$AJ$5:$AJ$64,MATCH($F138,사건마스터!$A$5:$A$64,0)),""))</f>
        <v/>
      </c>
      <c r="M138" s="48">
        <f>IF($F138="","",IFERROR(INDEX(사건마스터!$AK$5:$AK$64,MATCH($F138,사건마스터!$A$5:$A$64,0)),""))</f>
        <v/>
      </c>
      <c r="N138" s="48">
        <f>IF($F138="","",IFERROR(INDEX(사건마스터!$AL$5:$AL$64,MATCH($F138,사건마스터!$A$5:$A$64,0)),""))</f>
        <v/>
      </c>
      <c r="O138" s="43">
        <f>IF($I138="","",COUNTIF($I138:$N138,"?*"))</f>
        <v/>
      </c>
      <c r="P138" s="46">
        <f>IF($I138="","",_xlfn.TEXTJOIN(", ",TRUE,$I138:$N138))</f>
        <v/>
      </c>
      <c r="Q138" s="47">
        <f>IF($I138="","",IFERROR(INDEX(코드설정!$D$5:$D$24,MATCH($I138,코드설정!$C$5:$C$24,0)),""))</f>
        <v/>
      </c>
      <c r="R138" s="49" t="n"/>
      <c r="S138" s="50" t="n"/>
      <c r="T138" s="51" t="n"/>
      <c r="U138" s="43">
        <f>IF(OR($B138="",$C138=""),"",$C138-$B138+1)</f>
        <v/>
      </c>
      <c r="V138" s="52" t="n"/>
      <c r="W138" s="53">
        <f>IF(OR($V138="",$O138=""),"",$V138*$O138)</f>
        <v/>
      </c>
      <c r="X138" s="45" t="n"/>
      <c r="Y138" s="49" t="n"/>
    </row>
    <row r="139">
      <c r="A139" s="43">
        <f>IF($B139="","",COUNT($B$5:$B139))</f>
        <v/>
      </c>
      <c r="B139" s="44" t="n"/>
      <c r="C139" s="44" t="n"/>
      <c r="D139" s="45" t="n"/>
      <c r="E139" s="45" t="n"/>
      <c r="F139" s="45" t="n"/>
      <c r="G139" s="46">
        <f>IF($F139="","",IFERROR(INDEX(사건마스터!$B$5:$B$64,MATCH($F139,사건마스터!$A$5:$A$64,0)),""))</f>
        <v/>
      </c>
      <c r="H139" s="47">
        <f>IF($F139="","",IFERROR(INDEX(사건마스터!$C$5:$C$64,MATCH($F139,사건마스터!$A$5:$A$64,0)),""))</f>
        <v/>
      </c>
      <c r="I139" s="48">
        <f>IF($F139="","",IFERROR(INDEX(사건마스터!$H$5:$H$64,MATCH($F139,사건마스터!$A$5:$A$64,0)),""))</f>
        <v/>
      </c>
      <c r="J139" s="48">
        <f>IF($F139="","",IFERROR(INDEX(사건마스터!$AH$5:$AH$64,MATCH($F139,사건마스터!$A$5:$A$64,0)),""))</f>
        <v/>
      </c>
      <c r="K139" s="48">
        <f>IF($F139="","",IFERROR(INDEX(사건마스터!$AI$5:$AI$64,MATCH($F139,사건마스터!$A$5:$A$64,0)),""))</f>
        <v/>
      </c>
      <c r="L139" s="48">
        <f>IF($F139="","",IFERROR(INDEX(사건마스터!$AJ$5:$AJ$64,MATCH($F139,사건마스터!$A$5:$A$64,0)),""))</f>
        <v/>
      </c>
      <c r="M139" s="48">
        <f>IF($F139="","",IFERROR(INDEX(사건마스터!$AK$5:$AK$64,MATCH($F139,사건마스터!$A$5:$A$64,0)),""))</f>
        <v/>
      </c>
      <c r="N139" s="48">
        <f>IF($F139="","",IFERROR(INDEX(사건마스터!$AL$5:$AL$64,MATCH($F139,사건마스터!$A$5:$A$64,0)),""))</f>
        <v/>
      </c>
      <c r="O139" s="43">
        <f>IF($I139="","",COUNTIF($I139:$N139,"?*"))</f>
        <v/>
      </c>
      <c r="P139" s="46">
        <f>IF($I139="","",_xlfn.TEXTJOIN(", ",TRUE,$I139:$N139))</f>
        <v/>
      </c>
      <c r="Q139" s="47">
        <f>IF($I139="","",IFERROR(INDEX(코드설정!$D$5:$D$24,MATCH($I139,코드설정!$C$5:$C$24,0)),""))</f>
        <v/>
      </c>
      <c r="R139" s="49" t="n"/>
      <c r="S139" s="50" t="n"/>
      <c r="T139" s="51" t="n"/>
      <c r="U139" s="43">
        <f>IF(OR($B139="",$C139=""),"",$C139-$B139+1)</f>
        <v/>
      </c>
      <c r="V139" s="52" t="n"/>
      <c r="W139" s="53">
        <f>IF(OR($V139="",$O139=""),"",$V139*$O139)</f>
        <v/>
      </c>
      <c r="X139" s="45" t="n"/>
      <c r="Y139" s="49" t="n"/>
    </row>
    <row r="140">
      <c r="A140" s="43">
        <f>IF($B140="","",COUNT($B$5:$B140))</f>
        <v/>
      </c>
      <c r="B140" s="44" t="n"/>
      <c r="C140" s="44" t="n"/>
      <c r="D140" s="45" t="n"/>
      <c r="E140" s="45" t="n"/>
      <c r="F140" s="45" t="n"/>
      <c r="G140" s="46">
        <f>IF($F140="","",IFERROR(INDEX(사건마스터!$B$5:$B$64,MATCH($F140,사건마스터!$A$5:$A$64,0)),""))</f>
        <v/>
      </c>
      <c r="H140" s="47">
        <f>IF($F140="","",IFERROR(INDEX(사건마스터!$C$5:$C$64,MATCH($F140,사건마스터!$A$5:$A$64,0)),""))</f>
        <v/>
      </c>
      <c r="I140" s="48">
        <f>IF($F140="","",IFERROR(INDEX(사건마스터!$H$5:$H$64,MATCH($F140,사건마스터!$A$5:$A$64,0)),""))</f>
        <v/>
      </c>
      <c r="J140" s="48">
        <f>IF($F140="","",IFERROR(INDEX(사건마스터!$AH$5:$AH$64,MATCH($F140,사건마스터!$A$5:$A$64,0)),""))</f>
        <v/>
      </c>
      <c r="K140" s="48">
        <f>IF($F140="","",IFERROR(INDEX(사건마스터!$AI$5:$AI$64,MATCH($F140,사건마스터!$A$5:$A$64,0)),""))</f>
        <v/>
      </c>
      <c r="L140" s="48">
        <f>IF($F140="","",IFERROR(INDEX(사건마스터!$AJ$5:$AJ$64,MATCH($F140,사건마스터!$A$5:$A$64,0)),""))</f>
        <v/>
      </c>
      <c r="M140" s="48">
        <f>IF($F140="","",IFERROR(INDEX(사건마스터!$AK$5:$AK$64,MATCH($F140,사건마스터!$A$5:$A$64,0)),""))</f>
        <v/>
      </c>
      <c r="N140" s="48">
        <f>IF($F140="","",IFERROR(INDEX(사건마스터!$AL$5:$AL$64,MATCH($F140,사건마스터!$A$5:$A$64,0)),""))</f>
        <v/>
      </c>
      <c r="O140" s="43">
        <f>IF($I140="","",COUNTIF($I140:$N140,"?*"))</f>
        <v/>
      </c>
      <c r="P140" s="46">
        <f>IF($I140="","",_xlfn.TEXTJOIN(", ",TRUE,$I140:$N140))</f>
        <v/>
      </c>
      <c r="Q140" s="47">
        <f>IF($I140="","",IFERROR(INDEX(코드설정!$D$5:$D$24,MATCH($I140,코드설정!$C$5:$C$24,0)),""))</f>
        <v/>
      </c>
      <c r="R140" s="49" t="n"/>
      <c r="S140" s="50" t="n"/>
      <c r="T140" s="51" t="n"/>
      <c r="U140" s="43">
        <f>IF(OR($B140="",$C140=""),"",$C140-$B140+1)</f>
        <v/>
      </c>
      <c r="V140" s="52" t="n"/>
      <c r="W140" s="53">
        <f>IF(OR($V140="",$O140=""),"",$V140*$O140)</f>
        <v/>
      </c>
      <c r="X140" s="45" t="n"/>
      <c r="Y140" s="49" t="n"/>
    </row>
    <row r="141">
      <c r="A141" s="43">
        <f>IF($B141="","",COUNT($B$5:$B141))</f>
        <v/>
      </c>
      <c r="B141" s="44" t="n"/>
      <c r="C141" s="44" t="n"/>
      <c r="D141" s="45" t="n"/>
      <c r="E141" s="45" t="n"/>
      <c r="F141" s="45" t="n"/>
      <c r="G141" s="46">
        <f>IF($F141="","",IFERROR(INDEX(사건마스터!$B$5:$B$64,MATCH($F141,사건마스터!$A$5:$A$64,0)),""))</f>
        <v/>
      </c>
      <c r="H141" s="47">
        <f>IF($F141="","",IFERROR(INDEX(사건마스터!$C$5:$C$64,MATCH($F141,사건마스터!$A$5:$A$64,0)),""))</f>
        <v/>
      </c>
      <c r="I141" s="48">
        <f>IF($F141="","",IFERROR(INDEX(사건마스터!$H$5:$H$64,MATCH($F141,사건마스터!$A$5:$A$64,0)),""))</f>
        <v/>
      </c>
      <c r="J141" s="48">
        <f>IF($F141="","",IFERROR(INDEX(사건마스터!$AH$5:$AH$64,MATCH($F141,사건마스터!$A$5:$A$64,0)),""))</f>
        <v/>
      </c>
      <c r="K141" s="48">
        <f>IF($F141="","",IFERROR(INDEX(사건마스터!$AI$5:$AI$64,MATCH($F141,사건마스터!$A$5:$A$64,0)),""))</f>
        <v/>
      </c>
      <c r="L141" s="48">
        <f>IF($F141="","",IFERROR(INDEX(사건마스터!$AJ$5:$AJ$64,MATCH($F141,사건마스터!$A$5:$A$64,0)),""))</f>
        <v/>
      </c>
      <c r="M141" s="48">
        <f>IF($F141="","",IFERROR(INDEX(사건마스터!$AK$5:$AK$64,MATCH($F141,사건마스터!$A$5:$A$64,0)),""))</f>
        <v/>
      </c>
      <c r="N141" s="48">
        <f>IF($F141="","",IFERROR(INDEX(사건마스터!$AL$5:$AL$64,MATCH($F141,사건마스터!$A$5:$A$64,0)),""))</f>
        <v/>
      </c>
      <c r="O141" s="43">
        <f>IF($I141="","",COUNTIF($I141:$N141,"?*"))</f>
        <v/>
      </c>
      <c r="P141" s="46">
        <f>IF($I141="","",_xlfn.TEXTJOIN(", ",TRUE,$I141:$N141))</f>
        <v/>
      </c>
      <c r="Q141" s="47">
        <f>IF($I141="","",IFERROR(INDEX(코드설정!$D$5:$D$24,MATCH($I141,코드설정!$C$5:$C$24,0)),""))</f>
        <v/>
      </c>
      <c r="R141" s="49" t="n"/>
      <c r="S141" s="50" t="n"/>
      <c r="T141" s="51" t="n"/>
      <c r="U141" s="43">
        <f>IF(OR($B141="",$C141=""),"",$C141-$B141+1)</f>
        <v/>
      </c>
      <c r="V141" s="52" t="n"/>
      <c r="W141" s="53">
        <f>IF(OR($V141="",$O141=""),"",$V141*$O141)</f>
        <v/>
      </c>
      <c r="X141" s="45" t="n"/>
      <c r="Y141" s="49" t="n"/>
    </row>
    <row r="142">
      <c r="A142" s="43">
        <f>IF($B142="","",COUNT($B$5:$B142))</f>
        <v/>
      </c>
      <c r="B142" s="44" t="n"/>
      <c r="C142" s="44" t="n"/>
      <c r="D142" s="45" t="n"/>
      <c r="E142" s="45" t="n"/>
      <c r="F142" s="45" t="n"/>
      <c r="G142" s="46">
        <f>IF($F142="","",IFERROR(INDEX(사건마스터!$B$5:$B$64,MATCH($F142,사건마스터!$A$5:$A$64,0)),""))</f>
        <v/>
      </c>
      <c r="H142" s="47">
        <f>IF($F142="","",IFERROR(INDEX(사건마스터!$C$5:$C$64,MATCH($F142,사건마스터!$A$5:$A$64,0)),""))</f>
        <v/>
      </c>
      <c r="I142" s="48">
        <f>IF($F142="","",IFERROR(INDEX(사건마스터!$H$5:$H$64,MATCH($F142,사건마스터!$A$5:$A$64,0)),""))</f>
        <v/>
      </c>
      <c r="J142" s="48">
        <f>IF($F142="","",IFERROR(INDEX(사건마스터!$AH$5:$AH$64,MATCH($F142,사건마스터!$A$5:$A$64,0)),""))</f>
        <v/>
      </c>
      <c r="K142" s="48">
        <f>IF($F142="","",IFERROR(INDEX(사건마스터!$AI$5:$AI$64,MATCH($F142,사건마스터!$A$5:$A$64,0)),""))</f>
        <v/>
      </c>
      <c r="L142" s="48">
        <f>IF($F142="","",IFERROR(INDEX(사건마스터!$AJ$5:$AJ$64,MATCH($F142,사건마스터!$A$5:$A$64,0)),""))</f>
        <v/>
      </c>
      <c r="M142" s="48">
        <f>IF($F142="","",IFERROR(INDEX(사건마스터!$AK$5:$AK$64,MATCH($F142,사건마스터!$A$5:$A$64,0)),""))</f>
        <v/>
      </c>
      <c r="N142" s="48">
        <f>IF($F142="","",IFERROR(INDEX(사건마스터!$AL$5:$AL$64,MATCH($F142,사건마스터!$A$5:$A$64,0)),""))</f>
        <v/>
      </c>
      <c r="O142" s="43">
        <f>IF($I142="","",COUNTIF($I142:$N142,"?*"))</f>
        <v/>
      </c>
      <c r="P142" s="46">
        <f>IF($I142="","",_xlfn.TEXTJOIN(", ",TRUE,$I142:$N142))</f>
        <v/>
      </c>
      <c r="Q142" s="47">
        <f>IF($I142="","",IFERROR(INDEX(코드설정!$D$5:$D$24,MATCH($I142,코드설정!$C$5:$C$24,0)),""))</f>
        <v/>
      </c>
      <c r="R142" s="49" t="n"/>
      <c r="S142" s="50" t="n"/>
      <c r="T142" s="51" t="n"/>
      <c r="U142" s="43">
        <f>IF(OR($B142="",$C142=""),"",$C142-$B142+1)</f>
        <v/>
      </c>
      <c r="V142" s="52" t="n"/>
      <c r="W142" s="53">
        <f>IF(OR($V142="",$O142=""),"",$V142*$O142)</f>
        <v/>
      </c>
      <c r="X142" s="45" t="n"/>
      <c r="Y142" s="49" t="n"/>
    </row>
    <row r="143">
      <c r="A143" s="43">
        <f>IF($B143="","",COUNT($B$5:$B143))</f>
        <v/>
      </c>
      <c r="B143" s="44" t="n"/>
      <c r="C143" s="44" t="n"/>
      <c r="D143" s="45" t="n"/>
      <c r="E143" s="45" t="n"/>
      <c r="F143" s="45" t="n"/>
      <c r="G143" s="46">
        <f>IF($F143="","",IFERROR(INDEX(사건마스터!$B$5:$B$64,MATCH($F143,사건마스터!$A$5:$A$64,0)),""))</f>
        <v/>
      </c>
      <c r="H143" s="47">
        <f>IF($F143="","",IFERROR(INDEX(사건마스터!$C$5:$C$64,MATCH($F143,사건마스터!$A$5:$A$64,0)),""))</f>
        <v/>
      </c>
      <c r="I143" s="48">
        <f>IF($F143="","",IFERROR(INDEX(사건마스터!$H$5:$H$64,MATCH($F143,사건마스터!$A$5:$A$64,0)),""))</f>
        <v/>
      </c>
      <c r="J143" s="48">
        <f>IF($F143="","",IFERROR(INDEX(사건마스터!$AH$5:$AH$64,MATCH($F143,사건마스터!$A$5:$A$64,0)),""))</f>
        <v/>
      </c>
      <c r="K143" s="48">
        <f>IF($F143="","",IFERROR(INDEX(사건마스터!$AI$5:$AI$64,MATCH($F143,사건마스터!$A$5:$A$64,0)),""))</f>
        <v/>
      </c>
      <c r="L143" s="48">
        <f>IF($F143="","",IFERROR(INDEX(사건마스터!$AJ$5:$AJ$64,MATCH($F143,사건마스터!$A$5:$A$64,0)),""))</f>
        <v/>
      </c>
      <c r="M143" s="48">
        <f>IF($F143="","",IFERROR(INDEX(사건마스터!$AK$5:$AK$64,MATCH($F143,사건마스터!$A$5:$A$64,0)),""))</f>
        <v/>
      </c>
      <c r="N143" s="48">
        <f>IF($F143="","",IFERROR(INDEX(사건마스터!$AL$5:$AL$64,MATCH($F143,사건마스터!$A$5:$A$64,0)),""))</f>
        <v/>
      </c>
      <c r="O143" s="43">
        <f>IF($I143="","",COUNTIF($I143:$N143,"?*"))</f>
        <v/>
      </c>
      <c r="P143" s="46">
        <f>IF($I143="","",_xlfn.TEXTJOIN(", ",TRUE,$I143:$N143))</f>
        <v/>
      </c>
      <c r="Q143" s="47">
        <f>IF($I143="","",IFERROR(INDEX(코드설정!$D$5:$D$24,MATCH($I143,코드설정!$C$5:$C$24,0)),""))</f>
        <v/>
      </c>
      <c r="R143" s="49" t="n"/>
      <c r="S143" s="50" t="n"/>
      <c r="T143" s="51" t="n"/>
      <c r="U143" s="43">
        <f>IF(OR($B143="",$C143=""),"",$C143-$B143+1)</f>
        <v/>
      </c>
      <c r="V143" s="52" t="n"/>
      <c r="W143" s="53">
        <f>IF(OR($V143="",$O143=""),"",$V143*$O143)</f>
        <v/>
      </c>
      <c r="X143" s="45" t="n"/>
      <c r="Y143" s="49" t="n"/>
    </row>
    <row r="144">
      <c r="A144" s="43">
        <f>IF($B144="","",COUNT($B$5:$B144))</f>
        <v/>
      </c>
      <c r="B144" s="44" t="n"/>
      <c r="C144" s="44" t="n"/>
      <c r="D144" s="45" t="n"/>
      <c r="E144" s="45" t="n"/>
      <c r="F144" s="45" t="n"/>
      <c r="G144" s="46">
        <f>IF($F144="","",IFERROR(INDEX(사건마스터!$B$5:$B$64,MATCH($F144,사건마스터!$A$5:$A$64,0)),""))</f>
        <v/>
      </c>
      <c r="H144" s="47">
        <f>IF($F144="","",IFERROR(INDEX(사건마스터!$C$5:$C$64,MATCH($F144,사건마스터!$A$5:$A$64,0)),""))</f>
        <v/>
      </c>
      <c r="I144" s="48">
        <f>IF($F144="","",IFERROR(INDEX(사건마스터!$H$5:$H$64,MATCH($F144,사건마스터!$A$5:$A$64,0)),""))</f>
        <v/>
      </c>
      <c r="J144" s="48">
        <f>IF($F144="","",IFERROR(INDEX(사건마스터!$AH$5:$AH$64,MATCH($F144,사건마스터!$A$5:$A$64,0)),""))</f>
        <v/>
      </c>
      <c r="K144" s="48">
        <f>IF($F144="","",IFERROR(INDEX(사건마스터!$AI$5:$AI$64,MATCH($F144,사건마스터!$A$5:$A$64,0)),""))</f>
        <v/>
      </c>
      <c r="L144" s="48">
        <f>IF($F144="","",IFERROR(INDEX(사건마스터!$AJ$5:$AJ$64,MATCH($F144,사건마스터!$A$5:$A$64,0)),""))</f>
        <v/>
      </c>
      <c r="M144" s="48">
        <f>IF($F144="","",IFERROR(INDEX(사건마스터!$AK$5:$AK$64,MATCH($F144,사건마스터!$A$5:$A$64,0)),""))</f>
        <v/>
      </c>
      <c r="N144" s="48">
        <f>IF($F144="","",IFERROR(INDEX(사건마스터!$AL$5:$AL$64,MATCH($F144,사건마스터!$A$5:$A$64,0)),""))</f>
        <v/>
      </c>
      <c r="O144" s="43">
        <f>IF($I144="","",COUNTIF($I144:$N144,"?*"))</f>
        <v/>
      </c>
      <c r="P144" s="46">
        <f>IF($I144="","",_xlfn.TEXTJOIN(", ",TRUE,$I144:$N144))</f>
        <v/>
      </c>
      <c r="Q144" s="47">
        <f>IF($I144="","",IFERROR(INDEX(코드설정!$D$5:$D$24,MATCH($I144,코드설정!$C$5:$C$24,0)),""))</f>
        <v/>
      </c>
      <c r="R144" s="49" t="n"/>
      <c r="S144" s="50" t="n"/>
      <c r="T144" s="51" t="n"/>
      <c r="U144" s="43">
        <f>IF(OR($B144="",$C144=""),"",$C144-$B144+1)</f>
        <v/>
      </c>
      <c r="V144" s="52" t="n"/>
      <c r="W144" s="53">
        <f>IF(OR($V144="",$O144=""),"",$V144*$O144)</f>
        <v/>
      </c>
      <c r="X144" s="45" t="n"/>
      <c r="Y144" s="49" t="n"/>
    </row>
    <row r="145">
      <c r="A145" s="43">
        <f>IF($B145="","",COUNT($B$5:$B145))</f>
        <v/>
      </c>
      <c r="B145" s="44" t="n"/>
      <c r="C145" s="44" t="n"/>
      <c r="D145" s="45" t="n"/>
      <c r="E145" s="45" t="n"/>
      <c r="F145" s="45" t="n"/>
      <c r="G145" s="46">
        <f>IF($F145="","",IFERROR(INDEX(사건마스터!$B$5:$B$64,MATCH($F145,사건마스터!$A$5:$A$64,0)),""))</f>
        <v/>
      </c>
      <c r="H145" s="47">
        <f>IF($F145="","",IFERROR(INDEX(사건마스터!$C$5:$C$64,MATCH($F145,사건마스터!$A$5:$A$64,0)),""))</f>
        <v/>
      </c>
      <c r="I145" s="48">
        <f>IF($F145="","",IFERROR(INDEX(사건마스터!$H$5:$H$64,MATCH($F145,사건마스터!$A$5:$A$64,0)),""))</f>
        <v/>
      </c>
      <c r="J145" s="48">
        <f>IF($F145="","",IFERROR(INDEX(사건마스터!$AH$5:$AH$64,MATCH($F145,사건마스터!$A$5:$A$64,0)),""))</f>
        <v/>
      </c>
      <c r="K145" s="48">
        <f>IF($F145="","",IFERROR(INDEX(사건마스터!$AI$5:$AI$64,MATCH($F145,사건마스터!$A$5:$A$64,0)),""))</f>
        <v/>
      </c>
      <c r="L145" s="48">
        <f>IF($F145="","",IFERROR(INDEX(사건마스터!$AJ$5:$AJ$64,MATCH($F145,사건마스터!$A$5:$A$64,0)),""))</f>
        <v/>
      </c>
      <c r="M145" s="48">
        <f>IF($F145="","",IFERROR(INDEX(사건마스터!$AK$5:$AK$64,MATCH($F145,사건마스터!$A$5:$A$64,0)),""))</f>
        <v/>
      </c>
      <c r="N145" s="48">
        <f>IF($F145="","",IFERROR(INDEX(사건마스터!$AL$5:$AL$64,MATCH($F145,사건마스터!$A$5:$A$64,0)),""))</f>
        <v/>
      </c>
      <c r="O145" s="43">
        <f>IF($I145="","",COUNTIF($I145:$N145,"?*"))</f>
        <v/>
      </c>
      <c r="P145" s="46">
        <f>IF($I145="","",_xlfn.TEXTJOIN(", ",TRUE,$I145:$N145))</f>
        <v/>
      </c>
      <c r="Q145" s="47">
        <f>IF($I145="","",IFERROR(INDEX(코드설정!$D$5:$D$24,MATCH($I145,코드설정!$C$5:$C$24,0)),""))</f>
        <v/>
      </c>
      <c r="R145" s="49" t="n"/>
      <c r="S145" s="50" t="n"/>
      <c r="T145" s="51" t="n"/>
      <c r="U145" s="43">
        <f>IF(OR($B145="",$C145=""),"",$C145-$B145+1)</f>
        <v/>
      </c>
      <c r="V145" s="52" t="n"/>
      <c r="W145" s="53">
        <f>IF(OR($V145="",$O145=""),"",$V145*$O145)</f>
        <v/>
      </c>
      <c r="X145" s="45" t="n"/>
      <c r="Y145" s="49" t="n"/>
    </row>
    <row r="146">
      <c r="A146" s="43">
        <f>IF($B146="","",COUNT($B$5:$B146))</f>
        <v/>
      </c>
      <c r="B146" s="44" t="n"/>
      <c r="C146" s="44" t="n"/>
      <c r="D146" s="45" t="n"/>
      <c r="E146" s="45" t="n"/>
      <c r="F146" s="45" t="n"/>
      <c r="G146" s="46">
        <f>IF($F146="","",IFERROR(INDEX(사건마스터!$B$5:$B$64,MATCH($F146,사건마스터!$A$5:$A$64,0)),""))</f>
        <v/>
      </c>
      <c r="H146" s="47">
        <f>IF($F146="","",IFERROR(INDEX(사건마스터!$C$5:$C$64,MATCH($F146,사건마스터!$A$5:$A$64,0)),""))</f>
        <v/>
      </c>
      <c r="I146" s="48">
        <f>IF($F146="","",IFERROR(INDEX(사건마스터!$H$5:$H$64,MATCH($F146,사건마스터!$A$5:$A$64,0)),""))</f>
        <v/>
      </c>
      <c r="J146" s="48">
        <f>IF($F146="","",IFERROR(INDEX(사건마스터!$AH$5:$AH$64,MATCH($F146,사건마스터!$A$5:$A$64,0)),""))</f>
        <v/>
      </c>
      <c r="K146" s="48">
        <f>IF($F146="","",IFERROR(INDEX(사건마스터!$AI$5:$AI$64,MATCH($F146,사건마스터!$A$5:$A$64,0)),""))</f>
        <v/>
      </c>
      <c r="L146" s="48">
        <f>IF($F146="","",IFERROR(INDEX(사건마스터!$AJ$5:$AJ$64,MATCH($F146,사건마스터!$A$5:$A$64,0)),""))</f>
        <v/>
      </c>
      <c r="M146" s="48">
        <f>IF($F146="","",IFERROR(INDEX(사건마스터!$AK$5:$AK$64,MATCH($F146,사건마스터!$A$5:$A$64,0)),""))</f>
        <v/>
      </c>
      <c r="N146" s="48">
        <f>IF($F146="","",IFERROR(INDEX(사건마스터!$AL$5:$AL$64,MATCH($F146,사건마스터!$A$5:$A$64,0)),""))</f>
        <v/>
      </c>
      <c r="O146" s="43">
        <f>IF($I146="","",COUNTIF($I146:$N146,"?*"))</f>
        <v/>
      </c>
      <c r="P146" s="46">
        <f>IF($I146="","",_xlfn.TEXTJOIN(", ",TRUE,$I146:$N146))</f>
        <v/>
      </c>
      <c r="Q146" s="47">
        <f>IF($I146="","",IFERROR(INDEX(코드설정!$D$5:$D$24,MATCH($I146,코드설정!$C$5:$C$24,0)),""))</f>
        <v/>
      </c>
      <c r="R146" s="49" t="n"/>
      <c r="S146" s="50" t="n"/>
      <c r="T146" s="51" t="n"/>
      <c r="U146" s="43">
        <f>IF(OR($B146="",$C146=""),"",$C146-$B146+1)</f>
        <v/>
      </c>
      <c r="V146" s="52" t="n"/>
      <c r="W146" s="53">
        <f>IF(OR($V146="",$O146=""),"",$V146*$O146)</f>
        <v/>
      </c>
      <c r="X146" s="45" t="n"/>
      <c r="Y146" s="49" t="n"/>
    </row>
    <row r="147">
      <c r="A147" s="43">
        <f>IF($B147="","",COUNT($B$5:$B147))</f>
        <v/>
      </c>
      <c r="B147" s="44" t="n"/>
      <c r="C147" s="44" t="n"/>
      <c r="D147" s="45" t="n"/>
      <c r="E147" s="45" t="n"/>
      <c r="F147" s="45" t="n"/>
      <c r="G147" s="46">
        <f>IF($F147="","",IFERROR(INDEX(사건마스터!$B$5:$B$64,MATCH($F147,사건마스터!$A$5:$A$64,0)),""))</f>
        <v/>
      </c>
      <c r="H147" s="47">
        <f>IF($F147="","",IFERROR(INDEX(사건마스터!$C$5:$C$64,MATCH($F147,사건마스터!$A$5:$A$64,0)),""))</f>
        <v/>
      </c>
      <c r="I147" s="48">
        <f>IF($F147="","",IFERROR(INDEX(사건마스터!$H$5:$H$64,MATCH($F147,사건마스터!$A$5:$A$64,0)),""))</f>
        <v/>
      </c>
      <c r="J147" s="48">
        <f>IF($F147="","",IFERROR(INDEX(사건마스터!$AH$5:$AH$64,MATCH($F147,사건마스터!$A$5:$A$64,0)),""))</f>
        <v/>
      </c>
      <c r="K147" s="48">
        <f>IF($F147="","",IFERROR(INDEX(사건마스터!$AI$5:$AI$64,MATCH($F147,사건마스터!$A$5:$A$64,0)),""))</f>
        <v/>
      </c>
      <c r="L147" s="48">
        <f>IF($F147="","",IFERROR(INDEX(사건마스터!$AJ$5:$AJ$64,MATCH($F147,사건마스터!$A$5:$A$64,0)),""))</f>
        <v/>
      </c>
      <c r="M147" s="48">
        <f>IF($F147="","",IFERROR(INDEX(사건마스터!$AK$5:$AK$64,MATCH($F147,사건마스터!$A$5:$A$64,0)),""))</f>
        <v/>
      </c>
      <c r="N147" s="48">
        <f>IF($F147="","",IFERROR(INDEX(사건마스터!$AL$5:$AL$64,MATCH($F147,사건마스터!$A$5:$A$64,0)),""))</f>
        <v/>
      </c>
      <c r="O147" s="43">
        <f>IF($I147="","",COUNTIF($I147:$N147,"?*"))</f>
        <v/>
      </c>
      <c r="P147" s="46">
        <f>IF($I147="","",_xlfn.TEXTJOIN(", ",TRUE,$I147:$N147))</f>
        <v/>
      </c>
      <c r="Q147" s="47">
        <f>IF($I147="","",IFERROR(INDEX(코드설정!$D$5:$D$24,MATCH($I147,코드설정!$C$5:$C$24,0)),""))</f>
        <v/>
      </c>
      <c r="R147" s="49" t="n"/>
      <c r="S147" s="50" t="n"/>
      <c r="T147" s="51" t="n"/>
      <c r="U147" s="43">
        <f>IF(OR($B147="",$C147=""),"",$C147-$B147+1)</f>
        <v/>
      </c>
      <c r="V147" s="52" t="n"/>
      <c r="W147" s="53">
        <f>IF(OR($V147="",$O147=""),"",$V147*$O147)</f>
        <v/>
      </c>
      <c r="X147" s="45" t="n"/>
      <c r="Y147" s="49" t="n"/>
    </row>
    <row r="148">
      <c r="A148" s="43">
        <f>IF($B148="","",COUNT($B$5:$B148))</f>
        <v/>
      </c>
      <c r="B148" s="44" t="n"/>
      <c r="C148" s="44" t="n"/>
      <c r="D148" s="45" t="n"/>
      <c r="E148" s="45" t="n"/>
      <c r="F148" s="45" t="n"/>
      <c r="G148" s="46">
        <f>IF($F148="","",IFERROR(INDEX(사건마스터!$B$5:$B$64,MATCH($F148,사건마스터!$A$5:$A$64,0)),""))</f>
        <v/>
      </c>
      <c r="H148" s="47">
        <f>IF($F148="","",IFERROR(INDEX(사건마스터!$C$5:$C$64,MATCH($F148,사건마스터!$A$5:$A$64,0)),""))</f>
        <v/>
      </c>
      <c r="I148" s="48">
        <f>IF($F148="","",IFERROR(INDEX(사건마스터!$H$5:$H$64,MATCH($F148,사건마스터!$A$5:$A$64,0)),""))</f>
        <v/>
      </c>
      <c r="J148" s="48">
        <f>IF($F148="","",IFERROR(INDEX(사건마스터!$AH$5:$AH$64,MATCH($F148,사건마스터!$A$5:$A$64,0)),""))</f>
        <v/>
      </c>
      <c r="K148" s="48">
        <f>IF($F148="","",IFERROR(INDEX(사건마스터!$AI$5:$AI$64,MATCH($F148,사건마스터!$A$5:$A$64,0)),""))</f>
        <v/>
      </c>
      <c r="L148" s="48">
        <f>IF($F148="","",IFERROR(INDEX(사건마스터!$AJ$5:$AJ$64,MATCH($F148,사건마스터!$A$5:$A$64,0)),""))</f>
        <v/>
      </c>
      <c r="M148" s="48">
        <f>IF($F148="","",IFERROR(INDEX(사건마스터!$AK$5:$AK$64,MATCH($F148,사건마스터!$A$5:$A$64,0)),""))</f>
        <v/>
      </c>
      <c r="N148" s="48">
        <f>IF($F148="","",IFERROR(INDEX(사건마스터!$AL$5:$AL$64,MATCH($F148,사건마스터!$A$5:$A$64,0)),""))</f>
        <v/>
      </c>
      <c r="O148" s="43">
        <f>IF($I148="","",COUNTIF($I148:$N148,"?*"))</f>
        <v/>
      </c>
      <c r="P148" s="46">
        <f>IF($I148="","",_xlfn.TEXTJOIN(", ",TRUE,$I148:$N148))</f>
        <v/>
      </c>
      <c r="Q148" s="47">
        <f>IF($I148="","",IFERROR(INDEX(코드설정!$D$5:$D$24,MATCH($I148,코드설정!$C$5:$C$24,0)),""))</f>
        <v/>
      </c>
      <c r="R148" s="49" t="n"/>
      <c r="S148" s="50" t="n"/>
      <c r="T148" s="51" t="n"/>
      <c r="U148" s="43">
        <f>IF(OR($B148="",$C148=""),"",$C148-$B148+1)</f>
        <v/>
      </c>
      <c r="V148" s="52" t="n"/>
      <c r="W148" s="53">
        <f>IF(OR($V148="",$O148=""),"",$V148*$O148)</f>
        <v/>
      </c>
      <c r="X148" s="45" t="n"/>
      <c r="Y148" s="49" t="n"/>
    </row>
    <row r="149">
      <c r="A149" s="43">
        <f>IF($B149="","",COUNT($B$5:$B149))</f>
        <v/>
      </c>
      <c r="B149" s="44" t="n"/>
      <c r="C149" s="44" t="n"/>
      <c r="D149" s="45" t="n"/>
      <c r="E149" s="45" t="n"/>
      <c r="F149" s="45" t="n"/>
      <c r="G149" s="46">
        <f>IF($F149="","",IFERROR(INDEX(사건마스터!$B$5:$B$64,MATCH($F149,사건마스터!$A$5:$A$64,0)),""))</f>
        <v/>
      </c>
      <c r="H149" s="47">
        <f>IF($F149="","",IFERROR(INDEX(사건마스터!$C$5:$C$64,MATCH($F149,사건마스터!$A$5:$A$64,0)),""))</f>
        <v/>
      </c>
      <c r="I149" s="48">
        <f>IF($F149="","",IFERROR(INDEX(사건마스터!$H$5:$H$64,MATCH($F149,사건마스터!$A$5:$A$64,0)),""))</f>
        <v/>
      </c>
      <c r="J149" s="48">
        <f>IF($F149="","",IFERROR(INDEX(사건마스터!$AH$5:$AH$64,MATCH($F149,사건마스터!$A$5:$A$64,0)),""))</f>
        <v/>
      </c>
      <c r="K149" s="48">
        <f>IF($F149="","",IFERROR(INDEX(사건마스터!$AI$5:$AI$64,MATCH($F149,사건마스터!$A$5:$A$64,0)),""))</f>
        <v/>
      </c>
      <c r="L149" s="48">
        <f>IF($F149="","",IFERROR(INDEX(사건마스터!$AJ$5:$AJ$64,MATCH($F149,사건마스터!$A$5:$A$64,0)),""))</f>
        <v/>
      </c>
      <c r="M149" s="48">
        <f>IF($F149="","",IFERROR(INDEX(사건마스터!$AK$5:$AK$64,MATCH($F149,사건마스터!$A$5:$A$64,0)),""))</f>
        <v/>
      </c>
      <c r="N149" s="48">
        <f>IF($F149="","",IFERROR(INDEX(사건마스터!$AL$5:$AL$64,MATCH($F149,사건마스터!$A$5:$A$64,0)),""))</f>
        <v/>
      </c>
      <c r="O149" s="43">
        <f>IF($I149="","",COUNTIF($I149:$N149,"?*"))</f>
        <v/>
      </c>
      <c r="P149" s="46">
        <f>IF($I149="","",_xlfn.TEXTJOIN(", ",TRUE,$I149:$N149))</f>
        <v/>
      </c>
      <c r="Q149" s="47">
        <f>IF($I149="","",IFERROR(INDEX(코드설정!$D$5:$D$24,MATCH($I149,코드설정!$C$5:$C$24,0)),""))</f>
        <v/>
      </c>
      <c r="R149" s="49" t="n"/>
      <c r="S149" s="50" t="n"/>
      <c r="T149" s="51" t="n"/>
      <c r="U149" s="43">
        <f>IF(OR($B149="",$C149=""),"",$C149-$B149+1)</f>
        <v/>
      </c>
      <c r="V149" s="52" t="n"/>
      <c r="W149" s="53">
        <f>IF(OR($V149="",$O149=""),"",$V149*$O149)</f>
        <v/>
      </c>
      <c r="X149" s="45" t="n"/>
      <c r="Y149" s="49" t="n"/>
    </row>
    <row r="150">
      <c r="A150" s="43">
        <f>IF($B150="","",COUNT($B$5:$B150))</f>
        <v/>
      </c>
      <c r="B150" s="44" t="n"/>
      <c r="C150" s="44" t="n"/>
      <c r="D150" s="45" t="n"/>
      <c r="E150" s="45" t="n"/>
      <c r="F150" s="45" t="n"/>
      <c r="G150" s="46">
        <f>IF($F150="","",IFERROR(INDEX(사건마스터!$B$5:$B$64,MATCH($F150,사건마스터!$A$5:$A$64,0)),""))</f>
        <v/>
      </c>
      <c r="H150" s="47">
        <f>IF($F150="","",IFERROR(INDEX(사건마스터!$C$5:$C$64,MATCH($F150,사건마스터!$A$5:$A$64,0)),""))</f>
        <v/>
      </c>
      <c r="I150" s="48">
        <f>IF($F150="","",IFERROR(INDEX(사건마스터!$H$5:$H$64,MATCH($F150,사건마스터!$A$5:$A$64,0)),""))</f>
        <v/>
      </c>
      <c r="J150" s="48">
        <f>IF($F150="","",IFERROR(INDEX(사건마스터!$AH$5:$AH$64,MATCH($F150,사건마스터!$A$5:$A$64,0)),""))</f>
        <v/>
      </c>
      <c r="K150" s="48">
        <f>IF($F150="","",IFERROR(INDEX(사건마스터!$AI$5:$AI$64,MATCH($F150,사건마스터!$A$5:$A$64,0)),""))</f>
        <v/>
      </c>
      <c r="L150" s="48">
        <f>IF($F150="","",IFERROR(INDEX(사건마스터!$AJ$5:$AJ$64,MATCH($F150,사건마스터!$A$5:$A$64,0)),""))</f>
        <v/>
      </c>
      <c r="M150" s="48">
        <f>IF($F150="","",IFERROR(INDEX(사건마스터!$AK$5:$AK$64,MATCH($F150,사건마스터!$A$5:$A$64,0)),""))</f>
        <v/>
      </c>
      <c r="N150" s="48">
        <f>IF($F150="","",IFERROR(INDEX(사건마스터!$AL$5:$AL$64,MATCH($F150,사건마스터!$A$5:$A$64,0)),""))</f>
        <v/>
      </c>
      <c r="O150" s="43">
        <f>IF($I150="","",COUNTIF($I150:$N150,"?*"))</f>
        <v/>
      </c>
      <c r="P150" s="46">
        <f>IF($I150="","",_xlfn.TEXTJOIN(", ",TRUE,$I150:$N150))</f>
        <v/>
      </c>
      <c r="Q150" s="47">
        <f>IF($I150="","",IFERROR(INDEX(코드설정!$D$5:$D$24,MATCH($I150,코드설정!$C$5:$C$24,0)),""))</f>
        <v/>
      </c>
      <c r="R150" s="49" t="n"/>
      <c r="S150" s="50" t="n"/>
      <c r="T150" s="51" t="n"/>
      <c r="U150" s="43">
        <f>IF(OR($B150="",$C150=""),"",$C150-$B150+1)</f>
        <v/>
      </c>
      <c r="V150" s="52" t="n"/>
      <c r="W150" s="53">
        <f>IF(OR($V150="",$O150=""),"",$V150*$O150)</f>
        <v/>
      </c>
      <c r="X150" s="45" t="n"/>
      <c r="Y150" s="49" t="n"/>
    </row>
    <row r="151">
      <c r="A151" s="43">
        <f>IF($B151="","",COUNT($B$5:$B151))</f>
        <v/>
      </c>
      <c r="B151" s="44" t="n"/>
      <c r="C151" s="44" t="n"/>
      <c r="D151" s="45" t="n"/>
      <c r="E151" s="45" t="n"/>
      <c r="F151" s="45" t="n"/>
      <c r="G151" s="46">
        <f>IF($F151="","",IFERROR(INDEX(사건마스터!$B$5:$B$64,MATCH($F151,사건마스터!$A$5:$A$64,0)),""))</f>
        <v/>
      </c>
      <c r="H151" s="47">
        <f>IF($F151="","",IFERROR(INDEX(사건마스터!$C$5:$C$64,MATCH($F151,사건마스터!$A$5:$A$64,0)),""))</f>
        <v/>
      </c>
      <c r="I151" s="48">
        <f>IF($F151="","",IFERROR(INDEX(사건마스터!$H$5:$H$64,MATCH($F151,사건마스터!$A$5:$A$64,0)),""))</f>
        <v/>
      </c>
      <c r="J151" s="48">
        <f>IF($F151="","",IFERROR(INDEX(사건마스터!$AH$5:$AH$64,MATCH($F151,사건마스터!$A$5:$A$64,0)),""))</f>
        <v/>
      </c>
      <c r="K151" s="48">
        <f>IF($F151="","",IFERROR(INDEX(사건마스터!$AI$5:$AI$64,MATCH($F151,사건마스터!$A$5:$A$64,0)),""))</f>
        <v/>
      </c>
      <c r="L151" s="48">
        <f>IF($F151="","",IFERROR(INDEX(사건마스터!$AJ$5:$AJ$64,MATCH($F151,사건마스터!$A$5:$A$64,0)),""))</f>
        <v/>
      </c>
      <c r="M151" s="48">
        <f>IF($F151="","",IFERROR(INDEX(사건마스터!$AK$5:$AK$64,MATCH($F151,사건마스터!$A$5:$A$64,0)),""))</f>
        <v/>
      </c>
      <c r="N151" s="48">
        <f>IF($F151="","",IFERROR(INDEX(사건마스터!$AL$5:$AL$64,MATCH($F151,사건마스터!$A$5:$A$64,0)),""))</f>
        <v/>
      </c>
      <c r="O151" s="43">
        <f>IF($I151="","",COUNTIF($I151:$N151,"?*"))</f>
        <v/>
      </c>
      <c r="P151" s="46">
        <f>IF($I151="","",_xlfn.TEXTJOIN(", ",TRUE,$I151:$N151))</f>
        <v/>
      </c>
      <c r="Q151" s="47">
        <f>IF($I151="","",IFERROR(INDEX(코드설정!$D$5:$D$24,MATCH($I151,코드설정!$C$5:$C$24,0)),""))</f>
        <v/>
      </c>
      <c r="R151" s="49" t="n"/>
      <c r="S151" s="50" t="n"/>
      <c r="T151" s="51" t="n"/>
      <c r="U151" s="43">
        <f>IF(OR($B151="",$C151=""),"",$C151-$B151+1)</f>
        <v/>
      </c>
      <c r="V151" s="52" t="n"/>
      <c r="W151" s="53">
        <f>IF(OR($V151="",$O151=""),"",$V151*$O151)</f>
        <v/>
      </c>
      <c r="X151" s="45" t="n"/>
      <c r="Y151" s="49" t="n"/>
    </row>
    <row r="152">
      <c r="A152" s="43">
        <f>IF($B152="","",COUNT($B$5:$B152))</f>
        <v/>
      </c>
      <c r="B152" s="44" t="n"/>
      <c r="C152" s="44" t="n"/>
      <c r="D152" s="45" t="n"/>
      <c r="E152" s="45" t="n"/>
      <c r="F152" s="45" t="n"/>
      <c r="G152" s="46">
        <f>IF($F152="","",IFERROR(INDEX(사건마스터!$B$5:$B$64,MATCH($F152,사건마스터!$A$5:$A$64,0)),""))</f>
        <v/>
      </c>
      <c r="H152" s="47">
        <f>IF($F152="","",IFERROR(INDEX(사건마스터!$C$5:$C$64,MATCH($F152,사건마스터!$A$5:$A$64,0)),""))</f>
        <v/>
      </c>
      <c r="I152" s="48">
        <f>IF($F152="","",IFERROR(INDEX(사건마스터!$H$5:$H$64,MATCH($F152,사건마스터!$A$5:$A$64,0)),""))</f>
        <v/>
      </c>
      <c r="J152" s="48">
        <f>IF($F152="","",IFERROR(INDEX(사건마스터!$AH$5:$AH$64,MATCH($F152,사건마스터!$A$5:$A$64,0)),""))</f>
        <v/>
      </c>
      <c r="K152" s="48">
        <f>IF($F152="","",IFERROR(INDEX(사건마스터!$AI$5:$AI$64,MATCH($F152,사건마스터!$A$5:$A$64,0)),""))</f>
        <v/>
      </c>
      <c r="L152" s="48">
        <f>IF($F152="","",IFERROR(INDEX(사건마스터!$AJ$5:$AJ$64,MATCH($F152,사건마스터!$A$5:$A$64,0)),""))</f>
        <v/>
      </c>
      <c r="M152" s="48">
        <f>IF($F152="","",IFERROR(INDEX(사건마스터!$AK$5:$AK$64,MATCH($F152,사건마스터!$A$5:$A$64,0)),""))</f>
        <v/>
      </c>
      <c r="N152" s="48">
        <f>IF($F152="","",IFERROR(INDEX(사건마스터!$AL$5:$AL$64,MATCH($F152,사건마스터!$A$5:$A$64,0)),""))</f>
        <v/>
      </c>
      <c r="O152" s="43">
        <f>IF($I152="","",COUNTIF($I152:$N152,"?*"))</f>
        <v/>
      </c>
      <c r="P152" s="46">
        <f>IF($I152="","",_xlfn.TEXTJOIN(", ",TRUE,$I152:$N152))</f>
        <v/>
      </c>
      <c r="Q152" s="47">
        <f>IF($I152="","",IFERROR(INDEX(코드설정!$D$5:$D$24,MATCH($I152,코드설정!$C$5:$C$24,0)),""))</f>
        <v/>
      </c>
      <c r="R152" s="49" t="n"/>
      <c r="S152" s="50" t="n"/>
      <c r="T152" s="51" t="n"/>
      <c r="U152" s="43">
        <f>IF(OR($B152="",$C152=""),"",$C152-$B152+1)</f>
        <v/>
      </c>
      <c r="V152" s="52" t="n"/>
      <c r="W152" s="53">
        <f>IF(OR($V152="",$O152=""),"",$V152*$O152)</f>
        <v/>
      </c>
      <c r="X152" s="45" t="n"/>
      <c r="Y152" s="49" t="n"/>
    </row>
    <row r="153">
      <c r="A153" s="43">
        <f>IF($B153="","",COUNT($B$5:$B153))</f>
        <v/>
      </c>
      <c r="B153" s="44" t="n"/>
      <c r="C153" s="44" t="n"/>
      <c r="D153" s="45" t="n"/>
      <c r="E153" s="45" t="n"/>
      <c r="F153" s="45" t="n"/>
      <c r="G153" s="46">
        <f>IF($F153="","",IFERROR(INDEX(사건마스터!$B$5:$B$64,MATCH($F153,사건마스터!$A$5:$A$64,0)),""))</f>
        <v/>
      </c>
      <c r="H153" s="47">
        <f>IF($F153="","",IFERROR(INDEX(사건마스터!$C$5:$C$64,MATCH($F153,사건마스터!$A$5:$A$64,0)),""))</f>
        <v/>
      </c>
      <c r="I153" s="48">
        <f>IF($F153="","",IFERROR(INDEX(사건마스터!$H$5:$H$64,MATCH($F153,사건마스터!$A$5:$A$64,0)),""))</f>
        <v/>
      </c>
      <c r="J153" s="48">
        <f>IF($F153="","",IFERROR(INDEX(사건마스터!$AH$5:$AH$64,MATCH($F153,사건마스터!$A$5:$A$64,0)),""))</f>
        <v/>
      </c>
      <c r="K153" s="48">
        <f>IF($F153="","",IFERROR(INDEX(사건마스터!$AI$5:$AI$64,MATCH($F153,사건마스터!$A$5:$A$64,0)),""))</f>
        <v/>
      </c>
      <c r="L153" s="48">
        <f>IF($F153="","",IFERROR(INDEX(사건마스터!$AJ$5:$AJ$64,MATCH($F153,사건마스터!$A$5:$A$64,0)),""))</f>
        <v/>
      </c>
      <c r="M153" s="48">
        <f>IF($F153="","",IFERROR(INDEX(사건마스터!$AK$5:$AK$64,MATCH($F153,사건마스터!$A$5:$A$64,0)),""))</f>
        <v/>
      </c>
      <c r="N153" s="48">
        <f>IF($F153="","",IFERROR(INDEX(사건마스터!$AL$5:$AL$64,MATCH($F153,사건마스터!$A$5:$A$64,0)),""))</f>
        <v/>
      </c>
      <c r="O153" s="43">
        <f>IF($I153="","",COUNTIF($I153:$N153,"?*"))</f>
        <v/>
      </c>
      <c r="P153" s="46">
        <f>IF($I153="","",_xlfn.TEXTJOIN(", ",TRUE,$I153:$N153))</f>
        <v/>
      </c>
      <c r="Q153" s="47">
        <f>IF($I153="","",IFERROR(INDEX(코드설정!$D$5:$D$24,MATCH($I153,코드설정!$C$5:$C$24,0)),""))</f>
        <v/>
      </c>
      <c r="R153" s="49" t="n"/>
      <c r="S153" s="50" t="n"/>
      <c r="T153" s="51" t="n"/>
      <c r="U153" s="43">
        <f>IF(OR($B153="",$C153=""),"",$C153-$B153+1)</f>
        <v/>
      </c>
      <c r="V153" s="52" t="n"/>
      <c r="W153" s="53">
        <f>IF(OR($V153="",$O153=""),"",$V153*$O153)</f>
        <v/>
      </c>
      <c r="X153" s="45" t="n"/>
      <c r="Y153" s="49" t="n"/>
    </row>
    <row r="154">
      <c r="A154" s="43">
        <f>IF($B154="","",COUNT($B$5:$B154))</f>
        <v/>
      </c>
      <c r="B154" s="44" t="n"/>
      <c r="C154" s="44" t="n"/>
      <c r="D154" s="45" t="n"/>
      <c r="E154" s="45" t="n"/>
      <c r="F154" s="45" t="n"/>
      <c r="G154" s="46">
        <f>IF($F154="","",IFERROR(INDEX(사건마스터!$B$5:$B$64,MATCH($F154,사건마스터!$A$5:$A$64,0)),""))</f>
        <v/>
      </c>
      <c r="H154" s="47">
        <f>IF($F154="","",IFERROR(INDEX(사건마스터!$C$5:$C$64,MATCH($F154,사건마스터!$A$5:$A$64,0)),""))</f>
        <v/>
      </c>
      <c r="I154" s="48">
        <f>IF($F154="","",IFERROR(INDEX(사건마스터!$H$5:$H$64,MATCH($F154,사건마스터!$A$5:$A$64,0)),""))</f>
        <v/>
      </c>
      <c r="J154" s="48">
        <f>IF($F154="","",IFERROR(INDEX(사건마스터!$AH$5:$AH$64,MATCH($F154,사건마스터!$A$5:$A$64,0)),""))</f>
        <v/>
      </c>
      <c r="K154" s="48">
        <f>IF($F154="","",IFERROR(INDEX(사건마스터!$AI$5:$AI$64,MATCH($F154,사건마스터!$A$5:$A$64,0)),""))</f>
        <v/>
      </c>
      <c r="L154" s="48">
        <f>IF($F154="","",IFERROR(INDEX(사건마스터!$AJ$5:$AJ$64,MATCH($F154,사건마스터!$A$5:$A$64,0)),""))</f>
        <v/>
      </c>
      <c r="M154" s="48">
        <f>IF($F154="","",IFERROR(INDEX(사건마스터!$AK$5:$AK$64,MATCH($F154,사건마스터!$A$5:$A$64,0)),""))</f>
        <v/>
      </c>
      <c r="N154" s="48">
        <f>IF($F154="","",IFERROR(INDEX(사건마스터!$AL$5:$AL$64,MATCH($F154,사건마스터!$A$5:$A$64,0)),""))</f>
        <v/>
      </c>
      <c r="O154" s="43">
        <f>IF($I154="","",COUNTIF($I154:$N154,"?*"))</f>
        <v/>
      </c>
      <c r="P154" s="46">
        <f>IF($I154="","",_xlfn.TEXTJOIN(", ",TRUE,$I154:$N154))</f>
        <v/>
      </c>
      <c r="Q154" s="47">
        <f>IF($I154="","",IFERROR(INDEX(코드설정!$D$5:$D$24,MATCH($I154,코드설정!$C$5:$C$24,0)),""))</f>
        <v/>
      </c>
      <c r="R154" s="49" t="n"/>
      <c r="S154" s="50" t="n"/>
      <c r="T154" s="51" t="n"/>
      <c r="U154" s="43">
        <f>IF(OR($B154="",$C154=""),"",$C154-$B154+1)</f>
        <v/>
      </c>
      <c r="V154" s="52" t="n"/>
      <c r="W154" s="53">
        <f>IF(OR($V154="",$O154=""),"",$V154*$O154)</f>
        <v/>
      </c>
      <c r="X154" s="45" t="n"/>
      <c r="Y154" s="49" t="n"/>
    </row>
    <row r="155">
      <c r="A155" s="43">
        <f>IF($B155="","",COUNT($B$5:$B155))</f>
        <v/>
      </c>
      <c r="B155" s="44" t="n"/>
      <c r="C155" s="44" t="n"/>
      <c r="D155" s="45" t="n"/>
      <c r="E155" s="45" t="n"/>
      <c r="F155" s="45" t="n"/>
      <c r="G155" s="46">
        <f>IF($F155="","",IFERROR(INDEX(사건마스터!$B$5:$B$64,MATCH($F155,사건마스터!$A$5:$A$64,0)),""))</f>
        <v/>
      </c>
      <c r="H155" s="47">
        <f>IF($F155="","",IFERROR(INDEX(사건마스터!$C$5:$C$64,MATCH($F155,사건마스터!$A$5:$A$64,0)),""))</f>
        <v/>
      </c>
      <c r="I155" s="48">
        <f>IF($F155="","",IFERROR(INDEX(사건마스터!$H$5:$H$64,MATCH($F155,사건마스터!$A$5:$A$64,0)),""))</f>
        <v/>
      </c>
      <c r="J155" s="48">
        <f>IF($F155="","",IFERROR(INDEX(사건마스터!$AH$5:$AH$64,MATCH($F155,사건마스터!$A$5:$A$64,0)),""))</f>
        <v/>
      </c>
      <c r="K155" s="48">
        <f>IF($F155="","",IFERROR(INDEX(사건마스터!$AI$5:$AI$64,MATCH($F155,사건마스터!$A$5:$A$64,0)),""))</f>
        <v/>
      </c>
      <c r="L155" s="48">
        <f>IF($F155="","",IFERROR(INDEX(사건마스터!$AJ$5:$AJ$64,MATCH($F155,사건마스터!$A$5:$A$64,0)),""))</f>
        <v/>
      </c>
      <c r="M155" s="48">
        <f>IF($F155="","",IFERROR(INDEX(사건마스터!$AK$5:$AK$64,MATCH($F155,사건마스터!$A$5:$A$64,0)),""))</f>
        <v/>
      </c>
      <c r="N155" s="48">
        <f>IF($F155="","",IFERROR(INDEX(사건마스터!$AL$5:$AL$64,MATCH($F155,사건마스터!$A$5:$A$64,0)),""))</f>
        <v/>
      </c>
      <c r="O155" s="43">
        <f>IF($I155="","",COUNTIF($I155:$N155,"?*"))</f>
        <v/>
      </c>
      <c r="P155" s="46">
        <f>IF($I155="","",_xlfn.TEXTJOIN(", ",TRUE,$I155:$N155))</f>
        <v/>
      </c>
      <c r="Q155" s="47">
        <f>IF($I155="","",IFERROR(INDEX(코드설정!$D$5:$D$24,MATCH($I155,코드설정!$C$5:$C$24,0)),""))</f>
        <v/>
      </c>
      <c r="R155" s="49" t="n"/>
      <c r="S155" s="50" t="n"/>
      <c r="T155" s="51" t="n"/>
      <c r="U155" s="43">
        <f>IF(OR($B155="",$C155=""),"",$C155-$B155+1)</f>
        <v/>
      </c>
      <c r="V155" s="52" t="n"/>
      <c r="W155" s="53">
        <f>IF(OR($V155="",$O155=""),"",$V155*$O155)</f>
        <v/>
      </c>
      <c r="X155" s="45" t="n"/>
      <c r="Y155" s="49" t="n"/>
    </row>
    <row r="156">
      <c r="A156" s="43">
        <f>IF($B156="","",COUNT($B$5:$B156))</f>
        <v/>
      </c>
      <c r="B156" s="44" t="n"/>
      <c r="C156" s="44" t="n"/>
      <c r="D156" s="45" t="n"/>
      <c r="E156" s="45" t="n"/>
      <c r="F156" s="45" t="n"/>
      <c r="G156" s="46">
        <f>IF($F156="","",IFERROR(INDEX(사건마스터!$B$5:$B$64,MATCH($F156,사건마스터!$A$5:$A$64,0)),""))</f>
        <v/>
      </c>
      <c r="H156" s="47">
        <f>IF($F156="","",IFERROR(INDEX(사건마스터!$C$5:$C$64,MATCH($F156,사건마스터!$A$5:$A$64,0)),""))</f>
        <v/>
      </c>
      <c r="I156" s="48">
        <f>IF($F156="","",IFERROR(INDEX(사건마스터!$H$5:$H$64,MATCH($F156,사건마스터!$A$5:$A$64,0)),""))</f>
        <v/>
      </c>
      <c r="J156" s="48">
        <f>IF($F156="","",IFERROR(INDEX(사건마스터!$AH$5:$AH$64,MATCH($F156,사건마스터!$A$5:$A$64,0)),""))</f>
        <v/>
      </c>
      <c r="K156" s="48">
        <f>IF($F156="","",IFERROR(INDEX(사건마스터!$AI$5:$AI$64,MATCH($F156,사건마스터!$A$5:$A$64,0)),""))</f>
        <v/>
      </c>
      <c r="L156" s="48">
        <f>IF($F156="","",IFERROR(INDEX(사건마스터!$AJ$5:$AJ$64,MATCH($F156,사건마스터!$A$5:$A$64,0)),""))</f>
        <v/>
      </c>
      <c r="M156" s="48">
        <f>IF($F156="","",IFERROR(INDEX(사건마스터!$AK$5:$AK$64,MATCH($F156,사건마스터!$A$5:$A$64,0)),""))</f>
        <v/>
      </c>
      <c r="N156" s="48">
        <f>IF($F156="","",IFERROR(INDEX(사건마스터!$AL$5:$AL$64,MATCH($F156,사건마스터!$A$5:$A$64,0)),""))</f>
        <v/>
      </c>
      <c r="O156" s="43">
        <f>IF($I156="","",COUNTIF($I156:$N156,"?*"))</f>
        <v/>
      </c>
      <c r="P156" s="46">
        <f>IF($I156="","",_xlfn.TEXTJOIN(", ",TRUE,$I156:$N156))</f>
        <v/>
      </c>
      <c r="Q156" s="47">
        <f>IF($I156="","",IFERROR(INDEX(코드설정!$D$5:$D$24,MATCH($I156,코드설정!$C$5:$C$24,0)),""))</f>
        <v/>
      </c>
      <c r="R156" s="49" t="n"/>
      <c r="S156" s="50" t="n"/>
      <c r="T156" s="51" t="n"/>
      <c r="U156" s="43">
        <f>IF(OR($B156="",$C156=""),"",$C156-$B156+1)</f>
        <v/>
      </c>
      <c r="V156" s="52" t="n"/>
      <c r="W156" s="53">
        <f>IF(OR($V156="",$O156=""),"",$V156*$O156)</f>
        <v/>
      </c>
      <c r="X156" s="45" t="n"/>
      <c r="Y156" s="49" t="n"/>
    </row>
    <row r="157">
      <c r="A157" s="43">
        <f>IF($B157="","",COUNT($B$5:$B157))</f>
        <v/>
      </c>
      <c r="B157" s="44" t="n"/>
      <c r="C157" s="44" t="n"/>
      <c r="D157" s="45" t="n"/>
      <c r="E157" s="45" t="n"/>
      <c r="F157" s="45" t="n"/>
      <c r="G157" s="46">
        <f>IF($F157="","",IFERROR(INDEX(사건마스터!$B$5:$B$64,MATCH($F157,사건마스터!$A$5:$A$64,0)),""))</f>
        <v/>
      </c>
      <c r="H157" s="47">
        <f>IF($F157="","",IFERROR(INDEX(사건마스터!$C$5:$C$64,MATCH($F157,사건마스터!$A$5:$A$64,0)),""))</f>
        <v/>
      </c>
      <c r="I157" s="48">
        <f>IF($F157="","",IFERROR(INDEX(사건마스터!$H$5:$H$64,MATCH($F157,사건마스터!$A$5:$A$64,0)),""))</f>
        <v/>
      </c>
      <c r="J157" s="48">
        <f>IF($F157="","",IFERROR(INDEX(사건마스터!$AH$5:$AH$64,MATCH($F157,사건마스터!$A$5:$A$64,0)),""))</f>
        <v/>
      </c>
      <c r="K157" s="48">
        <f>IF($F157="","",IFERROR(INDEX(사건마스터!$AI$5:$AI$64,MATCH($F157,사건마스터!$A$5:$A$64,0)),""))</f>
        <v/>
      </c>
      <c r="L157" s="48">
        <f>IF($F157="","",IFERROR(INDEX(사건마스터!$AJ$5:$AJ$64,MATCH($F157,사건마스터!$A$5:$A$64,0)),""))</f>
        <v/>
      </c>
      <c r="M157" s="48">
        <f>IF($F157="","",IFERROR(INDEX(사건마스터!$AK$5:$AK$64,MATCH($F157,사건마스터!$A$5:$A$64,0)),""))</f>
        <v/>
      </c>
      <c r="N157" s="48">
        <f>IF($F157="","",IFERROR(INDEX(사건마스터!$AL$5:$AL$64,MATCH($F157,사건마스터!$A$5:$A$64,0)),""))</f>
        <v/>
      </c>
      <c r="O157" s="43">
        <f>IF($I157="","",COUNTIF($I157:$N157,"?*"))</f>
        <v/>
      </c>
      <c r="P157" s="46">
        <f>IF($I157="","",_xlfn.TEXTJOIN(", ",TRUE,$I157:$N157))</f>
        <v/>
      </c>
      <c r="Q157" s="47">
        <f>IF($I157="","",IFERROR(INDEX(코드설정!$D$5:$D$24,MATCH($I157,코드설정!$C$5:$C$24,0)),""))</f>
        <v/>
      </c>
      <c r="R157" s="49" t="n"/>
      <c r="S157" s="50" t="n"/>
      <c r="T157" s="51" t="n"/>
      <c r="U157" s="43">
        <f>IF(OR($B157="",$C157=""),"",$C157-$B157+1)</f>
        <v/>
      </c>
      <c r="V157" s="52" t="n"/>
      <c r="W157" s="53">
        <f>IF(OR($V157="",$O157=""),"",$V157*$O157)</f>
        <v/>
      </c>
      <c r="X157" s="45" t="n"/>
      <c r="Y157" s="49" t="n"/>
    </row>
    <row r="158">
      <c r="A158" s="43">
        <f>IF($B158="","",COUNT($B$5:$B158))</f>
        <v/>
      </c>
      <c r="B158" s="44" t="n"/>
      <c r="C158" s="44" t="n"/>
      <c r="D158" s="45" t="n"/>
      <c r="E158" s="45" t="n"/>
      <c r="F158" s="45" t="n"/>
      <c r="G158" s="46">
        <f>IF($F158="","",IFERROR(INDEX(사건마스터!$B$5:$B$64,MATCH($F158,사건마스터!$A$5:$A$64,0)),""))</f>
        <v/>
      </c>
      <c r="H158" s="47">
        <f>IF($F158="","",IFERROR(INDEX(사건마스터!$C$5:$C$64,MATCH($F158,사건마스터!$A$5:$A$64,0)),""))</f>
        <v/>
      </c>
      <c r="I158" s="48">
        <f>IF($F158="","",IFERROR(INDEX(사건마스터!$H$5:$H$64,MATCH($F158,사건마스터!$A$5:$A$64,0)),""))</f>
        <v/>
      </c>
      <c r="J158" s="48">
        <f>IF($F158="","",IFERROR(INDEX(사건마스터!$AH$5:$AH$64,MATCH($F158,사건마스터!$A$5:$A$64,0)),""))</f>
        <v/>
      </c>
      <c r="K158" s="48">
        <f>IF($F158="","",IFERROR(INDEX(사건마스터!$AI$5:$AI$64,MATCH($F158,사건마스터!$A$5:$A$64,0)),""))</f>
        <v/>
      </c>
      <c r="L158" s="48">
        <f>IF($F158="","",IFERROR(INDEX(사건마스터!$AJ$5:$AJ$64,MATCH($F158,사건마스터!$A$5:$A$64,0)),""))</f>
        <v/>
      </c>
      <c r="M158" s="48">
        <f>IF($F158="","",IFERROR(INDEX(사건마스터!$AK$5:$AK$64,MATCH($F158,사건마스터!$A$5:$A$64,0)),""))</f>
        <v/>
      </c>
      <c r="N158" s="48">
        <f>IF($F158="","",IFERROR(INDEX(사건마스터!$AL$5:$AL$64,MATCH($F158,사건마스터!$A$5:$A$64,0)),""))</f>
        <v/>
      </c>
      <c r="O158" s="43">
        <f>IF($I158="","",COUNTIF($I158:$N158,"?*"))</f>
        <v/>
      </c>
      <c r="P158" s="46">
        <f>IF($I158="","",_xlfn.TEXTJOIN(", ",TRUE,$I158:$N158))</f>
        <v/>
      </c>
      <c r="Q158" s="47">
        <f>IF($I158="","",IFERROR(INDEX(코드설정!$D$5:$D$24,MATCH($I158,코드설정!$C$5:$C$24,0)),""))</f>
        <v/>
      </c>
      <c r="R158" s="49" t="n"/>
      <c r="S158" s="50" t="n"/>
      <c r="T158" s="51" t="n"/>
      <c r="U158" s="43">
        <f>IF(OR($B158="",$C158=""),"",$C158-$B158+1)</f>
        <v/>
      </c>
      <c r="V158" s="52" t="n"/>
      <c r="W158" s="53">
        <f>IF(OR($V158="",$O158=""),"",$V158*$O158)</f>
        <v/>
      </c>
      <c r="X158" s="45" t="n"/>
      <c r="Y158" s="49" t="n"/>
    </row>
    <row r="159">
      <c r="A159" s="43">
        <f>IF($B159="","",COUNT($B$5:$B159))</f>
        <v/>
      </c>
      <c r="B159" s="44" t="n"/>
      <c r="C159" s="44" t="n"/>
      <c r="D159" s="45" t="n"/>
      <c r="E159" s="45" t="n"/>
      <c r="F159" s="45" t="n"/>
      <c r="G159" s="46">
        <f>IF($F159="","",IFERROR(INDEX(사건마스터!$B$5:$B$64,MATCH($F159,사건마스터!$A$5:$A$64,0)),""))</f>
        <v/>
      </c>
      <c r="H159" s="47">
        <f>IF($F159="","",IFERROR(INDEX(사건마스터!$C$5:$C$64,MATCH($F159,사건마스터!$A$5:$A$64,0)),""))</f>
        <v/>
      </c>
      <c r="I159" s="48">
        <f>IF($F159="","",IFERROR(INDEX(사건마스터!$H$5:$H$64,MATCH($F159,사건마스터!$A$5:$A$64,0)),""))</f>
        <v/>
      </c>
      <c r="J159" s="48">
        <f>IF($F159="","",IFERROR(INDEX(사건마스터!$AH$5:$AH$64,MATCH($F159,사건마스터!$A$5:$A$64,0)),""))</f>
        <v/>
      </c>
      <c r="K159" s="48">
        <f>IF($F159="","",IFERROR(INDEX(사건마스터!$AI$5:$AI$64,MATCH($F159,사건마스터!$A$5:$A$64,0)),""))</f>
        <v/>
      </c>
      <c r="L159" s="48">
        <f>IF($F159="","",IFERROR(INDEX(사건마스터!$AJ$5:$AJ$64,MATCH($F159,사건마스터!$A$5:$A$64,0)),""))</f>
        <v/>
      </c>
      <c r="M159" s="48">
        <f>IF($F159="","",IFERROR(INDEX(사건마스터!$AK$5:$AK$64,MATCH($F159,사건마스터!$A$5:$A$64,0)),""))</f>
        <v/>
      </c>
      <c r="N159" s="48">
        <f>IF($F159="","",IFERROR(INDEX(사건마스터!$AL$5:$AL$64,MATCH($F159,사건마스터!$A$5:$A$64,0)),""))</f>
        <v/>
      </c>
      <c r="O159" s="43">
        <f>IF($I159="","",COUNTIF($I159:$N159,"?*"))</f>
        <v/>
      </c>
      <c r="P159" s="46">
        <f>IF($I159="","",_xlfn.TEXTJOIN(", ",TRUE,$I159:$N159))</f>
        <v/>
      </c>
      <c r="Q159" s="47">
        <f>IF($I159="","",IFERROR(INDEX(코드설정!$D$5:$D$24,MATCH($I159,코드설정!$C$5:$C$24,0)),""))</f>
        <v/>
      </c>
      <c r="R159" s="49" t="n"/>
      <c r="S159" s="50" t="n"/>
      <c r="T159" s="51" t="n"/>
      <c r="U159" s="43">
        <f>IF(OR($B159="",$C159=""),"",$C159-$B159+1)</f>
        <v/>
      </c>
      <c r="V159" s="52" t="n"/>
      <c r="W159" s="53">
        <f>IF(OR($V159="",$O159=""),"",$V159*$O159)</f>
        <v/>
      </c>
      <c r="X159" s="45" t="n"/>
      <c r="Y159" s="49" t="n"/>
    </row>
    <row r="160">
      <c r="A160" s="43">
        <f>IF($B160="","",COUNT($B$5:$B160))</f>
        <v/>
      </c>
      <c r="B160" s="44" t="n"/>
      <c r="C160" s="44" t="n"/>
      <c r="D160" s="45" t="n"/>
      <c r="E160" s="45" t="n"/>
      <c r="F160" s="45" t="n"/>
      <c r="G160" s="46">
        <f>IF($F160="","",IFERROR(INDEX(사건마스터!$B$5:$B$64,MATCH($F160,사건마스터!$A$5:$A$64,0)),""))</f>
        <v/>
      </c>
      <c r="H160" s="47">
        <f>IF($F160="","",IFERROR(INDEX(사건마스터!$C$5:$C$64,MATCH($F160,사건마스터!$A$5:$A$64,0)),""))</f>
        <v/>
      </c>
      <c r="I160" s="48">
        <f>IF($F160="","",IFERROR(INDEX(사건마스터!$H$5:$H$64,MATCH($F160,사건마스터!$A$5:$A$64,0)),""))</f>
        <v/>
      </c>
      <c r="J160" s="48">
        <f>IF($F160="","",IFERROR(INDEX(사건마스터!$AH$5:$AH$64,MATCH($F160,사건마스터!$A$5:$A$64,0)),""))</f>
        <v/>
      </c>
      <c r="K160" s="48">
        <f>IF($F160="","",IFERROR(INDEX(사건마스터!$AI$5:$AI$64,MATCH($F160,사건마스터!$A$5:$A$64,0)),""))</f>
        <v/>
      </c>
      <c r="L160" s="48">
        <f>IF($F160="","",IFERROR(INDEX(사건마스터!$AJ$5:$AJ$64,MATCH($F160,사건마스터!$A$5:$A$64,0)),""))</f>
        <v/>
      </c>
      <c r="M160" s="48">
        <f>IF($F160="","",IFERROR(INDEX(사건마스터!$AK$5:$AK$64,MATCH($F160,사건마스터!$A$5:$A$64,0)),""))</f>
        <v/>
      </c>
      <c r="N160" s="48">
        <f>IF($F160="","",IFERROR(INDEX(사건마스터!$AL$5:$AL$64,MATCH($F160,사건마스터!$A$5:$A$64,0)),""))</f>
        <v/>
      </c>
      <c r="O160" s="43">
        <f>IF($I160="","",COUNTIF($I160:$N160,"?*"))</f>
        <v/>
      </c>
      <c r="P160" s="46">
        <f>IF($I160="","",_xlfn.TEXTJOIN(", ",TRUE,$I160:$N160))</f>
        <v/>
      </c>
      <c r="Q160" s="47">
        <f>IF($I160="","",IFERROR(INDEX(코드설정!$D$5:$D$24,MATCH($I160,코드설정!$C$5:$C$24,0)),""))</f>
        <v/>
      </c>
      <c r="R160" s="49" t="n"/>
      <c r="S160" s="50" t="n"/>
      <c r="T160" s="51" t="n"/>
      <c r="U160" s="43">
        <f>IF(OR($B160="",$C160=""),"",$C160-$B160+1)</f>
        <v/>
      </c>
      <c r="V160" s="52" t="n"/>
      <c r="W160" s="53">
        <f>IF(OR($V160="",$O160=""),"",$V160*$O160)</f>
        <v/>
      </c>
      <c r="X160" s="45" t="n"/>
      <c r="Y160" s="49" t="n"/>
    </row>
    <row r="161">
      <c r="A161" s="43">
        <f>IF($B161="","",COUNT($B$5:$B161))</f>
        <v/>
      </c>
      <c r="B161" s="44" t="n"/>
      <c r="C161" s="44" t="n"/>
      <c r="D161" s="45" t="n"/>
      <c r="E161" s="45" t="n"/>
      <c r="F161" s="45" t="n"/>
      <c r="G161" s="46">
        <f>IF($F161="","",IFERROR(INDEX(사건마스터!$B$5:$B$64,MATCH($F161,사건마스터!$A$5:$A$64,0)),""))</f>
        <v/>
      </c>
      <c r="H161" s="47">
        <f>IF($F161="","",IFERROR(INDEX(사건마스터!$C$5:$C$64,MATCH($F161,사건마스터!$A$5:$A$64,0)),""))</f>
        <v/>
      </c>
      <c r="I161" s="48">
        <f>IF($F161="","",IFERROR(INDEX(사건마스터!$H$5:$H$64,MATCH($F161,사건마스터!$A$5:$A$64,0)),""))</f>
        <v/>
      </c>
      <c r="J161" s="48">
        <f>IF($F161="","",IFERROR(INDEX(사건마스터!$AH$5:$AH$64,MATCH($F161,사건마스터!$A$5:$A$64,0)),""))</f>
        <v/>
      </c>
      <c r="K161" s="48">
        <f>IF($F161="","",IFERROR(INDEX(사건마스터!$AI$5:$AI$64,MATCH($F161,사건마스터!$A$5:$A$64,0)),""))</f>
        <v/>
      </c>
      <c r="L161" s="48">
        <f>IF($F161="","",IFERROR(INDEX(사건마스터!$AJ$5:$AJ$64,MATCH($F161,사건마스터!$A$5:$A$64,0)),""))</f>
        <v/>
      </c>
      <c r="M161" s="48">
        <f>IF($F161="","",IFERROR(INDEX(사건마스터!$AK$5:$AK$64,MATCH($F161,사건마스터!$A$5:$A$64,0)),""))</f>
        <v/>
      </c>
      <c r="N161" s="48">
        <f>IF($F161="","",IFERROR(INDEX(사건마스터!$AL$5:$AL$64,MATCH($F161,사건마스터!$A$5:$A$64,0)),""))</f>
        <v/>
      </c>
      <c r="O161" s="43">
        <f>IF($I161="","",COUNTIF($I161:$N161,"?*"))</f>
        <v/>
      </c>
      <c r="P161" s="46">
        <f>IF($I161="","",_xlfn.TEXTJOIN(", ",TRUE,$I161:$N161))</f>
        <v/>
      </c>
      <c r="Q161" s="47">
        <f>IF($I161="","",IFERROR(INDEX(코드설정!$D$5:$D$24,MATCH($I161,코드설정!$C$5:$C$24,0)),""))</f>
        <v/>
      </c>
      <c r="R161" s="49" t="n"/>
      <c r="S161" s="50" t="n"/>
      <c r="T161" s="51" t="n"/>
      <c r="U161" s="43">
        <f>IF(OR($B161="",$C161=""),"",$C161-$B161+1)</f>
        <v/>
      </c>
      <c r="V161" s="52" t="n"/>
      <c r="W161" s="53">
        <f>IF(OR($V161="",$O161=""),"",$V161*$O161)</f>
        <v/>
      </c>
      <c r="X161" s="45" t="n"/>
      <c r="Y161" s="49" t="n"/>
    </row>
    <row r="162">
      <c r="A162" s="43">
        <f>IF($B162="","",COUNT($B$5:$B162))</f>
        <v/>
      </c>
      <c r="B162" s="44" t="n"/>
      <c r="C162" s="44" t="n"/>
      <c r="D162" s="45" t="n"/>
      <c r="E162" s="45" t="n"/>
      <c r="F162" s="45" t="n"/>
      <c r="G162" s="46">
        <f>IF($F162="","",IFERROR(INDEX(사건마스터!$B$5:$B$64,MATCH($F162,사건마스터!$A$5:$A$64,0)),""))</f>
        <v/>
      </c>
      <c r="H162" s="47">
        <f>IF($F162="","",IFERROR(INDEX(사건마스터!$C$5:$C$64,MATCH($F162,사건마스터!$A$5:$A$64,0)),""))</f>
        <v/>
      </c>
      <c r="I162" s="48">
        <f>IF($F162="","",IFERROR(INDEX(사건마스터!$H$5:$H$64,MATCH($F162,사건마스터!$A$5:$A$64,0)),""))</f>
        <v/>
      </c>
      <c r="J162" s="48">
        <f>IF($F162="","",IFERROR(INDEX(사건마스터!$AH$5:$AH$64,MATCH($F162,사건마스터!$A$5:$A$64,0)),""))</f>
        <v/>
      </c>
      <c r="K162" s="48">
        <f>IF($F162="","",IFERROR(INDEX(사건마스터!$AI$5:$AI$64,MATCH($F162,사건마스터!$A$5:$A$64,0)),""))</f>
        <v/>
      </c>
      <c r="L162" s="48">
        <f>IF($F162="","",IFERROR(INDEX(사건마스터!$AJ$5:$AJ$64,MATCH($F162,사건마스터!$A$5:$A$64,0)),""))</f>
        <v/>
      </c>
      <c r="M162" s="48">
        <f>IF($F162="","",IFERROR(INDEX(사건마스터!$AK$5:$AK$64,MATCH($F162,사건마스터!$A$5:$A$64,0)),""))</f>
        <v/>
      </c>
      <c r="N162" s="48">
        <f>IF($F162="","",IFERROR(INDEX(사건마스터!$AL$5:$AL$64,MATCH($F162,사건마스터!$A$5:$A$64,0)),""))</f>
        <v/>
      </c>
      <c r="O162" s="43">
        <f>IF($I162="","",COUNTIF($I162:$N162,"?*"))</f>
        <v/>
      </c>
      <c r="P162" s="46">
        <f>IF($I162="","",_xlfn.TEXTJOIN(", ",TRUE,$I162:$N162))</f>
        <v/>
      </c>
      <c r="Q162" s="47">
        <f>IF($I162="","",IFERROR(INDEX(코드설정!$D$5:$D$24,MATCH($I162,코드설정!$C$5:$C$24,0)),""))</f>
        <v/>
      </c>
      <c r="R162" s="49" t="n"/>
      <c r="S162" s="50" t="n"/>
      <c r="T162" s="51" t="n"/>
      <c r="U162" s="43">
        <f>IF(OR($B162="",$C162=""),"",$C162-$B162+1)</f>
        <v/>
      </c>
      <c r="V162" s="52" t="n"/>
      <c r="W162" s="53">
        <f>IF(OR($V162="",$O162=""),"",$V162*$O162)</f>
        <v/>
      </c>
      <c r="X162" s="45" t="n"/>
      <c r="Y162" s="49" t="n"/>
    </row>
    <row r="163">
      <c r="A163" s="43">
        <f>IF($B163="","",COUNT($B$5:$B163))</f>
        <v/>
      </c>
      <c r="B163" s="44" t="n"/>
      <c r="C163" s="44" t="n"/>
      <c r="D163" s="45" t="n"/>
      <c r="E163" s="45" t="n"/>
      <c r="F163" s="45" t="n"/>
      <c r="G163" s="46">
        <f>IF($F163="","",IFERROR(INDEX(사건마스터!$B$5:$B$64,MATCH($F163,사건마스터!$A$5:$A$64,0)),""))</f>
        <v/>
      </c>
      <c r="H163" s="47">
        <f>IF($F163="","",IFERROR(INDEX(사건마스터!$C$5:$C$64,MATCH($F163,사건마스터!$A$5:$A$64,0)),""))</f>
        <v/>
      </c>
      <c r="I163" s="48">
        <f>IF($F163="","",IFERROR(INDEX(사건마스터!$H$5:$H$64,MATCH($F163,사건마스터!$A$5:$A$64,0)),""))</f>
        <v/>
      </c>
      <c r="J163" s="48">
        <f>IF($F163="","",IFERROR(INDEX(사건마스터!$AH$5:$AH$64,MATCH($F163,사건마스터!$A$5:$A$64,0)),""))</f>
        <v/>
      </c>
      <c r="K163" s="48">
        <f>IF($F163="","",IFERROR(INDEX(사건마스터!$AI$5:$AI$64,MATCH($F163,사건마스터!$A$5:$A$64,0)),""))</f>
        <v/>
      </c>
      <c r="L163" s="48">
        <f>IF($F163="","",IFERROR(INDEX(사건마스터!$AJ$5:$AJ$64,MATCH($F163,사건마스터!$A$5:$A$64,0)),""))</f>
        <v/>
      </c>
      <c r="M163" s="48">
        <f>IF($F163="","",IFERROR(INDEX(사건마스터!$AK$5:$AK$64,MATCH($F163,사건마스터!$A$5:$A$64,0)),""))</f>
        <v/>
      </c>
      <c r="N163" s="48">
        <f>IF($F163="","",IFERROR(INDEX(사건마스터!$AL$5:$AL$64,MATCH($F163,사건마스터!$A$5:$A$64,0)),""))</f>
        <v/>
      </c>
      <c r="O163" s="43">
        <f>IF($I163="","",COUNTIF($I163:$N163,"?*"))</f>
        <v/>
      </c>
      <c r="P163" s="46">
        <f>IF($I163="","",_xlfn.TEXTJOIN(", ",TRUE,$I163:$N163))</f>
        <v/>
      </c>
      <c r="Q163" s="47">
        <f>IF($I163="","",IFERROR(INDEX(코드설정!$D$5:$D$24,MATCH($I163,코드설정!$C$5:$C$24,0)),""))</f>
        <v/>
      </c>
      <c r="R163" s="49" t="n"/>
      <c r="S163" s="50" t="n"/>
      <c r="T163" s="51" t="n"/>
      <c r="U163" s="43">
        <f>IF(OR($B163="",$C163=""),"",$C163-$B163+1)</f>
        <v/>
      </c>
      <c r="V163" s="52" t="n"/>
      <c r="W163" s="53">
        <f>IF(OR($V163="",$O163=""),"",$V163*$O163)</f>
        <v/>
      </c>
      <c r="X163" s="45" t="n"/>
      <c r="Y163" s="49" t="n"/>
    </row>
    <row r="164">
      <c r="A164" s="43">
        <f>IF($B164="","",COUNT($B$5:$B164))</f>
        <v/>
      </c>
      <c r="B164" s="44" t="n"/>
      <c r="C164" s="44" t="n"/>
      <c r="D164" s="45" t="n"/>
      <c r="E164" s="45" t="n"/>
      <c r="F164" s="45" t="n"/>
      <c r="G164" s="46">
        <f>IF($F164="","",IFERROR(INDEX(사건마스터!$B$5:$B$64,MATCH($F164,사건마스터!$A$5:$A$64,0)),""))</f>
        <v/>
      </c>
      <c r="H164" s="47">
        <f>IF($F164="","",IFERROR(INDEX(사건마스터!$C$5:$C$64,MATCH($F164,사건마스터!$A$5:$A$64,0)),""))</f>
        <v/>
      </c>
      <c r="I164" s="48">
        <f>IF($F164="","",IFERROR(INDEX(사건마스터!$H$5:$H$64,MATCH($F164,사건마스터!$A$5:$A$64,0)),""))</f>
        <v/>
      </c>
      <c r="J164" s="48">
        <f>IF($F164="","",IFERROR(INDEX(사건마스터!$AH$5:$AH$64,MATCH($F164,사건마스터!$A$5:$A$64,0)),""))</f>
        <v/>
      </c>
      <c r="K164" s="48">
        <f>IF($F164="","",IFERROR(INDEX(사건마스터!$AI$5:$AI$64,MATCH($F164,사건마스터!$A$5:$A$64,0)),""))</f>
        <v/>
      </c>
      <c r="L164" s="48">
        <f>IF($F164="","",IFERROR(INDEX(사건마스터!$AJ$5:$AJ$64,MATCH($F164,사건마스터!$A$5:$A$64,0)),""))</f>
        <v/>
      </c>
      <c r="M164" s="48">
        <f>IF($F164="","",IFERROR(INDEX(사건마스터!$AK$5:$AK$64,MATCH($F164,사건마스터!$A$5:$A$64,0)),""))</f>
        <v/>
      </c>
      <c r="N164" s="48">
        <f>IF($F164="","",IFERROR(INDEX(사건마스터!$AL$5:$AL$64,MATCH($F164,사건마스터!$A$5:$A$64,0)),""))</f>
        <v/>
      </c>
      <c r="O164" s="43">
        <f>IF($I164="","",COUNTIF($I164:$N164,"?*"))</f>
        <v/>
      </c>
      <c r="P164" s="46">
        <f>IF($I164="","",_xlfn.TEXTJOIN(", ",TRUE,$I164:$N164))</f>
        <v/>
      </c>
      <c r="Q164" s="47">
        <f>IF($I164="","",IFERROR(INDEX(코드설정!$D$5:$D$24,MATCH($I164,코드설정!$C$5:$C$24,0)),""))</f>
        <v/>
      </c>
      <c r="R164" s="49" t="n"/>
      <c r="S164" s="50" t="n"/>
      <c r="T164" s="51" t="n"/>
      <c r="U164" s="43">
        <f>IF(OR($B164="",$C164=""),"",$C164-$B164+1)</f>
        <v/>
      </c>
      <c r="V164" s="52" t="n"/>
      <c r="W164" s="53">
        <f>IF(OR($V164="",$O164=""),"",$V164*$O164)</f>
        <v/>
      </c>
      <c r="X164" s="45" t="n"/>
      <c r="Y164" s="49" t="n"/>
    </row>
    <row r="165">
      <c r="A165" s="43">
        <f>IF($B165="","",COUNT($B$5:$B165))</f>
        <v/>
      </c>
      <c r="B165" s="44" t="n"/>
      <c r="C165" s="44" t="n"/>
      <c r="D165" s="45" t="n"/>
      <c r="E165" s="45" t="n"/>
      <c r="F165" s="45" t="n"/>
      <c r="G165" s="46">
        <f>IF($F165="","",IFERROR(INDEX(사건마스터!$B$5:$B$64,MATCH($F165,사건마스터!$A$5:$A$64,0)),""))</f>
        <v/>
      </c>
      <c r="H165" s="47">
        <f>IF($F165="","",IFERROR(INDEX(사건마스터!$C$5:$C$64,MATCH($F165,사건마스터!$A$5:$A$64,0)),""))</f>
        <v/>
      </c>
      <c r="I165" s="48">
        <f>IF($F165="","",IFERROR(INDEX(사건마스터!$H$5:$H$64,MATCH($F165,사건마스터!$A$5:$A$64,0)),""))</f>
        <v/>
      </c>
      <c r="J165" s="48">
        <f>IF($F165="","",IFERROR(INDEX(사건마스터!$AH$5:$AH$64,MATCH($F165,사건마스터!$A$5:$A$64,0)),""))</f>
        <v/>
      </c>
      <c r="K165" s="48">
        <f>IF($F165="","",IFERROR(INDEX(사건마스터!$AI$5:$AI$64,MATCH($F165,사건마스터!$A$5:$A$64,0)),""))</f>
        <v/>
      </c>
      <c r="L165" s="48">
        <f>IF($F165="","",IFERROR(INDEX(사건마스터!$AJ$5:$AJ$64,MATCH($F165,사건마스터!$A$5:$A$64,0)),""))</f>
        <v/>
      </c>
      <c r="M165" s="48">
        <f>IF($F165="","",IFERROR(INDEX(사건마스터!$AK$5:$AK$64,MATCH($F165,사건마스터!$A$5:$A$64,0)),""))</f>
        <v/>
      </c>
      <c r="N165" s="48">
        <f>IF($F165="","",IFERROR(INDEX(사건마스터!$AL$5:$AL$64,MATCH($F165,사건마스터!$A$5:$A$64,0)),""))</f>
        <v/>
      </c>
      <c r="O165" s="43">
        <f>IF($I165="","",COUNTIF($I165:$N165,"?*"))</f>
        <v/>
      </c>
      <c r="P165" s="46">
        <f>IF($I165="","",_xlfn.TEXTJOIN(", ",TRUE,$I165:$N165))</f>
        <v/>
      </c>
      <c r="Q165" s="47">
        <f>IF($I165="","",IFERROR(INDEX(코드설정!$D$5:$D$24,MATCH($I165,코드설정!$C$5:$C$24,0)),""))</f>
        <v/>
      </c>
      <c r="R165" s="49" t="n"/>
      <c r="S165" s="50" t="n"/>
      <c r="T165" s="51" t="n"/>
      <c r="U165" s="43">
        <f>IF(OR($B165="",$C165=""),"",$C165-$B165+1)</f>
        <v/>
      </c>
      <c r="V165" s="52" t="n"/>
      <c r="W165" s="53">
        <f>IF(OR($V165="",$O165=""),"",$V165*$O165)</f>
        <v/>
      </c>
      <c r="X165" s="45" t="n"/>
      <c r="Y165" s="49" t="n"/>
    </row>
    <row r="166">
      <c r="A166" s="43">
        <f>IF($B166="","",COUNT($B$5:$B166))</f>
        <v/>
      </c>
      <c r="B166" s="44" t="n"/>
      <c r="C166" s="44" t="n"/>
      <c r="D166" s="45" t="n"/>
      <c r="E166" s="45" t="n"/>
      <c r="F166" s="45" t="n"/>
      <c r="G166" s="46">
        <f>IF($F166="","",IFERROR(INDEX(사건마스터!$B$5:$B$64,MATCH($F166,사건마스터!$A$5:$A$64,0)),""))</f>
        <v/>
      </c>
      <c r="H166" s="47">
        <f>IF($F166="","",IFERROR(INDEX(사건마스터!$C$5:$C$64,MATCH($F166,사건마스터!$A$5:$A$64,0)),""))</f>
        <v/>
      </c>
      <c r="I166" s="48">
        <f>IF($F166="","",IFERROR(INDEX(사건마스터!$H$5:$H$64,MATCH($F166,사건마스터!$A$5:$A$64,0)),""))</f>
        <v/>
      </c>
      <c r="J166" s="48">
        <f>IF($F166="","",IFERROR(INDEX(사건마스터!$AH$5:$AH$64,MATCH($F166,사건마스터!$A$5:$A$64,0)),""))</f>
        <v/>
      </c>
      <c r="K166" s="48">
        <f>IF($F166="","",IFERROR(INDEX(사건마스터!$AI$5:$AI$64,MATCH($F166,사건마스터!$A$5:$A$64,0)),""))</f>
        <v/>
      </c>
      <c r="L166" s="48">
        <f>IF($F166="","",IFERROR(INDEX(사건마스터!$AJ$5:$AJ$64,MATCH($F166,사건마스터!$A$5:$A$64,0)),""))</f>
        <v/>
      </c>
      <c r="M166" s="48">
        <f>IF($F166="","",IFERROR(INDEX(사건마스터!$AK$5:$AK$64,MATCH($F166,사건마스터!$A$5:$A$64,0)),""))</f>
        <v/>
      </c>
      <c r="N166" s="48">
        <f>IF($F166="","",IFERROR(INDEX(사건마스터!$AL$5:$AL$64,MATCH($F166,사건마스터!$A$5:$A$64,0)),""))</f>
        <v/>
      </c>
      <c r="O166" s="43">
        <f>IF($I166="","",COUNTIF($I166:$N166,"?*"))</f>
        <v/>
      </c>
      <c r="P166" s="46">
        <f>IF($I166="","",_xlfn.TEXTJOIN(", ",TRUE,$I166:$N166))</f>
        <v/>
      </c>
      <c r="Q166" s="47">
        <f>IF($I166="","",IFERROR(INDEX(코드설정!$D$5:$D$24,MATCH($I166,코드설정!$C$5:$C$24,0)),""))</f>
        <v/>
      </c>
      <c r="R166" s="49" t="n"/>
      <c r="S166" s="50" t="n"/>
      <c r="T166" s="51" t="n"/>
      <c r="U166" s="43">
        <f>IF(OR($B166="",$C166=""),"",$C166-$B166+1)</f>
        <v/>
      </c>
      <c r="V166" s="52" t="n"/>
      <c r="W166" s="53">
        <f>IF(OR($V166="",$O166=""),"",$V166*$O166)</f>
        <v/>
      </c>
      <c r="X166" s="45" t="n"/>
      <c r="Y166" s="49" t="n"/>
    </row>
    <row r="167">
      <c r="A167" s="43">
        <f>IF($B167="","",COUNT($B$5:$B167))</f>
        <v/>
      </c>
      <c r="B167" s="44" t="n"/>
      <c r="C167" s="44" t="n"/>
      <c r="D167" s="45" t="n"/>
      <c r="E167" s="45" t="n"/>
      <c r="F167" s="45" t="n"/>
      <c r="G167" s="46">
        <f>IF($F167="","",IFERROR(INDEX(사건마스터!$B$5:$B$64,MATCH($F167,사건마스터!$A$5:$A$64,0)),""))</f>
        <v/>
      </c>
      <c r="H167" s="47">
        <f>IF($F167="","",IFERROR(INDEX(사건마스터!$C$5:$C$64,MATCH($F167,사건마스터!$A$5:$A$64,0)),""))</f>
        <v/>
      </c>
      <c r="I167" s="48">
        <f>IF($F167="","",IFERROR(INDEX(사건마스터!$H$5:$H$64,MATCH($F167,사건마스터!$A$5:$A$64,0)),""))</f>
        <v/>
      </c>
      <c r="J167" s="48">
        <f>IF($F167="","",IFERROR(INDEX(사건마스터!$AH$5:$AH$64,MATCH($F167,사건마스터!$A$5:$A$64,0)),""))</f>
        <v/>
      </c>
      <c r="K167" s="48">
        <f>IF($F167="","",IFERROR(INDEX(사건마스터!$AI$5:$AI$64,MATCH($F167,사건마스터!$A$5:$A$64,0)),""))</f>
        <v/>
      </c>
      <c r="L167" s="48">
        <f>IF($F167="","",IFERROR(INDEX(사건마스터!$AJ$5:$AJ$64,MATCH($F167,사건마스터!$A$5:$A$64,0)),""))</f>
        <v/>
      </c>
      <c r="M167" s="48">
        <f>IF($F167="","",IFERROR(INDEX(사건마스터!$AK$5:$AK$64,MATCH($F167,사건마스터!$A$5:$A$64,0)),""))</f>
        <v/>
      </c>
      <c r="N167" s="48">
        <f>IF($F167="","",IFERROR(INDEX(사건마스터!$AL$5:$AL$64,MATCH($F167,사건마스터!$A$5:$A$64,0)),""))</f>
        <v/>
      </c>
      <c r="O167" s="43">
        <f>IF($I167="","",COUNTIF($I167:$N167,"?*"))</f>
        <v/>
      </c>
      <c r="P167" s="46">
        <f>IF($I167="","",_xlfn.TEXTJOIN(", ",TRUE,$I167:$N167))</f>
        <v/>
      </c>
      <c r="Q167" s="47">
        <f>IF($I167="","",IFERROR(INDEX(코드설정!$D$5:$D$24,MATCH($I167,코드설정!$C$5:$C$24,0)),""))</f>
        <v/>
      </c>
      <c r="R167" s="49" t="n"/>
      <c r="S167" s="50" t="n"/>
      <c r="T167" s="51" t="n"/>
      <c r="U167" s="43">
        <f>IF(OR($B167="",$C167=""),"",$C167-$B167+1)</f>
        <v/>
      </c>
      <c r="V167" s="52" t="n"/>
      <c r="W167" s="53">
        <f>IF(OR($V167="",$O167=""),"",$V167*$O167)</f>
        <v/>
      </c>
      <c r="X167" s="45" t="n"/>
      <c r="Y167" s="49" t="n"/>
    </row>
    <row r="168">
      <c r="A168" s="43">
        <f>IF($B168="","",COUNT($B$5:$B168))</f>
        <v/>
      </c>
      <c r="B168" s="44" t="n"/>
      <c r="C168" s="44" t="n"/>
      <c r="D168" s="45" t="n"/>
      <c r="E168" s="45" t="n"/>
      <c r="F168" s="45" t="n"/>
      <c r="G168" s="46">
        <f>IF($F168="","",IFERROR(INDEX(사건마스터!$B$5:$B$64,MATCH($F168,사건마스터!$A$5:$A$64,0)),""))</f>
        <v/>
      </c>
      <c r="H168" s="47">
        <f>IF($F168="","",IFERROR(INDEX(사건마스터!$C$5:$C$64,MATCH($F168,사건마스터!$A$5:$A$64,0)),""))</f>
        <v/>
      </c>
      <c r="I168" s="48">
        <f>IF($F168="","",IFERROR(INDEX(사건마스터!$H$5:$H$64,MATCH($F168,사건마스터!$A$5:$A$64,0)),""))</f>
        <v/>
      </c>
      <c r="J168" s="48">
        <f>IF($F168="","",IFERROR(INDEX(사건마스터!$AH$5:$AH$64,MATCH($F168,사건마스터!$A$5:$A$64,0)),""))</f>
        <v/>
      </c>
      <c r="K168" s="48">
        <f>IF($F168="","",IFERROR(INDEX(사건마스터!$AI$5:$AI$64,MATCH($F168,사건마스터!$A$5:$A$64,0)),""))</f>
        <v/>
      </c>
      <c r="L168" s="48">
        <f>IF($F168="","",IFERROR(INDEX(사건마스터!$AJ$5:$AJ$64,MATCH($F168,사건마스터!$A$5:$A$64,0)),""))</f>
        <v/>
      </c>
      <c r="M168" s="48">
        <f>IF($F168="","",IFERROR(INDEX(사건마스터!$AK$5:$AK$64,MATCH($F168,사건마스터!$A$5:$A$64,0)),""))</f>
        <v/>
      </c>
      <c r="N168" s="48">
        <f>IF($F168="","",IFERROR(INDEX(사건마스터!$AL$5:$AL$64,MATCH($F168,사건마스터!$A$5:$A$64,0)),""))</f>
        <v/>
      </c>
      <c r="O168" s="43">
        <f>IF($I168="","",COUNTIF($I168:$N168,"?*"))</f>
        <v/>
      </c>
      <c r="P168" s="46">
        <f>IF($I168="","",_xlfn.TEXTJOIN(", ",TRUE,$I168:$N168))</f>
        <v/>
      </c>
      <c r="Q168" s="47">
        <f>IF($I168="","",IFERROR(INDEX(코드설정!$D$5:$D$24,MATCH($I168,코드설정!$C$5:$C$24,0)),""))</f>
        <v/>
      </c>
      <c r="R168" s="49" t="n"/>
      <c r="S168" s="50" t="n"/>
      <c r="T168" s="51" t="n"/>
      <c r="U168" s="43">
        <f>IF(OR($B168="",$C168=""),"",$C168-$B168+1)</f>
        <v/>
      </c>
      <c r="V168" s="52" t="n"/>
      <c r="W168" s="53">
        <f>IF(OR($V168="",$O168=""),"",$V168*$O168)</f>
        <v/>
      </c>
      <c r="X168" s="45" t="n"/>
      <c r="Y168" s="49" t="n"/>
    </row>
    <row r="169">
      <c r="A169" s="43">
        <f>IF($B169="","",COUNT($B$5:$B169))</f>
        <v/>
      </c>
      <c r="B169" s="44" t="n"/>
      <c r="C169" s="44" t="n"/>
      <c r="D169" s="45" t="n"/>
      <c r="E169" s="45" t="n"/>
      <c r="F169" s="45" t="n"/>
      <c r="G169" s="46">
        <f>IF($F169="","",IFERROR(INDEX(사건마스터!$B$5:$B$64,MATCH($F169,사건마스터!$A$5:$A$64,0)),""))</f>
        <v/>
      </c>
      <c r="H169" s="47">
        <f>IF($F169="","",IFERROR(INDEX(사건마스터!$C$5:$C$64,MATCH($F169,사건마스터!$A$5:$A$64,0)),""))</f>
        <v/>
      </c>
      <c r="I169" s="48">
        <f>IF($F169="","",IFERROR(INDEX(사건마스터!$H$5:$H$64,MATCH($F169,사건마스터!$A$5:$A$64,0)),""))</f>
        <v/>
      </c>
      <c r="J169" s="48">
        <f>IF($F169="","",IFERROR(INDEX(사건마스터!$AH$5:$AH$64,MATCH($F169,사건마스터!$A$5:$A$64,0)),""))</f>
        <v/>
      </c>
      <c r="K169" s="48">
        <f>IF($F169="","",IFERROR(INDEX(사건마스터!$AI$5:$AI$64,MATCH($F169,사건마스터!$A$5:$A$64,0)),""))</f>
        <v/>
      </c>
      <c r="L169" s="48">
        <f>IF($F169="","",IFERROR(INDEX(사건마스터!$AJ$5:$AJ$64,MATCH($F169,사건마스터!$A$5:$A$64,0)),""))</f>
        <v/>
      </c>
      <c r="M169" s="48">
        <f>IF($F169="","",IFERROR(INDEX(사건마스터!$AK$5:$AK$64,MATCH($F169,사건마스터!$A$5:$A$64,0)),""))</f>
        <v/>
      </c>
      <c r="N169" s="48">
        <f>IF($F169="","",IFERROR(INDEX(사건마스터!$AL$5:$AL$64,MATCH($F169,사건마스터!$A$5:$A$64,0)),""))</f>
        <v/>
      </c>
      <c r="O169" s="43">
        <f>IF($I169="","",COUNTIF($I169:$N169,"?*"))</f>
        <v/>
      </c>
      <c r="P169" s="46">
        <f>IF($I169="","",_xlfn.TEXTJOIN(", ",TRUE,$I169:$N169))</f>
        <v/>
      </c>
      <c r="Q169" s="47">
        <f>IF($I169="","",IFERROR(INDEX(코드설정!$D$5:$D$24,MATCH($I169,코드설정!$C$5:$C$24,0)),""))</f>
        <v/>
      </c>
      <c r="R169" s="49" t="n"/>
      <c r="S169" s="50" t="n"/>
      <c r="T169" s="51" t="n"/>
      <c r="U169" s="43">
        <f>IF(OR($B169="",$C169=""),"",$C169-$B169+1)</f>
        <v/>
      </c>
      <c r="V169" s="52" t="n"/>
      <c r="W169" s="53">
        <f>IF(OR($V169="",$O169=""),"",$V169*$O169)</f>
        <v/>
      </c>
      <c r="X169" s="45" t="n"/>
      <c r="Y169" s="49" t="n"/>
    </row>
    <row r="170">
      <c r="A170" s="43">
        <f>IF($B170="","",COUNT($B$5:$B170))</f>
        <v/>
      </c>
      <c r="B170" s="44" t="n"/>
      <c r="C170" s="44" t="n"/>
      <c r="D170" s="45" t="n"/>
      <c r="E170" s="45" t="n"/>
      <c r="F170" s="45" t="n"/>
      <c r="G170" s="46">
        <f>IF($F170="","",IFERROR(INDEX(사건마스터!$B$5:$B$64,MATCH($F170,사건마스터!$A$5:$A$64,0)),""))</f>
        <v/>
      </c>
      <c r="H170" s="47">
        <f>IF($F170="","",IFERROR(INDEX(사건마스터!$C$5:$C$64,MATCH($F170,사건마스터!$A$5:$A$64,0)),""))</f>
        <v/>
      </c>
      <c r="I170" s="48">
        <f>IF($F170="","",IFERROR(INDEX(사건마스터!$H$5:$H$64,MATCH($F170,사건마스터!$A$5:$A$64,0)),""))</f>
        <v/>
      </c>
      <c r="J170" s="48">
        <f>IF($F170="","",IFERROR(INDEX(사건마스터!$AH$5:$AH$64,MATCH($F170,사건마스터!$A$5:$A$64,0)),""))</f>
        <v/>
      </c>
      <c r="K170" s="48">
        <f>IF($F170="","",IFERROR(INDEX(사건마스터!$AI$5:$AI$64,MATCH($F170,사건마스터!$A$5:$A$64,0)),""))</f>
        <v/>
      </c>
      <c r="L170" s="48">
        <f>IF($F170="","",IFERROR(INDEX(사건마스터!$AJ$5:$AJ$64,MATCH($F170,사건마스터!$A$5:$A$64,0)),""))</f>
        <v/>
      </c>
      <c r="M170" s="48">
        <f>IF($F170="","",IFERROR(INDEX(사건마스터!$AK$5:$AK$64,MATCH($F170,사건마스터!$A$5:$A$64,0)),""))</f>
        <v/>
      </c>
      <c r="N170" s="48">
        <f>IF($F170="","",IFERROR(INDEX(사건마스터!$AL$5:$AL$64,MATCH($F170,사건마스터!$A$5:$A$64,0)),""))</f>
        <v/>
      </c>
      <c r="O170" s="43">
        <f>IF($I170="","",COUNTIF($I170:$N170,"?*"))</f>
        <v/>
      </c>
      <c r="P170" s="46">
        <f>IF($I170="","",_xlfn.TEXTJOIN(", ",TRUE,$I170:$N170))</f>
        <v/>
      </c>
      <c r="Q170" s="47">
        <f>IF($I170="","",IFERROR(INDEX(코드설정!$D$5:$D$24,MATCH($I170,코드설정!$C$5:$C$24,0)),""))</f>
        <v/>
      </c>
      <c r="R170" s="49" t="n"/>
      <c r="S170" s="50" t="n"/>
      <c r="T170" s="51" t="n"/>
      <c r="U170" s="43">
        <f>IF(OR($B170="",$C170=""),"",$C170-$B170+1)</f>
        <v/>
      </c>
      <c r="V170" s="52" t="n"/>
      <c r="W170" s="53">
        <f>IF(OR($V170="",$O170=""),"",$V170*$O170)</f>
        <v/>
      </c>
      <c r="X170" s="45" t="n"/>
      <c r="Y170" s="49" t="n"/>
    </row>
    <row r="171">
      <c r="A171" s="43">
        <f>IF($B171="","",COUNT($B$5:$B171))</f>
        <v/>
      </c>
      <c r="B171" s="44" t="n"/>
      <c r="C171" s="44" t="n"/>
      <c r="D171" s="45" t="n"/>
      <c r="E171" s="45" t="n"/>
      <c r="F171" s="45" t="n"/>
      <c r="G171" s="46">
        <f>IF($F171="","",IFERROR(INDEX(사건마스터!$B$5:$B$64,MATCH($F171,사건마스터!$A$5:$A$64,0)),""))</f>
        <v/>
      </c>
      <c r="H171" s="47">
        <f>IF($F171="","",IFERROR(INDEX(사건마스터!$C$5:$C$64,MATCH($F171,사건마스터!$A$5:$A$64,0)),""))</f>
        <v/>
      </c>
      <c r="I171" s="48">
        <f>IF($F171="","",IFERROR(INDEX(사건마스터!$H$5:$H$64,MATCH($F171,사건마스터!$A$5:$A$64,0)),""))</f>
        <v/>
      </c>
      <c r="J171" s="48">
        <f>IF($F171="","",IFERROR(INDEX(사건마스터!$AH$5:$AH$64,MATCH($F171,사건마스터!$A$5:$A$64,0)),""))</f>
        <v/>
      </c>
      <c r="K171" s="48">
        <f>IF($F171="","",IFERROR(INDEX(사건마스터!$AI$5:$AI$64,MATCH($F171,사건마스터!$A$5:$A$64,0)),""))</f>
        <v/>
      </c>
      <c r="L171" s="48">
        <f>IF($F171="","",IFERROR(INDEX(사건마스터!$AJ$5:$AJ$64,MATCH($F171,사건마스터!$A$5:$A$64,0)),""))</f>
        <v/>
      </c>
      <c r="M171" s="48">
        <f>IF($F171="","",IFERROR(INDEX(사건마스터!$AK$5:$AK$64,MATCH($F171,사건마스터!$A$5:$A$64,0)),""))</f>
        <v/>
      </c>
      <c r="N171" s="48">
        <f>IF($F171="","",IFERROR(INDEX(사건마스터!$AL$5:$AL$64,MATCH($F171,사건마스터!$A$5:$A$64,0)),""))</f>
        <v/>
      </c>
      <c r="O171" s="43">
        <f>IF($I171="","",COUNTIF($I171:$N171,"?*"))</f>
        <v/>
      </c>
      <c r="P171" s="46">
        <f>IF($I171="","",_xlfn.TEXTJOIN(", ",TRUE,$I171:$N171))</f>
        <v/>
      </c>
      <c r="Q171" s="47">
        <f>IF($I171="","",IFERROR(INDEX(코드설정!$D$5:$D$24,MATCH($I171,코드설정!$C$5:$C$24,0)),""))</f>
        <v/>
      </c>
      <c r="R171" s="49" t="n"/>
      <c r="S171" s="50" t="n"/>
      <c r="T171" s="51" t="n"/>
      <c r="U171" s="43">
        <f>IF(OR($B171="",$C171=""),"",$C171-$B171+1)</f>
        <v/>
      </c>
      <c r="V171" s="52" t="n"/>
      <c r="W171" s="53">
        <f>IF(OR($V171="",$O171=""),"",$V171*$O171)</f>
        <v/>
      </c>
      <c r="X171" s="45" t="n"/>
      <c r="Y171" s="49" t="n"/>
    </row>
    <row r="172">
      <c r="A172" s="43">
        <f>IF($B172="","",COUNT($B$5:$B172))</f>
        <v/>
      </c>
      <c r="B172" s="44" t="n"/>
      <c r="C172" s="44" t="n"/>
      <c r="D172" s="45" t="n"/>
      <c r="E172" s="45" t="n"/>
      <c r="F172" s="45" t="n"/>
      <c r="G172" s="46">
        <f>IF($F172="","",IFERROR(INDEX(사건마스터!$B$5:$B$64,MATCH($F172,사건마스터!$A$5:$A$64,0)),""))</f>
        <v/>
      </c>
      <c r="H172" s="47">
        <f>IF($F172="","",IFERROR(INDEX(사건마스터!$C$5:$C$64,MATCH($F172,사건마스터!$A$5:$A$64,0)),""))</f>
        <v/>
      </c>
      <c r="I172" s="48">
        <f>IF($F172="","",IFERROR(INDEX(사건마스터!$H$5:$H$64,MATCH($F172,사건마스터!$A$5:$A$64,0)),""))</f>
        <v/>
      </c>
      <c r="J172" s="48">
        <f>IF($F172="","",IFERROR(INDEX(사건마스터!$AH$5:$AH$64,MATCH($F172,사건마스터!$A$5:$A$64,0)),""))</f>
        <v/>
      </c>
      <c r="K172" s="48">
        <f>IF($F172="","",IFERROR(INDEX(사건마스터!$AI$5:$AI$64,MATCH($F172,사건마스터!$A$5:$A$64,0)),""))</f>
        <v/>
      </c>
      <c r="L172" s="48">
        <f>IF($F172="","",IFERROR(INDEX(사건마스터!$AJ$5:$AJ$64,MATCH($F172,사건마스터!$A$5:$A$64,0)),""))</f>
        <v/>
      </c>
      <c r="M172" s="48">
        <f>IF($F172="","",IFERROR(INDEX(사건마스터!$AK$5:$AK$64,MATCH($F172,사건마스터!$A$5:$A$64,0)),""))</f>
        <v/>
      </c>
      <c r="N172" s="48">
        <f>IF($F172="","",IFERROR(INDEX(사건마스터!$AL$5:$AL$64,MATCH($F172,사건마스터!$A$5:$A$64,0)),""))</f>
        <v/>
      </c>
      <c r="O172" s="43">
        <f>IF($I172="","",COUNTIF($I172:$N172,"?*"))</f>
        <v/>
      </c>
      <c r="P172" s="46">
        <f>IF($I172="","",_xlfn.TEXTJOIN(", ",TRUE,$I172:$N172))</f>
        <v/>
      </c>
      <c r="Q172" s="47">
        <f>IF($I172="","",IFERROR(INDEX(코드설정!$D$5:$D$24,MATCH($I172,코드설정!$C$5:$C$24,0)),""))</f>
        <v/>
      </c>
      <c r="R172" s="49" t="n"/>
      <c r="S172" s="50" t="n"/>
      <c r="T172" s="51" t="n"/>
      <c r="U172" s="43">
        <f>IF(OR($B172="",$C172=""),"",$C172-$B172+1)</f>
        <v/>
      </c>
      <c r="V172" s="52" t="n"/>
      <c r="W172" s="53">
        <f>IF(OR($V172="",$O172=""),"",$V172*$O172)</f>
        <v/>
      </c>
      <c r="X172" s="45" t="n"/>
      <c r="Y172" s="49" t="n"/>
    </row>
    <row r="173">
      <c r="A173" s="43">
        <f>IF($B173="","",COUNT($B$5:$B173))</f>
        <v/>
      </c>
      <c r="B173" s="44" t="n"/>
      <c r="C173" s="44" t="n"/>
      <c r="D173" s="45" t="n"/>
      <c r="E173" s="45" t="n"/>
      <c r="F173" s="45" t="n"/>
      <c r="G173" s="46">
        <f>IF($F173="","",IFERROR(INDEX(사건마스터!$B$5:$B$64,MATCH($F173,사건마스터!$A$5:$A$64,0)),""))</f>
        <v/>
      </c>
      <c r="H173" s="47">
        <f>IF($F173="","",IFERROR(INDEX(사건마스터!$C$5:$C$64,MATCH($F173,사건마스터!$A$5:$A$64,0)),""))</f>
        <v/>
      </c>
      <c r="I173" s="48">
        <f>IF($F173="","",IFERROR(INDEX(사건마스터!$H$5:$H$64,MATCH($F173,사건마스터!$A$5:$A$64,0)),""))</f>
        <v/>
      </c>
      <c r="J173" s="48">
        <f>IF($F173="","",IFERROR(INDEX(사건마스터!$AH$5:$AH$64,MATCH($F173,사건마스터!$A$5:$A$64,0)),""))</f>
        <v/>
      </c>
      <c r="K173" s="48">
        <f>IF($F173="","",IFERROR(INDEX(사건마스터!$AI$5:$AI$64,MATCH($F173,사건마스터!$A$5:$A$64,0)),""))</f>
        <v/>
      </c>
      <c r="L173" s="48">
        <f>IF($F173="","",IFERROR(INDEX(사건마스터!$AJ$5:$AJ$64,MATCH($F173,사건마스터!$A$5:$A$64,0)),""))</f>
        <v/>
      </c>
      <c r="M173" s="48">
        <f>IF($F173="","",IFERROR(INDEX(사건마스터!$AK$5:$AK$64,MATCH($F173,사건마스터!$A$5:$A$64,0)),""))</f>
        <v/>
      </c>
      <c r="N173" s="48">
        <f>IF($F173="","",IFERROR(INDEX(사건마스터!$AL$5:$AL$64,MATCH($F173,사건마스터!$A$5:$A$64,0)),""))</f>
        <v/>
      </c>
      <c r="O173" s="43">
        <f>IF($I173="","",COUNTIF($I173:$N173,"?*"))</f>
        <v/>
      </c>
      <c r="P173" s="46">
        <f>IF($I173="","",_xlfn.TEXTJOIN(", ",TRUE,$I173:$N173))</f>
        <v/>
      </c>
      <c r="Q173" s="47">
        <f>IF($I173="","",IFERROR(INDEX(코드설정!$D$5:$D$24,MATCH($I173,코드설정!$C$5:$C$24,0)),""))</f>
        <v/>
      </c>
      <c r="R173" s="49" t="n"/>
      <c r="S173" s="50" t="n"/>
      <c r="T173" s="51" t="n"/>
      <c r="U173" s="43">
        <f>IF(OR($B173="",$C173=""),"",$C173-$B173+1)</f>
        <v/>
      </c>
      <c r="V173" s="52" t="n"/>
      <c r="W173" s="53">
        <f>IF(OR($V173="",$O173=""),"",$V173*$O173)</f>
        <v/>
      </c>
      <c r="X173" s="45" t="n"/>
      <c r="Y173" s="49" t="n"/>
    </row>
    <row r="174">
      <c r="A174" s="43">
        <f>IF($B174="","",COUNT($B$5:$B174))</f>
        <v/>
      </c>
      <c r="B174" s="44" t="n"/>
      <c r="C174" s="44" t="n"/>
      <c r="D174" s="45" t="n"/>
      <c r="E174" s="45" t="n"/>
      <c r="F174" s="45" t="n"/>
      <c r="G174" s="46">
        <f>IF($F174="","",IFERROR(INDEX(사건마스터!$B$5:$B$64,MATCH($F174,사건마스터!$A$5:$A$64,0)),""))</f>
        <v/>
      </c>
      <c r="H174" s="47">
        <f>IF($F174="","",IFERROR(INDEX(사건마스터!$C$5:$C$64,MATCH($F174,사건마스터!$A$5:$A$64,0)),""))</f>
        <v/>
      </c>
      <c r="I174" s="48">
        <f>IF($F174="","",IFERROR(INDEX(사건마스터!$H$5:$H$64,MATCH($F174,사건마스터!$A$5:$A$64,0)),""))</f>
        <v/>
      </c>
      <c r="J174" s="48">
        <f>IF($F174="","",IFERROR(INDEX(사건마스터!$AH$5:$AH$64,MATCH($F174,사건마스터!$A$5:$A$64,0)),""))</f>
        <v/>
      </c>
      <c r="K174" s="48">
        <f>IF($F174="","",IFERROR(INDEX(사건마스터!$AI$5:$AI$64,MATCH($F174,사건마스터!$A$5:$A$64,0)),""))</f>
        <v/>
      </c>
      <c r="L174" s="48">
        <f>IF($F174="","",IFERROR(INDEX(사건마스터!$AJ$5:$AJ$64,MATCH($F174,사건마스터!$A$5:$A$64,0)),""))</f>
        <v/>
      </c>
      <c r="M174" s="48">
        <f>IF($F174="","",IFERROR(INDEX(사건마스터!$AK$5:$AK$64,MATCH($F174,사건마스터!$A$5:$A$64,0)),""))</f>
        <v/>
      </c>
      <c r="N174" s="48">
        <f>IF($F174="","",IFERROR(INDEX(사건마스터!$AL$5:$AL$64,MATCH($F174,사건마스터!$A$5:$A$64,0)),""))</f>
        <v/>
      </c>
      <c r="O174" s="43">
        <f>IF($I174="","",COUNTIF($I174:$N174,"?*"))</f>
        <v/>
      </c>
      <c r="P174" s="46">
        <f>IF($I174="","",_xlfn.TEXTJOIN(", ",TRUE,$I174:$N174))</f>
        <v/>
      </c>
      <c r="Q174" s="47">
        <f>IF($I174="","",IFERROR(INDEX(코드설정!$D$5:$D$24,MATCH($I174,코드설정!$C$5:$C$24,0)),""))</f>
        <v/>
      </c>
      <c r="R174" s="49" t="n"/>
      <c r="S174" s="50" t="n"/>
      <c r="T174" s="51" t="n"/>
      <c r="U174" s="43">
        <f>IF(OR($B174="",$C174=""),"",$C174-$B174+1)</f>
        <v/>
      </c>
      <c r="V174" s="52" t="n"/>
      <c r="W174" s="53">
        <f>IF(OR($V174="",$O174=""),"",$V174*$O174)</f>
        <v/>
      </c>
      <c r="X174" s="45" t="n"/>
      <c r="Y174" s="49" t="n"/>
    </row>
    <row r="175">
      <c r="A175" s="43">
        <f>IF($B175="","",COUNT($B$5:$B175))</f>
        <v/>
      </c>
      <c r="B175" s="44" t="n"/>
      <c r="C175" s="44" t="n"/>
      <c r="D175" s="45" t="n"/>
      <c r="E175" s="45" t="n"/>
      <c r="F175" s="45" t="n"/>
      <c r="G175" s="46">
        <f>IF($F175="","",IFERROR(INDEX(사건마스터!$B$5:$B$64,MATCH($F175,사건마스터!$A$5:$A$64,0)),""))</f>
        <v/>
      </c>
      <c r="H175" s="47">
        <f>IF($F175="","",IFERROR(INDEX(사건마스터!$C$5:$C$64,MATCH($F175,사건마스터!$A$5:$A$64,0)),""))</f>
        <v/>
      </c>
      <c r="I175" s="48">
        <f>IF($F175="","",IFERROR(INDEX(사건마스터!$H$5:$H$64,MATCH($F175,사건마스터!$A$5:$A$64,0)),""))</f>
        <v/>
      </c>
      <c r="J175" s="48">
        <f>IF($F175="","",IFERROR(INDEX(사건마스터!$AH$5:$AH$64,MATCH($F175,사건마스터!$A$5:$A$64,0)),""))</f>
        <v/>
      </c>
      <c r="K175" s="48">
        <f>IF($F175="","",IFERROR(INDEX(사건마스터!$AI$5:$AI$64,MATCH($F175,사건마스터!$A$5:$A$64,0)),""))</f>
        <v/>
      </c>
      <c r="L175" s="48">
        <f>IF($F175="","",IFERROR(INDEX(사건마스터!$AJ$5:$AJ$64,MATCH($F175,사건마스터!$A$5:$A$64,0)),""))</f>
        <v/>
      </c>
      <c r="M175" s="48">
        <f>IF($F175="","",IFERROR(INDEX(사건마스터!$AK$5:$AK$64,MATCH($F175,사건마스터!$A$5:$A$64,0)),""))</f>
        <v/>
      </c>
      <c r="N175" s="48">
        <f>IF($F175="","",IFERROR(INDEX(사건마스터!$AL$5:$AL$64,MATCH($F175,사건마스터!$A$5:$A$64,0)),""))</f>
        <v/>
      </c>
      <c r="O175" s="43">
        <f>IF($I175="","",COUNTIF($I175:$N175,"?*"))</f>
        <v/>
      </c>
      <c r="P175" s="46">
        <f>IF($I175="","",_xlfn.TEXTJOIN(", ",TRUE,$I175:$N175))</f>
        <v/>
      </c>
      <c r="Q175" s="47">
        <f>IF($I175="","",IFERROR(INDEX(코드설정!$D$5:$D$24,MATCH($I175,코드설정!$C$5:$C$24,0)),""))</f>
        <v/>
      </c>
      <c r="R175" s="49" t="n"/>
      <c r="S175" s="50" t="n"/>
      <c r="T175" s="51" t="n"/>
      <c r="U175" s="43">
        <f>IF(OR($B175="",$C175=""),"",$C175-$B175+1)</f>
        <v/>
      </c>
      <c r="V175" s="52" t="n"/>
      <c r="W175" s="53">
        <f>IF(OR($V175="",$O175=""),"",$V175*$O175)</f>
        <v/>
      </c>
      <c r="X175" s="45" t="n"/>
      <c r="Y175" s="49" t="n"/>
    </row>
    <row r="176">
      <c r="A176" s="43">
        <f>IF($B176="","",COUNT($B$5:$B176))</f>
        <v/>
      </c>
      <c r="B176" s="44" t="n"/>
      <c r="C176" s="44" t="n"/>
      <c r="D176" s="45" t="n"/>
      <c r="E176" s="45" t="n"/>
      <c r="F176" s="45" t="n"/>
      <c r="G176" s="46">
        <f>IF($F176="","",IFERROR(INDEX(사건마스터!$B$5:$B$64,MATCH($F176,사건마스터!$A$5:$A$64,0)),""))</f>
        <v/>
      </c>
      <c r="H176" s="47">
        <f>IF($F176="","",IFERROR(INDEX(사건마스터!$C$5:$C$64,MATCH($F176,사건마스터!$A$5:$A$64,0)),""))</f>
        <v/>
      </c>
      <c r="I176" s="48">
        <f>IF($F176="","",IFERROR(INDEX(사건마스터!$H$5:$H$64,MATCH($F176,사건마스터!$A$5:$A$64,0)),""))</f>
        <v/>
      </c>
      <c r="J176" s="48">
        <f>IF($F176="","",IFERROR(INDEX(사건마스터!$AH$5:$AH$64,MATCH($F176,사건마스터!$A$5:$A$64,0)),""))</f>
        <v/>
      </c>
      <c r="K176" s="48">
        <f>IF($F176="","",IFERROR(INDEX(사건마스터!$AI$5:$AI$64,MATCH($F176,사건마스터!$A$5:$A$64,0)),""))</f>
        <v/>
      </c>
      <c r="L176" s="48">
        <f>IF($F176="","",IFERROR(INDEX(사건마스터!$AJ$5:$AJ$64,MATCH($F176,사건마스터!$A$5:$A$64,0)),""))</f>
        <v/>
      </c>
      <c r="M176" s="48">
        <f>IF($F176="","",IFERROR(INDEX(사건마스터!$AK$5:$AK$64,MATCH($F176,사건마스터!$A$5:$A$64,0)),""))</f>
        <v/>
      </c>
      <c r="N176" s="48">
        <f>IF($F176="","",IFERROR(INDEX(사건마스터!$AL$5:$AL$64,MATCH($F176,사건마스터!$A$5:$A$64,0)),""))</f>
        <v/>
      </c>
      <c r="O176" s="43">
        <f>IF($I176="","",COUNTIF($I176:$N176,"?*"))</f>
        <v/>
      </c>
      <c r="P176" s="46">
        <f>IF($I176="","",_xlfn.TEXTJOIN(", ",TRUE,$I176:$N176))</f>
        <v/>
      </c>
      <c r="Q176" s="47">
        <f>IF($I176="","",IFERROR(INDEX(코드설정!$D$5:$D$24,MATCH($I176,코드설정!$C$5:$C$24,0)),""))</f>
        <v/>
      </c>
      <c r="R176" s="49" t="n"/>
      <c r="S176" s="50" t="n"/>
      <c r="T176" s="51" t="n"/>
      <c r="U176" s="43">
        <f>IF(OR($B176="",$C176=""),"",$C176-$B176+1)</f>
        <v/>
      </c>
      <c r="V176" s="52" t="n"/>
      <c r="W176" s="53">
        <f>IF(OR($V176="",$O176=""),"",$V176*$O176)</f>
        <v/>
      </c>
      <c r="X176" s="45" t="n"/>
      <c r="Y176" s="49" t="n"/>
    </row>
    <row r="177">
      <c r="A177" s="43">
        <f>IF($B177="","",COUNT($B$5:$B177))</f>
        <v/>
      </c>
      <c r="B177" s="44" t="n"/>
      <c r="C177" s="44" t="n"/>
      <c r="D177" s="45" t="n"/>
      <c r="E177" s="45" t="n"/>
      <c r="F177" s="45" t="n"/>
      <c r="G177" s="46">
        <f>IF($F177="","",IFERROR(INDEX(사건마스터!$B$5:$B$64,MATCH($F177,사건마스터!$A$5:$A$64,0)),""))</f>
        <v/>
      </c>
      <c r="H177" s="47">
        <f>IF($F177="","",IFERROR(INDEX(사건마스터!$C$5:$C$64,MATCH($F177,사건마스터!$A$5:$A$64,0)),""))</f>
        <v/>
      </c>
      <c r="I177" s="48">
        <f>IF($F177="","",IFERROR(INDEX(사건마스터!$H$5:$H$64,MATCH($F177,사건마스터!$A$5:$A$64,0)),""))</f>
        <v/>
      </c>
      <c r="J177" s="48">
        <f>IF($F177="","",IFERROR(INDEX(사건마스터!$AH$5:$AH$64,MATCH($F177,사건마스터!$A$5:$A$64,0)),""))</f>
        <v/>
      </c>
      <c r="K177" s="48">
        <f>IF($F177="","",IFERROR(INDEX(사건마스터!$AI$5:$AI$64,MATCH($F177,사건마스터!$A$5:$A$64,0)),""))</f>
        <v/>
      </c>
      <c r="L177" s="48">
        <f>IF($F177="","",IFERROR(INDEX(사건마스터!$AJ$5:$AJ$64,MATCH($F177,사건마스터!$A$5:$A$64,0)),""))</f>
        <v/>
      </c>
      <c r="M177" s="48">
        <f>IF($F177="","",IFERROR(INDEX(사건마스터!$AK$5:$AK$64,MATCH($F177,사건마스터!$A$5:$A$64,0)),""))</f>
        <v/>
      </c>
      <c r="N177" s="48">
        <f>IF($F177="","",IFERROR(INDEX(사건마스터!$AL$5:$AL$64,MATCH($F177,사건마스터!$A$5:$A$64,0)),""))</f>
        <v/>
      </c>
      <c r="O177" s="43">
        <f>IF($I177="","",COUNTIF($I177:$N177,"?*"))</f>
        <v/>
      </c>
      <c r="P177" s="46">
        <f>IF($I177="","",_xlfn.TEXTJOIN(", ",TRUE,$I177:$N177))</f>
        <v/>
      </c>
      <c r="Q177" s="47">
        <f>IF($I177="","",IFERROR(INDEX(코드설정!$D$5:$D$24,MATCH($I177,코드설정!$C$5:$C$24,0)),""))</f>
        <v/>
      </c>
      <c r="R177" s="49" t="n"/>
      <c r="S177" s="50" t="n"/>
      <c r="T177" s="51" t="n"/>
      <c r="U177" s="43">
        <f>IF(OR($B177="",$C177=""),"",$C177-$B177+1)</f>
        <v/>
      </c>
      <c r="V177" s="52" t="n"/>
      <c r="W177" s="53">
        <f>IF(OR($V177="",$O177=""),"",$V177*$O177)</f>
        <v/>
      </c>
      <c r="X177" s="45" t="n"/>
      <c r="Y177" s="49" t="n"/>
    </row>
    <row r="178">
      <c r="A178" s="43">
        <f>IF($B178="","",COUNT($B$5:$B178))</f>
        <v/>
      </c>
      <c r="B178" s="44" t="n"/>
      <c r="C178" s="44" t="n"/>
      <c r="D178" s="45" t="n"/>
      <c r="E178" s="45" t="n"/>
      <c r="F178" s="45" t="n"/>
      <c r="G178" s="46">
        <f>IF($F178="","",IFERROR(INDEX(사건마스터!$B$5:$B$64,MATCH($F178,사건마스터!$A$5:$A$64,0)),""))</f>
        <v/>
      </c>
      <c r="H178" s="47">
        <f>IF($F178="","",IFERROR(INDEX(사건마스터!$C$5:$C$64,MATCH($F178,사건마스터!$A$5:$A$64,0)),""))</f>
        <v/>
      </c>
      <c r="I178" s="48">
        <f>IF($F178="","",IFERROR(INDEX(사건마스터!$H$5:$H$64,MATCH($F178,사건마스터!$A$5:$A$64,0)),""))</f>
        <v/>
      </c>
      <c r="J178" s="48">
        <f>IF($F178="","",IFERROR(INDEX(사건마스터!$AH$5:$AH$64,MATCH($F178,사건마스터!$A$5:$A$64,0)),""))</f>
        <v/>
      </c>
      <c r="K178" s="48">
        <f>IF($F178="","",IFERROR(INDEX(사건마스터!$AI$5:$AI$64,MATCH($F178,사건마스터!$A$5:$A$64,0)),""))</f>
        <v/>
      </c>
      <c r="L178" s="48">
        <f>IF($F178="","",IFERROR(INDEX(사건마스터!$AJ$5:$AJ$64,MATCH($F178,사건마스터!$A$5:$A$64,0)),""))</f>
        <v/>
      </c>
      <c r="M178" s="48">
        <f>IF($F178="","",IFERROR(INDEX(사건마스터!$AK$5:$AK$64,MATCH($F178,사건마스터!$A$5:$A$64,0)),""))</f>
        <v/>
      </c>
      <c r="N178" s="48">
        <f>IF($F178="","",IFERROR(INDEX(사건마스터!$AL$5:$AL$64,MATCH($F178,사건마스터!$A$5:$A$64,0)),""))</f>
        <v/>
      </c>
      <c r="O178" s="43">
        <f>IF($I178="","",COUNTIF($I178:$N178,"?*"))</f>
        <v/>
      </c>
      <c r="P178" s="46">
        <f>IF($I178="","",_xlfn.TEXTJOIN(", ",TRUE,$I178:$N178))</f>
        <v/>
      </c>
      <c r="Q178" s="47">
        <f>IF($I178="","",IFERROR(INDEX(코드설정!$D$5:$D$24,MATCH($I178,코드설정!$C$5:$C$24,0)),""))</f>
        <v/>
      </c>
      <c r="R178" s="49" t="n"/>
      <c r="S178" s="50" t="n"/>
      <c r="T178" s="51" t="n"/>
      <c r="U178" s="43">
        <f>IF(OR($B178="",$C178=""),"",$C178-$B178+1)</f>
        <v/>
      </c>
      <c r="V178" s="52" t="n"/>
      <c r="W178" s="53">
        <f>IF(OR($V178="",$O178=""),"",$V178*$O178)</f>
        <v/>
      </c>
      <c r="X178" s="45" t="n"/>
      <c r="Y178" s="49" t="n"/>
    </row>
    <row r="179">
      <c r="A179" s="43">
        <f>IF($B179="","",COUNT($B$5:$B179))</f>
        <v/>
      </c>
      <c r="B179" s="44" t="n"/>
      <c r="C179" s="44" t="n"/>
      <c r="D179" s="45" t="n"/>
      <c r="E179" s="45" t="n"/>
      <c r="F179" s="45" t="n"/>
      <c r="G179" s="46">
        <f>IF($F179="","",IFERROR(INDEX(사건마스터!$B$5:$B$64,MATCH($F179,사건마스터!$A$5:$A$64,0)),""))</f>
        <v/>
      </c>
      <c r="H179" s="47">
        <f>IF($F179="","",IFERROR(INDEX(사건마스터!$C$5:$C$64,MATCH($F179,사건마스터!$A$5:$A$64,0)),""))</f>
        <v/>
      </c>
      <c r="I179" s="48">
        <f>IF($F179="","",IFERROR(INDEX(사건마스터!$H$5:$H$64,MATCH($F179,사건마스터!$A$5:$A$64,0)),""))</f>
        <v/>
      </c>
      <c r="J179" s="48">
        <f>IF($F179="","",IFERROR(INDEX(사건마스터!$AH$5:$AH$64,MATCH($F179,사건마스터!$A$5:$A$64,0)),""))</f>
        <v/>
      </c>
      <c r="K179" s="48">
        <f>IF($F179="","",IFERROR(INDEX(사건마스터!$AI$5:$AI$64,MATCH($F179,사건마스터!$A$5:$A$64,0)),""))</f>
        <v/>
      </c>
      <c r="L179" s="48">
        <f>IF($F179="","",IFERROR(INDEX(사건마스터!$AJ$5:$AJ$64,MATCH($F179,사건마스터!$A$5:$A$64,0)),""))</f>
        <v/>
      </c>
      <c r="M179" s="48">
        <f>IF($F179="","",IFERROR(INDEX(사건마스터!$AK$5:$AK$64,MATCH($F179,사건마스터!$A$5:$A$64,0)),""))</f>
        <v/>
      </c>
      <c r="N179" s="48">
        <f>IF($F179="","",IFERROR(INDEX(사건마스터!$AL$5:$AL$64,MATCH($F179,사건마스터!$A$5:$A$64,0)),""))</f>
        <v/>
      </c>
      <c r="O179" s="43">
        <f>IF($I179="","",COUNTIF($I179:$N179,"?*"))</f>
        <v/>
      </c>
      <c r="P179" s="46">
        <f>IF($I179="","",_xlfn.TEXTJOIN(", ",TRUE,$I179:$N179))</f>
        <v/>
      </c>
      <c r="Q179" s="47">
        <f>IF($I179="","",IFERROR(INDEX(코드설정!$D$5:$D$24,MATCH($I179,코드설정!$C$5:$C$24,0)),""))</f>
        <v/>
      </c>
      <c r="R179" s="49" t="n"/>
      <c r="S179" s="50" t="n"/>
      <c r="T179" s="51" t="n"/>
      <c r="U179" s="43">
        <f>IF(OR($B179="",$C179=""),"",$C179-$B179+1)</f>
        <v/>
      </c>
      <c r="V179" s="52" t="n"/>
      <c r="W179" s="53">
        <f>IF(OR($V179="",$O179=""),"",$V179*$O179)</f>
        <v/>
      </c>
      <c r="X179" s="45" t="n"/>
      <c r="Y179" s="49" t="n"/>
    </row>
    <row r="180">
      <c r="A180" s="43">
        <f>IF($B180="","",COUNT($B$5:$B180))</f>
        <v/>
      </c>
      <c r="B180" s="44" t="n"/>
      <c r="C180" s="44" t="n"/>
      <c r="D180" s="45" t="n"/>
      <c r="E180" s="45" t="n"/>
      <c r="F180" s="45" t="n"/>
      <c r="G180" s="46">
        <f>IF($F180="","",IFERROR(INDEX(사건마스터!$B$5:$B$64,MATCH($F180,사건마스터!$A$5:$A$64,0)),""))</f>
        <v/>
      </c>
      <c r="H180" s="47">
        <f>IF($F180="","",IFERROR(INDEX(사건마스터!$C$5:$C$64,MATCH($F180,사건마스터!$A$5:$A$64,0)),""))</f>
        <v/>
      </c>
      <c r="I180" s="48">
        <f>IF($F180="","",IFERROR(INDEX(사건마스터!$H$5:$H$64,MATCH($F180,사건마스터!$A$5:$A$64,0)),""))</f>
        <v/>
      </c>
      <c r="J180" s="48">
        <f>IF($F180="","",IFERROR(INDEX(사건마스터!$AH$5:$AH$64,MATCH($F180,사건마스터!$A$5:$A$64,0)),""))</f>
        <v/>
      </c>
      <c r="K180" s="48">
        <f>IF($F180="","",IFERROR(INDEX(사건마스터!$AI$5:$AI$64,MATCH($F180,사건마스터!$A$5:$A$64,0)),""))</f>
        <v/>
      </c>
      <c r="L180" s="48">
        <f>IF($F180="","",IFERROR(INDEX(사건마스터!$AJ$5:$AJ$64,MATCH($F180,사건마스터!$A$5:$A$64,0)),""))</f>
        <v/>
      </c>
      <c r="M180" s="48">
        <f>IF($F180="","",IFERROR(INDEX(사건마스터!$AK$5:$AK$64,MATCH($F180,사건마스터!$A$5:$A$64,0)),""))</f>
        <v/>
      </c>
      <c r="N180" s="48">
        <f>IF($F180="","",IFERROR(INDEX(사건마스터!$AL$5:$AL$64,MATCH($F180,사건마스터!$A$5:$A$64,0)),""))</f>
        <v/>
      </c>
      <c r="O180" s="43">
        <f>IF($I180="","",COUNTIF($I180:$N180,"?*"))</f>
        <v/>
      </c>
      <c r="P180" s="46">
        <f>IF($I180="","",_xlfn.TEXTJOIN(", ",TRUE,$I180:$N180))</f>
        <v/>
      </c>
      <c r="Q180" s="47">
        <f>IF($I180="","",IFERROR(INDEX(코드설정!$D$5:$D$24,MATCH($I180,코드설정!$C$5:$C$24,0)),""))</f>
        <v/>
      </c>
      <c r="R180" s="49" t="n"/>
      <c r="S180" s="50" t="n"/>
      <c r="T180" s="51" t="n"/>
      <c r="U180" s="43">
        <f>IF(OR($B180="",$C180=""),"",$C180-$B180+1)</f>
        <v/>
      </c>
      <c r="V180" s="52" t="n"/>
      <c r="W180" s="53">
        <f>IF(OR($V180="",$O180=""),"",$V180*$O180)</f>
        <v/>
      </c>
      <c r="X180" s="45" t="n"/>
      <c r="Y180" s="49" t="n"/>
    </row>
    <row r="181">
      <c r="A181" s="43">
        <f>IF($B181="","",COUNT($B$5:$B181))</f>
        <v/>
      </c>
      <c r="B181" s="44" t="n"/>
      <c r="C181" s="44" t="n"/>
      <c r="D181" s="45" t="n"/>
      <c r="E181" s="45" t="n"/>
      <c r="F181" s="45" t="n"/>
      <c r="G181" s="46">
        <f>IF($F181="","",IFERROR(INDEX(사건마스터!$B$5:$B$64,MATCH($F181,사건마스터!$A$5:$A$64,0)),""))</f>
        <v/>
      </c>
      <c r="H181" s="47">
        <f>IF($F181="","",IFERROR(INDEX(사건마스터!$C$5:$C$64,MATCH($F181,사건마스터!$A$5:$A$64,0)),""))</f>
        <v/>
      </c>
      <c r="I181" s="48">
        <f>IF($F181="","",IFERROR(INDEX(사건마스터!$H$5:$H$64,MATCH($F181,사건마스터!$A$5:$A$64,0)),""))</f>
        <v/>
      </c>
      <c r="J181" s="48">
        <f>IF($F181="","",IFERROR(INDEX(사건마스터!$AH$5:$AH$64,MATCH($F181,사건마스터!$A$5:$A$64,0)),""))</f>
        <v/>
      </c>
      <c r="K181" s="48">
        <f>IF($F181="","",IFERROR(INDEX(사건마스터!$AI$5:$AI$64,MATCH($F181,사건마스터!$A$5:$A$64,0)),""))</f>
        <v/>
      </c>
      <c r="L181" s="48">
        <f>IF($F181="","",IFERROR(INDEX(사건마스터!$AJ$5:$AJ$64,MATCH($F181,사건마스터!$A$5:$A$64,0)),""))</f>
        <v/>
      </c>
      <c r="M181" s="48">
        <f>IF($F181="","",IFERROR(INDEX(사건마스터!$AK$5:$AK$64,MATCH($F181,사건마스터!$A$5:$A$64,0)),""))</f>
        <v/>
      </c>
      <c r="N181" s="48">
        <f>IF($F181="","",IFERROR(INDEX(사건마스터!$AL$5:$AL$64,MATCH($F181,사건마스터!$A$5:$A$64,0)),""))</f>
        <v/>
      </c>
      <c r="O181" s="43">
        <f>IF($I181="","",COUNTIF($I181:$N181,"?*"))</f>
        <v/>
      </c>
      <c r="P181" s="46">
        <f>IF($I181="","",_xlfn.TEXTJOIN(", ",TRUE,$I181:$N181))</f>
        <v/>
      </c>
      <c r="Q181" s="47">
        <f>IF($I181="","",IFERROR(INDEX(코드설정!$D$5:$D$24,MATCH($I181,코드설정!$C$5:$C$24,0)),""))</f>
        <v/>
      </c>
      <c r="R181" s="49" t="n"/>
      <c r="S181" s="50" t="n"/>
      <c r="T181" s="51" t="n"/>
      <c r="U181" s="43">
        <f>IF(OR($B181="",$C181=""),"",$C181-$B181+1)</f>
        <v/>
      </c>
      <c r="V181" s="52" t="n"/>
      <c r="W181" s="53">
        <f>IF(OR($V181="",$O181=""),"",$V181*$O181)</f>
        <v/>
      </c>
      <c r="X181" s="45" t="n"/>
      <c r="Y181" s="49" t="n"/>
    </row>
    <row r="182">
      <c r="A182" s="43">
        <f>IF($B182="","",COUNT($B$5:$B182))</f>
        <v/>
      </c>
      <c r="B182" s="44" t="n"/>
      <c r="C182" s="44" t="n"/>
      <c r="D182" s="45" t="n"/>
      <c r="E182" s="45" t="n"/>
      <c r="F182" s="45" t="n"/>
      <c r="G182" s="46">
        <f>IF($F182="","",IFERROR(INDEX(사건마스터!$B$5:$B$64,MATCH($F182,사건마스터!$A$5:$A$64,0)),""))</f>
        <v/>
      </c>
      <c r="H182" s="47">
        <f>IF($F182="","",IFERROR(INDEX(사건마스터!$C$5:$C$64,MATCH($F182,사건마스터!$A$5:$A$64,0)),""))</f>
        <v/>
      </c>
      <c r="I182" s="48">
        <f>IF($F182="","",IFERROR(INDEX(사건마스터!$H$5:$H$64,MATCH($F182,사건마스터!$A$5:$A$64,0)),""))</f>
        <v/>
      </c>
      <c r="J182" s="48">
        <f>IF($F182="","",IFERROR(INDEX(사건마스터!$AH$5:$AH$64,MATCH($F182,사건마스터!$A$5:$A$64,0)),""))</f>
        <v/>
      </c>
      <c r="K182" s="48">
        <f>IF($F182="","",IFERROR(INDEX(사건마스터!$AI$5:$AI$64,MATCH($F182,사건마스터!$A$5:$A$64,0)),""))</f>
        <v/>
      </c>
      <c r="L182" s="48">
        <f>IF($F182="","",IFERROR(INDEX(사건마스터!$AJ$5:$AJ$64,MATCH($F182,사건마스터!$A$5:$A$64,0)),""))</f>
        <v/>
      </c>
      <c r="M182" s="48">
        <f>IF($F182="","",IFERROR(INDEX(사건마스터!$AK$5:$AK$64,MATCH($F182,사건마스터!$A$5:$A$64,0)),""))</f>
        <v/>
      </c>
      <c r="N182" s="48">
        <f>IF($F182="","",IFERROR(INDEX(사건마스터!$AL$5:$AL$64,MATCH($F182,사건마스터!$A$5:$A$64,0)),""))</f>
        <v/>
      </c>
      <c r="O182" s="43">
        <f>IF($I182="","",COUNTIF($I182:$N182,"?*"))</f>
        <v/>
      </c>
      <c r="P182" s="46">
        <f>IF($I182="","",_xlfn.TEXTJOIN(", ",TRUE,$I182:$N182))</f>
        <v/>
      </c>
      <c r="Q182" s="47">
        <f>IF($I182="","",IFERROR(INDEX(코드설정!$D$5:$D$24,MATCH($I182,코드설정!$C$5:$C$24,0)),""))</f>
        <v/>
      </c>
      <c r="R182" s="49" t="n"/>
      <c r="S182" s="50" t="n"/>
      <c r="T182" s="51" t="n"/>
      <c r="U182" s="43">
        <f>IF(OR($B182="",$C182=""),"",$C182-$B182+1)</f>
        <v/>
      </c>
      <c r="V182" s="52" t="n"/>
      <c r="W182" s="53">
        <f>IF(OR($V182="",$O182=""),"",$V182*$O182)</f>
        <v/>
      </c>
      <c r="X182" s="45" t="n"/>
      <c r="Y182" s="49" t="n"/>
    </row>
    <row r="183">
      <c r="A183" s="43">
        <f>IF($B183="","",COUNT($B$5:$B183))</f>
        <v/>
      </c>
      <c r="B183" s="44" t="n"/>
      <c r="C183" s="44" t="n"/>
      <c r="D183" s="45" t="n"/>
      <c r="E183" s="45" t="n"/>
      <c r="F183" s="45" t="n"/>
      <c r="G183" s="46">
        <f>IF($F183="","",IFERROR(INDEX(사건마스터!$B$5:$B$64,MATCH($F183,사건마스터!$A$5:$A$64,0)),""))</f>
        <v/>
      </c>
      <c r="H183" s="47">
        <f>IF($F183="","",IFERROR(INDEX(사건마스터!$C$5:$C$64,MATCH($F183,사건마스터!$A$5:$A$64,0)),""))</f>
        <v/>
      </c>
      <c r="I183" s="48">
        <f>IF($F183="","",IFERROR(INDEX(사건마스터!$H$5:$H$64,MATCH($F183,사건마스터!$A$5:$A$64,0)),""))</f>
        <v/>
      </c>
      <c r="J183" s="48">
        <f>IF($F183="","",IFERROR(INDEX(사건마스터!$AH$5:$AH$64,MATCH($F183,사건마스터!$A$5:$A$64,0)),""))</f>
        <v/>
      </c>
      <c r="K183" s="48">
        <f>IF($F183="","",IFERROR(INDEX(사건마스터!$AI$5:$AI$64,MATCH($F183,사건마스터!$A$5:$A$64,0)),""))</f>
        <v/>
      </c>
      <c r="L183" s="48">
        <f>IF($F183="","",IFERROR(INDEX(사건마스터!$AJ$5:$AJ$64,MATCH($F183,사건마스터!$A$5:$A$64,0)),""))</f>
        <v/>
      </c>
      <c r="M183" s="48">
        <f>IF($F183="","",IFERROR(INDEX(사건마스터!$AK$5:$AK$64,MATCH($F183,사건마스터!$A$5:$A$64,0)),""))</f>
        <v/>
      </c>
      <c r="N183" s="48">
        <f>IF($F183="","",IFERROR(INDEX(사건마스터!$AL$5:$AL$64,MATCH($F183,사건마스터!$A$5:$A$64,0)),""))</f>
        <v/>
      </c>
      <c r="O183" s="43">
        <f>IF($I183="","",COUNTIF($I183:$N183,"?*"))</f>
        <v/>
      </c>
      <c r="P183" s="46">
        <f>IF($I183="","",_xlfn.TEXTJOIN(", ",TRUE,$I183:$N183))</f>
        <v/>
      </c>
      <c r="Q183" s="47">
        <f>IF($I183="","",IFERROR(INDEX(코드설정!$D$5:$D$24,MATCH($I183,코드설정!$C$5:$C$24,0)),""))</f>
        <v/>
      </c>
      <c r="R183" s="49" t="n"/>
      <c r="S183" s="50" t="n"/>
      <c r="T183" s="51" t="n"/>
      <c r="U183" s="43">
        <f>IF(OR($B183="",$C183=""),"",$C183-$B183+1)</f>
        <v/>
      </c>
      <c r="V183" s="52" t="n"/>
      <c r="W183" s="53">
        <f>IF(OR($V183="",$O183=""),"",$V183*$O183)</f>
        <v/>
      </c>
      <c r="X183" s="45" t="n"/>
      <c r="Y183" s="49" t="n"/>
    </row>
    <row r="184">
      <c r="A184" s="43">
        <f>IF($B184="","",COUNT($B$5:$B184))</f>
        <v/>
      </c>
      <c r="B184" s="44" t="n"/>
      <c r="C184" s="44" t="n"/>
      <c r="D184" s="45" t="n"/>
      <c r="E184" s="45" t="n"/>
      <c r="F184" s="45" t="n"/>
      <c r="G184" s="46">
        <f>IF($F184="","",IFERROR(INDEX(사건마스터!$B$5:$B$64,MATCH($F184,사건마스터!$A$5:$A$64,0)),""))</f>
        <v/>
      </c>
      <c r="H184" s="47">
        <f>IF($F184="","",IFERROR(INDEX(사건마스터!$C$5:$C$64,MATCH($F184,사건마스터!$A$5:$A$64,0)),""))</f>
        <v/>
      </c>
      <c r="I184" s="48">
        <f>IF($F184="","",IFERROR(INDEX(사건마스터!$H$5:$H$64,MATCH($F184,사건마스터!$A$5:$A$64,0)),""))</f>
        <v/>
      </c>
      <c r="J184" s="48">
        <f>IF($F184="","",IFERROR(INDEX(사건마스터!$AH$5:$AH$64,MATCH($F184,사건마스터!$A$5:$A$64,0)),""))</f>
        <v/>
      </c>
      <c r="K184" s="48">
        <f>IF($F184="","",IFERROR(INDEX(사건마스터!$AI$5:$AI$64,MATCH($F184,사건마스터!$A$5:$A$64,0)),""))</f>
        <v/>
      </c>
      <c r="L184" s="48">
        <f>IF($F184="","",IFERROR(INDEX(사건마스터!$AJ$5:$AJ$64,MATCH($F184,사건마스터!$A$5:$A$64,0)),""))</f>
        <v/>
      </c>
      <c r="M184" s="48">
        <f>IF($F184="","",IFERROR(INDEX(사건마스터!$AK$5:$AK$64,MATCH($F184,사건마스터!$A$5:$A$64,0)),""))</f>
        <v/>
      </c>
      <c r="N184" s="48">
        <f>IF($F184="","",IFERROR(INDEX(사건마스터!$AL$5:$AL$64,MATCH($F184,사건마스터!$A$5:$A$64,0)),""))</f>
        <v/>
      </c>
      <c r="O184" s="43">
        <f>IF($I184="","",COUNTIF($I184:$N184,"?*"))</f>
        <v/>
      </c>
      <c r="P184" s="46">
        <f>IF($I184="","",_xlfn.TEXTJOIN(", ",TRUE,$I184:$N184))</f>
        <v/>
      </c>
      <c r="Q184" s="47">
        <f>IF($I184="","",IFERROR(INDEX(코드설정!$D$5:$D$24,MATCH($I184,코드설정!$C$5:$C$24,0)),""))</f>
        <v/>
      </c>
      <c r="R184" s="49" t="n"/>
      <c r="S184" s="50" t="n"/>
      <c r="T184" s="51" t="n"/>
      <c r="U184" s="43">
        <f>IF(OR($B184="",$C184=""),"",$C184-$B184+1)</f>
        <v/>
      </c>
      <c r="V184" s="52" t="n"/>
      <c r="W184" s="53">
        <f>IF(OR($V184="",$O184=""),"",$V184*$O184)</f>
        <v/>
      </c>
      <c r="X184" s="45" t="n"/>
      <c r="Y184" s="49" t="n"/>
    </row>
    <row r="185">
      <c r="A185" s="43">
        <f>IF($B185="","",COUNT($B$5:$B185))</f>
        <v/>
      </c>
      <c r="B185" s="44" t="n"/>
      <c r="C185" s="44" t="n"/>
      <c r="D185" s="45" t="n"/>
      <c r="E185" s="45" t="n"/>
      <c r="F185" s="45" t="n"/>
      <c r="G185" s="46">
        <f>IF($F185="","",IFERROR(INDEX(사건마스터!$B$5:$B$64,MATCH($F185,사건마스터!$A$5:$A$64,0)),""))</f>
        <v/>
      </c>
      <c r="H185" s="47">
        <f>IF($F185="","",IFERROR(INDEX(사건마스터!$C$5:$C$64,MATCH($F185,사건마스터!$A$5:$A$64,0)),""))</f>
        <v/>
      </c>
      <c r="I185" s="48">
        <f>IF($F185="","",IFERROR(INDEX(사건마스터!$H$5:$H$64,MATCH($F185,사건마스터!$A$5:$A$64,0)),""))</f>
        <v/>
      </c>
      <c r="J185" s="48">
        <f>IF($F185="","",IFERROR(INDEX(사건마스터!$AH$5:$AH$64,MATCH($F185,사건마스터!$A$5:$A$64,0)),""))</f>
        <v/>
      </c>
      <c r="K185" s="48">
        <f>IF($F185="","",IFERROR(INDEX(사건마스터!$AI$5:$AI$64,MATCH($F185,사건마스터!$A$5:$A$64,0)),""))</f>
        <v/>
      </c>
      <c r="L185" s="48">
        <f>IF($F185="","",IFERROR(INDEX(사건마스터!$AJ$5:$AJ$64,MATCH($F185,사건마스터!$A$5:$A$64,0)),""))</f>
        <v/>
      </c>
      <c r="M185" s="48">
        <f>IF($F185="","",IFERROR(INDEX(사건마스터!$AK$5:$AK$64,MATCH($F185,사건마스터!$A$5:$A$64,0)),""))</f>
        <v/>
      </c>
      <c r="N185" s="48">
        <f>IF($F185="","",IFERROR(INDEX(사건마스터!$AL$5:$AL$64,MATCH($F185,사건마스터!$A$5:$A$64,0)),""))</f>
        <v/>
      </c>
      <c r="O185" s="43">
        <f>IF($I185="","",COUNTIF($I185:$N185,"?*"))</f>
        <v/>
      </c>
      <c r="P185" s="46">
        <f>IF($I185="","",_xlfn.TEXTJOIN(", ",TRUE,$I185:$N185))</f>
        <v/>
      </c>
      <c r="Q185" s="47">
        <f>IF($I185="","",IFERROR(INDEX(코드설정!$D$5:$D$24,MATCH($I185,코드설정!$C$5:$C$24,0)),""))</f>
        <v/>
      </c>
      <c r="R185" s="49" t="n"/>
      <c r="S185" s="50" t="n"/>
      <c r="T185" s="51" t="n"/>
      <c r="U185" s="43">
        <f>IF(OR($B185="",$C185=""),"",$C185-$B185+1)</f>
        <v/>
      </c>
      <c r="V185" s="52" t="n"/>
      <c r="W185" s="53">
        <f>IF(OR($V185="",$O185=""),"",$V185*$O185)</f>
        <v/>
      </c>
      <c r="X185" s="45" t="n"/>
      <c r="Y185" s="49" t="n"/>
    </row>
    <row r="186">
      <c r="A186" s="43">
        <f>IF($B186="","",COUNT($B$5:$B186))</f>
        <v/>
      </c>
      <c r="B186" s="44" t="n"/>
      <c r="C186" s="44" t="n"/>
      <c r="D186" s="45" t="n"/>
      <c r="E186" s="45" t="n"/>
      <c r="F186" s="45" t="n"/>
      <c r="G186" s="46">
        <f>IF($F186="","",IFERROR(INDEX(사건마스터!$B$5:$B$64,MATCH($F186,사건마스터!$A$5:$A$64,0)),""))</f>
        <v/>
      </c>
      <c r="H186" s="47">
        <f>IF($F186="","",IFERROR(INDEX(사건마스터!$C$5:$C$64,MATCH($F186,사건마스터!$A$5:$A$64,0)),""))</f>
        <v/>
      </c>
      <c r="I186" s="48">
        <f>IF($F186="","",IFERROR(INDEX(사건마스터!$H$5:$H$64,MATCH($F186,사건마스터!$A$5:$A$64,0)),""))</f>
        <v/>
      </c>
      <c r="J186" s="48">
        <f>IF($F186="","",IFERROR(INDEX(사건마스터!$AH$5:$AH$64,MATCH($F186,사건마스터!$A$5:$A$64,0)),""))</f>
        <v/>
      </c>
      <c r="K186" s="48">
        <f>IF($F186="","",IFERROR(INDEX(사건마스터!$AI$5:$AI$64,MATCH($F186,사건마스터!$A$5:$A$64,0)),""))</f>
        <v/>
      </c>
      <c r="L186" s="48">
        <f>IF($F186="","",IFERROR(INDEX(사건마스터!$AJ$5:$AJ$64,MATCH($F186,사건마스터!$A$5:$A$64,0)),""))</f>
        <v/>
      </c>
      <c r="M186" s="48">
        <f>IF($F186="","",IFERROR(INDEX(사건마스터!$AK$5:$AK$64,MATCH($F186,사건마스터!$A$5:$A$64,0)),""))</f>
        <v/>
      </c>
      <c r="N186" s="48">
        <f>IF($F186="","",IFERROR(INDEX(사건마스터!$AL$5:$AL$64,MATCH($F186,사건마스터!$A$5:$A$64,0)),""))</f>
        <v/>
      </c>
      <c r="O186" s="43">
        <f>IF($I186="","",COUNTIF($I186:$N186,"?*"))</f>
        <v/>
      </c>
      <c r="P186" s="46">
        <f>IF($I186="","",_xlfn.TEXTJOIN(", ",TRUE,$I186:$N186))</f>
        <v/>
      </c>
      <c r="Q186" s="47">
        <f>IF($I186="","",IFERROR(INDEX(코드설정!$D$5:$D$24,MATCH($I186,코드설정!$C$5:$C$24,0)),""))</f>
        <v/>
      </c>
      <c r="R186" s="49" t="n"/>
      <c r="S186" s="50" t="n"/>
      <c r="T186" s="51" t="n"/>
      <c r="U186" s="43">
        <f>IF(OR($B186="",$C186=""),"",$C186-$B186+1)</f>
        <v/>
      </c>
      <c r="V186" s="52" t="n"/>
      <c r="W186" s="53">
        <f>IF(OR($V186="",$O186=""),"",$V186*$O186)</f>
        <v/>
      </c>
      <c r="X186" s="45" t="n"/>
      <c r="Y186" s="49" t="n"/>
    </row>
    <row r="187">
      <c r="A187" s="43">
        <f>IF($B187="","",COUNT($B$5:$B187))</f>
        <v/>
      </c>
      <c r="B187" s="44" t="n"/>
      <c r="C187" s="44" t="n"/>
      <c r="D187" s="45" t="n"/>
      <c r="E187" s="45" t="n"/>
      <c r="F187" s="45" t="n"/>
      <c r="G187" s="46">
        <f>IF($F187="","",IFERROR(INDEX(사건마스터!$B$5:$B$64,MATCH($F187,사건마스터!$A$5:$A$64,0)),""))</f>
        <v/>
      </c>
      <c r="H187" s="47">
        <f>IF($F187="","",IFERROR(INDEX(사건마스터!$C$5:$C$64,MATCH($F187,사건마스터!$A$5:$A$64,0)),""))</f>
        <v/>
      </c>
      <c r="I187" s="48">
        <f>IF($F187="","",IFERROR(INDEX(사건마스터!$H$5:$H$64,MATCH($F187,사건마스터!$A$5:$A$64,0)),""))</f>
        <v/>
      </c>
      <c r="J187" s="48">
        <f>IF($F187="","",IFERROR(INDEX(사건마스터!$AH$5:$AH$64,MATCH($F187,사건마스터!$A$5:$A$64,0)),""))</f>
        <v/>
      </c>
      <c r="K187" s="48">
        <f>IF($F187="","",IFERROR(INDEX(사건마스터!$AI$5:$AI$64,MATCH($F187,사건마스터!$A$5:$A$64,0)),""))</f>
        <v/>
      </c>
      <c r="L187" s="48">
        <f>IF($F187="","",IFERROR(INDEX(사건마스터!$AJ$5:$AJ$64,MATCH($F187,사건마스터!$A$5:$A$64,0)),""))</f>
        <v/>
      </c>
      <c r="M187" s="48">
        <f>IF($F187="","",IFERROR(INDEX(사건마스터!$AK$5:$AK$64,MATCH($F187,사건마스터!$A$5:$A$64,0)),""))</f>
        <v/>
      </c>
      <c r="N187" s="48">
        <f>IF($F187="","",IFERROR(INDEX(사건마스터!$AL$5:$AL$64,MATCH($F187,사건마스터!$A$5:$A$64,0)),""))</f>
        <v/>
      </c>
      <c r="O187" s="43">
        <f>IF($I187="","",COUNTIF($I187:$N187,"?*"))</f>
        <v/>
      </c>
      <c r="P187" s="46">
        <f>IF($I187="","",_xlfn.TEXTJOIN(", ",TRUE,$I187:$N187))</f>
        <v/>
      </c>
      <c r="Q187" s="47">
        <f>IF($I187="","",IFERROR(INDEX(코드설정!$D$5:$D$24,MATCH($I187,코드설정!$C$5:$C$24,0)),""))</f>
        <v/>
      </c>
      <c r="R187" s="49" t="n"/>
      <c r="S187" s="50" t="n"/>
      <c r="T187" s="51" t="n"/>
      <c r="U187" s="43">
        <f>IF(OR($B187="",$C187=""),"",$C187-$B187+1)</f>
        <v/>
      </c>
      <c r="V187" s="52" t="n"/>
      <c r="W187" s="53">
        <f>IF(OR($V187="",$O187=""),"",$V187*$O187)</f>
        <v/>
      </c>
      <c r="X187" s="45" t="n"/>
      <c r="Y187" s="49" t="n"/>
    </row>
    <row r="188">
      <c r="A188" s="43">
        <f>IF($B188="","",COUNT($B$5:$B188))</f>
        <v/>
      </c>
      <c r="B188" s="44" t="n"/>
      <c r="C188" s="44" t="n"/>
      <c r="D188" s="45" t="n"/>
      <c r="E188" s="45" t="n"/>
      <c r="F188" s="45" t="n"/>
      <c r="G188" s="46">
        <f>IF($F188="","",IFERROR(INDEX(사건마스터!$B$5:$B$64,MATCH($F188,사건마스터!$A$5:$A$64,0)),""))</f>
        <v/>
      </c>
      <c r="H188" s="47">
        <f>IF($F188="","",IFERROR(INDEX(사건마스터!$C$5:$C$64,MATCH($F188,사건마스터!$A$5:$A$64,0)),""))</f>
        <v/>
      </c>
      <c r="I188" s="48">
        <f>IF($F188="","",IFERROR(INDEX(사건마스터!$H$5:$H$64,MATCH($F188,사건마스터!$A$5:$A$64,0)),""))</f>
        <v/>
      </c>
      <c r="J188" s="48">
        <f>IF($F188="","",IFERROR(INDEX(사건마스터!$AH$5:$AH$64,MATCH($F188,사건마스터!$A$5:$A$64,0)),""))</f>
        <v/>
      </c>
      <c r="K188" s="48">
        <f>IF($F188="","",IFERROR(INDEX(사건마스터!$AI$5:$AI$64,MATCH($F188,사건마스터!$A$5:$A$64,0)),""))</f>
        <v/>
      </c>
      <c r="L188" s="48">
        <f>IF($F188="","",IFERROR(INDEX(사건마스터!$AJ$5:$AJ$64,MATCH($F188,사건마스터!$A$5:$A$64,0)),""))</f>
        <v/>
      </c>
      <c r="M188" s="48">
        <f>IF($F188="","",IFERROR(INDEX(사건마스터!$AK$5:$AK$64,MATCH($F188,사건마스터!$A$5:$A$64,0)),""))</f>
        <v/>
      </c>
      <c r="N188" s="48">
        <f>IF($F188="","",IFERROR(INDEX(사건마스터!$AL$5:$AL$64,MATCH($F188,사건마스터!$A$5:$A$64,0)),""))</f>
        <v/>
      </c>
      <c r="O188" s="43">
        <f>IF($I188="","",COUNTIF($I188:$N188,"?*"))</f>
        <v/>
      </c>
      <c r="P188" s="46">
        <f>IF($I188="","",_xlfn.TEXTJOIN(", ",TRUE,$I188:$N188))</f>
        <v/>
      </c>
      <c r="Q188" s="47">
        <f>IF($I188="","",IFERROR(INDEX(코드설정!$D$5:$D$24,MATCH($I188,코드설정!$C$5:$C$24,0)),""))</f>
        <v/>
      </c>
      <c r="R188" s="49" t="n"/>
      <c r="S188" s="50" t="n"/>
      <c r="T188" s="51" t="n"/>
      <c r="U188" s="43">
        <f>IF(OR($B188="",$C188=""),"",$C188-$B188+1)</f>
        <v/>
      </c>
      <c r="V188" s="52" t="n"/>
      <c r="W188" s="53">
        <f>IF(OR($V188="",$O188=""),"",$V188*$O188)</f>
        <v/>
      </c>
      <c r="X188" s="45" t="n"/>
      <c r="Y188" s="49" t="n"/>
    </row>
    <row r="189">
      <c r="A189" s="43">
        <f>IF($B189="","",COUNT($B$5:$B189))</f>
        <v/>
      </c>
      <c r="B189" s="44" t="n"/>
      <c r="C189" s="44" t="n"/>
      <c r="D189" s="45" t="n"/>
      <c r="E189" s="45" t="n"/>
      <c r="F189" s="45" t="n"/>
      <c r="G189" s="46">
        <f>IF($F189="","",IFERROR(INDEX(사건마스터!$B$5:$B$64,MATCH($F189,사건마스터!$A$5:$A$64,0)),""))</f>
        <v/>
      </c>
      <c r="H189" s="47">
        <f>IF($F189="","",IFERROR(INDEX(사건마스터!$C$5:$C$64,MATCH($F189,사건마스터!$A$5:$A$64,0)),""))</f>
        <v/>
      </c>
      <c r="I189" s="48">
        <f>IF($F189="","",IFERROR(INDEX(사건마스터!$H$5:$H$64,MATCH($F189,사건마스터!$A$5:$A$64,0)),""))</f>
        <v/>
      </c>
      <c r="J189" s="48">
        <f>IF($F189="","",IFERROR(INDEX(사건마스터!$AH$5:$AH$64,MATCH($F189,사건마스터!$A$5:$A$64,0)),""))</f>
        <v/>
      </c>
      <c r="K189" s="48">
        <f>IF($F189="","",IFERROR(INDEX(사건마스터!$AI$5:$AI$64,MATCH($F189,사건마스터!$A$5:$A$64,0)),""))</f>
        <v/>
      </c>
      <c r="L189" s="48">
        <f>IF($F189="","",IFERROR(INDEX(사건마스터!$AJ$5:$AJ$64,MATCH($F189,사건마스터!$A$5:$A$64,0)),""))</f>
        <v/>
      </c>
      <c r="M189" s="48">
        <f>IF($F189="","",IFERROR(INDEX(사건마스터!$AK$5:$AK$64,MATCH($F189,사건마스터!$A$5:$A$64,0)),""))</f>
        <v/>
      </c>
      <c r="N189" s="48">
        <f>IF($F189="","",IFERROR(INDEX(사건마스터!$AL$5:$AL$64,MATCH($F189,사건마스터!$A$5:$A$64,0)),""))</f>
        <v/>
      </c>
      <c r="O189" s="43">
        <f>IF($I189="","",COUNTIF($I189:$N189,"?*"))</f>
        <v/>
      </c>
      <c r="P189" s="46">
        <f>IF($I189="","",_xlfn.TEXTJOIN(", ",TRUE,$I189:$N189))</f>
        <v/>
      </c>
      <c r="Q189" s="47">
        <f>IF($I189="","",IFERROR(INDEX(코드설정!$D$5:$D$24,MATCH($I189,코드설정!$C$5:$C$24,0)),""))</f>
        <v/>
      </c>
      <c r="R189" s="49" t="n"/>
      <c r="S189" s="50" t="n"/>
      <c r="T189" s="51" t="n"/>
      <c r="U189" s="43">
        <f>IF(OR($B189="",$C189=""),"",$C189-$B189+1)</f>
        <v/>
      </c>
      <c r="V189" s="52" t="n"/>
      <c r="W189" s="53">
        <f>IF(OR($V189="",$O189=""),"",$V189*$O189)</f>
        <v/>
      </c>
      <c r="X189" s="45" t="n"/>
      <c r="Y189" s="49" t="n"/>
    </row>
    <row r="190">
      <c r="A190" s="43">
        <f>IF($B190="","",COUNT($B$5:$B190))</f>
        <v/>
      </c>
      <c r="B190" s="44" t="n"/>
      <c r="C190" s="44" t="n"/>
      <c r="D190" s="45" t="n"/>
      <c r="E190" s="45" t="n"/>
      <c r="F190" s="45" t="n"/>
      <c r="G190" s="46">
        <f>IF($F190="","",IFERROR(INDEX(사건마스터!$B$5:$B$64,MATCH($F190,사건마스터!$A$5:$A$64,0)),""))</f>
        <v/>
      </c>
      <c r="H190" s="47">
        <f>IF($F190="","",IFERROR(INDEX(사건마스터!$C$5:$C$64,MATCH($F190,사건마스터!$A$5:$A$64,0)),""))</f>
        <v/>
      </c>
      <c r="I190" s="48">
        <f>IF($F190="","",IFERROR(INDEX(사건마스터!$H$5:$H$64,MATCH($F190,사건마스터!$A$5:$A$64,0)),""))</f>
        <v/>
      </c>
      <c r="J190" s="48">
        <f>IF($F190="","",IFERROR(INDEX(사건마스터!$AH$5:$AH$64,MATCH($F190,사건마스터!$A$5:$A$64,0)),""))</f>
        <v/>
      </c>
      <c r="K190" s="48">
        <f>IF($F190="","",IFERROR(INDEX(사건마스터!$AI$5:$AI$64,MATCH($F190,사건마스터!$A$5:$A$64,0)),""))</f>
        <v/>
      </c>
      <c r="L190" s="48">
        <f>IF($F190="","",IFERROR(INDEX(사건마스터!$AJ$5:$AJ$64,MATCH($F190,사건마스터!$A$5:$A$64,0)),""))</f>
        <v/>
      </c>
      <c r="M190" s="48">
        <f>IF($F190="","",IFERROR(INDEX(사건마스터!$AK$5:$AK$64,MATCH($F190,사건마스터!$A$5:$A$64,0)),""))</f>
        <v/>
      </c>
      <c r="N190" s="48">
        <f>IF($F190="","",IFERROR(INDEX(사건마스터!$AL$5:$AL$64,MATCH($F190,사건마스터!$A$5:$A$64,0)),""))</f>
        <v/>
      </c>
      <c r="O190" s="43">
        <f>IF($I190="","",COUNTIF($I190:$N190,"?*"))</f>
        <v/>
      </c>
      <c r="P190" s="46">
        <f>IF($I190="","",_xlfn.TEXTJOIN(", ",TRUE,$I190:$N190))</f>
        <v/>
      </c>
      <c r="Q190" s="47">
        <f>IF($I190="","",IFERROR(INDEX(코드설정!$D$5:$D$24,MATCH($I190,코드설정!$C$5:$C$24,0)),""))</f>
        <v/>
      </c>
      <c r="R190" s="49" t="n"/>
      <c r="S190" s="50" t="n"/>
      <c r="T190" s="51" t="n"/>
      <c r="U190" s="43">
        <f>IF(OR($B190="",$C190=""),"",$C190-$B190+1)</f>
        <v/>
      </c>
      <c r="V190" s="52" t="n"/>
      <c r="W190" s="53">
        <f>IF(OR($V190="",$O190=""),"",$V190*$O190)</f>
        <v/>
      </c>
      <c r="X190" s="45" t="n"/>
      <c r="Y190" s="49" t="n"/>
    </row>
    <row r="191">
      <c r="A191" s="43">
        <f>IF($B191="","",COUNT($B$5:$B191))</f>
        <v/>
      </c>
      <c r="B191" s="44" t="n"/>
      <c r="C191" s="44" t="n"/>
      <c r="D191" s="45" t="n"/>
      <c r="E191" s="45" t="n"/>
      <c r="F191" s="45" t="n"/>
      <c r="G191" s="46">
        <f>IF($F191="","",IFERROR(INDEX(사건마스터!$B$5:$B$64,MATCH($F191,사건마스터!$A$5:$A$64,0)),""))</f>
        <v/>
      </c>
      <c r="H191" s="47">
        <f>IF($F191="","",IFERROR(INDEX(사건마스터!$C$5:$C$64,MATCH($F191,사건마스터!$A$5:$A$64,0)),""))</f>
        <v/>
      </c>
      <c r="I191" s="48">
        <f>IF($F191="","",IFERROR(INDEX(사건마스터!$H$5:$H$64,MATCH($F191,사건마스터!$A$5:$A$64,0)),""))</f>
        <v/>
      </c>
      <c r="J191" s="48">
        <f>IF($F191="","",IFERROR(INDEX(사건마스터!$AH$5:$AH$64,MATCH($F191,사건마스터!$A$5:$A$64,0)),""))</f>
        <v/>
      </c>
      <c r="K191" s="48">
        <f>IF($F191="","",IFERROR(INDEX(사건마스터!$AI$5:$AI$64,MATCH($F191,사건마스터!$A$5:$A$64,0)),""))</f>
        <v/>
      </c>
      <c r="L191" s="48">
        <f>IF($F191="","",IFERROR(INDEX(사건마스터!$AJ$5:$AJ$64,MATCH($F191,사건마스터!$A$5:$A$64,0)),""))</f>
        <v/>
      </c>
      <c r="M191" s="48">
        <f>IF($F191="","",IFERROR(INDEX(사건마스터!$AK$5:$AK$64,MATCH($F191,사건마스터!$A$5:$A$64,0)),""))</f>
        <v/>
      </c>
      <c r="N191" s="48">
        <f>IF($F191="","",IFERROR(INDEX(사건마스터!$AL$5:$AL$64,MATCH($F191,사건마스터!$A$5:$A$64,0)),""))</f>
        <v/>
      </c>
      <c r="O191" s="43">
        <f>IF($I191="","",COUNTIF($I191:$N191,"?*"))</f>
        <v/>
      </c>
      <c r="P191" s="46">
        <f>IF($I191="","",_xlfn.TEXTJOIN(", ",TRUE,$I191:$N191))</f>
        <v/>
      </c>
      <c r="Q191" s="47">
        <f>IF($I191="","",IFERROR(INDEX(코드설정!$D$5:$D$24,MATCH($I191,코드설정!$C$5:$C$24,0)),""))</f>
        <v/>
      </c>
      <c r="R191" s="49" t="n"/>
      <c r="S191" s="50" t="n"/>
      <c r="T191" s="51" t="n"/>
      <c r="U191" s="43">
        <f>IF(OR($B191="",$C191=""),"",$C191-$B191+1)</f>
        <v/>
      </c>
      <c r="V191" s="52" t="n"/>
      <c r="W191" s="53">
        <f>IF(OR($V191="",$O191=""),"",$V191*$O191)</f>
        <v/>
      </c>
      <c r="X191" s="45" t="n"/>
      <c r="Y191" s="49" t="n"/>
    </row>
    <row r="192">
      <c r="A192" s="43">
        <f>IF($B192="","",COUNT($B$5:$B192))</f>
        <v/>
      </c>
      <c r="B192" s="44" t="n"/>
      <c r="C192" s="44" t="n"/>
      <c r="D192" s="45" t="n"/>
      <c r="E192" s="45" t="n"/>
      <c r="F192" s="45" t="n"/>
      <c r="G192" s="46">
        <f>IF($F192="","",IFERROR(INDEX(사건마스터!$B$5:$B$64,MATCH($F192,사건마스터!$A$5:$A$64,0)),""))</f>
        <v/>
      </c>
      <c r="H192" s="47">
        <f>IF($F192="","",IFERROR(INDEX(사건마스터!$C$5:$C$64,MATCH($F192,사건마스터!$A$5:$A$64,0)),""))</f>
        <v/>
      </c>
      <c r="I192" s="48">
        <f>IF($F192="","",IFERROR(INDEX(사건마스터!$H$5:$H$64,MATCH($F192,사건마스터!$A$5:$A$64,0)),""))</f>
        <v/>
      </c>
      <c r="J192" s="48">
        <f>IF($F192="","",IFERROR(INDEX(사건마스터!$AH$5:$AH$64,MATCH($F192,사건마스터!$A$5:$A$64,0)),""))</f>
        <v/>
      </c>
      <c r="K192" s="48">
        <f>IF($F192="","",IFERROR(INDEX(사건마스터!$AI$5:$AI$64,MATCH($F192,사건마스터!$A$5:$A$64,0)),""))</f>
        <v/>
      </c>
      <c r="L192" s="48">
        <f>IF($F192="","",IFERROR(INDEX(사건마스터!$AJ$5:$AJ$64,MATCH($F192,사건마스터!$A$5:$A$64,0)),""))</f>
        <v/>
      </c>
      <c r="M192" s="48">
        <f>IF($F192="","",IFERROR(INDEX(사건마스터!$AK$5:$AK$64,MATCH($F192,사건마스터!$A$5:$A$64,0)),""))</f>
        <v/>
      </c>
      <c r="N192" s="48">
        <f>IF($F192="","",IFERROR(INDEX(사건마스터!$AL$5:$AL$64,MATCH($F192,사건마스터!$A$5:$A$64,0)),""))</f>
        <v/>
      </c>
      <c r="O192" s="43">
        <f>IF($I192="","",COUNTIF($I192:$N192,"?*"))</f>
        <v/>
      </c>
      <c r="P192" s="46">
        <f>IF($I192="","",_xlfn.TEXTJOIN(", ",TRUE,$I192:$N192))</f>
        <v/>
      </c>
      <c r="Q192" s="47">
        <f>IF($I192="","",IFERROR(INDEX(코드설정!$D$5:$D$24,MATCH($I192,코드설정!$C$5:$C$24,0)),""))</f>
        <v/>
      </c>
      <c r="R192" s="49" t="n"/>
      <c r="S192" s="50" t="n"/>
      <c r="T192" s="51" t="n"/>
      <c r="U192" s="43">
        <f>IF(OR($B192="",$C192=""),"",$C192-$B192+1)</f>
        <v/>
      </c>
      <c r="V192" s="52" t="n"/>
      <c r="W192" s="53">
        <f>IF(OR($V192="",$O192=""),"",$V192*$O192)</f>
        <v/>
      </c>
      <c r="X192" s="45" t="n"/>
      <c r="Y192" s="49" t="n"/>
    </row>
    <row r="193">
      <c r="A193" s="43">
        <f>IF($B193="","",COUNT($B$5:$B193))</f>
        <v/>
      </c>
      <c r="B193" s="44" t="n"/>
      <c r="C193" s="44" t="n"/>
      <c r="D193" s="45" t="n"/>
      <c r="E193" s="45" t="n"/>
      <c r="F193" s="45" t="n"/>
      <c r="G193" s="46">
        <f>IF($F193="","",IFERROR(INDEX(사건마스터!$B$5:$B$64,MATCH($F193,사건마스터!$A$5:$A$64,0)),""))</f>
        <v/>
      </c>
      <c r="H193" s="47">
        <f>IF($F193="","",IFERROR(INDEX(사건마스터!$C$5:$C$64,MATCH($F193,사건마스터!$A$5:$A$64,0)),""))</f>
        <v/>
      </c>
      <c r="I193" s="48">
        <f>IF($F193="","",IFERROR(INDEX(사건마스터!$H$5:$H$64,MATCH($F193,사건마스터!$A$5:$A$64,0)),""))</f>
        <v/>
      </c>
      <c r="J193" s="48">
        <f>IF($F193="","",IFERROR(INDEX(사건마스터!$AH$5:$AH$64,MATCH($F193,사건마스터!$A$5:$A$64,0)),""))</f>
        <v/>
      </c>
      <c r="K193" s="48">
        <f>IF($F193="","",IFERROR(INDEX(사건마스터!$AI$5:$AI$64,MATCH($F193,사건마스터!$A$5:$A$64,0)),""))</f>
        <v/>
      </c>
      <c r="L193" s="48">
        <f>IF($F193="","",IFERROR(INDEX(사건마스터!$AJ$5:$AJ$64,MATCH($F193,사건마스터!$A$5:$A$64,0)),""))</f>
        <v/>
      </c>
      <c r="M193" s="48">
        <f>IF($F193="","",IFERROR(INDEX(사건마스터!$AK$5:$AK$64,MATCH($F193,사건마스터!$A$5:$A$64,0)),""))</f>
        <v/>
      </c>
      <c r="N193" s="48">
        <f>IF($F193="","",IFERROR(INDEX(사건마스터!$AL$5:$AL$64,MATCH($F193,사건마스터!$A$5:$A$64,0)),""))</f>
        <v/>
      </c>
      <c r="O193" s="43">
        <f>IF($I193="","",COUNTIF($I193:$N193,"?*"))</f>
        <v/>
      </c>
      <c r="P193" s="46">
        <f>IF($I193="","",_xlfn.TEXTJOIN(", ",TRUE,$I193:$N193))</f>
        <v/>
      </c>
      <c r="Q193" s="47">
        <f>IF($I193="","",IFERROR(INDEX(코드설정!$D$5:$D$24,MATCH($I193,코드설정!$C$5:$C$24,0)),""))</f>
        <v/>
      </c>
      <c r="R193" s="49" t="n"/>
      <c r="S193" s="50" t="n"/>
      <c r="T193" s="51" t="n"/>
      <c r="U193" s="43">
        <f>IF(OR($B193="",$C193=""),"",$C193-$B193+1)</f>
        <v/>
      </c>
      <c r="V193" s="52" t="n"/>
      <c r="W193" s="53">
        <f>IF(OR($V193="",$O193=""),"",$V193*$O193)</f>
        <v/>
      </c>
      <c r="X193" s="45" t="n"/>
      <c r="Y193" s="49" t="n"/>
    </row>
    <row r="194">
      <c r="A194" s="43">
        <f>IF($B194="","",COUNT($B$5:$B194))</f>
        <v/>
      </c>
      <c r="B194" s="44" t="n"/>
      <c r="C194" s="44" t="n"/>
      <c r="D194" s="45" t="n"/>
      <c r="E194" s="45" t="n"/>
      <c r="F194" s="45" t="n"/>
      <c r="G194" s="46">
        <f>IF($F194="","",IFERROR(INDEX(사건마스터!$B$5:$B$64,MATCH($F194,사건마스터!$A$5:$A$64,0)),""))</f>
        <v/>
      </c>
      <c r="H194" s="47">
        <f>IF($F194="","",IFERROR(INDEX(사건마스터!$C$5:$C$64,MATCH($F194,사건마스터!$A$5:$A$64,0)),""))</f>
        <v/>
      </c>
      <c r="I194" s="48">
        <f>IF($F194="","",IFERROR(INDEX(사건마스터!$H$5:$H$64,MATCH($F194,사건마스터!$A$5:$A$64,0)),""))</f>
        <v/>
      </c>
      <c r="J194" s="48">
        <f>IF($F194="","",IFERROR(INDEX(사건마스터!$AH$5:$AH$64,MATCH($F194,사건마스터!$A$5:$A$64,0)),""))</f>
        <v/>
      </c>
      <c r="K194" s="48">
        <f>IF($F194="","",IFERROR(INDEX(사건마스터!$AI$5:$AI$64,MATCH($F194,사건마스터!$A$5:$A$64,0)),""))</f>
        <v/>
      </c>
      <c r="L194" s="48">
        <f>IF($F194="","",IFERROR(INDEX(사건마스터!$AJ$5:$AJ$64,MATCH($F194,사건마스터!$A$5:$A$64,0)),""))</f>
        <v/>
      </c>
      <c r="M194" s="48">
        <f>IF($F194="","",IFERROR(INDEX(사건마스터!$AK$5:$AK$64,MATCH($F194,사건마스터!$A$5:$A$64,0)),""))</f>
        <v/>
      </c>
      <c r="N194" s="48">
        <f>IF($F194="","",IFERROR(INDEX(사건마스터!$AL$5:$AL$64,MATCH($F194,사건마스터!$A$5:$A$64,0)),""))</f>
        <v/>
      </c>
      <c r="O194" s="43">
        <f>IF($I194="","",COUNTIF($I194:$N194,"?*"))</f>
        <v/>
      </c>
      <c r="P194" s="46">
        <f>IF($I194="","",_xlfn.TEXTJOIN(", ",TRUE,$I194:$N194))</f>
        <v/>
      </c>
      <c r="Q194" s="47">
        <f>IF($I194="","",IFERROR(INDEX(코드설정!$D$5:$D$24,MATCH($I194,코드설정!$C$5:$C$24,0)),""))</f>
        <v/>
      </c>
      <c r="R194" s="49" t="n"/>
      <c r="S194" s="50" t="n"/>
      <c r="T194" s="51" t="n"/>
      <c r="U194" s="43">
        <f>IF(OR($B194="",$C194=""),"",$C194-$B194+1)</f>
        <v/>
      </c>
      <c r="V194" s="52" t="n"/>
      <c r="W194" s="53">
        <f>IF(OR($V194="",$O194=""),"",$V194*$O194)</f>
        <v/>
      </c>
      <c r="X194" s="45" t="n"/>
      <c r="Y194" s="49" t="n"/>
    </row>
    <row r="195">
      <c r="A195" s="43">
        <f>IF($B195="","",COUNT($B$5:$B195))</f>
        <v/>
      </c>
      <c r="B195" s="44" t="n"/>
      <c r="C195" s="44" t="n"/>
      <c r="D195" s="45" t="n"/>
      <c r="E195" s="45" t="n"/>
      <c r="F195" s="45" t="n"/>
      <c r="G195" s="46">
        <f>IF($F195="","",IFERROR(INDEX(사건마스터!$B$5:$B$64,MATCH($F195,사건마스터!$A$5:$A$64,0)),""))</f>
        <v/>
      </c>
      <c r="H195" s="47">
        <f>IF($F195="","",IFERROR(INDEX(사건마스터!$C$5:$C$64,MATCH($F195,사건마스터!$A$5:$A$64,0)),""))</f>
        <v/>
      </c>
      <c r="I195" s="48">
        <f>IF($F195="","",IFERROR(INDEX(사건마스터!$H$5:$H$64,MATCH($F195,사건마스터!$A$5:$A$64,0)),""))</f>
        <v/>
      </c>
      <c r="J195" s="48">
        <f>IF($F195="","",IFERROR(INDEX(사건마스터!$AH$5:$AH$64,MATCH($F195,사건마스터!$A$5:$A$64,0)),""))</f>
        <v/>
      </c>
      <c r="K195" s="48">
        <f>IF($F195="","",IFERROR(INDEX(사건마스터!$AI$5:$AI$64,MATCH($F195,사건마스터!$A$5:$A$64,0)),""))</f>
        <v/>
      </c>
      <c r="L195" s="48">
        <f>IF($F195="","",IFERROR(INDEX(사건마스터!$AJ$5:$AJ$64,MATCH($F195,사건마스터!$A$5:$A$64,0)),""))</f>
        <v/>
      </c>
      <c r="M195" s="48">
        <f>IF($F195="","",IFERROR(INDEX(사건마스터!$AK$5:$AK$64,MATCH($F195,사건마스터!$A$5:$A$64,0)),""))</f>
        <v/>
      </c>
      <c r="N195" s="48">
        <f>IF($F195="","",IFERROR(INDEX(사건마스터!$AL$5:$AL$64,MATCH($F195,사건마스터!$A$5:$A$64,0)),""))</f>
        <v/>
      </c>
      <c r="O195" s="43">
        <f>IF($I195="","",COUNTIF($I195:$N195,"?*"))</f>
        <v/>
      </c>
      <c r="P195" s="46">
        <f>IF($I195="","",_xlfn.TEXTJOIN(", ",TRUE,$I195:$N195))</f>
        <v/>
      </c>
      <c r="Q195" s="47">
        <f>IF($I195="","",IFERROR(INDEX(코드설정!$D$5:$D$24,MATCH($I195,코드설정!$C$5:$C$24,0)),""))</f>
        <v/>
      </c>
      <c r="R195" s="49" t="n"/>
      <c r="S195" s="50" t="n"/>
      <c r="T195" s="51" t="n"/>
      <c r="U195" s="43">
        <f>IF(OR($B195="",$C195=""),"",$C195-$B195+1)</f>
        <v/>
      </c>
      <c r="V195" s="52" t="n"/>
      <c r="W195" s="53">
        <f>IF(OR($V195="",$O195=""),"",$V195*$O195)</f>
        <v/>
      </c>
      <c r="X195" s="45" t="n"/>
      <c r="Y195" s="49" t="n"/>
    </row>
    <row r="196">
      <c r="A196" s="43">
        <f>IF($B196="","",COUNT($B$5:$B196))</f>
        <v/>
      </c>
      <c r="B196" s="44" t="n"/>
      <c r="C196" s="44" t="n"/>
      <c r="D196" s="45" t="n"/>
      <c r="E196" s="45" t="n"/>
      <c r="F196" s="45" t="n"/>
      <c r="G196" s="46">
        <f>IF($F196="","",IFERROR(INDEX(사건마스터!$B$5:$B$64,MATCH($F196,사건마스터!$A$5:$A$64,0)),""))</f>
        <v/>
      </c>
      <c r="H196" s="47">
        <f>IF($F196="","",IFERROR(INDEX(사건마스터!$C$5:$C$64,MATCH($F196,사건마스터!$A$5:$A$64,0)),""))</f>
        <v/>
      </c>
      <c r="I196" s="48">
        <f>IF($F196="","",IFERROR(INDEX(사건마스터!$H$5:$H$64,MATCH($F196,사건마스터!$A$5:$A$64,0)),""))</f>
        <v/>
      </c>
      <c r="J196" s="48">
        <f>IF($F196="","",IFERROR(INDEX(사건마스터!$AH$5:$AH$64,MATCH($F196,사건마스터!$A$5:$A$64,0)),""))</f>
        <v/>
      </c>
      <c r="K196" s="48">
        <f>IF($F196="","",IFERROR(INDEX(사건마스터!$AI$5:$AI$64,MATCH($F196,사건마스터!$A$5:$A$64,0)),""))</f>
        <v/>
      </c>
      <c r="L196" s="48">
        <f>IF($F196="","",IFERROR(INDEX(사건마스터!$AJ$5:$AJ$64,MATCH($F196,사건마스터!$A$5:$A$64,0)),""))</f>
        <v/>
      </c>
      <c r="M196" s="48">
        <f>IF($F196="","",IFERROR(INDEX(사건마스터!$AK$5:$AK$64,MATCH($F196,사건마스터!$A$5:$A$64,0)),""))</f>
        <v/>
      </c>
      <c r="N196" s="48">
        <f>IF($F196="","",IFERROR(INDEX(사건마스터!$AL$5:$AL$64,MATCH($F196,사건마스터!$A$5:$A$64,0)),""))</f>
        <v/>
      </c>
      <c r="O196" s="43">
        <f>IF($I196="","",COUNTIF($I196:$N196,"?*"))</f>
        <v/>
      </c>
      <c r="P196" s="46">
        <f>IF($I196="","",_xlfn.TEXTJOIN(", ",TRUE,$I196:$N196))</f>
        <v/>
      </c>
      <c r="Q196" s="47">
        <f>IF($I196="","",IFERROR(INDEX(코드설정!$D$5:$D$24,MATCH($I196,코드설정!$C$5:$C$24,0)),""))</f>
        <v/>
      </c>
      <c r="R196" s="49" t="n"/>
      <c r="S196" s="50" t="n"/>
      <c r="T196" s="51" t="n"/>
      <c r="U196" s="43">
        <f>IF(OR($B196="",$C196=""),"",$C196-$B196+1)</f>
        <v/>
      </c>
      <c r="V196" s="52" t="n"/>
      <c r="W196" s="53">
        <f>IF(OR($V196="",$O196=""),"",$V196*$O196)</f>
        <v/>
      </c>
      <c r="X196" s="45" t="n"/>
      <c r="Y196" s="49" t="n"/>
    </row>
    <row r="197">
      <c r="A197" s="43">
        <f>IF($B197="","",COUNT($B$5:$B197))</f>
        <v/>
      </c>
      <c r="B197" s="44" t="n"/>
      <c r="C197" s="44" t="n"/>
      <c r="D197" s="45" t="n"/>
      <c r="E197" s="45" t="n"/>
      <c r="F197" s="45" t="n"/>
      <c r="G197" s="46">
        <f>IF($F197="","",IFERROR(INDEX(사건마스터!$B$5:$B$64,MATCH($F197,사건마스터!$A$5:$A$64,0)),""))</f>
        <v/>
      </c>
      <c r="H197" s="47">
        <f>IF($F197="","",IFERROR(INDEX(사건마스터!$C$5:$C$64,MATCH($F197,사건마스터!$A$5:$A$64,0)),""))</f>
        <v/>
      </c>
      <c r="I197" s="48">
        <f>IF($F197="","",IFERROR(INDEX(사건마스터!$H$5:$H$64,MATCH($F197,사건마스터!$A$5:$A$64,0)),""))</f>
        <v/>
      </c>
      <c r="J197" s="48">
        <f>IF($F197="","",IFERROR(INDEX(사건마스터!$AH$5:$AH$64,MATCH($F197,사건마스터!$A$5:$A$64,0)),""))</f>
        <v/>
      </c>
      <c r="K197" s="48">
        <f>IF($F197="","",IFERROR(INDEX(사건마스터!$AI$5:$AI$64,MATCH($F197,사건마스터!$A$5:$A$64,0)),""))</f>
        <v/>
      </c>
      <c r="L197" s="48">
        <f>IF($F197="","",IFERROR(INDEX(사건마스터!$AJ$5:$AJ$64,MATCH($F197,사건마스터!$A$5:$A$64,0)),""))</f>
        <v/>
      </c>
      <c r="M197" s="48">
        <f>IF($F197="","",IFERROR(INDEX(사건마스터!$AK$5:$AK$64,MATCH($F197,사건마스터!$A$5:$A$64,0)),""))</f>
        <v/>
      </c>
      <c r="N197" s="48">
        <f>IF($F197="","",IFERROR(INDEX(사건마스터!$AL$5:$AL$64,MATCH($F197,사건마스터!$A$5:$A$64,0)),""))</f>
        <v/>
      </c>
      <c r="O197" s="43">
        <f>IF($I197="","",COUNTIF($I197:$N197,"?*"))</f>
        <v/>
      </c>
      <c r="P197" s="46">
        <f>IF($I197="","",_xlfn.TEXTJOIN(", ",TRUE,$I197:$N197))</f>
        <v/>
      </c>
      <c r="Q197" s="47">
        <f>IF($I197="","",IFERROR(INDEX(코드설정!$D$5:$D$24,MATCH($I197,코드설정!$C$5:$C$24,0)),""))</f>
        <v/>
      </c>
      <c r="R197" s="49" t="n"/>
      <c r="S197" s="50" t="n"/>
      <c r="T197" s="51" t="n"/>
      <c r="U197" s="43">
        <f>IF(OR($B197="",$C197=""),"",$C197-$B197+1)</f>
        <v/>
      </c>
      <c r="V197" s="52" t="n"/>
      <c r="W197" s="53">
        <f>IF(OR($V197="",$O197=""),"",$V197*$O197)</f>
        <v/>
      </c>
      <c r="X197" s="45" t="n"/>
      <c r="Y197" s="49" t="n"/>
    </row>
    <row r="198">
      <c r="A198" s="43">
        <f>IF($B198="","",COUNT($B$5:$B198))</f>
        <v/>
      </c>
      <c r="B198" s="44" t="n"/>
      <c r="C198" s="44" t="n"/>
      <c r="D198" s="45" t="n"/>
      <c r="E198" s="45" t="n"/>
      <c r="F198" s="45" t="n"/>
      <c r="G198" s="46">
        <f>IF($F198="","",IFERROR(INDEX(사건마스터!$B$5:$B$64,MATCH($F198,사건마스터!$A$5:$A$64,0)),""))</f>
        <v/>
      </c>
      <c r="H198" s="47">
        <f>IF($F198="","",IFERROR(INDEX(사건마스터!$C$5:$C$64,MATCH($F198,사건마스터!$A$5:$A$64,0)),""))</f>
        <v/>
      </c>
      <c r="I198" s="48">
        <f>IF($F198="","",IFERROR(INDEX(사건마스터!$H$5:$H$64,MATCH($F198,사건마스터!$A$5:$A$64,0)),""))</f>
        <v/>
      </c>
      <c r="J198" s="48">
        <f>IF($F198="","",IFERROR(INDEX(사건마스터!$AH$5:$AH$64,MATCH($F198,사건마스터!$A$5:$A$64,0)),""))</f>
        <v/>
      </c>
      <c r="K198" s="48">
        <f>IF($F198="","",IFERROR(INDEX(사건마스터!$AI$5:$AI$64,MATCH($F198,사건마스터!$A$5:$A$64,0)),""))</f>
        <v/>
      </c>
      <c r="L198" s="48">
        <f>IF($F198="","",IFERROR(INDEX(사건마스터!$AJ$5:$AJ$64,MATCH($F198,사건마스터!$A$5:$A$64,0)),""))</f>
        <v/>
      </c>
      <c r="M198" s="48">
        <f>IF($F198="","",IFERROR(INDEX(사건마스터!$AK$5:$AK$64,MATCH($F198,사건마스터!$A$5:$A$64,0)),""))</f>
        <v/>
      </c>
      <c r="N198" s="48">
        <f>IF($F198="","",IFERROR(INDEX(사건마스터!$AL$5:$AL$64,MATCH($F198,사건마스터!$A$5:$A$64,0)),""))</f>
        <v/>
      </c>
      <c r="O198" s="43">
        <f>IF($I198="","",COUNTIF($I198:$N198,"?*"))</f>
        <v/>
      </c>
      <c r="P198" s="46">
        <f>IF($I198="","",_xlfn.TEXTJOIN(", ",TRUE,$I198:$N198))</f>
        <v/>
      </c>
      <c r="Q198" s="47">
        <f>IF($I198="","",IFERROR(INDEX(코드설정!$D$5:$D$24,MATCH($I198,코드설정!$C$5:$C$24,0)),""))</f>
        <v/>
      </c>
      <c r="R198" s="49" t="n"/>
      <c r="S198" s="50" t="n"/>
      <c r="T198" s="51" t="n"/>
      <c r="U198" s="43">
        <f>IF(OR($B198="",$C198=""),"",$C198-$B198+1)</f>
        <v/>
      </c>
      <c r="V198" s="52" t="n"/>
      <c r="W198" s="53">
        <f>IF(OR($V198="",$O198=""),"",$V198*$O198)</f>
        <v/>
      </c>
      <c r="X198" s="45" t="n"/>
      <c r="Y198" s="49" t="n"/>
    </row>
    <row r="199">
      <c r="A199" s="43">
        <f>IF($B199="","",COUNT($B$5:$B199))</f>
        <v/>
      </c>
      <c r="B199" s="44" t="n"/>
      <c r="C199" s="44" t="n"/>
      <c r="D199" s="45" t="n"/>
      <c r="E199" s="45" t="n"/>
      <c r="F199" s="45" t="n"/>
      <c r="G199" s="46">
        <f>IF($F199="","",IFERROR(INDEX(사건마스터!$B$5:$B$64,MATCH($F199,사건마스터!$A$5:$A$64,0)),""))</f>
        <v/>
      </c>
      <c r="H199" s="47">
        <f>IF($F199="","",IFERROR(INDEX(사건마스터!$C$5:$C$64,MATCH($F199,사건마스터!$A$5:$A$64,0)),""))</f>
        <v/>
      </c>
      <c r="I199" s="48">
        <f>IF($F199="","",IFERROR(INDEX(사건마스터!$H$5:$H$64,MATCH($F199,사건마스터!$A$5:$A$64,0)),""))</f>
        <v/>
      </c>
      <c r="J199" s="48">
        <f>IF($F199="","",IFERROR(INDEX(사건마스터!$AH$5:$AH$64,MATCH($F199,사건마스터!$A$5:$A$64,0)),""))</f>
        <v/>
      </c>
      <c r="K199" s="48">
        <f>IF($F199="","",IFERROR(INDEX(사건마스터!$AI$5:$AI$64,MATCH($F199,사건마스터!$A$5:$A$64,0)),""))</f>
        <v/>
      </c>
      <c r="L199" s="48">
        <f>IF($F199="","",IFERROR(INDEX(사건마스터!$AJ$5:$AJ$64,MATCH($F199,사건마스터!$A$5:$A$64,0)),""))</f>
        <v/>
      </c>
      <c r="M199" s="48">
        <f>IF($F199="","",IFERROR(INDEX(사건마스터!$AK$5:$AK$64,MATCH($F199,사건마스터!$A$5:$A$64,0)),""))</f>
        <v/>
      </c>
      <c r="N199" s="48">
        <f>IF($F199="","",IFERROR(INDEX(사건마스터!$AL$5:$AL$64,MATCH($F199,사건마스터!$A$5:$A$64,0)),""))</f>
        <v/>
      </c>
      <c r="O199" s="43">
        <f>IF($I199="","",COUNTIF($I199:$N199,"?*"))</f>
        <v/>
      </c>
      <c r="P199" s="46">
        <f>IF($I199="","",_xlfn.TEXTJOIN(", ",TRUE,$I199:$N199))</f>
        <v/>
      </c>
      <c r="Q199" s="47">
        <f>IF($I199="","",IFERROR(INDEX(코드설정!$D$5:$D$24,MATCH($I199,코드설정!$C$5:$C$24,0)),""))</f>
        <v/>
      </c>
      <c r="R199" s="49" t="n"/>
      <c r="S199" s="50" t="n"/>
      <c r="T199" s="51" t="n"/>
      <c r="U199" s="43">
        <f>IF(OR($B199="",$C199=""),"",$C199-$B199+1)</f>
        <v/>
      </c>
      <c r="V199" s="52" t="n"/>
      <c r="W199" s="53">
        <f>IF(OR($V199="",$O199=""),"",$V199*$O199)</f>
        <v/>
      </c>
      <c r="X199" s="45" t="n"/>
      <c r="Y199" s="49" t="n"/>
    </row>
    <row r="200">
      <c r="A200" s="43">
        <f>IF($B200="","",COUNT($B$5:$B200))</f>
        <v/>
      </c>
      <c r="B200" s="44" t="n"/>
      <c r="C200" s="44" t="n"/>
      <c r="D200" s="45" t="n"/>
      <c r="E200" s="45" t="n"/>
      <c r="F200" s="45" t="n"/>
      <c r="G200" s="46">
        <f>IF($F200="","",IFERROR(INDEX(사건마스터!$B$5:$B$64,MATCH($F200,사건마스터!$A$5:$A$64,0)),""))</f>
        <v/>
      </c>
      <c r="H200" s="47">
        <f>IF($F200="","",IFERROR(INDEX(사건마스터!$C$5:$C$64,MATCH($F200,사건마스터!$A$5:$A$64,0)),""))</f>
        <v/>
      </c>
      <c r="I200" s="48">
        <f>IF($F200="","",IFERROR(INDEX(사건마스터!$H$5:$H$64,MATCH($F200,사건마스터!$A$5:$A$64,0)),""))</f>
        <v/>
      </c>
      <c r="J200" s="48">
        <f>IF($F200="","",IFERROR(INDEX(사건마스터!$AH$5:$AH$64,MATCH($F200,사건마스터!$A$5:$A$64,0)),""))</f>
        <v/>
      </c>
      <c r="K200" s="48">
        <f>IF($F200="","",IFERROR(INDEX(사건마스터!$AI$5:$AI$64,MATCH($F200,사건마스터!$A$5:$A$64,0)),""))</f>
        <v/>
      </c>
      <c r="L200" s="48">
        <f>IF($F200="","",IFERROR(INDEX(사건마스터!$AJ$5:$AJ$64,MATCH($F200,사건마스터!$A$5:$A$64,0)),""))</f>
        <v/>
      </c>
      <c r="M200" s="48">
        <f>IF($F200="","",IFERROR(INDEX(사건마스터!$AK$5:$AK$64,MATCH($F200,사건마스터!$A$5:$A$64,0)),""))</f>
        <v/>
      </c>
      <c r="N200" s="48">
        <f>IF($F200="","",IFERROR(INDEX(사건마스터!$AL$5:$AL$64,MATCH($F200,사건마스터!$A$5:$A$64,0)),""))</f>
        <v/>
      </c>
      <c r="O200" s="43">
        <f>IF($I200="","",COUNTIF($I200:$N200,"?*"))</f>
        <v/>
      </c>
      <c r="P200" s="46">
        <f>IF($I200="","",_xlfn.TEXTJOIN(", ",TRUE,$I200:$N200))</f>
        <v/>
      </c>
      <c r="Q200" s="47">
        <f>IF($I200="","",IFERROR(INDEX(코드설정!$D$5:$D$24,MATCH($I200,코드설정!$C$5:$C$24,0)),""))</f>
        <v/>
      </c>
      <c r="R200" s="49" t="n"/>
      <c r="S200" s="50" t="n"/>
      <c r="T200" s="51" t="n"/>
      <c r="U200" s="43">
        <f>IF(OR($B200="",$C200=""),"",$C200-$B200+1)</f>
        <v/>
      </c>
      <c r="V200" s="52" t="n"/>
      <c r="W200" s="53">
        <f>IF(OR($V200="",$O200=""),"",$V200*$O200)</f>
        <v/>
      </c>
      <c r="X200" s="45" t="n"/>
      <c r="Y200" s="49" t="n"/>
    </row>
    <row r="201">
      <c r="A201" s="43">
        <f>IF($B201="","",COUNT($B$5:$B201))</f>
        <v/>
      </c>
      <c r="B201" s="44" t="n"/>
      <c r="C201" s="44" t="n"/>
      <c r="D201" s="45" t="n"/>
      <c r="E201" s="45" t="n"/>
      <c r="F201" s="45" t="n"/>
      <c r="G201" s="46">
        <f>IF($F201="","",IFERROR(INDEX(사건마스터!$B$5:$B$64,MATCH($F201,사건마스터!$A$5:$A$64,0)),""))</f>
        <v/>
      </c>
      <c r="H201" s="47">
        <f>IF($F201="","",IFERROR(INDEX(사건마스터!$C$5:$C$64,MATCH($F201,사건마스터!$A$5:$A$64,0)),""))</f>
        <v/>
      </c>
      <c r="I201" s="48">
        <f>IF($F201="","",IFERROR(INDEX(사건마스터!$H$5:$H$64,MATCH($F201,사건마스터!$A$5:$A$64,0)),""))</f>
        <v/>
      </c>
      <c r="J201" s="48">
        <f>IF($F201="","",IFERROR(INDEX(사건마스터!$AH$5:$AH$64,MATCH($F201,사건마스터!$A$5:$A$64,0)),""))</f>
        <v/>
      </c>
      <c r="K201" s="48">
        <f>IF($F201="","",IFERROR(INDEX(사건마스터!$AI$5:$AI$64,MATCH($F201,사건마스터!$A$5:$A$64,0)),""))</f>
        <v/>
      </c>
      <c r="L201" s="48">
        <f>IF($F201="","",IFERROR(INDEX(사건마스터!$AJ$5:$AJ$64,MATCH($F201,사건마스터!$A$5:$A$64,0)),""))</f>
        <v/>
      </c>
      <c r="M201" s="48">
        <f>IF($F201="","",IFERROR(INDEX(사건마스터!$AK$5:$AK$64,MATCH($F201,사건마스터!$A$5:$A$64,0)),""))</f>
        <v/>
      </c>
      <c r="N201" s="48">
        <f>IF($F201="","",IFERROR(INDEX(사건마스터!$AL$5:$AL$64,MATCH($F201,사건마스터!$A$5:$A$64,0)),""))</f>
        <v/>
      </c>
      <c r="O201" s="43">
        <f>IF($I201="","",COUNTIF($I201:$N201,"?*"))</f>
        <v/>
      </c>
      <c r="P201" s="46">
        <f>IF($I201="","",_xlfn.TEXTJOIN(", ",TRUE,$I201:$N201))</f>
        <v/>
      </c>
      <c r="Q201" s="47">
        <f>IF($I201="","",IFERROR(INDEX(코드설정!$D$5:$D$24,MATCH($I201,코드설정!$C$5:$C$24,0)),""))</f>
        <v/>
      </c>
      <c r="R201" s="49" t="n"/>
      <c r="S201" s="50" t="n"/>
      <c r="T201" s="51" t="n"/>
      <c r="U201" s="43">
        <f>IF(OR($B201="",$C201=""),"",$C201-$B201+1)</f>
        <v/>
      </c>
      <c r="V201" s="52" t="n"/>
      <c r="W201" s="53">
        <f>IF(OR($V201="",$O201=""),"",$V201*$O201)</f>
        <v/>
      </c>
      <c r="X201" s="45" t="n"/>
      <c r="Y201" s="49" t="n"/>
    </row>
    <row r="202">
      <c r="A202" s="43">
        <f>IF($B202="","",COUNT($B$5:$B202))</f>
        <v/>
      </c>
      <c r="B202" s="44" t="n"/>
      <c r="C202" s="44" t="n"/>
      <c r="D202" s="45" t="n"/>
      <c r="E202" s="45" t="n"/>
      <c r="F202" s="45" t="n"/>
      <c r="G202" s="46">
        <f>IF($F202="","",IFERROR(INDEX(사건마스터!$B$5:$B$64,MATCH($F202,사건마스터!$A$5:$A$64,0)),""))</f>
        <v/>
      </c>
      <c r="H202" s="47">
        <f>IF($F202="","",IFERROR(INDEX(사건마스터!$C$5:$C$64,MATCH($F202,사건마스터!$A$5:$A$64,0)),""))</f>
        <v/>
      </c>
      <c r="I202" s="48">
        <f>IF($F202="","",IFERROR(INDEX(사건마스터!$H$5:$H$64,MATCH($F202,사건마스터!$A$5:$A$64,0)),""))</f>
        <v/>
      </c>
      <c r="J202" s="48">
        <f>IF($F202="","",IFERROR(INDEX(사건마스터!$AH$5:$AH$64,MATCH($F202,사건마스터!$A$5:$A$64,0)),""))</f>
        <v/>
      </c>
      <c r="K202" s="48">
        <f>IF($F202="","",IFERROR(INDEX(사건마스터!$AI$5:$AI$64,MATCH($F202,사건마스터!$A$5:$A$64,0)),""))</f>
        <v/>
      </c>
      <c r="L202" s="48">
        <f>IF($F202="","",IFERROR(INDEX(사건마스터!$AJ$5:$AJ$64,MATCH($F202,사건마스터!$A$5:$A$64,0)),""))</f>
        <v/>
      </c>
      <c r="M202" s="48">
        <f>IF($F202="","",IFERROR(INDEX(사건마스터!$AK$5:$AK$64,MATCH($F202,사건마스터!$A$5:$A$64,0)),""))</f>
        <v/>
      </c>
      <c r="N202" s="48">
        <f>IF($F202="","",IFERROR(INDEX(사건마스터!$AL$5:$AL$64,MATCH($F202,사건마스터!$A$5:$A$64,0)),""))</f>
        <v/>
      </c>
      <c r="O202" s="43">
        <f>IF($I202="","",COUNTIF($I202:$N202,"?*"))</f>
        <v/>
      </c>
      <c r="P202" s="46">
        <f>IF($I202="","",_xlfn.TEXTJOIN(", ",TRUE,$I202:$N202))</f>
        <v/>
      </c>
      <c r="Q202" s="47">
        <f>IF($I202="","",IFERROR(INDEX(코드설정!$D$5:$D$24,MATCH($I202,코드설정!$C$5:$C$24,0)),""))</f>
        <v/>
      </c>
      <c r="R202" s="49" t="n"/>
      <c r="S202" s="50" t="n"/>
      <c r="T202" s="51" t="n"/>
      <c r="U202" s="43">
        <f>IF(OR($B202="",$C202=""),"",$C202-$B202+1)</f>
        <v/>
      </c>
      <c r="V202" s="52" t="n"/>
      <c r="W202" s="53">
        <f>IF(OR($V202="",$O202=""),"",$V202*$O202)</f>
        <v/>
      </c>
      <c r="X202" s="45" t="n"/>
      <c r="Y202" s="49" t="n"/>
    </row>
    <row r="203">
      <c r="A203" s="43">
        <f>IF($B203="","",COUNT($B$5:$B203))</f>
        <v/>
      </c>
      <c r="B203" s="44" t="n"/>
      <c r="C203" s="44" t="n"/>
      <c r="D203" s="45" t="n"/>
      <c r="E203" s="45" t="n"/>
      <c r="F203" s="45" t="n"/>
      <c r="G203" s="46">
        <f>IF($F203="","",IFERROR(INDEX(사건마스터!$B$5:$B$64,MATCH($F203,사건마스터!$A$5:$A$64,0)),""))</f>
        <v/>
      </c>
      <c r="H203" s="47">
        <f>IF($F203="","",IFERROR(INDEX(사건마스터!$C$5:$C$64,MATCH($F203,사건마스터!$A$5:$A$64,0)),""))</f>
        <v/>
      </c>
      <c r="I203" s="48">
        <f>IF($F203="","",IFERROR(INDEX(사건마스터!$H$5:$H$64,MATCH($F203,사건마스터!$A$5:$A$64,0)),""))</f>
        <v/>
      </c>
      <c r="J203" s="48">
        <f>IF($F203="","",IFERROR(INDEX(사건마스터!$AH$5:$AH$64,MATCH($F203,사건마스터!$A$5:$A$64,0)),""))</f>
        <v/>
      </c>
      <c r="K203" s="48">
        <f>IF($F203="","",IFERROR(INDEX(사건마스터!$AI$5:$AI$64,MATCH($F203,사건마스터!$A$5:$A$64,0)),""))</f>
        <v/>
      </c>
      <c r="L203" s="48">
        <f>IF($F203="","",IFERROR(INDEX(사건마스터!$AJ$5:$AJ$64,MATCH($F203,사건마스터!$A$5:$A$64,0)),""))</f>
        <v/>
      </c>
      <c r="M203" s="48">
        <f>IF($F203="","",IFERROR(INDEX(사건마스터!$AK$5:$AK$64,MATCH($F203,사건마스터!$A$5:$A$64,0)),""))</f>
        <v/>
      </c>
      <c r="N203" s="48">
        <f>IF($F203="","",IFERROR(INDEX(사건마스터!$AL$5:$AL$64,MATCH($F203,사건마스터!$A$5:$A$64,0)),""))</f>
        <v/>
      </c>
      <c r="O203" s="43">
        <f>IF($I203="","",COUNTIF($I203:$N203,"?*"))</f>
        <v/>
      </c>
      <c r="P203" s="46">
        <f>IF($I203="","",_xlfn.TEXTJOIN(", ",TRUE,$I203:$N203))</f>
        <v/>
      </c>
      <c r="Q203" s="47">
        <f>IF($I203="","",IFERROR(INDEX(코드설정!$D$5:$D$24,MATCH($I203,코드설정!$C$5:$C$24,0)),""))</f>
        <v/>
      </c>
      <c r="R203" s="49" t="n"/>
      <c r="S203" s="50" t="n"/>
      <c r="T203" s="51" t="n"/>
      <c r="U203" s="43">
        <f>IF(OR($B203="",$C203=""),"",$C203-$B203+1)</f>
        <v/>
      </c>
      <c r="V203" s="52" t="n"/>
      <c r="W203" s="53">
        <f>IF(OR($V203="",$O203=""),"",$V203*$O203)</f>
        <v/>
      </c>
      <c r="X203" s="45" t="n"/>
      <c r="Y203" s="49" t="n"/>
    </row>
    <row r="204">
      <c r="A204" s="43">
        <f>IF($B204="","",COUNT($B$5:$B204))</f>
        <v/>
      </c>
      <c r="B204" s="44" t="n"/>
      <c r="C204" s="44" t="n"/>
      <c r="D204" s="45" t="n"/>
      <c r="E204" s="45" t="n"/>
      <c r="F204" s="45" t="n"/>
      <c r="G204" s="46">
        <f>IF($F204="","",IFERROR(INDEX(사건마스터!$B$5:$B$64,MATCH($F204,사건마스터!$A$5:$A$64,0)),""))</f>
        <v/>
      </c>
      <c r="H204" s="47">
        <f>IF($F204="","",IFERROR(INDEX(사건마스터!$C$5:$C$64,MATCH($F204,사건마스터!$A$5:$A$64,0)),""))</f>
        <v/>
      </c>
      <c r="I204" s="48">
        <f>IF($F204="","",IFERROR(INDEX(사건마스터!$H$5:$H$64,MATCH($F204,사건마스터!$A$5:$A$64,0)),""))</f>
        <v/>
      </c>
      <c r="J204" s="48">
        <f>IF($F204="","",IFERROR(INDEX(사건마스터!$AH$5:$AH$64,MATCH($F204,사건마스터!$A$5:$A$64,0)),""))</f>
        <v/>
      </c>
      <c r="K204" s="48">
        <f>IF($F204="","",IFERROR(INDEX(사건마스터!$AI$5:$AI$64,MATCH($F204,사건마스터!$A$5:$A$64,0)),""))</f>
        <v/>
      </c>
      <c r="L204" s="48">
        <f>IF($F204="","",IFERROR(INDEX(사건마스터!$AJ$5:$AJ$64,MATCH($F204,사건마스터!$A$5:$A$64,0)),""))</f>
        <v/>
      </c>
      <c r="M204" s="48">
        <f>IF($F204="","",IFERROR(INDEX(사건마스터!$AK$5:$AK$64,MATCH($F204,사건마스터!$A$5:$A$64,0)),""))</f>
        <v/>
      </c>
      <c r="N204" s="48">
        <f>IF($F204="","",IFERROR(INDEX(사건마스터!$AL$5:$AL$64,MATCH($F204,사건마스터!$A$5:$A$64,0)),""))</f>
        <v/>
      </c>
      <c r="O204" s="43">
        <f>IF($I204="","",COUNTIF($I204:$N204,"?*"))</f>
        <v/>
      </c>
      <c r="P204" s="46">
        <f>IF($I204="","",_xlfn.TEXTJOIN(", ",TRUE,$I204:$N204))</f>
        <v/>
      </c>
      <c r="Q204" s="47">
        <f>IF($I204="","",IFERROR(INDEX(코드설정!$D$5:$D$24,MATCH($I204,코드설정!$C$5:$C$24,0)),""))</f>
        <v/>
      </c>
      <c r="R204" s="49" t="n"/>
      <c r="S204" s="50" t="n"/>
      <c r="T204" s="51" t="n"/>
      <c r="U204" s="43">
        <f>IF(OR($B204="",$C204=""),"",$C204-$B204+1)</f>
        <v/>
      </c>
      <c r="V204" s="52" t="n"/>
      <c r="W204" s="53">
        <f>IF(OR($V204="",$O204=""),"",$V204*$O204)</f>
        <v/>
      </c>
      <c r="X204" s="45" t="n"/>
      <c r="Y204" s="49" t="n"/>
    </row>
    <row r="205">
      <c r="A205" s="43">
        <f>IF($B205="","",COUNT($B$5:$B205))</f>
        <v/>
      </c>
      <c r="B205" s="44" t="n"/>
      <c r="C205" s="44" t="n"/>
      <c r="D205" s="45" t="n"/>
      <c r="E205" s="45" t="n"/>
      <c r="F205" s="45" t="n"/>
      <c r="G205" s="46">
        <f>IF($F205="","",IFERROR(INDEX(사건마스터!$B$5:$B$64,MATCH($F205,사건마스터!$A$5:$A$64,0)),""))</f>
        <v/>
      </c>
      <c r="H205" s="47">
        <f>IF($F205="","",IFERROR(INDEX(사건마스터!$C$5:$C$64,MATCH($F205,사건마스터!$A$5:$A$64,0)),""))</f>
        <v/>
      </c>
      <c r="I205" s="48">
        <f>IF($F205="","",IFERROR(INDEX(사건마스터!$H$5:$H$64,MATCH($F205,사건마스터!$A$5:$A$64,0)),""))</f>
        <v/>
      </c>
      <c r="J205" s="48">
        <f>IF($F205="","",IFERROR(INDEX(사건마스터!$AH$5:$AH$64,MATCH($F205,사건마스터!$A$5:$A$64,0)),""))</f>
        <v/>
      </c>
      <c r="K205" s="48">
        <f>IF($F205="","",IFERROR(INDEX(사건마스터!$AI$5:$AI$64,MATCH($F205,사건마스터!$A$5:$A$64,0)),""))</f>
        <v/>
      </c>
      <c r="L205" s="48">
        <f>IF($F205="","",IFERROR(INDEX(사건마스터!$AJ$5:$AJ$64,MATCH($F205,사건마스터!$A$5:$A$64,0)),""))</f>
        <v/>
      </c>
      <c r="M205" s="48">
        <f>IF($F205="","",IFERROR(INDEX(사건마스터!$AK$5:$AK$64,MATCH($F205,사건마스터!$A$5:$A$64,0)),""))</f>
        <v/>
      </c>
      <c r="N205" s="48">
        <f>IF($F205="","",IFERROR(INDEX(사건마스터!$AL$5:$AL$64,MATCH($F205,사건마스터!$A$5:$A$64,0)),""))</f>
        <v/>
      </c>
      <c r="O205" s="43">
        <f>IF($I205="","",COUNTIF($I205:$N205,"?*"))</f>
        <v/>
      </c>
      <c r="P205" s="46">
        <f>IF($I205="","",_xlfn.TEXTJOIN(", ",TRUE,$I205:$N205))</f>
        <v/>
      </c>
      <c r="Q205" s="47">
        <f>IF($I205="","",IFERROR(INDEX(코드설정!$D$5:$D$24,MATCH($I205,코드설정!$C$5:$C$24,0)),""))</f>
        <v/>
      </c>
      <c r="R205" s="49" t="n"/>
      <c r="S205" s="50" t="n"/>
      <c r="T205" s="51" t="n"/>
      <c r="U205" s="43">
        <f>IF(OR($B205="",$C205=""),"",$C205-$B205+1)</f>
        <v/>
      </c>
      <c r="V205" s="52" t="n"/>
      <c r="W205" s="53">
        <f>IF(OR($V205="",$O205=""),"",$V205*$O205)</f>
        <v/>
      </c>
      <c r="X205" s="45" t="n"/>
      <c r="Y205" s="49" t="n"/>
    </row>
    <row r="206">
      <c r="A206" s="43">
        <f>IF($B206="","",COUNT($B$5:$B206))</f>
        <v/>
      </c>
      <c r="B206" s="44" t="n"/>
      <c r="C206" s="44" t="n"/>
      <c r="D206" s="45" t="n"/>
      <c r="E206" s="45" t="n"/>
      <c r="F206" s="45" t="n"/>
      <c r="G206" s="46">
        <f>IF($F206="","",IFERROR(INDEX(사건마스터!$B$5:$B$64,MATCH($F206,사건마스터!$A$5:$A$64,0)),""))</f>
        <v/>
      </c>
      <c r="H206" s="47">
        <f>IF($F206="","",IFERROR(INDEX(사건마스터!$C$5:$C$64,MATCH($F206,사건마스터!$A$5:$A$64,0)),""))</f>
        <v/>
      </c>
      <c r="I206" s="48">
        <f>IF($F206="","",IFERROR(INDEX(사건마스터!$H$5:$H$64,MATCH($F206,사건마스터!$A$5:$A$64,0)),""))</f>
        <v/>
      </c>
      <c r="J206" s="48">
        <f>IF($F206="","",IFERROR(INDEX(사건마스터!$AH$5:$AH$64,MATCH($F206,사건마스터!$A$5:$A$64,0)),""))</f>
        <v/>
      </c>
      <c r="K206" s="48">
        <f>IF($F206="","",IFERROR(INDEX(사건마스터!$AI$5:$AI$64,MATCH($F206,사건마스터!$A$5:$A$64,0)),""))</f>
        <v/>
      </c>
      <c r="L206" s="48">
        <f>IF($F206="","",IFERROR(INDEX(사건마스터!$AJ$5:$AJ$64,MATCH($F206,사건마스터!$A$5:$A$64,0)),""))</f>
        <v/>
      </c>
      <c r="M206" s="48">
        <f>IF($F206="","",IFERROR(INDEX(사건마스터!$AK$5:$AK$64,MATCH($F206,사건마스터!$A$5:$A$64,0)),""))</f>
        <v/>
      </c>
      <c r="N206" s="48">
        <f>IF($F206="","",IFERROR(INDEX(사건마스터!$AL$5:$AL$64,MATCH($F206,사건마스터!$A$5:$A$64,0)),""))</f>
        <v/>
      </c>
      <c r="O206" s="43">
        <f>IF($I206="","",COUNTIF($I206:$N206,"?*"))</f>
        <v/>
      </c>
      <c r="P206" s="46">
        <f>IF($I206="","",_xlfn.TEXTJOIN(", ",TRUE,$I206:$N206))</f>
        <v/>
      </c>
      <c r="Q206" s="47">
        <f>IF($I206="","",IFERROR(INDEX(코드설정!$D$5:$D$24,MATCH($I206,코드설정!$C$5:$C$24,0)),""))</f>
        <v/>
      </c>
      <c r="R206" s="49" t="n"/>
      <c r="S206" s="50" t="n"/>
      <c r="T206" s="51" t="n"/>
      <c r="U206" s="43">
        <f>IF(OR($B206="",$C206=""),"",$C206-$B206+1)</f>
        <v/>
      </c>
      <c r="V206" s="52" t="n"/>
      <c r="W206" s="53">
        <f>IF(OR($V206="",$O206=""),"",$V206*$O206)</f>
        <v/>
      </c>
      <c r="X206" s="45" t="n"/>
      <c r="Y206" s="49" t="n"/>
    </row>
    <row r="207">
      <c r="A207" s="43">
        <f>IF($B207="","",COUNT($B$5:$B207))</f>
        <v/>
      </c>
      <c r="B207" s="44" t="n"/>
      <c r="C207" s="44" t="n"/>
      <c r="D207" s="45" t="n"/>
      <c r="E207" s="45" t="n"/>
      <c r="F207" s="45" t="n"/>
      <c r="G207" s="46">
        <f>IF($F207="","",IFERROR(INDEX(사건마스터!$B$5:$B$64,MATCH($F207,사건마스터!$A$5:$A$64,0)),""))</f>
        <v/>
      </c>
      <c r="H207" s="47">
        <f>IF($F207="","",IFERROR(INDEX(사건마스터!$C$5:$C$64,MATCH($F207,사건마스터!$A$5:$A$64,0)),""))</f>
        <v/>
      </c>
      <c r="I207" s="48">
        <f>IF($F207="","",IFERROR(INDEX(사건마스터!$H$5:$H$64,MATCH($F207,사건마스터!$A$5:$A$64,0)),""))</f>
        <v/>
      </c>
      <c r="J207" s="48">
        <f>IF($F207="","",IFERROR(INDEX(사건마스터!$AH$5:$AH$64,MATCH($F207,사건마스터!$A$5:$A$64,0)),""))</f>
        <v/>
      </c>
      <c r="K207" s="48">
        <f>IF($F207="","",IFERROR(INDEX(사건마스터!$AI$5:$AI$64,MATCH($F207,사건마스터!$A$5:$A$64,0)),""))</f>
        <v/>
      </c>
      <c r="L207" s="48">
        <f>IF($F207="","",IFERROR(INDEX(사건마스터!$AJ$5:$AJ$64,MATCH($F207,사건마스터!$A$5:$A$64,0)),""))</f>
        <v/>
      </c>
      <c r="M207" s="48">
        <f>IF($F207="","",IFERROR(INDEX(사건마스터!$AK$5:$AK$64,MATCH($F207,사건마스터!$A$5:$A$64,0)),""))</f>
        <v/>
      </c>
      <c r="N207" s="48">
        <f>IF($F207="","",IFERROR(INDEX(사건마스터!$AL$5:$AL$64,MATCH($F207,사건마스터!$A$5:$A$64,0)),""))</f>
        <v/>
      </c>
      <c r="O207" s="43">
        <f>IF($I207="","",COUNTIF($I207:$N207,"?*"))</f>
        <v/>
      </c>
      <c r="P207" s="46">
        <f>IF($I207="","",_xlfn.TEXTJOIN(", ",TRUE,$I207:$N207))</f>
        <v/>
      </c>
      <c r="Q207" s="47">
        <f>IF($I207="","",IFERROR(INDEX(코드설정!$D$5:$D$24,MATCH($I207,코드설정!$C$5:$C$24,0)),""))</f>
        <v/>
      </c>
      <c r="R207" s="49" t="n"/>
      <c r="S207" s="50" t="n"/>
      <c r="T207" s="51" t="n"/>
      <c r="U207" s="43">
        <f>IF(OR($B207="",$C207=""),"",$C207-$B207+1)</f>
        <v/>
      </c>
      <c r="V207" s="52" t="n"/>
      <c r="W207" s="53">
        <f>IF(OR($V207="",$O207=""),"",$V207*$O207)</f>
        <v/>
      </c>
      <c r="X207" s="45" t="n"/>
      <c r="Y207" s="49" t="n"/>
    </row>
    <row r="208">
      <c r="A208" s="43">
        <f>IF($B208="","",COUNT($B$5:$B208))</f>
        <v/>
      </c>
      <c r="B208" s="44" t="n"/>
      <c r="C208" s="44" t="n"/>
      <c r="D208" s="45" t="n"/>
      <c r="E208" s="45" t="n"/>
      <c r="F208" s="45" t="n"/>
      <c r="G208" s="46">
        <f>IF($F208="","",IFERROR(INDEX(사건마스터!$B$5:$B$64,MATCH($F208,사건마스터!$A$5:$A$64,0)),""))</f>
        <v/>
      </c>
      <c r="H208" s="47">
        <f>IF($F208="","",IFERROR(INDEX(사건마스터!$C$5:$C$64,MATCH($F208,사건마스터!$A$5:$A$64,0)),""))</f>
        <v/>
      </c>
      <c r="I208" s="48">
        <f>IF($F208="","",IFERROR(INDEX(사건마스터!$H$5:$H$64,MATCH($F208,사건마스터!$A$5:$A$64,0)),""))</f>
        <v/>
      </c>
      <c r="J208" s="48">
        <f>IF($F208="","",IFERROR(INDEX(사건마스터!$AH$5:$AH$64,MATCH($F208,사건마스터!$A$5:$A$64,0)),""))</f>
        <v/>
      </c>
      <c r="K208" s="48">
        <f>IF($F208="","",IFERROR(INDEX(사건마스터!$AI$5:$AI$64,MATCH($F208,사건마스터!$A$5:$A$64,0)),""))</f>
        <v/>
      </c>
      <c r="L208" s="48">
        <f>IF($F208="","",IFERROR(INDEX(사건마스터!$AJ$5:$AJ$64,MATCH($F208,사건마스터!$A$5:$A$64,0)),""))</f>
        <v/>
      </c>
      <c r="M208" s="48">
        <f>IF($F208="","",IFERROR(INDEX(사건마스터!$AK$5:$AK$64,MATCH($F208,사건마스터!$A$5:$A$64,0)),""))</f>
        <v/>
      </c>
      <c r="N208" s="48">
        <f>IF($F208="","",IFERROR(INDEX(사건마스터!$AL$5:$AL$64,MATCH($F208,사건마스터!$A$5:$A$64,0)),""))</f>
        <v/>
      </c>
      <c r="O208" s="43">
        <f>IF($I208="","",COUNTIF($I208:$N208,"?*"))</f>
        <v/>
      </c>
      <c r="P208" s="46">
        <f>IF($I208="","",_xlfn.TEXTJOIN(", ",TRUE,$I208:$N208))</f>
        <v/>
      </c>
      <c r="Q208" s="47">
        <f>IF($I208="","",IFERROR(INDEX(코드설정!$D$5:$D$24,MATCH($I208,코드설정!$C$5:$C$24,0)),""))</f>
        <v/>
      </c>
      <c r="R208" s="49" t="n"/>
      <c r="S208" s="50" t="n"/>
      <c r="T208" s="51" t="n"/>
      <c r="U208" s="43">
        <f>IF(OR($B208="",$C208=""),"",$C208-$B208+1)</f>
        <v/>
      </c>
      <c r="V208" s="52" t="n"/>
      <c r="W208" s="53">
        <f>IF(OR($V208="",$O208=""),"",$V208*$O208)</f>
        <v/>
      </c>
      <c r="X208" s="45" t="n"/>
      <c r="Y208" s="49" t="n"/>
    </row>
    <row r="209">
      <c r="A209" s="43">
        <f>IF($B209="","",COUNT($B$5:$B209))</f>
        <v/>
      </c>
      <c r="B209" s="44" t="n"/>
      <c r="C209" s="44" t="n"/>
      <c r="D209" s="45" t="n"/>
      <c r="E209" s="45" t="n"/>
      <c r="F209" s="45" t="n"/>
      <c r="G209" s="46">
        <f>IF($F209="","",IFERROR(INDEX(사건마스터!$B$5:$B$64,MATCH($F209,사건마스터!$A$5:$A$64,0)),""))</f>
        <v/>
      </c>
      <c r="H209" s="47">
        <f>IF($F209="","",IFERROR(INDEX(사건마스터!$C$5:$C$64,MATCH($F209,사건마스터!$A$5:$A$64,0)),""))</f>
        <v/>
      </c>
      <c r="I209" s="48">
        <f>IF($F209="","",IFERROR(INDEX(사건마스터!$H$5:$H$64,MATCH($F209,사건마스터!$A$5:$A$64,0)),""))</f>
        <v/>
      </c>
      <c r="J209" s="48">
        <f>IF($F209="","",IFERROR(INDEX(사건마스터!$AH$5:$AH$64,MATCH($F209,사건마스터!$A$5:$A$64,0)),""))</f>
        <v/>
      </c>
      <c r="K209" s="48">
        <f>IF($F209="","",IFERROR(INDEX(사건마스터!$AI$5:$AI$64,MATCH($F209,사건마스터!$A$5:$A$64,0)),""))</f>
        <v/>
      </c>
      <c r="L209" s="48">
        <f>IF($F209="","",IFERROR(INDEX(사건마스터!$AJ$5:$AJ$64,MATCH($F209,사건마스터!$A$5:$A$64,0)),""))</f>
        <v/>
      </c>
      <c r="M209" s="48">
        <f>IF($F209="","",IFERROR(INDEX(사건마스터!$AK$5:$AK$64,MATCH($F209,사건마스터!$A$5:$A$64,0)),""))</f>
        <v/>
      </c>
      <c r="N209" s="48">
        <f>IF($F209="","",IFERROR(INDEX(사건마스터!$AL$5:$AL$64,MATCH($F209,사건마스터!$A$5:$A$64,0)),""))</f>
        <v/>
      </c>
      <c r="O209" s="43">
        <f>IF($I209="","",COUNTIF($I209:$N209,"?*"))</f>
        <v/>
      </c>
      <c r="P209" s="46">
        <f>IF($I209="","",_xlfn.TEXTJOIN(", ",TRUE,$I209:$N209))</f>
        <v/>
      </c>
      <c r="Q209" s="47">
        <f>IF($I209="","",IFERROR(INDEX(코드설정!$D$5:$D$24,MATCH($I209,코드설정!$C$5:$C$24,0)),""))</f>
        <v/>
      </c>
      <c r="R209" s="49" t="n"/>
      <c r="S209" s="50" t="n"/>
      <c r="T209" s="51" t="n"/>
      <c r="U209" s="43">
        <f>IF(OR($B209="",$C209=""),"",$C209-$B209+1)</f>
        <v/>
      </c>
      <c r="V209" s="52" t="n"/>
      <c r="W209" s="53">
        <f>IF(OR($V209="",$O209=""),"",$V209*$O209)</f>
        <v/>
      </c>
      <c r="X209" s="45" t="n"/>
      <c r="Y209" s="49" t="n"/>
    </row>
    <row r="210">
      <c r="A210" s="43">
        <f>IF($B210="","",COUNT($B$5:$B210))</f>
        <v/>
      </c>
      <c r="B210" s="44" t="n"/>
      <c r="C210" s="44" t="n"/>
      <c r="D210" s="45" t="n"/>
      <c r="E210" s="45" t="n"/>
      <c r="F210" s="45" t="n"/>
      <c r="G210" s="46">
        <f>IF($F210="","",IFERROR(INDEX(사건마스터!$B$5:$B$64,MATCH($F210,사건마스터!$A$5:$A$64,0)),""))</f>
        <v/>
      </c>
      <c r="H210" s="47">
        <f>IF($F210="","",IFERROR(INDEX(사건마스터!$C$5:$C$64,MATCH($F210,사건마스터!$A$5:$A$64,0)),""))</f>
        <v/>
      </c>
      <c r="I210" s="48">
        <f>IF($F210="","",IFERROR(INDEX(사건마스터!$H$5:$H$64,MATCH($F210,사건마스터!$A$5:$A$64,0)),""))</f>
        <v/>
      </c>
      <c r="J210" s="48">
        <f>IF($F210="","",IFERROR(INDEX(사건마스터!$AH$5:$AH$64,MATCH($F210,사건마스터!$A$5:$A$64,0)),""))</f>
        <v/>
      </c>
      <c r="K210" s="48">
        <f>IF($F210="","",IFERROR(INDEX(사건마스터!$AI$5:$AI$64,MATCH($F210,사건마스터!$A$5:$A$64,0)),""))</f>
        <v/>
      </c>
      <c r="L210" s="48">
        <f>IF($F210="","",IFERROR(INDEX(사건마스터!$AJ$5:$AJ$64,MATCH($F210,사건마스터!$A$5:$A$64,0)),""))</f>
        <v/>
      </c>
      <c r="M210" s="48">
        <f>IF($F210="","",IFERROR(INDEX(사건마스터!$AK$5:$AK$64,MATCH($F210,사건마스터!$A$5:$A$64,0)),""))</f>
        <v/>
      </c>
      <c r="N210" s="48">
        <f>IF($F210="","",IFERROR(INDEX(사건마스터!$AL$5:$AL$64,MATCH($F210,사건마스터!$A$5:$A$64,0)),""))</f>
        <v/>
      </c>
      <c r="O210" s="43">
        <f>IF($I210="","",COUNTIF($I210:$N210,"?*"))</f>
        <v/>
      </c>
      <c r="P210" s="46">
        <f>IF($I210="","",_xlfn.TEXTJOIN(", ",TRUE,$I210:$N210))</f>
        <v/>
      </c>
      <c r="Q210" s="47">
        <f>IF($I210="","",IFERROR(INDEX(코드설정!$D$5:$D$24,MATCH($I210,코드설정!$C$5:$C$24,0)),""))</f>
        <v/>
      </c>
      <c r="R210" s="49" t="n"/>
      <c r="S210" s="50" t="n"/>
      <c r="T210" s="51" t="n"/>
      <c r="U210" s="43">
        <f>IF(OR($B210="",$C210=""),"",$C210-$B210+1)</f>
        <v/>
      </c>
      <c r="V210" s="52" t="n"/>
      <c r="W210" s="53">
        <f>IF(OR($V210="",$O210=""),"",$V210*$O210)</f>
        <v/>
      </c>
      <c r="X210" s="45" t="n"/>
      <c r="Y210" s="49" t="n"/>
    </row>
    <row r="211">
      <c r="A211" s="43">
        <f>IF($B211="","",COUNT($B$5:$B211))</f>
        <v/>
      </c>
      <c r="B211" s="44" t="n"/>
      <c r="C211" s="44" t="n"/>
      <c r="D211" s="45" t="n"/>
      <c r="E211" s="45" t="n"/>
      <c r="F211" s="45" t="n"/>
      <c r="G211" s="46">
        <f>IF($F211="","",IFERROR(INDEX(사건마스터!$B$5:$B$64,MATCH($F211,사건마스터!$A$5:$A$64,0)),""))</f>
        <v/>
      </c>
      <c r="H211" s="47">
        <f>IF($F211="","",IFERROR(INDEX(사건마스터!$C$5:$C$64,MATCH($F211,사건마스터!$A$5:$A$64,0)),""))</f>
        <v/>
      </c>
      <c r="I211" s="48">
        <f>IF($F211="","",IFERROR(INDEX(사건마스터!$H$5:$H$64,MATCH($F211,사건마스터!$A$5:$A$64,0)),""))</f>
        <v/>
      </c>
      <c r="J211" s="48">
        <f>IF($F211="","",IFERROR(INDEX(사건마스터!$AH$5:$AH$64,MATCH($F211,사건마스터!$A$5:$A$64,0)),""))</f>
        <v/>
      </c>
      <c r="K211" s="48">
        <f>IF($F211="","",IFERROR(INDEX(사건마스터!$AI$5:$AI$64,MATCH($F211,사건마스터!$A$5:$A$64,0)),""))</f>
        <v/>
      </c>
      <c r="L211" s="48">
        <f>IF($F211="","",IFERROR(INDEX(사건마스터!$AJ$5:$AJ$64,MATCH($F211,사건마스터!$A$5:$A$64,0)),""))</f>
        <v/>
      </c>
      <c r="M211" s="48">
        <f>IF($F211="","",IFERROR(INDEX(사건마스터!$AK$5:$AK$64,MATCH($F211,사건마스터!$A$5:$A$64,0)),""))</f>
        <v/>
      </c>
      <c r="N211" s="48">
        <f>IF($F211="","",IFERROR(INDEX(사건마스터!$AL$5:$AL$64,MATCH($F211,사건마스터!$A$5:$A$64,0)),""))</f>
        <v/>
      </c>
      <c r="O211" s="43">
        <f>IF($I211="","",COUNTIF($I211:$N211,"?*"))</f>
        <v/>
      </c>
      <c r="P211" s="46">
        <f>IF($I211="","",_xlfn.TEXTJOIN(", ",TRUE,$I211:$N211))</f>
        <v/>
      </c>
      <c r="Q211" s="47">
        <f>IF($I211="","",IFERROR(INDEX(코드설정!$D$5:$D$24,MATCH($I211,코드설정!$C$5:$C$24,0)),""))</f>
        <v/>
      </c>
      <c r="R211" s="49" t="n"/>
      <c r="S211" s="50" t="n"/>
      <c r="T211" s="51" t="n"/>
      <c r="U211" s="43">
        <f>IF(OR($B211="",$C211=""),"",$C211-$B211+1)</f>
        <v/>
      </c>
      <c r="V211" s="52" t="n"/>
      <c r="W211" s="53">
        <f>IF(OR($V211="",$O211=""),"",$V211*$O211)</f>
        <v/>
      </c>
      <c r="X211" s="45" t="n"/>
      <c r="Y211" s="49" t="n"/>
    </row>
    <row r="212">
      <c r="A212" s="43">
        <f>IF($B212="","",COUNT($B$5:$B212))</f>
        <v/>
      </c>
      <c r="B212" s="44" t="n"/>
      <c r="C212" s="44" t="n"/>
      <c r="D212" s="45" t="n"/>
      <c r="E212" s="45" t="n"/>
      <c r="F212" s="45" t="n"/>
      <c r="G212" s="46">
        <f>IF($F212="","",IFERROR(INDEX(사건마스터!$B$5:$B$64,MATCH($F212,사건마스터!$A$5:$A$64,0)),""))</f>
        <v/>
      </c>
      <c r="H212" s="47">
        <f>IF($F212="","",IFERROR(INDEX(사건마스터!$C$5:$C$64,MATCH($F212,사건마스터!$A$5:$A$64,0)),""))</f>
        <v/>
      </c>
      <c r="I212" s="48">
        <f>IF($F212="","",IFERROR(INDEX(사건마스터!$H$5:$H$64,MATCH($F212,사건마스터!$A$5:$A$64,0)),""))</f>
        <v/>
      </c>
      <c r="J212" s="48">
        <f>IF($F212="","",IFERROR(INDEX(사건마스터!$AH$5:$AH$64,MATCH($F212,사건마스터!$A$5:$A$64,0)),""))</f>
        <v/>
      </c>
      <c r="K212" s="48">
        <f>IF($F212="","",IFERROR(INDEX(사건마스터!$AI$5:$AI$64,MATCH($F212,사건마스터!$A$5:$A$64,0)),""))</f>
        <v/>
      </c>
      <c r="L212" s="48">
        <f>IF($F212="","",IFERROR(INDEX(사건마스터!$AJ$5:$AJ$64,MATCH($F212,사건마스터!$A$5:$A$64,0)),""))</f>
        <v/>
      </c>
      <c r="M212" s="48">
        <f>IF($F212="","",IFERROR(INDEX(사건마스터!$AK$5:$AK$64,MATCH($F212,사건마스터!$A$5:$A$64,0)),""))</f>
        <v/>
      </c>
      <c r="N212" s="48">
        <f>IF($F212="","",IFERROR(INDEX(사건마스터!$AL$5:$AL$64,MATCH($F212,사건마스터!$A$5:$A$64,0)),""))</f>
        <v/>
      </c>
      <c r="O212" s="43">
        <f>IF($I212="","",COUNTIF($I212:$N212,"?*"))</f>
        <v/>
      </c>
      <c r="P212" s="46">
        <f>IF($I212="","",_xlfn.TEXTJOIN(", ",TRUE,$I212:$N212))</f>
        <v/>
      </c>
      <c r="Q212" s="47">
        <f>IF($I212="","",IFERROR(INDEX(코드설정!$D$5:$D$24,MATCH($I212,코드설정!$C$5:$C$24,0)),""))</f>
        <v/>
      </c>
      <c r="R212" s="49" t="n"/>
      <c r="S212" s="50" t="n"/>
      <c r="T212" s="51" t="n"/>
      <c r="U212" s="43">
        <f>IF(OR($B212="",$C212=""),"",$C212-$B212+1)</f>
        <v/>
      </c>
      <c r="V212" s="52" t="n"/>
      <c r="W212" s="53">
        <f>IF(OR($V212="",$O212=""),"",$V212*$O212)</f>
        <v/>
      </c>
      <c r="X212" s="45" t="n"/>
      <c r="Y212" s="49" t="n"/>
    </row>
    <row r="213">
      <c r="A213" s="43">
        <f>IF($B213="","",COUNT($B$5:$B213))</f>
        <v/>
      </c>
      <c r="B213" s="44" t="n"/>
      <c r="C213" s="44" t="n"/>
      <c r="D213" s="45" t="n"/>
      <c r="E213" s="45" t="n"/>
      <c r="F213" s="45" t="n"/>
      <c r="G213" s="46">
        <f>IF($F213="","",IFERROR(INDEX(사건마스터!$B$5:$B$64,MATCH($F213,사건마스터!$A$5:$A$64,0)),""))</f>
        <v/>
      </c>
      <c r="H213" s="47">
        <f>IF($F213="","",IFERROR(INDEX(사건마스터!$C$5:$C$64,MATCH($F213,사건마스터!$A$5:$A$64,0)),""))</f>
        <v/>
      </c>
      <c r="I213" s="48">
        <f>IF($F213="","",IFERROR(INDEX(사건마스터!$H$5:$H$64,MATCH($F213,사건마스터!$A$5:$A$64,0)),""))</f>
        <v/>
      </c>
      <c r="J213" s="48">
        <f>IF($F213="","",IFERROR(INDEX(사건마스터!$AH$5:$AH$64,MATCH($F213,사건마스터!$A$5:$A$64,0)),""))</f>
        <v/>
      </c>
      <c r="K213" s="48">
        <f>IF($F213="","",IFERROR(INDEX(사건마스터!$AI$5:$AI$64,MATCH($F213,사건마스터!$A$5:$A$64,0)),""))</f>
        <v/>
      </c>
      <c r="L213" s="48">
        <f>IF($F213="","",IFERROR(INDEX(사건마스터!$AJ$5:$AJ$64,MATCH($F213,사건마스터!$A$5:$A$64,0)),""))</f>
        <v/>
      </c>
      <c r="M213" s="48">
        <f>IF($F213="","",IFERROR(INDEX(사건마스터!$AK$5:$AK$64,MATCH($F213,사건마스터!$A$5:$A$64,0)),""))</f>
        <v/>
      </c>
      <c r="N213" s="48">
        <f>IF($F213="","",IFERROR(INDEX(사건마스터!$AL$5:$AL$64,MATCH($F213,사건마스터!$A$5:$A$64,0)),""))</f>
        <v/>
      </c>
      <c r="O213" s="43">
        <f>IF($I213="","",COUNTIF($I213:$N213,"?*"))</f>
        <v/>
      </c>
      <c r="P213" s="46">
        <f>IF($I213="","",_xlfn.TEXTJOIN(", ",TRUE,$I213:$N213))</f>
        <v/>
      </c>
      <c r="Q213" s="47">
        <f>IF($I213="","",IFERROR(INDEX(코드설정!$D$5:$D$24,MATCH($I213,코드설정!$C$5:$C$24,0)),""))</f>
        <v/>
      </c>
      <c r="R213" s="49" t="n"/>
      <c r="S213" s="50" t="n"/>
      <c r="T213" s="51" t="n"/>
      <c r="U213" s="43">
        <f>IF(OR($B213="",$C213=""),"",$C213-$B213+1)</f>
        <v/>
      </c>
      <c r="V213" s="52" t="n"/>
      <c r="W213" s="53">
        <f>IF(OR($V213="",$O213=""),"",$V213*$O213)</f>
        <v/>
      </c>
      <c r="X213" s="45" t="n"/>
      <c r="Y213" s="49" t="n"/>
    </row>
    <row r="214">
      <c r="A214" s="43">
        <f>IF($B214="","",COUNT($B$5:$B214))</f>
        <v/>
      </c>
      <c r="B214" s="44" t="n"/>
      <c r="C214" s="44" t="n"/>
      <c r="D214" s="45" t="n"/>
      <c r="E214" s="45" t="n"/>
      <c r="F214" s="45" t="n"/>
      <c r="G214" s="46">
        <f>IF($F214="","",IFERROR(INDEX(사건마스터!$B$5:$B$64,MATCH($F214,사건마스터!$A$5:$A$64,0)),""))</f>
        <v/>
      </c>
      <c r="H214" s="47">
        <f>IF($F214="","",IFERROR(INDEX(사건마스터!$C$5:$C$64,MATCH($F214,사건마스터!$A$5:$A$64,0)),""))</f>
        <v/>
      </c>
      <c r="I214" s="48">
        <f>IF($F214="","",IFERROR(INDEX(사건마스터!$H$5:$H$64,MATCH($F214,사건마스터!$A$5:$A$64,0)),""))</f>
        <v/>
      </c>
      <c r="J214" s="48">
        <f>IF($F214="","",IFERROR(INDEX(사건마스터!$AH$5:$AH$64,MATCH($F214,사건마스터!$A$5:$A$64,0)),""))</f>
        <v/>
      </c>
      <c r="K214" s="48">
        <f>IF($F214="","",IFERROR(INDEX(사건마스터!$AI$5:$AI$64,MATCH($F214,사건마스터!$A$5:$A$64,0)),""))</f>
        <v/>
      </c>
      <c r="L214" s="48">
        <f>IF($F214="","",IFERROR(INDEX(사건마스터!$AJ$5:$AJ$64,MATCH($F214,사건마스터!$A$5:$A$64,0)),""))</f>
        <v/>
      </c>
      <c r="M214" s="48">
        <f>IF($F214="","",IFERROR(INDEX(사건마스터!$AK$5:$AK$64,MATCH($F214,사건마스터!$A$5:$A$64,0)),""))</f>
        <v/>
      </c>
      <c r="N214" s="48">
        <f>IF($F214="","",IFERROR(INDEX(사건마스터!$AL$5:$AL$64,MATCH($F214,사건마스터!$A$5:$A$64,0)),""))</f>
        <v/>
      </c>
      <c r="O214" s="43">
        <f>IF($I214="","",COUNTIF($I214:$N214,"?*"))</f>
        <v/>
      </c>
      <c r="P214" s="46">
        <f>IF($I214="","",_xlfn.TEXTJOIN(", ",TRUE,$I214:$N214))</f>
        <v/>
      </c>
      <c r="Q214" s="47">
        <f>IF($I214="","",IFERROR(INDEX(코드설정!$D$5:$D$24,MATCH($I214,코드설정!$C$5:$C$24,0)),""))</f>
        <v/>
      </c>
      <c r="R214" s="49" t="n"/>
      <c r="S214" s="50" t="n"/>
      <c r="T214" s="51" t="n"/>
      <c r="U214" s="43">
        <f>IF(OR($B214="",$C214=""),"",$C214-$B214+1)</f>
        <v/>
      </c>
      <c r="V214" s="52" t="n"/>
      <c r="W214" s="53">
        <f>IF(OR($V214="",$O214=""),"",$V214*$O214)</f>
        <v/>
      </c>
      <c r="X214" s="45" t="n"/>
      <c r="Y214" s="49" t="n"/>
    </row>
    <row r="215">
      <c r="A215" s="43">
        <f>IF($B215="","",COUNT($B$5:$B215))</f>
        <v/>
      </c>
      <c r="B215" s="44" t="n"/>
      <c r="C215" s="44" t="n"/>
      <c r="D215" s="45" t="n"/>
      <c r="E215" s="45" t="n"/>
      <c r="F215" s="45" t="n"/>
      <c r="G215" s="46">
        <f>IF($F215="","",IFERROR(INDEX(사건마스터!$B$5:$B$64,MATCH($F215,사건마스터!$A$5:$A$64,0)),""))</f>
        <v/>
      </c>
      <c r="H215" s="47">
        <f>IF($F215="","",IFERROR(INDEX(사건마스터!$C$5:$C$64,MATCH($F215,사건마스터!$A$5:$A$64,0)),""))</f>
        <v/>
      </c>
      <c r="I215" s="48">
        <f>IF($F215="","",IFERROR(INDEX(사건마스터!$H$5:$H$64,MATCH($F215,사건마스터!$A$5:$A$64,0)),""))</f>
        <v/>
      </c>
      <c r="J215" s="48">
        <f>IF($F215="","",IFERROR(INDEX(사건마스터!$AH$5:$AH$64,MATCH($F215,사건마스터!$A$5:$A$64,0)),""))</f>
        <v/>
      </c>
      <c r="K215" s="48">
        <f>IF($F215="","",IFERROR(INDEX(사건마스터!$AI$5:$AI$64,MATCH($F215,사건마스터!$A$5:$A$64,0)),""))</f>
        <v/>
      </c>
      <c r="L215" s="48">
        <f>IF($F215="","",IFERROR(INDEX(사건마스터!$AJ$5:$AJ$64,MATCH($F215,사건마스터!$A$5:$A$64,0)),""))</f>
        <v/>
      </c>
      <c r="M215" s="48">
        <f>IF($F215="","",IFERROR(INDEX(사건마스터!$AK$5:$AK$64,MATCH($F215,사건마스터!$A$5:$A$64,0)),""))</f>
        <v/>
      </c>
      <c r="N215" s="48">
        <f>IF($F215="","",IFERROR(INDEX(사건마스터!$AL$5:$AL$64,MATCH($F215,사건마스터!$A$5:$A$64,0)),""))</f>
        <v/>
      </c>
      <c r="O215" s="43">
        <f>IF($I215="","",COUNTIF($I215:$N215,"?*"))</f>
        <v/>
      </c>
      <c r="P215" s="46">
        <f>IF($I215="","",_xlfn.TEXTJOIN(", ",TRUE,$I215:$N215))</f>
        <v/>
      </c>
      <c r="Q215" s="47">
        <f>IF($I215="","",IFERROR(INDEX(코드설정!$D$5:$D$24,MATCH($I215,코드설정!$C$5:$C$24,0)),""))</f>
        <v/>
      </c>
      <c r="R215" s="49" t="n"/>
      <c r="S215" s="50" t="n"/>
      <c r="T215" s="51" t="n"/>
      <c r="U215" s="43">
        <f>IF(OR($B215="",$C215=""),"",$C215-$B215+1)</f>
        <v/>
      </c>
      <c r="V215" s="52" t="n"/>
      <c r="W215" s="53">
        <f>IF(OR($V215="",$O215=""),"",$V215*$O215)</f>
        <v/>
      </c>
      <c r="X215" s="45" t="n"/>
      <c r="Y215" s="49" t="n"/>
    </row>
    <row r="216">
      <c r="A216" s="43">
        <f>IF($B216="","",COUNT($B$5:$B216))</f>
        <v/>
      </c>
      <c r="B216" s="44" t="n"/>
      <c r="C216" s="44" t="n"/>
      <c r="D216" s="45" t="n"/>
      <c r="E216" s="45" t="n"/>
      <c r="F216" s="45" t="n"/>
      <c r="G216" s="46">
        <f>IF($F216="","",IFERROR(INDEX(사건마스터!$B$5:$B$64,MATCH($F216,사건마스터!$A$5:$A$64,0)),""))</f>
        <v/>
      </c>
      <c r="H216" s="47">
        <f>IF($F216="","",IFERROR(INDEX(사건마스터!$C$5:$C$64,MATCH($F216,사건마스터!$A$5:$A$64,0)),""))</f>
        <v/>
      </c>
      <c r="I216" s="48">
        <f>IF($F216="","",IFERROR(INDEX(사건마스터!$H$5:$H$64,MATCH($F216,사건마스터!$A$5:$A$64,0)),""))</f>
        <v/>
      </c>
      <c r="J216" s="48">
        <f>IF($F216="","",IFERROR(INDEX(사건마스터!$AH$5:$AH$64,MATCH($F216,사건마스터!$A$5:$A$64,0)),""))</f>
        <v/>
      </c>
      <c r="K216" s="48">
        <f>IF($F216="","",IFERROR(INDEX(사건마스터!$AI$5:$AI$64,MATCH($F216,사건마스터!$A$5:$A$64,0)),""))</f>
        <v/>
      </c>
      <c r="L216" s="48">
        <f>IF($F216="","",IFERROR(INDEX(사건마스터!$AJ$5:$AJ$64,MATCH($F216,사건마스터!$A$5:$A$64,0)),""))</f>
        <v/>
      </c>
      <c r="M216" s="48">
        <f>IF($F216="","",IFERROR(INDEX(사건마스터!$AK$5:$AK$64,MATCH($F216,사건마스터!$A$5:$A$64,0)),""))</f>
        <v/>
      </c>
      <c r="N216" s="48">
        <f>IF($F216="","",IFERROR(INDEX(사건마스터!$AL$5:$AL$64,MATCH($F216,사건마스터!$A$5:$A$64,0)),""))</f>
        <v/>
      </c>
      <c r="O216" s="43">
        <f>IF($I216="","",COUNTIF($I216:$N216,"?*"))</f>
        <v/>
      </c>
      <c r="P216" s="46">
        <f>IF($I216="","",_xlfn.TEXTJOIN(", ",TRUE,$I216:$N216))</f>
        <v/>
      </c>
      <c r="Q216" s="47">
        <f>IF($I216="","",IFERROR(INDEX(코드설정!$D$5:$D$24,MATCH($I216,코드설정!$C$5:$C$24,0)),""))</f>
        <v/>
      </c>
      <c r="R216" s="49" t="n"/>
      <c r="S216" s="50" t="n"/>
      <c r="T216" s="51" t="n"/>
      <c r="U216" s="43">
        <f>IF(OR($B216="",$C216=""),"",$C216-$B216+1)</f>
        <v/>
      </c>
      <c r="V216" s="52" t="n"/>
      <c r="W216" s="53">
        <f>IF(OR($V216="",$O216=""),"",$V216*$O216)</f>
        <v/>
      </c>
      <c r="X216" s="45" t="n"/>
      <c r="Y216" s="49" t="n"/>
    </row>
    <row r="217">
      <c r="A217" s="43">
        <f>IF($B217="","",COUNT($B$5:$B217))</f>
        <v/>
      </c>
      <c r="B217" s="44" t="n"/>
      <c r="C217" s="44" t="n"/>
      <c r="D217" s="45" t="n"/>
      <c r="E217" s="45" t="n"/>
      <c r="F217" s="45" t="n"/>
      <c r="G217" s="46">
        <f>IF($F217="","",IFERROR(INDEX(사건마스터!$B$5:$B$64,MATCH($F217,사건마스터!$A$5:$A$64,0)),""))</f>
        <v/>
      </c>
      <c r="H217" s="47">
        <f>IF($F217="","",IFERROR(INDEX(사건마스터!$C$5:$C$64,MATCH($F217,사건마스터!$A$5:$A$64,0)),""))</f>
        <v/>
      </c>
      <c r="I217" s="48">
        <f>IF($F217="","",IFERROR(INDEX(사건마스터!$H$5:$H$64,MATCH($F217,사건마스터!$A$5:$A$64,0)),""))</f>
        <v/>
      </c>
      <c r="J217" s="48">
        <f>IF($F217="","",IFERROR(INDEX(사건마스터!$AH$5:$AH$64,MATCH($F217,사건마스터!$A$5:$A$64,0)),""))</f>
        <v/>
      </c>
      <c r="K217" s="48">
        <f>IF($F217="","",IFERROR(INDEX(사건마스터!$AI$5:$AI$64,MATCH($F217,사건마스터!$A$5:$A$64,0)),""))</f>
        <v/>
      </c>
      <c r="L217" s="48">
        <f>IF($F217="","",IFERROR(INDEX(사건마스터!$AJ$5:$AJ$64,MATCH($F217,사건마스터!$A$5:$A$64,0)),""))</f>
        <v/>
      </c>
      <c r="M217" s="48">
        <f>IF($F217="","",IFERROR(INDEX(사건마스터!$AK$5:$AK$64,MATCH($F217,사건마스터!$A$5:$A$64,0)),""))</f>
        <v/>
      </c>
      <c r="N217" s="48">
        <f>IF($F217="","",IFERROR(INDEX(사건마스터!$AL$5:$AL$64,MATCH($F217,사건마스터!$A$5:$A$64,0)),""))</f>
        <v/>
      </c>
      <c r="O217" s="43">
        <f>IF($I217="","",COUNTIF($I217:$N217,"?*"))</f>
        <v/>
      </c>
      <c r="P217" s="46">
        <f>IF($I217="","",_xlfn.TEXTJOIN(", ",TRUE,$I217:$N217))</f>
        <v/>
      </c>
      <c r="Q217" s="47">
        <f>IF($I217="","",IFERROR(INDEX(코드설정!$D$5:$D$24,MATCH($I217,코드설정!$C$5:$C$24,0)),""))</f>
        <v/>
      </c>
      <c r="R217" s="49" t="n"/>
      <c r="S217" s="50" t="n"/>
      <c r="T217" s="51" t="n"/>
      <c r="U217" s="43">
        <f>IF(OR($B217="",$C217=""),"",$C217-$B217+1)</f>
        <v/>
      </c>
      <c r="V217" s="52" t="n"/>
      <c r="W217" s="53">
        <f>IF(OR($V217="",$O217=""),"",$V217*$O217)</f>
        <v/>
      </c>
      <c r="X217" s="45" t="n"/>
      <c r="Y217" s="49" t="n"/>
    </row>
    <row r="218">
      <c r="A218" s="43">
        <f>IF($B218="","",COUNT($B$5:$B218))</f>
        <v/>
      </c>
      <c r="B218" s="44" t="n"/>
      <c r="C218" s="44" t="n"/>
      <c r="D218" s="45" t="n"/>
      <c r="E218" s="45" t="n"/>
      <c r="F218" s="45" t="n"/>
      <c r="G218" s="46">
        <f>IF($F218="","",IFERROR(INDEX(사건마스터!$B$5:$B$64,MATCH($F218,사건마스터!$A$5:$A$64,0)),""))</f>
        <v/>
      </c>
      <c r="H218" s="47">
        <f>IF($F218="","",IFERROR(INDEX(사건마스터!$C$5:$C$64,MATCH($F218,사건마스터!$A$5:$A$64,0)),""))</f>
        <v/>
      </c>
      <c r="I218" s="48">
        <f>IF($F218="","",IFERROR(INDEX(사건마스터!$H$5:$H$64,MATCH($F218,사건마스터!$A$5:$A$64,0)),""))</f>
        <v/>
      </c>
      <c r="J218" s="48">
        <f>IF($F218="","",IFERROR(INDEX(사건마스터!$AH$5:$AH$64,MATCH($F218,사건마스터!$A$5:$A$64,0)),""))</f>
        <v/>
      </c>
      <c r="K218" s="48">
        <f>IF($F218="","",IFERROR(INDEX(사건마스터!$AI$5:$AI$64,MATCH($F218,사건마스터!$A$5:$A$64,0)),""))</f>
        <v/>
      </c>
      <c r="L218" s="48">
        <f>IF($F218="","",IFERROR(INDEX(사건마스터!$AJ$5:$AJ$64,MATCH($F218,사건마스터!$A$5:$A$64,0)),""))</f>
        <v/>
      </c>
      <c r="M218" s="48">
        <f>IF($F218="","",IFERROR(INDEX(사건마스터!$AK$5:$AK$64,MATCH($F218,사건마스터!$A$5:$A$64,0)),""))</f>
        <v/>
      </c>
      <c r="N218" s="48">
        <f>IF($F218="","",IFERROR(INDEX(사건마스터!$AL$5:$AL$64,MATCH($F218,사건마스터!$A$5:$A$64,0)),""))</f>
        <v/>
      </c>
      <c r="O218" s="43">
        <f>IF($I218="","",COUNTIF($I218:$N218,"?*"))</f>
        <v/>
      </c>
      <c r="P218" s="46">
        <f>IF($I218="","",_xlfn.TEXTJOIN(", ",TRUE,$I218:$N218))</f>
        <v/>
      </c>
      <c r="Q218" s="47">
        <f>IF($I218="","",IFERROR(INDEX(코드설정!$D$5:$D$24,MATCH($I218,코드설정!$C$5:$C$24,0)),""))</f>
        <v/>
      </c>
      <c r="R218" s="49" t="n"/>
      <c r="S218" s="50" t="n"/>
      <c r="T218" s="51" t="n"/>
      <c r="U218" s="43">
        <f>IF(OR($B218="",$C218=""),"",$C218-$B218+1)</f>
        <v/>
      </c>
      <c r="V218" s="52" t="n"/>
      <c r="W218" s="53">
        <f>IF(OR($V218="",$O218=""),"",$V218*$O218)</f>
        <v/>
      </c>
      <c r="X218" s="45" t="n"/>
      <c r="Y218" s="49" t="n"/>
    </row>
    <row r="219">
      <c r="A219" s="43">
        <f>IF($B219="","",COUNT($B$5:$B219))</f>
        <v/>
      </c>
      <c r="B219" s="44" t="n"/>
      <c r="C219" s="44" t="n"/>
      <c r="D219" s="45" t="n"/>
      <c r="E219" s="45" t="n"/>
      <c r="F219" s="45" t="n"/>
      <c r="G219" s="46">
        <f>IF($F219="","",IFERROR(INDEX(사건마스터!$B$5:$B$64,MATCH($F219,사건마스터!$A$5:$A$64,0)),""))</f>
        <v/>
      </c>
      <c r="H219" s="47">
        <f>IF($F219="","",IFERROR(INDEX(사건마스터!$C$5:$C$64,MATCH($F219,사건마스터!$A$5:$A$64,0)),""))</f>
        <v/>
      </c>
      <c r="I219" s="48">
        <f>IF($F219="","",IFERROR(INDEX(사건마스터!$H$5:$H$64,MATCH($F219,사건마스터!$A$5:$A$64,0)),""))</f>
        <v/>
      </c>
      <c r="J219" s="48">
        <f>IF($F219="","",IFERROR(INDEX(사건마스터!$AH$5:$AH$64,MATCH($F219,사건마스터!$A$5:$A$64,0)),""))</f>
        <v/>
      </c>
      <c r="K219" s="48">
        <f>IF($F219="","",IFERROR(INDEX(사건마스터!$AI$5:$AI$64,MATCH($F219,사건마스터!$A$5:$A$64,0)),""))</f>
        <v/>
      </c>
      <c r="L219" s="48">
        <f>IF($F219="","",IFERROR(INDEX(사건마스터!$AJ$5:$AJ$64,MATCH($F219,사건마스터!$A$5:$A$64,0)),""))</f>
        <v/>
      </c>
      <c r="M219" s="48">
        <f>IF($F219="","",IFERROR(INDEX(사건마스터!$AK$5:$AK$64,MATCH($F219,사건마스터!$A$5:$A$64,0)),""))</f>
        <v/>
      </c>
      <c r="N219" s="48">
        <f>IF($F219="","",IFERROR(INDEX(사건마스터!$AL$5:$AL$64,MATCH($F219,사건마스터!$A$5:$A$64,0)),""))</f>
        <v/>
      </c>
      <c r="O219" s="43">
        <f>IF($I219="","",COUNTIF($I219:$N219,"?*"))</f>
        <v/>
      </c>
      <c r="P219" s="46">
        <f>IF($I219="","",_xlfn.TEXTJOIN(", ",TRUE,$I219:$N219))</f>
        <v/>
      </c>
      <c r="Q219" s="47">
        <f>IF($I219="","",IFERROR(INDEX(코드설정!$D$5:$D$24,MATCH($I219,코드설정!$C$5:$C$24,0)),""))</f>
        <v/>
      </c>
      <c r="R219" s="49" t="n"/>
      <c r="S219" s="50" t="n"/>
      <c r="T219" s="51" t="n"/>
      <c r="U219" s="43">
        <f>IF(OR($B219="",$C219=""),"",$C219-$B219+1)</f>
        <v/>
      </c>
      <c r="V219" s="52" t="n"/>
      <c r="W219" s="53">
        <f>IF(OR($V219="",$O219=""),"",$V219*$O219)</f>
        <v/>
      </c>
      <c r="X219" s="45" t="n"/>
      <c r="Y219" s="49" t="n"/>
    </row>
    <row r="220">
      <c r="A220" s="43">
        <f>IF($B220="","",COUNT($B$5:$B220))</f>
        <v/>
      </c>
      <c r="B220" s="44" t="n"/>
      <c r="C220" s="44" t="n"/>
      <c r="D220" s="45" t="n"/>
      <c r="E220" s="45" t="n"/>
      <c r="F220" s="45" t="n"/>
      <c r="G220" s="46">
        <f>IF($F220="","",IFERROR(INDEX(사건마스터!$B$5:$B$64,MATCH($F220,사건마스터!$A$5:$A$64,0)),""))</f>
        <v/>
      </c>
      <c r="H220" s="47">
        <f>IF($F220="","",IFERROR(INDEX(사건마스터!$C$5:$C$64,MATCH($F220,사건마스터!$A$5:$A$64,0)),""))</f>
        <v/>
      </c>
      <c r="I220" s="48">
        <f>IF($F220="","",IFERROR(INDEX(사건마스터!$H$5:$H$64,MATCH($F220,사건마스터!$A$5:$A$64,0)),""))</f>
        <v/>
      </c>
      <c r="J220" s="48">
        <f>IF($F220="","",IFERROR(INDEX(사건마스터!$AH$5:$AH$64,MATCH($F220,사건마스터!$A$5:$A$64,0)),""))</f>
        <v/>
      </c>
      <c r="K220" s="48">
        <f>IF($F220="","",IFERROR(INDEX(사건마스터!$AI$5:$AI$64,MATCH($F220,사건마스터!$A$5:$A$64,0)),""))</f>
        <v/>
      </c>
      <c r="L220" s="48">
        <f>IF($F220="","",IFERROR(INDEX(사건마스터!$AJ$5:$AJ$64,MATCH($F220,사건마스터!$A$5:$A$64,0)),""))</f>
        <v/>
      </c>
      <c r="M220" s="48">
        <f>IF($F220="","",IFERROR(INDEX(사건마스터!$AK$5:$AK$64,MATCH($F220,사건마스터!$A$5:$A$64,0)),""))</f>
        <v/>
      </c>
      <c r="N220" s="48">
        <f>IF($F220="","",IFERROR(INDEX(사건마스터!$AL$5:$AL$64,MATCH($F220,사건마스터!$A$5:$A$64,0)),""))</f>
        <v/>
      </c>
      <c r="O220" s="43">
        <f>IF($I220="","",COUNTIF($I220:$N220,"?*"))</f>
        <v/>
      </c>
      <c r="P220" s="46">
        <f>IF($I220="","",_xlfn.TEXTJOIN(", ",TRUE,$I220:$N220))</f>
        <v/>
      </c>
      <c r="Q220" s="47">
        <f>IF($I220="","",IFERROR(INDEX(코드설정!$D$5:$D$24,MATCH($I220,코드설정!$C$5:$C$24,0)),""))</f>
        <v/>
      </c>
      <c r="R220" s="49" t="n"/>
      <c r="S220" s="50" t="n"/>
      <c r="T220" s="51" t="n"/>
      <c r="U220" s="43">
        <f>IF(OR($B220="",$C220=""),"",$C220-$B220+1)</f>
        <v/>
      </c>
      <c r="V220" s="52" t="n"/>
      <c r="W220" s="53">
        <f>IF(OR($V220="",$O220=""),"",$V220*$O220)</f>
        <v/>
      </c>
      <c r="X220" s="45" t="n"/>
      <c r="Y220" s="49" t="n"/>
    </row>
    <row r="221">
      <c r="A221" s="43">
        <f>IF($B221="","",COUNT($B$5:$B221))</f>
        <v/>
      </c>
      <c r="B221" s="44" t="n"/>
      <c r="C221" s="44" t="n"/>
      <c r="D221" s="45" t="n"/>
      <c r="E221" s="45" t="n"/>
      <c r="F221" s="45" t="n"/>
      <c r="G221" s="46">
        <f>IF($F221="","",IFERROR(INDEX(사건마스터!$B$5:$B$64,MATCH($F221,사건마스터!$A$5:$A$64,0)),""))</f>
        <v/>
      </c>
      <c r="H221" s="47">
        <f>IF($F221="","",IFERROR(INDEX(사건마스터!$C$5:$C$64,MATCH($F221,사건마스터!$A$5:$A$64,0)),""))</f>
        <v/>
      </c>
      <c r="I221" s="48">
        <f>IF($F221="","",IFERROR(INDEX(사건마스터!$H$5:$H$64,MATCH($F221,사건마스터!$A$5:$A$64,0)),""))</f>
        <v/>
      </c>
      <c r="J221" s="48">
        <f>IF($F221="","",IFERROR(INDEX(사건마스터!$AH$5:$AH$64,MATCH($F221,사건마스터!$A$5:$A$64,0)),""))</f>
        <v/>
      </c>
      <c r="K221" s="48">
        <f>IF($F221="","",IFERROR(INDEX(사건마스터!$AI$5:$AI$64,MATCH($F221,사건마스터!$A$5:$A$64,0)),""))</f>
        <v/>
      </c>
      <c r="L221" s="48">
        <f>IF($F221="","",IFERROR(INDEX(사건마스터!$AJ$5:$AJ$64,MATCH($F221,사건마스터!$A$5:$A$64,0)),""))</f>
        <v/>
      </c>
      <c r="M221" s="48">
        <f>IF($F221="","",IFERROR(INDEX(사건마스터!$AK$5:$AK$64,MATCH($F221,사건마스터!$A$5:$A$64,0)),""))</f>
        <v/>
      </c>
      <c r="N221" s="48">
        <f>IF($F221="","",IFERROR(INDEX(사건마스터!$AL$5:$AL$64,MATCH($F221,사건마스터!$A$5:$A$64,0)),""))</f>
        <v/>
      </c>
      <c r="O221" s="43">
        <f>IF($I221="","",COUNTIF($I221:$N221,"?*"))</f>
        <v/>
      </c>
      <c r="P221" s="46">
        <f>IF($I221="","",_xlfn.TEXTJOIN(", ",TRUE,$I221:$N221))</f>
        <v/>
      </c>
      <c r="Q221" s="47">
        <f>IF($I221="","",IFERROR(INDEX(코드설정!$D$5:$D$24,MATCH($I221,코드설정!$C$5:$C$24,0)),""))</f>
        <v/>
      </c>
      <c r="R221" s="49" t="n"/>
      <c r="S221" s="50" t="n"/>
      <c r="T221" s="51" t="n"/>
      <c r="U221" s="43">
        <f>IF(OR($B221="",$C221=""),"",$C221-$B221+1)</f>
        <v/>
      </c>
      <c r="V221" s="52" t="n"/>
      <c r="W221" s="53">
        <f>IF(OR($V221="",$O221=""),"",$V221*$O221)</f>
        <v/>
      </c>
      <c r="X221" s="45" t="n"/>
      <c r="Y221" s="49" t="n"/>
    </row>
    <row r="222">
      <c r="A222" s="43">
        <f>IF($B222="","",COUNT($B$5:$B222))</f>
        <v/>
      </c>
      <c r="B222" s="44" t="n"/>
      <c r="C222" s="44" t="n"/>
      <c r="D222" s="45" t="n"/>
      <c r="E222" s="45" t="n"/>
      <c r="F222" s="45" t="n"/>
      <c r="G222" s="46">
        <f>IF($F222="","",IFERROR(INDEX(사건마스터!$B$5:$B$64,MATCH($F222,사건마스터!$A$5:$A$64,0)),""))</f>
        <v/>
      </c>
      <c r="H222" s="47">
        <f>IF($F222="","",IFERROR(INDEX(사건마스터!$C$5:$C$64,MATCH($F222,사건마스터!$A$5:$A$64,0)),""))</f>
        <v/>
      </c>
      <c r="I222" s="48">
        <f>IF($F222="","",IFERROR(INDEX(사건마스터!$H$5:$H$64,MATCH($F222,사건마스터!$A$5:$A$64,0)),""))</f>
        <v/>
      </c>
      <c r="J222" s="48">
        <f>IF($F222="","",IFERROR(INDEX(사건마스터!$AH$5:$AH$64,MATCH($F222,사건마스터!$A$5:$A$64,0)),""))</f>
        <v/>
      </c>
      <c r="K222" s="48">
        <f>IF($F222="","",IFERROR(INDEX(사건마스터!$AI$5:$AI$64,MATCH($F222,사건마스터!$A$5:$A$64,0)),""))</f>
        <v/>
      </c>
      <c r="L222" s="48">
        <f>IF($F222="","",IFERROR(INDEX(사건마스터!$AJ$5:$AJ$64,MATCH($F222,사건마스터!$A$5:$A$64,0)),""))</f>
        <v/>
      </c>
      <c r="M222" s="48">
        <f>IF($F222="","",IFERROR(INDEX(사건마스터!$AK$5:$AK$64,MATCH($F222,사건마스터!$A$5:$A$64,0)),""))</f>
        <v/>
      </c>
      <c r="N222" s="48">
        <f>IF($F222="","",IFERROR(INDEX(사건마스터!$AL$5:$AL$64,MATCH($F222,사건마스터!$A$5:$A$64,0)),""))</f>
        <v/>
      </c>
      <c r="O222" s="43">
        <f>IF($I222="","",COUNTIF($I222:$N222,"?*"))</f>
        <v/>
      </c>
      <c r="P222" s="46">
        <f>IF($I222="","",_xlfn.TEXTJOIN(", ",TRUE,$I222:$N222))</f>
        <v/>
      </c>
      <c r="Q222" s="47">
        <f>IF($I222="","",IFERROR(INDEX(코드설정!$D$5:$D$24,MATCH($I222,코드설정!$C$5:$C$24,0)),""))</f>
        <v/>
      </c>
      <c r="R222" s="49" t="n"/>
      <c r="S222" s="50" t="n"/>
      <c r="T222" s="51" t="n"/>
      <c r="U222" s="43">
        <f>IF(OR($B222="",$C222=""),"",$C222-$B222+1)</f>
        <v/>
      </c>
      <c r="V222" s="52" t="n"/>
      <c r="W222" s="53">
        <f>IF(OR($V222="",$O222=""),"",$V222*$O222)</f>
        <v/>
      </c>
      <c r="X222" s="45" t="n"/>
      <c r="Y222" s="49" t="n"/>
    </row>
    <row r="223">
      <c r="A223" s="43">
        <f>IF($B223="","",COUNT($B$5:$B223))</f>
        <v/>
      </c>
      <c r="B223" s="44" t="n"/>
      <c r="C223" s="44" t="n"/>
      <c r="D223" s="45" t="n"/>
      <c r="E223" s="45" t="n"/>
      <c r="F223" s="45" t="n"/>
      <c r="G223" s="46">
        <f>IF($F223="","",IFERROR(INDEX(사건마스터!$B$5:$B$64,MATCH($F223,사건마스터!$A$5:$A$64,0)),""))</f>
        <v/>
      </c>
      <c r="H223" s="47">
        <f>IF($F223="","",IFERROR(INDEX(사건마스터!$C$5:$C$64,MATCH($F223,사건마스터!$A$5:$A$64,0)),""))</f>
        <v/>
      </c>
      <c r="I223" s="48">
        <f>IF($F223="","",IFERROR(INDEX(사건마스터!$H$5:$H$64,MATCH($F223,사건마스터!$A$5:$A$64,0)),""))</f>
        <v/>
      </c>
      <c r="J223" s="48">
        <f>IF($F223="","",IFERROR(INDEX(사건마스터!$AH$5:$AH$64,MATCH($F223,사건마스터!$A$5:$A$64,0)),""))</f>
        <v/>
      </c>
      <c r="K223" s="48">
        <f>IF($F223="","",IFERROR(INDEX(사건마스터!$AI$5:$AI$64,MATCH($F223,사건마스터!$A$5:$A$64,0)),""))</f>
        <v/>
      </c>
      <c r="L223" s="48">
        <f>IF($F223="","",IFERROR(INDEX(사건마스터!$AJ$5:$AJ$64,MATCH($F223,사건마스터!$A$5:$A$64,0)),""))</f>
        <v/>
      </c>
      <c r="M223" s="48">
        <f>IF($F223="","",IFERROR(INDEX(사건마스터!$AK$5:$AK$64,MATCH($F223,사건마스터!$A$5:$A$64,0)),""))</f>
        <v/>
      </c>
      <c r="N223" s="48">
        <f>IF($F223="","",IFERROR(INDEX(사건마스터!$AL$5:$AL$64,MATCH($F223,사건마스터!$A$5:$A$64,0)),""))</f>
        <v/>
      </c>
      <c r="O223" s="43">
        <f>IF($I223="","",COUNTIF($I223:$N223,"?*"))</f>
        <v/>
      </c>
      <c r="P223" s="46">
        <f>IF($I223="","",_xlfn.TEXTJOIN(", ",TRUE,$I223:$N223))</f>
        <v/>
      </c>
      <c r="Q223" s="47">
        <f>IF($I223="","",IFERROR(INDEX(코드설정!$D$5:$D$24,MATCH($I223,코드설정!$C$5:$C$24,0)),""))</f>
        <v/>
      </c>
      <c r="R223" s="49" t="n"/>
      <c r="S223" s="50" t="n"/>
      <c r="T223" s="51" t="n"/>
      <c r="U223" s="43">
        <f>IF(OR($B223="",$C223=""),"",$C223-$B223+1)</f>
        <v/>
      </c>
      <c r="V223" s="52" t="n"/>
      <c r="W223" s="53">
        <f>IF(OR($V223="",$O223=""),"",$V223*$O223)</f>
        <v/>
      </c>
      <c r="X223" s="45" t="n"/>
      <c r="Y223" s="49" t="n"/>
    </row>
    <row r="224">
      <c r="A224" s="43">
        <f>IF($B224="","",COUNT($B$5:$B224))</f>
        <v/>
      </c>
      <c r="B224" s="44" t="n"/>
      <c r="C224" s="44" t="n"/>
      <c r="D224" s="45" t="n"/>
      <c r="E224" s="45" t="n"/>
      <c r="F224" s="45" t="n"/>
      <c r="G224" s="46">
        <f>IF($F224="","",IFERROR(INDEX(사건마스터!$B$5:$B$64,MATCH($F224,사건마스터!$A$5:$A$64,0)),""))</f>
        <v/>
      </c>
      <c r="H224" s="47">
        <f>IF($F224="","",IFERROR(INDEX(사건마스터!$C$5:$C$64,MATCH($F224,사건마스터!$A$5:$A$64,0)),""))</f>
        <v/>
      </c>
      <c r="I224" s="48">
        <f>IF($F224="","",IFERROR(INDEX(사건마스터!$H$5:$H$64,MATCH($F224,사건마스터!$A$5:$A$64,0)),""))</f>
        <v/>
      </c>
      <c r="J224" s="48">
        <f>IF($F224="","",IFERROR(INDEX(사건마스터!$AH$5:$AH$64,MATCH($F224,사건마스터!$A$5:$A$64,0)),""))</f>
        <v/>
      </c>
      <c r="K224" s="48">
        <f>IF($F224="","",IFERROR(INDEX(사건마스터!$AI$5:$AI$64,MATCH($F224,사건마스터!$A$5:$A$64,0)),""))</f>
        <v/>
      </c>
      <c r="L224" s="48">
        <f>IF($F224="","",IFERROR(INDEX(사건마스터!$AJ$5:$AJ$64,MATCH($F224,사건마스터!$A$5:$A$64,0)),""))</f>
        <v/>
      </c>
      <c r="M224" s="48">
        <f>IF($F224="","",IFERROR(INDEX(사건마스터!$AK$5:$AK$64,MATCH($F224,사건마스터!$A$5:$A$64,0)),""))</f>
        <v/>
      </c>
      <c r="N224" s="48">
        <f>IF($F224="","",IFERROR(INDEX(사건마스터!$AL$5:$AL$64,MATCH($F224,사건마스터!$A$5:$A$64,0)),""))</f>
        <v/>
      </c>
      <c r="O224" s="43">
        <f>IF($I224="","",COUNTIF($I224:$N224,"?*"))</f>
        <v/>
      </c>
      <c r="P224" s="46">
        <f>IF($I224="","",_xlfn.TEXTJOIN(", ",TRUE,$I224:$N224))</f>
        <v/>
      </c>
      <c r="Q224" s="47">
        <f>IF($I224="","",IFERROR(INDEX(코드설정!$D$5:$D$24,MATCH($I224,코드설정!$C$5:$C$24,0)),""))</f>
        <v/>
      </c>
      <c r="R224" s="49" t="n"/>
      <c r="S224" s="50" t="n"/>
      <c r="T224" s="51" t="n"/>
      <c r="U224" s="43">
        <f>IF(OR($B224="",$C224=""),"",$C224-$B224+1)</f>
        <v/>
      </c>
      <c r="V224" s="52" t="n"/>
      <c r="W224" s="53">
        <f>IF(OR($V224="",$O224=""),"",$V224*$O224)</f>
        <v/>
      </c>
      <c r="X224" s="45" t="n"/>
      <c r="Y224" s="49" t="n"/>
    </row>
    <row r="225">
      <c r="A225" s="43">
        <f>IF($B225="","",COUNT($B$5:$B225))</f>
        <v/>
      </c>
      <c r="B225" s="44" t="n"/>
      <c r="C225" s="44" t="n"/>
      <c r="D225" s="45" t="n"/>
      <c r="E225" s="45" t="n"/>
      <c r="F225" s="45" t="n"/>
      <c r="G225" s="46">
        <f>IF($F225="","",IFERROR(INDEX(사건마스터!$B$5:$B$64,MATCH($F225,사건마스터!$A$5:$A$64,0)),""))</f>
        <v/>
      </c>
      <c r="H225" s="47">
        <f>IF($F225="","",IFERROR(INDEX(사건마스터!$C$5:$C$64,MATCH($F225,사건마스터!$A$5:$A$64,0)),""))</f>
        <v/>
      </c>
      <c r="I225" s="48">
        <f>IF($F225="","",IFERROR(INDEX(사건마스터!$H$5:$H$64,MATCH($F225,사건마스터!$A$5:$A$64,0)),""))</f>
        <v/>
      </c>
      <c r="J225" s="48">
        <f>IF($F225="","",IFERROR(INDEX(사건마스터!$AH$5:$AH$64,MATCH($F225,사건마스터!$A$5:$A$64,0)),""))</f>
        <v/>
      </c>
      <c r="K225" s="48">
        <f>IF($F225="","",IFERROR(INDEX(사건마스터!$AI$5:$AI$64,MATCH($F225,사건마스터!$A$5:$A$64,0)),""))</f>
        <v/>
      </c>
      <c r="L225" s="48">
        <f>IF($F225="","",IFERROR(INDEX(사건마스터!$AJ$5:$AJ$64,MATCH($F225,사건마스터!$A$5:$A$64,0)),""))</f>
        <v/>
      </c>
      <c r="M225" s="48">
        <f>IF($F225="","",IFERROR(INDEX(사건마스터!$AK$5:$AK$64,MATCH($F225,사건마스터!$A$5:$A$64,0)),""))</f>
        <v/>
      </c>
      <c r="N225" s="48">
        <f>IF($F225="","",IFERROR(INDEX(사건마스터!$AL$5:$AL$64,MATCH($F225,사건마스터!$A$5:$A$64,0)),""))</f>
        <v/>
      </c>
      <c r="O225" s="43">
        <f>IF($I225="","",COUNTIF($I225:$N225,"?*"))</f>
        <v/>
      </c>
      <c r="P225" s="46">
        <f>IF($I225="","",_xlfn.TEXTJOIN(", ",TRUE,$I225:$N225))</f>
        <v/>
      </c>
      <c r="Q225" s="47">
        <f>IF($I225="","",IFERROR(INDEX(코드설정!$D$5:$D$24,MATCH($I225,코드설정!$C$5:$C$24,0)),""))</f>
        <v/>
      </c>
      <c r="R225" s="49" t="n"/>
      <c r="S225" s="50" t="n"/>
      <c r="T225" s="51" t="n"/>
      <c r="U225" s="43">
        <f>IF(OR($B225="",$C225=""),"",$C225-$B225+1)</f>
        <v/>
      </c>
      <c r="V225" s="52" t="n"/>
      <c r="W225" s="53">
        <f>IF(OR($V225="",$O225=""),"",$V225*$O225)</f>
        <v/>
      </c>
      <c r="X225" s="45" t="n"/>
      <c r="Y225" s="49" t="n"/>
    </row>
    <row r="226">
      <c r="A226" s="43">
        <f>IF($B226="","",COUNT($B$5:$B226))</f>
        <v/>
      </c>
      <c r="B226" s="44" t="n"/>
      <c r="C226" s="44" t="n"/>
      <c r="D226" s="45" t="n"/>
      <c r="E226" s="45" t="n"/>
      <c r="F226" s="45" t="n"/>
      <c r="G226" s="46">
        <f>IF($F226="","",IFERROR(INDEX(사건마스터!$B$5:$B$64,MATCH($F226,사건마스터!$A$5:$A$64,0)),""))</f>
        <v/>
      </c>
      <c r="H226" s="47">
        <f>IF($F226="","",IFERROR(INDEX(사건마스터!$C$5:$C$64,MATCH($F226,사건마스터!$A$5:$A$64,0)),""))</f>
        <v/>
      </c>
      <c r="I226" s="48">
        <f>IF($F226="","",IFERROR(INDEX(사건마스터!$H$5:$H$64,MATCH($F226,사건마스터!$A$5:$A$64,0)),""))</f>
        <v/>
      </c>
      <c r="J226" s="48">
        <f>IF($F226="","",IFERROR(INDEX(사건마스터!$AH$5:$AH$64,MATCH($F226,사건마스터!$A$5:$A$64,0)),""))</f>
        <v/>
      </c>
      <c r="K226" s="48">
        <f>IF($F226="","",IFERROR(INDEX(사건마스터!$AI$5:$AI$64,MATCH($F226,사건마스터!$A$5:$A$64,0)),""))</f>
        <v/>
      </c>
      <c r="L226" s="48">
        <f>IF($F226="","",IFERROR(INDEX(사건마스터!$AJ$5:$AJ$64,MATCH($F226,사건마스터!$A$5:$A$64,0)),""))</f>
        <v/>
      </c>
      <c r="M226" s="48">
        <f>IF($F226="","",IFERROR(INDEX(사건마스터!$AK$5:$AK$64,MATCH($F226,사건마스터!$A$5:$A$64,0)),""))</f>
        <v/>
      </c>
      <c r="N226" s="48">
        <f>IF($F226="","",IFERROR(INDEX(사건마스터!$AL$5:$AL$64,MATCH($F226,사건마스터!$A$5:$A$64,0)),""))</f>
        <v/>
      </c>
      <c r="O226" s="43">
        <f>IF($I226="","",COUNTIF($I226:$N226,"?*"))</f>
        <v/>
      </c>
      <c r="P226" s="46">
        <f>IF($I226="","",_xlfn.TEXTJOIN(", ",TRUE,$I226:$N226))</f>
        <v/>
      </c>
      <c r="Q226" s="47">
        <f>IF($I226="","",IFERROR(INDEX(코드설정!$D$5:$D$24,MATCH($I226,코드설정!$C$5:$C$24,0)),""))</f>
        <v/>
      </c>
      <c r="R226" s="49" t="n"/>
      <c r="S226" s="50" t="n"/>
      <c r="T226" s="51" t="n"/>
      <c r="U226" s="43">
        <f>IF(OR($B226="",$C226=""),"",$C226-$B226+1)</f>
        <v/>
      </c>
      <c r="V226" s="52" t="n"/>
      <c r="W226" s="53">
        <f>IF(OR($V226="",$O226=""),"",$V226*$O226)</f>
        <v/>
      </c>
      <c r="X226" s="45" t="n"/>
      <c r="Y226" s="49" t="n"/>
    </row>
    <row r="227">
      <c r="A227" s="43">
        <f>IF($B227="","",COUNT($B$5:$B227))</f>
        <v/>
      </c>
      <c r="B227" s="44" t="n"/>
      <c r="C227" s="44" t="n"/>
      <c r="D227" s="45" t="n"/>
      <c r="E227" s="45" t="n"/>
      <c r="F227" s="45" t="n"/>
      <c r="G227" s="46">
        <f>IF($F227="","",IFERROR(INDEX(사건마스터!$B$5:$B$64,MATCH($F227,사건마스터!$A$5:$A$64,0)),""))</f>
        <v/>
      </c>
      <c r="H227" s="47">
        <f>IF($F227="","",IFERROR(INDEX(사건마스터!$C$5:$C$64,MATCH($F227,사건마스터!$A$5:$A$64,0)),""))</f>
        <v/>
      </c>
      <c r="I227" s="48">
        <f>IF($F227="","",IFERROR(INDEX(사건마스터!$H$5:$H$64,MATCH($F227,사건마스터!$A$5:$A$64,0)),""))</f>
        <v/>
      </c>
      <c r="J227" s="48">
        <f>IF($F227="","",IFERROR(INDEX(사건마스터!$AH$5:$AH$64,MATCH($F227,사건마스터!$A$5:$A$64,0)),""))</f>
        <v/>
      </c>
      <c r="K227" s="48">
        <f>IF($F227="","",IFERROR(INDEX(사건마스터!$AI$5:$AI$64,MATCH($F227,사건마스터!$A$5:$A$64,0)),""))</f>
        <v/>
      </c>
      <c r="L227" s="48">
        <f>IF($F227="","",IFERROR(INDEX(사건마스터!$AJ$5:$AJ$64,MATCH($F227,사건마스터!$A$5:$A$64,0)),""))</f>
        <v/>
      </c>
      <c r="M227" s="48">
        <f>IF($F227="","",IFERROR(INDEX(사건마스터!$AK$5:$AK$64,MATCH($F227,사건마스터!$A$5:$A$64,0)),""))</f>
        <v/>
      </c>
      <c r="N227" s="48">
        <f>IF($F227="","",IFERROR(INDEX(사건마스터!$AL$5:$AL$64,MATCH($F227,사건마스터!$A$5:$A$64,0)),""))</f>
        <v/>
      </c>
      <c r="O227" s="43">
        <f>IF($I227="","",COUNTIF($I227:$N227,"?*"))</f>
        <v/>
      </c>
      <c r="P227" s="46">
        <f>IF($I227="","",_xlfn.TEXTJOIN(", ",TRUE,$I227:$N227))</f>
        <v/>
      </c>
      <c r="Q227" s="47">
        <f>IF($I227="","",IFERROR(INDEX(코드설정!$D$5:$D$24,MATCH($I227,코드설정!$C$5:$C$24,0)),""))</f>
        <v/>
      </c>
      <c r="R227" s="49" t="n"/>
      <c r="S227" s="50" t="n"/>
      <c r="T227" s="51" t="n"/>
      <c r="U227" s="43">
        <f>IF(OR($B227="",$C227=""),"",$C227-$B227+1)</f>
        <v/>
      </c>
      <c r="V227" s="52" t="n"/>
      <c r="W227" s="53">
        <f>IF(OR($V227="",$O227=""),"",$V227*$O227)</f>
        <v/>
      </c>
      <c r="X227" s="45" t="n"/>
      <c r="Y227" s="49" t="n"/>
    </row>
    <row r="228">
      <c r="A228" s="43">
        <f>IF($B228="","",COUNT($B$5:$B228))</f>
        <v/>
      </c>
      <c r="B228" s="44" t="n"/>
      <c r="C228" s="44" t="n"/>
      <c r="D228" s="45" t="n"/>
      <c r="E228" s="45" t="n"/>
      <c r="F228" s="45" t="n"/>
      <c r="G228" s="46">
        <f>IF($F228="","",IFERROR(INDEX(사건마스터!$B$5:$B$64,MATCH($F228,사건마스터!$A$5:$A$64,0)),""))</f>
        <v/>
      </c>
      <c r="H228" s="47">
        <f>IF($F228="","",IFERROR(INDEX(사건마스터!$C$5:$C$64,MATCH($F228,사건마스터!$A$5:$A$64,0)),""))</f>
        <v/>
      </c>
      <c r="I228" s="48">
        <f>IF($F228="","",IFERROR(INDEX(사건마스터!$H$5:$H$64,MATCH($F228,사건마스터!$A$5:$A$64,0)),""))</f>
        <v/>
      </c>
      <c r="J228" s="48">
        <f>IF($F228="","",IFERROR(INDEX(사건마스터!$AH$5:$AH$64,MATCH($F228,사건마스터!$A$5:$A$64,0)),""))</f>
        <v/>
      </c>
      <c r="K228" s="48">
        <f>IF($F228="","",IFERROR(INDEX(사건마스터!$AI$5:$AI$64,MATCH($F228,사건마스터!$A$5:$A$64,0)),""))</f>
        <v/>
      </c>
      <c r="L228" s="48">
        <f>IF($F228="","",IFERROR(INDEX(사건마스터!$AJ$5:$AJ$64,MATCH($F228,사건마스터!$A$5:$A$64,0)),""))</f>
        <v/>
      </c>
      <c r="M228" s="48">
        <f>IF($F228="","",IFERROR(INDEX(사건마스터!$AK$5:$AK$64,MATCH($F228,사건마스터!$A$5:$A$64,0)),""))</f>
        <v/>
      </c>
      <c r="N228" s="48">
        <f>IF($F228="","",IFERROR(INDEX(사건마스터!$AL$5:$AL$64,MATCH($F228,사건마스터!$A$5:$A$64,0)),""))</f>
        <v/>
      </c>
      <c r="O228" s="43">
        <f>IF($I228="","",COUNTIF($I228:$N228,"?*"))</f>
        <v/>
      </c>
      <c r="P228" s="46">
        <f>IF($I228="","",_xlfn.TEXTJOIN(", ",TRUE,$I228:$N228))</f>
        <v/>
      </c>
      <c r="Q228" s="47">
        <f>IF($I228="","",IFERROR(INDEX(코드설정!$D$5:$D$24,MATCH($I228,코드설정!$C$5:$C$24,0)),""))</f>
        <v/>
      </c>
      <c r="R228" s="49" t="n"/>
      <c r="S228" s="50" t="n"/>
      <c r="T228" s="51" t="n"/>
      <c r="U228" s="43">
        <f>IF(OR($B228="",$C228=""),"",$C228-$B228+1)</f>
        <v/>
      </c>
      <c r="V228" s="52" t="n"/>
      <c r="W228" s="53">
        <f>IF(OR($V228="",$O228=""),"",$V228*$O228)</f>
        <v/>
      </c>
      <c r="X228" s="45" t="n"/>
      <c r="Y228" s="49" t="n"/>
    </row>
    <row r="229">
      <c r="A229" s="43">
        <f>IF($B229="","",COUNT($B$5:$B229))</f>
        <v/>
      </c>
      <c r="B229" s="44" t="n"/>
      <c r="C229" s="44" t="n"/>
      <c r="D229" s="45" t="n"/>
      <c r="E229" s="45" t="n"/>
      <c r="F229" s="45" t="n"/>
      <c r="G229" s="46">
        <f>IF($F229="","",IFERROR(INDEX(사건마스터!$B$5:$B$64,MATCH($F229,사건마스터!$A$5:$A$64,0)),""))</f>
        <v/>
      </c>
      <c r="H229" s="47">
        <f>IF($F229="","",IFERROR(INDEX(사건마스터!$C$5:$C$64,MATCH($F229,사건마스터!$A$5:$A$64,0)),""))</f>
        <v/>
      </c>
      <c r="I229" s="48">
        <f>IF($F229="","",IFERROR(INDEX(사건마스터!$H$5:$H$64,MATCH($F229,사건마스터!$A$5:$A$64,0)),""))</f>
        <v/>
      </c>
      <c r="J229" s="48">
        <f>IF($F229="","",IFERROR(INDEX(사건마스터!$AH$5:$AH$64,MATCH($F229,사건마스터!$A$5:$A$64,0)),""))</f>
        <v/>
      </c>
      <c r="K229" s="48">
        <f>IF($F229="","",IFERROR(INDEX(사건마스터!$AI$5:$AI$64,MATCH($F229,사건마스터!$A$5:$A$64,0)),""))</f>
        <v/>
      </c>
      <c r="L229" s="48">
        <f>IF($F229="","",IFERROR(INDEX(사건마스터!$AJ$5:$AJ$64,MATCH($F229,사건마스터!$A$5:$A$64,0)),""))</f>
        <v/>
      </c>
      <c r="M229" s="48">
        <f>IF($F229="","",IFERROR(INDEX(사건마스터!$AK$5:$AK$64,MATCH($F229,사건마스터!$A$5:$A$64,0)),""))</f>
        <v/>
      </c>
      <c r="N229" s="48">
        <f>IF($F229="","",IFERROR(INDEX(사건마스터!$AL$5:$AL$64,MATCH($F229,사건마스터!$A$5:$A$64,0)),""))</f>
        <v/>
      </c>
      <c r="O229" s="43">
        <f>IF($I229="","",COUNTIF($I229:$N229,"?*"))</f>
        <v/>
      </c>
      <c r="P229" s="46">
        <f>IF($I229="","",_xlfn.TEXTJOIN(", ",TRUE,$I229:$N229))</f>
        <v/>
      </c>
      <c r="Q229" s="47">
        <f>IF($I229="","",IFERROR(INDEX(코드설정!$D$5:$D$24,MATCH($I229,코드설정!$C$5:$C$24,0)),""))</f>
        <v/>
      </c>
      <c r="R229" s="49" t="n"/>
      <c r="S229" s="50" t="n"/>
      <c r="T229" s="51" t="n"/>
      <c r="U229" s="43">
        <f>IF(OR($B229="",$C229=""),"",$C229-$B229+1)</f>
        <v/>
      </c>
      <c r="V229" s="52" t="n"/>
      <c r="W229" s="53">
        <f>IF(OR($V229="",$O229=""),"",$V229*$O229)</f>
        <v/>
      </c>
      <c r="X229" s="45" t="n"/>
      <c r="Y229" s="49" t="n"/>
    </row>
    <row r="230">
      <c r="A230" s="43">
        <f>IF($B230="","",COUNT($B$5:$B230))</f>
        <v/>
      </c>
      <c r="B230" s="44" t="n"/>
      <c r="C230" s="44" t="n"/>
      <c r="D230" s="45" t="n"/>
      <c r="E230" s="45" t="n"/>
      <c r="F230" s="45" t="n"/>
      <c r="G230" s="46">
        <f>IF($F230="","",IFERROR(INDEX(사건마스터!$B$5:$B$64,MATCH($F230,사건마스터!$A$5:$A$64,0)),""))</f>
        <v/>
      </c>
      <c r="H230" s="47">
        <f>IF($F230="","",IFERROR(INDEX(사건마스터!$C$5:$C$64,MATCH($F230,사건마스터!$A$5:$A$64,0)),""))</f>
        <v/>
      </c>
      <c r="I230" s="48">
        <f>IF($F230="","",IFERROR(INDEX(사건마스터!$H$5:$H$64,MATCH($F230,사건마스터!$A$5:$A$64,0)),""))</f>
        <v/>
      </c>
      <c r="J230" s="48">
        <f>IF($F230="","",IFERROR(INDEX(사건마스터!$AH$5:$AH$64,MATCH($F230,사건마스터!$A$5:$A$64,0)),""))</f>
        <v/>
      </c>
      <c r="K230" s="48">
        <f>IF($F230="","",IFERROR(INDEX(사건마스터!$AI$5:$AI$64,MATCH($F230,사건마스터!$A$5:$A$64,0)),""))</f>
        <v/>
      </c>
      <c r="L230" s="48">
        <f>IF($F230="","",IFERROR(INDEX(사건마스터!$AJ$5:$AJ$64,MATCH($F230,사건마스터!$A$5:$A$64,0)),""))</f>
        <v/>
      </c>
      <c r="M230" s="48">
        <f>IF($F230="","",IFERROR(INDEX(사건마스터!$AK$5:$AK$64,MATCH($F230,사건마스터!$A$5:$A$64,0)),""))</f>
        <v/>
      </c>
      <c r="N230" s="48">
        <f>IF($F230="","",IFERROR(INDEX(사건마스터!$AL$5:$AL$64,MATCH($F230,사건마스터!$A$5:$A$64,0)),""))</f>
        <v/>
      </c>
      <c r="O230" s="43">
        <f>IF($I230="","",COUNTIF($I230:$N230,"?*"))</f>
        <v/>
      </c>
      <c r="P230" s="46">
        <f>IF($I230="","",_xlfn.TEXTJOIN(", ",TRUE,$I230:$N230))</f>
        <v/>
      </c>
      <c r="Q230" s="47">
        <f>IF($I230="","",IFERROR(INDEX(코드설정!$D$5:$D$24,MATCH($I230,코드설정!$C$5:$C$24,0)),""))</f>
        <v/>
      </c>
      <c r="R230" s="49" t="n"/>
      <c r="S230" s="50" t="n"/>
      <c r="T230" s="51" t="n"/>
      <c r="U230" s="43">
        <f>IF(OR($B230="",$C230=""),"",$C230-$B230+1)</f>
        <v/>
      </c>
      <c r="V230" s="52" t="n"/>
      <c r="W230" s="53">
        <f>IF(OR($V230="",$O230=""),"",$V230*$O230)</f>
        <v/>
      </c>
      <c r="X230" s="45" t="n"/>
      <c r="Y230" s="49" t="n"/>
    </row>
    <row r="231">
      <c r="A231" s="43">
        <f>IF($B231="","",COUNT($B$5:$B231))</f>
        <v/>
      </c>
      <c r="B231" s="44" t="n"/>
      <c r="C231" s="44" t="n"/>
      <c r="D231" s="45" t="n"/>
      <c r="E231" s="45" t="n"/>
      <c r="F231" s="45" t="n"/>
      <c r="G231" s="46">
        <f>IF($F231="","",IFERROR(INDEX(사건마스터!$B$5:$B$64,MATCH($F231,사건마스터!$A$5:$A$64,0)),""))</f>
        <v/>
      </c>
      <c r="H231" s="47">
        <f>IF($F231="","",IFERROR(INDEX(사건마스터!$C$5:$C$64,MATCH($F231,사건마스터!$A$5:$A$64,0)),""))</f>
        <v/>
      </c>
      <c r="I231" s="48">
        <f>IF($F231="","",IFERROR(INDEX(사건마스터!$H$5:$H$64,MATCH($F231,사건마스터!$A$5:$A$64,0)),""))</f>
        <v/>
      </c>
      <c r="J231" s="48">
        <f>IF($F231="","",IFERROR(INDEX(사건마스터!$AH$5:$AH$64,MATCH($F231,사건마스터!$A$5:$A$64,0)),""))</f>
        <v/>
      </c>
      <c r="K231" s="48">
        <f>IF($F231="","",IFERROR(INDEX(사건마스터!$AI$5:$AI$64,MATCH($F231,사건마스터!$A$5:$A$64,0)),""))</f>
        <v/>
      </c>
      <c r="L231" s="48">
        <f>IF($F231="","",IFERROR(INDEX(사건마스터!$AJ$5:$AJ$64,MATCH($F231,사건마스터!$A$5:$A$64,0)),""))</f>
        <v/>
      </c>
      <c r="M231" s="48">
        <f>IF($F231="","",IFERROR(INDEX(사건마스터!$AK$5:$AK$64,MATCH($F231,사건마스터!$A$5:$A$64,0)),""))</f>
        <v/>
      </c>
      <c r="N231" s="48">
        <f>IF($F231="","",IFERROR(INDEX(사건마스터!$AL$5:$AL$64,MATCH($F231,사건마스터!$A$5:$A$64,0)),""))</f>
        <v/>
      </c>
      <c r="O231" s="43">
        <f>IF($I231="","",COUNTIF($I231:$N231,"?*"))</f>
        <v/>
      </c>
      <c r="P231" s="46">
        <f>IF($I231="","",_xlfn.TEXTJOIN(", ",TRUE,$I231:$N231))</f>
        <v/>
      </c>
      <c r="Q231" s="47">
        <f>IF($I231="","",IFERROR(INDEX(코드설정!$D$5:$D$24,MATCH($I231,코드설정!$C$5:$C$24,0)),""))</f>
        <v/>
      </c>
      <c r="R231" s="49" t="n"/>
      <c r="S231" s="50" t="n"/>
      <c r="T231" s="51" t="n"/>
      <c r="U231" s="43">
        <f>IF(OR($B231="",$C231=""),"",$C231-$B231+1)</f>
        <v/>
      </c>
      <c r="V231" s="52" t="n"/>
      <c r="W231" s="53">
        <f>IF(OR($V231="",$O231=""),"",$V231*$O231)</f>
        <v/>
      </c>
      <c r="X231" s="45" t="n"/>
      <c r="Y231" s="49" t="n"/>
    </row>
    <row r="232">
      <c r="A232" s="43">
        <f>IF($B232="","",COUNT($B$5:$B232))</f>
        <v/>
      </c>
      <c r="B232" s="44" t="n"/>
      <c r="C232" s="44" t="n"/>
      <c r="D232" s="45" t="n"/>
      <c r="E232" s="45" t="n"/>
      <c r="F232" s="45" t="n"/>
      <c r="G232" s="46">
        <f>IF($F232="","",IFERROR(INDEX(사건마스터!$B$5:$B$64,MATCH($F232,사건마스터!$A$5:$A$64,0)),""))</f>
        <v/>
      </c>
      <c r="H232" s="47">
        <f>IF($F232="","",IFERROR(INDEX(사건마스터!$C$5:$C$64,MATCH($F232,사건마스터!$A$5:$A$64,0)),""))</f>
        <v/>
      </c>
      <c r="I232" s="48">
        <f>IF($F232="","",IFERROR(INDEX(사건마스터!$H$5:$H$64,MATCH($F232,사건마스터!$A$5:$A$64,0)),""))</f>
        <v/>
      </c>
      <c r="J232" s="48">
        <f>IF($F232="","",IFERROR(INDEX(사건마스터!$AH$5:$AH$64,MATCH($F232,사건마스터!$A$5:$A$64,0)),""))</f>
        <v/>
      </c>
      <c r="K232" s="48">
        <f>IF($F232="","",IFERROR(INDEX(사건마스터!$AI$5:$AI$64,MATCH($F232,사건마스터!$A$5:$A$64,0)),""))</f>
        <v/>
      </c>
      <c r="L232" s="48">
        <f>IF($F232="","",IFERROR(INDEX(사건마스터!$AJ$5:$AJ$64,MATCH($F232,사건마스터!$A$5:$A$64,0)),""))</f>
        <v/>
      </c>
      <c r="M232" s="48">
        <f>IF($F232="","",IFERROR(INDEX(사건마스터!$AK$5:$AK$64,MATCH($F232,사건마스터!$A$5:$A$64,0)),""))</f>
        <v/>
      </c>
      <c r="N232" s="48">
        <f>IF($F232="","",IFERROR(INDEX(사건마스터!$AL$5:$AL$64,MATCH($F232,사건마스터!$A$5:$A$64,0)),""))</f>
        <v/>
      </c>
      <c r="O232" s="43">
        <f>IF($I232="","",COUNTIF($I232:$N232,"?*"))</f>
        <v/>
      </c>
      <c r="P232" s="46">
        <f>IF($I232="","",_xlfn.TEXTJOIN(", ",TRUE,$I232:$N232))</f>
        <v/>
      </c>
      <c r="Q232" s="47">
        <f>IF($I232="","",IFERROR(INDEX(코드설정!$D$5:$D$24,MATCH($I232,코드설정!$C$5:$C$24,0)),""))</f>
        <v/>
      </c>
      <c r="R232" s="49" t="n"/>
      <c r="S232" s="50" t="n"/>
      <c r="T232" s="51" t="n"/>
      <c r="U232" s="43">
        <f>IF(OR($B232="",$C232=""),"",$C232-$B232+1)</f>
        <v/>
      </c>
      <c r="V232" s="52" t="n"/>
      <c r="W232" s="53">
        <f>IF(OR($V232="",$O232=""),"",$V232*$O232)</f>
        <v/>
      </c>
      <c r="X232" s="45" t="n"/>
      <c r="Y232" s="49" t="n"/>
    </row>
    <row r="233">
      <c r="A233" s="43">
        <f>IF($B233="","",COUNT($B$5:$B233))</f>
        <v/>
      </c>
      <c r="B233" s="44" t="n"/>
      <c r="C233" s="44" t="n"/>
      <c r="D233" s="45" t="n"/>
      <c r="E233" s="45" t="n"/>
      <c r="F233" s="45" t="n"/>
      <c r="G233" s="46">
        <f>IF($F233="","",IFERROR(INDEX(사건마스터!$B$5:$B$64,MATCH($F233,사건마스터!$A$5:$A$64,0)),""))</f>
        <v/>
      </c>
      <c r="H233" s="47">
        <f>IF($F233="","",IFERROR(INDEX(사건마스터!$C$5:$C$64,MATCH($F233,사건마스터!$A$5:$A$64,0)),""))</f>
        <v/>
      </c>
      <c r="I233" s="48">
        <f>IF($F233="","",IFERROR(INDEX(사건마스터!$H$5:$H$64,MATCH($F233,사건마스터!$A$5:$A$64,0)),""))</f>
        <v/>
      </c>
      <c r="J233" s="48">
        <f>IF($F233="","",IFERROR(INDEX(사건마스터!$AH$5:$AH$64,MATCH($F233,사건마스터!$A$5:$A$64,0)),""))</f>
        <v/>
      </c>
      <c r="K233" s="48">
        <f>IF($F233="","",IFERROR(INDEX(사건마스터!$AI$5:$AI$64,MATCH($F233,사건마스터!$A$5:$A$64,0)),""))</f>
        <v/>
      </c>
      <c r="L233" s="48">
        <f>IF($F233="","",IFERROR(INDEX(사건마스터!$AJ$5:$AJ$64,MATCH($F233,사건마스터!$A$5:$A$64,0)),""))</f>
        <v/>
      </c>
      <c r="M233" s="48">
        <f>IF($F233="","",IFERROR(INDEX(사건마스터!$AK$5:$AK$64,MATCH($F233,사건마스터!$A$5:$A$64,0)),""))</f>
        <v/>
      </c>
      <c r="N233" s="48">
        <f>IF($F233="","",IFERROR(INDEX(사건마스터!$AL$5:$AL$64,MATCH($F233,사건마스터!$A$5:$A$64,0)),""))</f>
        <v/>
      </c>
      <c r="O233" s="43">
        <f>IF($I233="","",COUNTIF($I233:$N233,"?*"))</f>
        <v/>
      </c>
      <c r="P233" s="46">
        <f>IF($I233="","",_xlfn.TEXTJOIN(", ",TRUE,$I233:$N233))</f>
        <v/>
      </c>
      <c r="Q233" s="47">
        <f>IF($I233="","",IFERROR(INDEX(코드설정!$D$5:$D$24,MATCH($I233,코드설정!$C$5:$C$24,0)),""))</f>
        <v/>
      </c>
      <c r="R233" s="49" t="n"/>
      <c r="S233" s="50" t="n"/>
      <c r="T233" s="51" t="n"/>
      <c r="U233" s="43">
        <f>IF(OR($B233="",$C233=""),"",$C233-$B233+1)</f>
        <v/>
      </c>
      <c r="V233" s="52" t="n"/>
      <c r="W233" s="53">
        <f>IF(OR($V233="",$O233=""),"",$V233*$O233)</f>
        <v/>
      </c>
      <c r="X233" s="45" t="n"/>
      <c r="Y233" s="49" t="n"/>
    </row>
    <row r="234">
      <c r="A234" s="43">
        <f>IF($B234="","",COUNT($B$5:$B234))</f>
        <v/>
      </c>
      <c r="B234" s="44" t="n"/>
      <c r="C234" s="44" t="n"/>
      <c r="D234" s="45" t="n"/>
      <c r="E234" s="45" t="n"/>
      <c r="F234" s="45" t="n"/>
      <c r="G234" s="46">
        <f>IF($F234="","",IFERROR(INDEX(사건마스터!$B$5:$B$64,MATCH($F234,사건마스터!$A$5:$A$64,0)),""))</f>
        <v/>
      </c>
      <c r="H234" s="47">
        <f>IF($F234="","",IFERROR(INDEX(사건마스터!$C$5:$C$64,MATCH($F234,사건마스터!$A$5:$A$64,0)),""))</f>
        <v/>
      </c>
      <c r="I234" s="48">
        <f>IF($F234="","",IFERROR(INDEX(사건마스터!$H$5:$H$64,MATCH($F234,사건마스터!$A$5:$A$64,0)),""))</f>
        <v/>
      </c>
      <c r="J234" s="48">
        <f>IF($F234="","",IFERROR(INDEX(사건마스터!$AH$5:$AH$64,MATCH($F234,사건마스터!$A$5:$A$64,0)),""))</f>
        <v/>
      </c>
      <c r="K234" s="48">
        <f>IF($F234="","",IFERROR(INDEX(사건마스터!$AI$5:$AI$64,MATCH($F234,사건마스터!$A$5:$A$64,0)),""))</f>
        <v/>
      </c>
      <c r="L234" s="48">
        <f>IF($F234="","",IFERROR(INDEX(사건마스터!$AJ$5:$AJ$64,MATCH($F234,사건마스터!$A$5:$A$64,0)),""))</f>
        <v/>
      </c>
      <c r="M234" s="48">
        <f>IF($F234="","",IFERROR(INDEX(사건마스터!$AK$5:$AK$64,MATCH($F234,사건마스터!$A$5:$A$64,0)),""))</f>
        <v/>
      </c>
      <c r="N234" s="48">
        <f>IF($F234="","",IFERROR(INDEX(사건마스터!$AL$5:$AL$64,MATCH($F234,사건마스터!$A$5:$A$64,0)),""))</f>
        <v/>
      </c>
      <c r="O234" s="43">
        <f>IF($I234="","",COUNTIF($I234:$N234,"?*"))</f>
        <v/>
      </c>
      <c r="P234" s="46">
        <f>IF($I234="","",_xlfn.TEXTJOIN(", ",TRUE,$I234:$N234))</f>
        <v/>
      </c>
      <c r="Q234" s="47">
        <f>IF($I234="","",IFERROR(INDEX(코드설정!$D$5:$D$24,MATCH($I234,코드설정!$C$5:$C$24,0)),""))</f>
        <v/>
      </c>
      <c r="R234" s="49" t="n"/>
      <c r="S234" s="50" t="n"/>
      <c r="T234" s="51" t="n"/>
      <c r="U234" s="43">
        <f>IF(OR($B234="",$C234=""),"",$C234-$B234+1)</f>
        <v/>
      </c>
      <c r="V234" s="52" t="n"/>
      <c r="W234" s="53">
        <f>IF(OR($V234="",$O234=""),"",$V234*$O234)</f>
        <v/>
      </c>
      <c r="X234" s="45" t="n"/>
      <c r="Y234" s="49" t="n"/>
    </row>
    <row r="235">
      <c r="A235" s="43">
        <f>IF($B235="","",COUNT($B$5:$B235))</f>
        <v/>
      </c>
      <c r="B235" s="44" t="n"/>
      <c r="C235" s="44" t="n"/>
      <c r="D235" s="45" t="n"/>
      <c r="E235" s="45" t="n"/>
      <c r="F235" s="45" t="n"/>
      <c r="G235" s="46">
        <f>IF($F235="","",IFERROR(INDEX(사건마스터!$B$5:$B$64,MATCH($F235,사건마스터!$A$5:$A$64,0)),""))</f>
        <v/>
      </c>
      <c r="H235" s="47">
        <f>IF($F235="","",IFERROR(INDEX(사건마스터!$C$5:$C$64,MATCH($F235,사건마스터!$A$5:$A$64,0)),""))</f>
        <v/>
      </c>
      <c r="I235" s="48">
        <f>IF($F235="","",IFERROR(INDEX(사건마스터!$H$5:$H$64,MATCH($F235,사건마스터!$A$5:$A$64,0)),""))</f>
        <v/>
      </c>
      <c r="J235" s="48">
        <f>IF($F235="","",IFERROR(INDEX(사건마스터!$AH$5:$AH$64,MATCH($F235,사건마스터!$A$5:$A$64,0)),""))</f>
        <v/>
      </c>
      <c r="K235" s="48">
        <f>IF($F235="","",IFERROR(INDEX(사건마스터!$AI$5:$AI$64,MATCH($F235,사건마스터!$A$5:$A$64,0)),""))</f>
        <v/>
      </c>
      <c r="L235" s="48">
        <f>IF($F235="","",IFERROR(INDEX(사건마스터!$AJ$5:$AJ$64,MATCH($F235,사건마스터!$A$5:$A$64,0)),""))</f>
        <v/>
      </c>
      <c r="M235" s="48">
        <f>IF($F235="","",IFERROR(INDEX(사건마스터!$AK$5:$AK$64,MATCH($F235,사건마스터!$A$5:$A$64,0)),""))</f>
        <v/>
      </c>
      <c r="N235" s="48">
        <f>IF($F235="","",IFERROR(INDEX(사건마스터!$AL$5:$AL$64,MATCH($F235,사건마스터!$A$5:$A$64,0)),""))</f>
        <v/>
      </c>
      <c r="O235" s="43">
        <f>IF($I235="","",COUNTIF($I235:$N235,"?*"))</f>
        <v/>
      </c>
      <c r="P235" s="46">
        <f>IF($I235="","",_xlfn.TEXTJOIN(", ",TRUE,$I235:$N235))</f>
        <v/>
      </c>
      <c r="Q235" s="47">
        <f>IF($I235="","",IFERROR(INDEX(코드설정!$D$5:$D$24,MATCH($I235,코드설정!$C$5:$C$24,0)),""))</f>
        <v/>
      </c>
      <c r="R235" s="49" t="n"/>
      <c r="S235" s="50" t="n"/>
      <c r="T235" s="51" t="n"/>
      <c r="U235" s="43">
        <f>IF(OR($B235="",$C235=""),"",$C235-$B235+1)</f>
        <v/>
      </c>
      <c r="V235" s="52" t="n"/>
      <c r="W235" s="53">
        <f>IF(OR($V235="",$O235=""),"",$V235*$O235)</f>
        <v/>
      </c>
      <c r="X235" s="45" t="n"/>
      <c r="Y235" s="49" t="n"/>
    </row>
    <row r="236">
      <c r="A236" s="43">
        <f>IF($B236="","",COUNT($B$5:$B236))</f>
        <v/>
      </c>
      <c r="B236" s="44" t="n"/>
      <c r="C236" s="44" t="n"/>
      <c r="D236" s="45" t="n"/>
      <c r="E236" s="45" t="n"/>
      <c r="F236" s="45" t="n"/>
      <c r="G236" s="46">
        <f>IF($F236="","",IFERROR(INDEX(사건마스터!$B$5:$B$64,MATCH($F236,사건마스터!$A$5:$A$64,0)),""))</f>
        <v/>
      </c>
      <c r="H236" s="47">
        <f>IF($F236="","",IFERROR(INDEX(사건마스터!$C$5:$C$64,MATCH($F236,사건마스터!$A$5:$A$64,0)),""))</f>
        <v/>
      </c>
      <c r="I236" s="48">
        <f>IF($F236="","",IFERROR(INDEX(사건마스터!$H$5:$H$64,MATCH($F236,사건마스터!$A$5:$A$64,0)),""))</f>
        <v/>
      </c>
      <c r="J236" s="48">
        <f>IF($F236="","",IFERROR(INDEX(사건마스터!$AH$5:$AH$64,MATCH($F236,사건마스터!$A$5:$A$64,0)),""))</f>
        <v/>
      </c>
      <c r="K236" s="48">
        <f>IF($F236="","",IFERROR(INDEX(사건마스터!$AI$5:$AI$64,MATCH($F236,사건마스터!$A$5:$A$64,0)),""))</f>
        <v/>
      </c>
      <c r="L236" s="48">
        <f>IF($F236="","",IFERROR(INDEX(사건마스터!$AJ$5:$AJ$64,MATCH($F236,사건마스터!$A$5:$A$64,0)),""))</f>
        <v/>
      </c>
      <c r="M236" s="48">
        <f>IF($F236="","",IFERROR(INDEX(사건마스터!$AK$5:$AK$64,MATCH($F236,사건마스터!$A$5:$A$64,0)),""))</f>
        <v/>
      </c>
      <c r="N236" s="48">
        <f>IF($F236="","",IFERROR(INDEX(사건마스터!$AL$5:$AL$64,MATCH($F236,사건마스터!$A$5:$A$64,0)),""))</f>
        <v/>
      </c>
      <c r="O236" s="43">
        <f>IF($I236="","",COUNTIF($I236:$N236,"?*"))</f>
        <v/>
      </c>
      <c r="P236" s="46">
        <f>IF($I236="","",_xlfn.TEXTJOIN(", ",TRUE,$I236:$N236))</f>
        <v/>
      </c>
      <c r="Q236" s="47">
        <f>IF($I236="","",IFERROR(INDEX(코드설정!$D$5:$D$24,MATCH($I236,코드설정!$C$5:$C$24,0)),""))</f>
        <v/>
      </c>
      <c r="R236" s="49" t="n"/>
      <c r="S236" s="50" t="n"/>
      <c r="T236" s="51" t="n"/>
      <c r="U236" s="43">
        <f>IF(OR($B236="",$C236=""),"",$C236-$B236+1)</f>
        <v/>
      </c>
      <c r="V236" s="52" t="n"/>
      <c r="W236" s="53">
        <f>IF(OR($V236="",$O236=""),"",$V236*$O236)</f>
        <v/>
      </c>
      <c r="X236" s="45" t="n"/>
      <c r="Y236" s="49" t="n"/>
    </row>
    <row r="237">
      <c r="A237" s="43">
        <f>IF($B237="","",COUNT($B$5:$B237))</f>
        <v/>
      </c>
      <c r="B237" s="44" t="n"/>
      <c r="C237" s="44" t="n"/>
      <c r="D237" s="45" t="n"/>
      <c r="E237" s="45" t="n"/>
      <c r="F237" s="45" t="n"/>
      <c r="G237" s="46">
        <f>IF($F237="","",IFERROR(INDEX(사건마스터!$B$5:$B$64,MATCH($F237,사건마스터!$A$5:$A$64,0)),""))</f>
        <v/>
      </c>
      <c r="H237" s="47">
        <f>IF($F237="","",IFERROR(INDEX(사건마스터!$C$5:$C$64,MATCH($F237,사건마스터!$A$5:$A$64,0)),""))</f>
        <v/>
      </c>
      <c r="I237" s="48">
        <f>IF($F237="","",IFERROR(INDEX(사건마스터!$H$5:$H$64,MATCH($F237,사건마스터!$A$5:$A$64,0)),""))</f>
        <v/>
      </c>
      <c r="J237" s="48">
        <f>IF($F237="","",IFERROR(INDEX(사건마스터!$AH$5:$AH$64,MATCH($F237,사건마스터!$A$5:$A$64,0)),""))</f>
        <v/>
      </c>
      <c r="K237" s="48">
        <f>IF($F237="","",IFERROR(INDEX(사건마스터!$AI$5:$AI$64,MATCH($F237,사건마스터!$A$5:$A$64,0)),""))</f>
        <v/>
      </c>
      <c r="L237" s="48">
        <f>IF($F237="","",IFERROR(INDEX(사건마스터!$AJ$5:$AJ$64,MATCH($F237,사건마스터!$A$5:$A$64,0)),""))</f>
        <v/>
      </c>
      <c r="M237" s="48">
        <f>IF($F237="","",IFERROR(INDEX(사건마스터!$AK$5:$AK$64,MATCH($F237,사건마스터!$A$5:$A$64,0)),""))</f>
        <v/>
      </c>
      <c r="N237" s="48">
        <f>IF($F237="","",IFERROR(INDEX(사건마스터!$AL$5:$AL$64,MATCH($F237,사건마스터!$A$5:$A$64,0)),""))</f>
        <v/>
      </c>
      <c r="O237" s="43">
        <f>IF($I237="","",COUNTIF($I237:$N237,"?*"))</f>
        <v/>
      </c>
      <c r="P237" s="46">
        <f>IF($I237="","",_xlfn.TEXTJOIN(", ",TRUE,$I237:$N237))</f>
        <v/>
      </c>
      <c r="Q237" s="47">
        <f>IF($I237="","",IFERROR(INDEX(코드설정!$D$5:$D$24,MATCH($I237,코드설정!$C$5:$C$24,0)),""))</f>
        <v/>
      </c>
      <c r="R237" s="49" t="n"/>
      <c r="S237" s="50" t="n"/>
      <c r="T237" s="51" t="n"/>
      <c r="U237" s="43">
        <f>IF(OR($B237="",$C237=""),"",$C237-$B237+1)</f>
        <v/>
      </c>
      <c r="V237" s="52" t="n"/>
      <c r="W237" s="53">
        <f>IF(OR($V237="",$O237=""),"",$V237*$O237)</f>
        <v/>
      </c>
      <c r="X237" s="45" t="n"/>
      <c r="Y237" s="49" t="n"/>
    </row>
    <row r="238">
      <c r="A238" s="43">
        <f>IF($B238="","",COUNT($B$5:$B238))</f>
        <v/>
      </c>
      <c r="B238" s="44" t="n"/>
      <c r="C238" s="44" t="n"/>
      <c r="D238" s="45" t="n"/>
      <c r="E238" s="45" t="n"/>
      <c r="F238" s="45" t="n"/>
      <c r="G238" s="46">
        <f>IF($F238="","",IFERROR(INDEX(사건마스터!$B$5:$B$64,MATCH($F238,사건마스터!$A$5:$A$64,0)),""))</f>
        <v/>
      </c>
      <c r="H238" s="47">
        <f>IF($F238="","",IFERROR(INDEX(사건마스터!$C$5:$C$64,MATCH($F238,사건마스터!$A$5:$A$64,0)),""))</f>
        <v/>
      </c>
      <c r="I238" s="48">
        <f>IF($F238="","",IFERROR(INDEX(사건마스터!$H$5:$H$64,MATCH($F238,사건마스터!$A$5:$A$64,0)),""))</f>
        <v/>
      </c>
      <c r="J238" s="48">
        <f>IF($F238="","",IFERROR(INDEX(사건마스터!$AH$5:$AH$64,MATCH($F238,사건마스터!$A$5:$A$64,0)),""))</f>
        <v/>
      </c>
      <c r="K238" s="48">
        <f>IF($F238="","",IFERROR(INDEX(사건마스터!$AI$5:$AI$64,MATCH($F238,사건마스터!$A$5:$A$64,0)),""))</f>
        <v/>
      </c>
      <c r="L238" s="48">
        <f>IF($F238="","",IFERROR(INDEX(사건마스터!$AJ$5:$AJ$64,MATCH($F238,사건마스터!$A$5:$A$64,0)),""))</f>
        <v/>
      </c>
      <c r="M238" s="48">
        <f>IF($F238="","",IFERROR(INDEX(사건마스터!$AK$5:$AK$64,MATCH($F238,사건마스터!$A$5:$A$64,0)),""))</f>
        <v/>
      </c>
      <c r="N238" s="48">
        <f>IF($F238="","",IFERROR(INDEX(사건마스터!$AL$5:$AL$64,MATCH($F238,사건마스터!$A$5:$A$64,0)),""))</f>
        <v/>
      </c>
      <c r="O238" s="43">
        <f>IF($I238="","",COUNTIF($I238:$N238,"?*"))</f>
        <v/>
      </c>
      <c r="P238" s="46">
        <f>IF($I238="","",_xlfn.TEXTJOIN(", ",TRUE,$I238:$N238))</f>
        <v/>
      </c>
      <c r="Q238" s="47">
        <f>IF($I238="","",IFERROR(INDEX(코드설정!$D$5:$D$24,MATCH($I238,코드설정!$C$5:$C$24,0)),""))</f>
        <v/>
      </c>
      <c r="R238" s="49" t="n"/>
      <c r="S238" s="50" t="n"/>
      <c r="T238" s="51" t="n"/>
      <c r="U238" s="43">
        <f>IF(OR($B238="",$C238=""),"",$C238-$B238+1)</f>
        <v/>
      </c>
      <c r="V238" s="52" t="n"/>
      <c r="W238" s="53">
        <f>IF(OR($V238="",$O238=""),"",$V238*$O238)</f>
        <v/>
      </c>
      <c r="X238" s="45" t="n"/>
      <c r="Y238" s="49" t="n"/>
    </row>
    <row r="239">
      <c r="A239" s="43">
        <f>IF($B239="","",COUNT($B$5:$B239))</f>
        <v/>
      </c>
      <c r="B239" s="44" t="n"/>
      <c r="C239" s="44" t="n"/>
      <c r="D239" s="45" t="n"/>
      <c r="E239" s="45" t="n"/>
      <c r="F239" s="45" t="n"/>
      <c r="G239" s="46">
        <f>IF($F239="","",IFERROR(INDEX(사건마스터!$B$5:$B$64,MATCH($F239,사건마스터!$A$5:$A$64,0)),""))</f>
        <v/>
      </c>
      <c r="H239" s="47">
        <f>IF($F239="","",IFERROR(INDEX(사건마스터!$C$5:$C$64,MATCH($F239,사건마스터!$A$5:$A$64,0)),""))</f>
        <v/>
      </c>
      <c r="I239" s="48">
        <f>IF($F239="","",IFERROR(INDEX(사건마스터!$H$5:$H$64,MATCH($F239,사건마스터!$A$5:$A$64,0)),""))</f>
        <v/>
      </c>
      <c r="J239" s="48">
        <f>IF($F239="","",IFERROR(INDEX(사건마스터!$AH$5:$AH$64,MATCH($F239,사건마스터!$A$5:$A$64,0)),""))</f>
        <v/>
      </c>
      <c r="K239" s="48">
        <f>IF($F239="","",IFERROR(INDEX(사건마스터!$AI$5:$AI$64,MATCH($F239,사건마스터!$A$5:$A$64,0)),""))</f>
        <v/>
      </c>
      <c r="L239" s="48">
        <f>IF($F239="","",IFERROR(INDEX(사건마스터!$AJ$5:$AJ$64,MATCH($F239,사건마스터!$A$5:$A$64,0)),""))</f>
        <v/>
      </c>
      <c r="M239" s="48">
        <f>IF($F239="","",IFERROR(INDEX(사건마스터!$AK$5:$AK$64,MATCH($F239,사건마스터!$A$5:$A$64,0)),""))</f>
        <v/>
      </c>
      <c r="N239" s="48">
        <f>IF($F239="","",IFERROR(INDEX(사건마스터!$AL$5:$AL$64,MATCH($F239,사건마스터!$A$5:$A$64,0)),""))</f>
        <v/>
      </c>
      <c r="O239" s="43">
        <f>IF($I239="","",COUNTIF($I239:$N239,"?*"))</f>
        <v/>
      </c>
      <c r="P239" s="46">
        <f>IF($I239="","",_xlfn.TEXTJOIN(", ",TRUE,$I239:$N239))</f>
        <v/>
      </c>
      <c r="Q239" s="47">
        <f>IF($I239="","",IFERROR(INDEX(코드설정!$D$5:$D$24,MATCH($I239,코드설정!$C$5:$C$24,0)),""))</f>
        <v/>
      </c>
      <c r="R239" s="49" t="n"/>
      <c r="S239" s="50" t="n"/>
      <c r="T239" s="51" t="n"/>
      <c r="U239" s="43">
        <f>IF(OR($B239="",$C239=""),"",$C239-$B239+1)</f>
        <v/>
      </c>
      <c r="V239" s="52" t="n"/>
      <c r="W239" s="53">
        <f>IF(OR($V239="",$O239=""),"",$V239*$O239)</f>
        <v/>
      </c>
      <c r="X239" s="45" t="n"/>
      <c r="Y239" s="49" t="n"/>
    </row>
    <row r="240">
      <c r="A240" s="43">
        <f>IF($B240="","",COUNT($B$5:$B240))</f>
        <v/>
      </c>
      <c r="B240" s="44" t="n"/>
      <c r="C240" s="44" t="n"/>
      <c r="D240" s="45" t="n"/>
      <c r="E240" s="45" t="n"/>
      <c r="F240" s="45" t="n"/>
      <c r="G240" s="46">
        <f>IF($F240="","",IFERROR(INDEX(사건마스터!$B$5:$B$64,MATCH($F240,사건마스터!$A$5:$A$64,0)),""))</f>
        <v/>
      </c>
      <c r="H240" s="47">
        <f>IF($F240="","",IFERROR(INDEX(사건마스터!$C$5:$C$64,MATCH($F240,사건마스터!$A$5:$A$64,0)),""))</f>
        <v/>
      </c>
      <c r="I240" s="48">
        <f>IF($F240="","",IFERROR(INDEX(사건마스터!$H$5:$H$64,MATCH($F240,사건마스터!$A$5:$A$64,0)),""))</f>
        <v/>
      </c>
      <c r="J240" s="48">
        <f>IF($F240="","",IFERROR(INDEX(사건마스터!$AH$5:$AH$64,MATCH($F240,사건마스터!$A$5:$A$64,0)),""))</f>
        <v/>
      </c>
      <c r="K240" s="48">
        <f>IF($F240="","",IFERROR(INDEX(사건마스터!$AI$5:$AI$64,MATCH($F240,사건마스터!$A$5:$A$64,0)),""))</f>
        <v/>
      </c>
      <c r="L240" s="48">
        <f>IF($F240="","",IFERROR(INDEX(사건마스터!$AJ$5:$AJ$64,MATCH($F240,사건마스터!$A$5:$A$64,0)),""))</f>
        <v/>
      </c>
      <c r="M240" s="48">
        <f>IF($F240="","",IFERROR(INDEX(사건마스터!$AK$5:$AK$64,MATCH($F240,사건마스터!$A$5:$A$64,0)),""))</f>
        <v/>
      </c>
      <c r="N240" s="48">
        <f>IF($F240="","",IFERROR(INDEX(사건마스터!$AL$5:$AL$64,MATCH($F240,사건마스터!$A$5:$A$64,0)),""))</f>
        <v/>
      </c>
      <c r="O240" s="43">
        <f>IF($I240="","",COUNTIF($I240:$N240,"?*"))</f>
        <v/>
      </c>
      <c r="P240" s="46">
        <f>IF($I240="","",_xlfn.TEXTJOIN(", ",TRUE,$I240:$N240))</f>
        <v/>
      </c>
      <c r="Q240" s="47">
        <f>IF($I240="","",IFERROR(INDEX(코드설정!$D$5:$D$24,MATCH($I240,코드설정!$C$5:$C$24,0)),""))</f>
        <v/>
      </c>
      <c r="R240" s="49" t="n"/>
      <c r="S240" s="50" t="n"/>
      <c r="T240" s="51" t="n"/>
      <c r="U240" s="43">
        <f>IF(OR($B240="",$C240=""),"",$C240-$B240+1)</f>
        <v/>
      </c>
      <c r="V240" s="52" t="n"/>
      <c r="W240" s="53">
        <f>IF(OR($V240="",$O240=""),"",$V240*$O240)</f>
        <v/>
      </c>
      <c r="X240" s="45" t="n"/>
      <c r="Y240" s="49" t="n"/>
    </row>
    <row r="241">
      <c r="A241" s="43">
        <f>IF($B241="","",COUNT($B$5:$B241))</f>
        <v/>
      </c>
      <c r="B241" s="44" t="n"/>
      <c r="C241" s="44" t="n"/>
      <c r="D241" s="45" t="n"/>
      <c r="E241" s="45" t="n"/>
      <c r="F241" s="45" t="n"/>
      <c r="G241" s="46">
        <f>IF($F241="","",IFERROR(INDEX(사건마스터!$B$5:$B$64,MATCH($F241,사건마스터!$A$5:$A$64,0)),""))</f>
        <v/>
      </c>
      <c r="H241" s="47">
        <f>IF($F241="","",IFERROR(INDEX(사건마스터!$C$5:$C$64,MATCH($F241,사건마스터!$A$5:$A$64,0)),""))</f>
        <v/>
      </c>
      <c r="I241" s="48">
        <f>IF($F241="","",IFERROR(INDEX(사건마스터!$H$5:$H$64,MATCH($F241,사건마스터!$A$5:$A$64,0)),""))</f>
        <v/>
      </c>
      <c r="J241" s="48">
        <f>IF($F241="","",IFERROR(INDEX(사건마스터!$AH$5:$AH$64,MATCH($F241,사건마스터!$A$5:$A$64,0)),""))</f>
        <v/>
      </c>
      <c r="K241" s="48">
        <f>IF($F241="","",IFERROR(INDEX(사건마스터!$AI$5:$AI$64,MATCH($F241,사건마스터!$A$5:$A$64,0)),""))</f>
        <v/>
      </c>
      <c r="L241" s="48">
        <f>IF($F241="","",IFERROR(INDEX(사건마스터!$AJ$5:$AJ$64,MATCH($F241,사건마스터!$A$5:$A$64,0)),""))</f>
        <v/>
      </c>
      <c r="M241" s="48">
        <f>IF($F241="","",IFERROR(INDEX(사건마스터!$AK$5:$AK$64,MATCH($F241,사건마스터!$A$5:$A$64,0)),""))</f>
        <v/>
      </c>
      <c r="N241" s="48">
        <f>IF($F241="","",IFERROR(INDEX(사건마스터!$AL$5:$AL$64,MATCH($F241,사건마스터!$A$5:$A$64,0)),""))</f>
        <v/>
      </c>
      <c r="O241" s="43">
        <f>IF($I241="","",COUNTIF($I241:$N241,"?*"))</f>
        <v/>
      </c>
      <c r="P241" s="46">
        <f>IF($I241="","",_xlfn.TEXTJOIN(", ",TRUE,$I241:$N241))</f>
        <v/>
      </c>
      <c r="Q241" s="47">
        <f>IF($I241="","",IFERROR(INDEX(코드설정!$D$5:$D$24,MATCH($I241,코드설정!$C$5:$C$24,0)),""))</f>
        <v/>
      </c>
      <c r="R241" s="49" t="n"/>
      <c r="S241" s="50" t="n"/>
      <c r="T241" s="51" t="n"/>
      <c r="U241" s="43">
        <f>IF(OR($B241="",$C241=""),"",$C241-$B241+1)</f>
        <v/>
      </c>
      <c r="V241" s="52" t="n"/>
      <c r="W241" s="53">
        <f>IF(OR($V241="",$O241=""),"",$V241*$O241)</f>
        <v/>
      </c>
      <c r="X241" s="45" t="n"/>
      <c r="Y241" s="49" t="n"/>
    </row>
    <row r="242">
      <c r="A242" s="43">
        <f>IF($B242="","",COUNT($B$5:$B242))</f>
        <v/>
      </c>
      <c r="B242" s="44" t="n"/>
      <c r="C242" s="44" t="n"/>
      <c r="D242" s="45" t="n"/>
      <c r="E242" s="45" t="n"/>
      <c r="F242" s="45" t="n"/>
      <c r="G242" s="46">
        <f>IF($F242="","",IFERROR(INDEX(사건마스터!$B$5:$B$64,MATCH($F242,사건마스터!$A$5:$A$64,0)),""))</f>
        <v/>
      </c>
      <c r="H242" s="47">
        <f>IF($F242="","",IFERROR(INDEX(사건마스터!$C$5:$C$64,MATCH($F242,사건마스터!$A$5:$A$64,0)),""))</f>
        <v/>
      </c>
      <c r="I242" s="48">
        <f>IF($F242="","",IFERROR(INDEX(사건마스터!$H$5:$H$64,MATCH($F242,사건마스터!$A$5:$A$64,0)),""))</f>
        <v/>
      </c>
      <c r="J242" s="48">
        <f>IF($F242="","",IFERROR(INDEX(사건마스터!$AH$5:$AH$64,MATCH($F242,사건마스터!$A$5:$A$64,0)),""))</f>
        <v/>
      </c>
      <c r="K242" s="48">
        <f>IF($F242="","",IFERROR(INDEX(사건마스터!$AI$5:$AI$64,MATCH($F242,사건마스터!$A$5:$A$64,0)),""))</f>
        <v/>
      </c>
      <c r="L242" s="48">
        <f>IF($F242="","",IFERROR(INDEX(사건마스터!$AJ$5:$AJ$64,MATCH($F242,사건마스터!$A$5:$A$64,0)),""))</f>
        <v/>
      </c>
      <c r="M242" s="48">
        <f>IF($F242="","",IFERROR(INDEX(사건마스터!$AK$5:$AK$64,MATCH($F242,사건마스터!$A$5:$A$64,0)),""))</f>
        <v/>
      </c>
      <c r="N242" s="48">
        <f>IF($F242="","",IFERROR(INDEX(사건마스터!$AL$5:$AL$64,MATCH($F242,사건마스터!$A$5:$A$64,0)),""))</f>
        <v/>
      </c>
      <c r="O242" s="43">
        <f>IF($I242="","",COUNTIF($I242:$N242,"?*"))</f>
        <v/>
      </c>
      <c r="P242" s="46">
        <f>IF($I242="","",_xlfn.TEXTJOIN(", ",TRUE,$I242:$N242))</f>
        <v/>
      </c>
      <c r="Q242" s="47">
        <f>IF($I242="","",IFERROR(INDEX(코드설정!$D$5:$D$24,MATCH($I242,코드설정!$C$5:$C$24,0)),""))</f>
        <v/>
      </c>
      <c r="R242" s="49" t="n"/>
      <c r="S242" s="50" t="n"/>
      <c r="T242" s="51" t="n"/>
      <c r="U242" s="43">
        <f>IF(OR($B242="",$C242=""),"",$C242-$B242+1)</f>
        <v/>
      </c>
      <c r="V242" s="52" t="n"/>
      <c r="W242" s="53">
        <f>IF(OR($V242="",$O242=""),"",$V242*$O242)</f>
        <v/>
      </c>
      <c r="X242" s="45" t="n"/>
      <c r="Y242" s="49" t="n"/>
    </row>
    <row r="243">
      <c r="A243" s="43">
        <f>IF($B243="","",COUNT($B$5:$B243))</f>
        <v/>
      </c>
      <c r="B243" s="44" t="n"/>
      <c r="C243" s="44" t="n"/>
      <c r="D243" s="45" t="n"/>
      <c r="E243" s="45" t="n"/>
      <c r="F243" s="45" t="n"/>
      <c r="G243" s="46">
        <f>IF($F243="","",IFERROR(INDEX(사건마스터!$B$5:$B$64,MATCH($F243,사건마스터!$A$5:$A$64,0)),""))</f>
        <v/>
      </c>
      <c r="H243" s="47">
        <f>IF($F243="","",IFERROR(INDEX(사건마스터!$C$5:$C$64,MATCH($F243,사건마스터!$A$5:$A$64,0)),""))</f>
        <v/>
      </c>
      <c r="I243" s="48">
        <f>IF($F243="","",IFERROR(INDEX(사건마스터!$H$5:$H$64,MATCH($F243,사건마스터!$A$5:$A$64,0)),""))</f>
        <v/>
      </c>
      <c r="J243" s="48">
        <f>IF($F243="","",IFERROR(INDEX(사건마스터!$AH$5:$AH$64,MATCH($F243,사건마스터!$A$5:$A$64,0)),""))</f>
        <v/>
      </c>
      <c r="K243" s="48">
        <f>IF($F243="","",IFERROR(INDEX(사건마스터!$AI$5:$AI$64,MATCH($F243,사건마스터!$A$5:$A$64,0)),""))</f>
        <v/>
      </c>
      <c r="L243" s="48">
        <f>IF($F243="","",IFERROR(INDEX(사건마스터!$AJ$5:$AJ$64,MATCH($F243,사건마스터!$A$5:$A$64,0)),""))</f>
        <v/>
      </c>
      <c r="M243" s="48">
        <f>IF($F243="","",IFERROR(INDEX(사건마스터!$AK$5:$AK$64,MATCH($F243,사건마스터!$A$5:$A$64,0)),""))</f>
        <v/>
      </c>
      <c r="N243" s="48">
        <f>IF($F243="","",IFERROR(INDEX(사건마스터!$AL$5:$AL$64,MATCH($F243,사건마스터!$A$5:$A$64,0)),""))</f>
        <v/>
      </c>
      <c r="O243" s="43">
        <f>IF($I243="","",COUNTIF($I243:$N243,"?*"))</f>
        <v/>
      </c>
      <c r="P243" s="46">
        <f>IF($I243="","",_xlfn.TEXTJOIN(", ",TRUE,$I243:$N243))</f>
        <v/>
      </c>
      <c r="Q243" s="47">
        <f>IF($I243="","",IFERROR(INDEX(코드설정!$D$5:$D$24,MATCH($I243,코드설정!$C$5:$C$24,0)),""))</f>
        <v/>
      </c>
      <c r="R243" s="49" t="n"/>
      <c r="S243" s="50" t="n"/>
      <c r="T243" s="51" t="n"/>
      <c r="U243" s="43">
        <f>IF(OR($B243="",$C243=""),"",$C243-$B243+1)</f>
        <v/>
      </c>
      <c r="V243" s="52" t="n"/>
      <c r="W243" s="53">
        <f>IF(OR($V243="",$O243=""),"",$V243*$O243)</f>
        <v/>
      </c>
      <c r="X243" s="45" t="n"/>
      <c r="Y243" s="49" t="n"/>
    </row>
    <row r="244">
      <c r="A244" s="43">
        <f>IF($B244="","",COUNT($B$5:$B244))</f>
        <v/>
      </c>
      <c r="B244" s="44" t="n"/>
      <c r="C244" s="44" t="n"/>
      <c r="D244" s="45" t="n"/>
      <c r="E244" s="45" t="n"/>
      <c r="F244" s="45" t="n"/>
      <c r="G244" s="46">
        <f>IF($F244="","",IFERROR(INDEX(사건마스터!$B$5:$B$64,MATCH($F244,사건마스터!$A$5:$A$64,0)),""))</f>
        <v/>
      </c>
      <c r="H244" s="47">
        <f>IF($F244="","",IFERROR(INDEX(사건마스터!$C$5:$C$64,MATCH($F244,사건마스터!$A$5:$A$64,0)),""))</f>
        <v/>
      </c>
      <c r="I244" s="48">
        <f>IF($F244="","",IFERROR(INDEX(사건마스터!$H$5:$H$64,MATCH($F244,사건마스터!$A$5:$A$64,0)),""))</f>
        <v/>
      </c>
      <c r="J244" s="48">
        <f>IF($F244="","",IFERROR(INDEX(사건마스터!$AH$5:$AH$64,MATCH($F244,사건마스터!$A$5:$A$64,0)),""))</f>
        <v/>
      </c>
      <c r="K244" s="48">
        <f>IF($F244="","",IFERROR(INDEX(사건마스터!$AI$5:$AI$64,MATCH($F244,사건마스터!$A$5:$A$64,0)),""))</f>
        <v/>
      </c>
      <c r="L244" s="48">
        <f>IF($F244="","",IFERROR(INDEX(사건마스터!$AJ$5:$AJ$64,MATCH($F244,사건마스터!$A$5:$A$64,0)),""))</f>
        <v/>
      </c>
      <c r="M244" s="48">
        <f>IF($F244="","",IFERROR(INDEX(사건마스터!$AK$5:$AK$64,MATCH($F244,사건마스터!$A$5:$A$64,0)),""))</f>
        <v/>
      </c>
      <c r="N244" s="48">
        <f>IF($F244="","",IFERROR(INDEX(사건마스터!$AL$5:$AL$64,MATCH($F244,사건마스터!$A$5:$A$64,0)),""))</f>
        <v/>
      </c>
      <c r="O244" s="43">
        <f>IF($I244="","",COUNTIF($I244:$N244,"?*"))</f>
        <v/>
      </c>
      <c r="P244" s="46">
        <f>IF($I244="","",_xlfn.TEXTJOIN(", ",TRUE,$I244:$N244))</f>
        <v/>
      </c>
      <c r="Q244" s="47">
        <f>IF($I244="","",IFERROR(INDEX(코드설정!$D$5:$D$24,MATCH($I244,코드설정!$C$5:$C$24,0)),""))</f>
        <v/>
      </c>
      <c r="R244" s="49" t="n"/>
      <c r="S244" s="50" t="n"/>
      <c r="T244" s="51" t="n"/>
      <c r="U244" s="43">
        <f>IF(OR($B244="",$C244=""),"",$C244-$B244+1)</f>
        <v/>
      </c>
      <c r="V244" s="52" t="n"/>
      <c r="W244" s="53">
        <f>IF(OR($V244="",$O244=""),"",$V244*$O244)</f>
        <v/>
      </c>
      <c r="X244" s="45" t="n"/>
      <c r="Y244" s="49" t="n"/>
    </row>
    <row r="245">
      <c r="A245" s="43">
        <f>IF($B245="","",COUNT($B$5:$B245))</f>
        <v/>
      </c>
      <c r="B245" s="44" t="n"/>
      <c r="C245" s="44" t="n"/>
      <c r="D245" s="45" t="n"/>
      <c r="E245" s="45" t="n"/>
      <c r="F245" s="45" t="n"/>
      <c r="G245" s="46">
        <f>IF($F245="","",IFERROR(INDEX(사건마스터!$B$5:$B$64,MATCH($F245,사건마스터!$A$5:$A$64,0)),""))</f>
        <v/>
      </c>
      <c r="H245" s="47">
        <f>IF($F245="","",IFERROR(INDEX(사건마스터!$C$5:$C$64,MATCH($F245,사건마스터!$A$5:$A$64,0)),""))</f>
        <v/>
      </c>
      <c r="I245" s="48">
        <f>IF($F245="","",IFERROR(INDEX(사건마스터!$H$5:$H$64,MATCH($F245,사건마스터!$A$5:$A$64,0)),""))</f>
        <v/>
      </c>
      <c r="J245" s="48">
        <f>IF($F245="","",IFERROR(INDEX(사건마스터!$AH$5:$AH$64,MATCH($F245,사건마스터!$A$5:$A$64,0)),""))</f>
        <v/>
      </c>
      <c r="K245" s="48">
        <f>IF($F245="","",IFERROR(INDEX(사건마스터!$AI$5:$AI$64,MATCH($F245,사건마스터!$A$5:$A$64,0)),""))</f>
        <v/>
      </c>
      <c r="L245" s="48">
        <f>IF($F245="","",IFERROR(INDEX(사건마스터!$AJ$5:$AJ$64,MATCH($F245,사건마스터!$A$5:$A$64,0)),""))</f>
        <v/>
      </c>
      <c r="M245" s="48">
        <f>IF($F245="","",IFERROR(INDEX(사건마스터!$AK$5:$AK$64,MATCH($F245,사건마스터!$A$5:$A$64,0)),""))</f>
        <v/>
      </c>
      <c r="N245" s="48">
        <f>IF($F245="","",IFERROR(INDEX(사건마스터!$AL$5:$AL$64,MATCH($F245,사건마스터!$A$5:$A$64,0)),""))</f>
        <v/>
      </c>
      <c r="O245" s="43">
        <f>IF($I245="","",COUNTIF($I245:$N245,"?*"))</f>
        <v/>
      </c>
      <c r="P245" s="46">
        <f>IF($I245="","",_xlfn.TEXTJOIN(", ",TRUE,$I245:$N245))</f>
        <v/>
      </c>
      <c r="Q245" s="47">
        <f>IF($I245="","",IFERROR(INDEX(코드설정!$D$5:$D$24,MATCH($I245,코드설정!$C$5:$C$24,0)),""))</f>
        <v/>
      </c>
      <c r="R245" s="49" t="n"/>
      <c r="S245" s="50" t="n"/>
      <c r="T245" s="51" t="n"/>
      <c r="U245" s="43">
        <f>IF(OR($B245="",$C245=""),"",$C245-$B245+1)</f>
        <v/>
      </c>
      <c r="V245" s="52" t="n"/>
      <c r="W245" s="53">
        <f>IF(OR($V245="",$O245=""),"",$V245*$O245)</f>
        <v/>
      </c>
      <c r="X245" s="45" t="n"/>
      <c r="Y245" s="49" t="n"/>
    </row>
    <row r="246">
      <c r="A246" s="43">
        <f>IF($B246="","",COUNT($B$5:$B246))</f>
        <v/>
      </c>
      <c r="B246" s="44" t="n"/>
      <c r="C246" s="44" t="n"/>
      <c r="D246" s="45" t="n"/>
      <c r="E246" s="45" t="n"/>
      <c r="F246" s="45" t="n"/>
      <c r="G246" s="46">
        <f>IF($F246="","",IFERROR(INDEX(사건마스터!$B$5:$B$64,MATCH($F246,사건마스터!$A$5:$A$64,0)),""))</f>
        <v/>
      </c>
      <c r="H246" s="47">
        <f>IF($F246="","",IFERROR(INDEX(사건마스터!$C$5:$C$64,MATCH($F246,사건마스터!$A$5:$A$64,0)),""))</f>
        <v/>
      </c>
      <c r="I246" s="48">
        <f>IF($F246="","",IFERROR(INDEX(사건마스터!$H$5:$H$64,MATCH($F246,사건마스터!$A$5:$A$64,0)),""))</f>
        <v/>
      </c>
      <c r="J246" s="48">
        <f>IF($F246="","",IFERROR(INDEX(사건마스터!$AH$5:$AH$64,MATCH($F246,사건마스터!$A$5:$A$64,0)),""))</f>
        <v/>
      </c>
      <c r="K246" s="48">
        <f>IF($F246="","",IFERROR(INDEX(사건마스터!$AI$5:$AI$64,MATCH($F246,사건마스터!$A$5:$A$64,0)),""))</f>
        <v/>
      </c>
      <c r="L246" s="48">
        <f>IF($F246="","",IFERROR(INDEX(사건마스터!$AJ$5:$AJ$64,MATCH($F246,사건마스터!$A$5:$A$64,0)),""))</f>
        <v/>
      </c>
      <c r="M246" s="48">
        <f>IF($F246="","",IFERROR(INDEX(사건마스터!$AK$5:$AK$64,MATCH($F246,사건마스터!$A$5:$A$64,0)),""))</f>
        <v/>
      </c>
      <c r="N246" s="48">
        <f>IF($F246="","",IFERROR(INDEX(사건마스터!$AL$5:$AL$64,MATCH($F246,사건마스터!$A$5:$A$64,0)),""))</f>
        <v/>
      </c>
      <c r="O246" s="43">
        <f>IF($I246="","",COUNTIF($I246:$N246,"?*"))</f>
        <v/>
      </c>
      <c r="P246" s="46">
        <f>IF($I246="","",_xlfn.TEXTJOIN(", ",TRUE,$I246:$N246))</f>
        <v/>
      </c>
      <c r="Q246" s="47">
        <f>IF($I246="","",IFERROR(INDEX(코드설정!$D$5:$D$24,MATCH($I246,코드설정!$C$5:$C$24,0)),""))</f>
        <v/>
      </c>
      <c r="R246" s="49" t="n"/>
      <c r="S246" s="50" t="n"/>
      <c r="T246" s="51" t="n"/>
      <c r="U246" s="43">
        <f>IF(OR($B246="",$C246=""),"",$C246-$B246+1)</f>
        <v/>
      </c>
      <c r="V246" s="52" t="n"/>
      <c r="W246" s="53">
        <f>IF(OR($V246="",$O246=""),"",$V246*$O246)</f>
        <v/>
      </c>
      <c r="X246" s="45" t="n"/>
      <c r="Y246" s="49" t="n"/>
    </row>
    <row r="247">
      <c r="A247" s="43">
        <f>IF($B247="","",COUNT($B$5:$B247))</f>
        <v/>
      </c>
      <c r="B247" s="44" t="n"/>
      <c r="C247" s="44" t="n"/>
      <c r="D247" s="45" t="n"/>
      <c r="E247" s="45" t="n"/>
      <c r="F247" s="45" t="n"/>
      <c r="G247" s="46">
        <f>IF($F247="","",IFERROR(INDEX(사건마스터!$B$5:$B$64,MATCH($F247,사건마스터!$A$5:$A$64,0)),""))</f>
        <v/>
      </c>
      <c r="H247" s="47">
        <f>IF($F247="","",IFERROR(INDEX(사건마스터!$C$5:$C$64,MATCH($F247,사건마스터!$A$5:$A$64,0)),""))</f>
        <v/>
      </c>
      <c r="I247" s="48">
        <f>IF($F247="","",IFERROR(INDEX(사건마스터!$H$5:$H$64,MATCH($F247,사건마스터!$A$5:$A$64,0)),""))</f>
        <v/>
      </c>
      <c r="J247" s="48">
        <f>IF($F247="","",IFERROR(INDEX(사건마스터!$AH$5:$AH$64,MATCH($F247,사건마스터!$A$5:$A$64,0)),""))</f>
        <v/>
      </c>
      <c r="K247" s="48">
        <f>IF($F247="","",IFERROR(INDEX(사건마스터!$AI$5:$AI$64,MATCH($F247,사건마스터!$A$5:$A$64,0)),""))</f>
        <v/>
      </c>
      <c r="L247" s="48">
        <f>IF($F247="","",IFERROR(INDEX(사건마스터!$AJ$5:$AJ$64,MATCH($F247,사건마스터!$A$5:$A$64,0)),""))</f>
        <v/>
      </c>
      <c r="M247" s="48">
        <f>IF($F247="","",IFERROR(INDEX(사건마스터!$AK$5:$AK$64,MATCH($F247,사건마스터!$A$5:$A$64,0)),""))</f>
        <v/>
      </c>
      <c r="N247" s="48">
        <f>IF($F247="","",IFERROR(INDEX(사건마스터!$AL$5:$AL$64,MATCH($F247,사건마스터!$A$5:$A$64,0)),""))</f>
        <v/>
      </c>
      <c r="O247" s="43">
        <f>IF($I247="","",COUNTIF($I247:$N247,"?*"))</f>
        <v/>
      </c>
      <c r="P247" s="46">
        <f>IF($I247="","",_xlfn.TEXTJOIN(", ",TRUE,$I247:$N247))</f>
        <v/>
      </c>
      <c r="Q247" s="47">
        <f>IF($I247="","",IFERROR(INDEX(코드설정!$D$5:$D$24,MATCH($I247,코드설정!$C$5:$C$24,0)),""))</f>
        <v/>
      </c>
      <c r="R247" s="49" t="n"/>
      <c r="S247" s="50" t="n"/>
      <c r="T247" s="51" t="n"/>
      <c r="U247" s="43">
        <f>IF(OR($B247="",$C247=""),"",$C247-$B247+1)</f>
        <v/>
      </c>
      <c r="V247" s="52" t="n"/>
      <c r="W247" s="53">
        <f>IF(OR($V247="",$O247=""),"",$V247*$O247)</f>
        <v/>
      </c>
      <c r="X247" s="45" t="n"/>
      <c r="Y247" s="49" t="n"/>
    </row>
    <row r="248">
      <c r="A248" s="43">
        <f>IF($B248="","",COUNT($B$5:$B248))</f>
        <v/>
      </c>
      <c r="B248" s="44" t="n"/>
      <c r="C248" s="44" t="n"/>
      <c r="D248" s="45" t="n"/>
      <c r="E248" s="45" t="n"/>
      <c r="F248" s="45" t="n"/>
      <c r="G248" s="46">
        <f>IF($F248="","",IFERROR(INDEX(사건마스터!$B$5:$B$64,MATCH($F248,사건마스터!$A$5:$A$64,0)),""))</f>
        <v/>
      </c>
      <c r="H248" s="47">
        <f>IF($F248="","",IFERROR(INDEX(사건마스터!$C$5:$C$64,MATCH($F248,사건마스터!$A$5:$A$64,0)),""))</f>
        <v/>
      </c>
      <c r="I248" s="48">
        <f>IF($F248="","",IFERROR(INDEX(사건마스터!$H$5:$H$64,MATCH($F248,사건마스터!$A$5:$A$64,0)),""))</f>
        <v/>
      </c>
      <c r="J248" s="48">
        <f>IF($F248="","",IFERROR(INDEX(사건마스터!$AH$5:$AH$64,MATCH($F248,사건마스터!$A$5:$A$64,0)),""))</f>
        <v/>
      </c>
      <c r="K248" s="48">
        <f>IF($F248="","",IFERROR(INDEX(사건마스터!$AI$5:$AI$64,MATCH($F248,사건마스터!$A$5:$A$64,0)),""))</f>
        <v/>
      </c>
      <c r="L248" s="48">
        <f>IF($F248="","",IFERROR(INDEX(사건마스터!$AJ$5:$AJ$64,MATCH($F248,사건마스터!$A$5:$A$64,0)),""))</f>
        <v/>
      </c>
      <c r="M248" s="48">
        <f>IF($F248="","",IFERROR(INDEX(사건마스터!$AK$5:$AK$64,MATCH($F248,사건마스터!$A$5:$A$64,0)),""))</f>
        <v/>
      </c>
      <c r="N248" s="48">
        <f>IF($F248="","",IFERROR(INDEX(사건마스터!$AL$5:$AL$64,MATCH($F248,사건마스터!$A$5:$A$64,0)),""))</f>
        <v/>
      </c>
      <c r="O248" s="43">
        <f>IF($I248="","",COUNTIF($I248:$N248,"?*"))</f>
        <v/>
      </c>
      <c r="P248" s="46">
        <f>IF($I248="","",_xlfn.TEXTJOIN(", ",TRUE,$I248:$N248))</f>
        <v/>
      </c>
      <c r="Q248" s="47">
        <f>IF($I248="","",IFERROR(INDEX(코드설정!$D$5:$D$24,MATCH($I248,코드설정!$C$5:$C$24,0)),""))</f>
        <v/>
      </c>
      <c r="R248" s="49" t="n"/>
      <c r="S248" s="50" t="n"/>
      <c r="T248" s="51" t="n"/>
      <c r="U248" s="43">
        <f>IF(OR($B248="",$C248=""),"",$C248-$B248+1)</f>
        <v/>
      </c>
      <c r="V248" s="52" t="n"/>
      <c r="W248" s="53">
        <f>IF(OR($V248="",$O248=""),"",$V248*$O248)</f>
        <v/>
      </c>
      <c r="X248" s="45" t="n"/>
      <c r="Y248" s="49" t="n"/>
    </row>
    <row r="249">
      <c r="A249" s="43">
        <f>IF($B249="","",COUNT($B$5:$B249))</f>
        <v/>
      </c>
      <c r="B249" s="44" t="n"/>
      <c r="C249" s="44" t="n"/>
      <c r="D249" s="45" t="n"/>
      <c r="E249" s="45" t="n"/>
      <c r="F249" s="45" t="n"/>
      <c r="G249" s="46">
        <f>IF($F249="","",IFERROR(INDEX(사건마스터!$B$5:$B$64,MATCH($F249,사건마스터!$A$5:$A$64,0)),""))</f>
        <v/>
      </c>
      <c r="H249" s="47">
        <f>IF($F249="","",IFERROR(INDEX(사건마스터!$C$5:$C$64,MATCH($F249,사건마스터!$A$5:$A$64,0)),""))</f>
        <v/>
      </c>
      <c r="I249" s="48">
        <f>IF($F249="","",IFERROR(INDEX(사건마스터!$H$5:$H$64,MATCH($F249,사건마스터!$A$5:$A$64,0)),""))</f>
        <v/>
      </c>
      <c r="J249" s="48">
        <f>IF($F249="","",IFERROR(INDEX(사건마스터!$AH$5:$AH$64,MATCH($F249,사건마스터!$A$5:$A$64,0)),""))</f>
        <v/>
      </c>
      <c r="K249" s="48">
        <f>IF($F249="","",IFERROR(INDEX(사건마스터!$AI$5:$AI$64,MATCH($F249,사건마스터!$A$5:$A$64,0)),""))</f>
        <v/>
      </c>
      <c r="L249" s="48">
        <f>IF($F249="","",IFERROR(INDEX(사건마스터!$AJ$5:$AJ$64,MATCH($F249,사건마스터!$A$5:$A$64,0)),""))</f>
        <v/>
      </c>
      <c r="M249" s="48">
        <f>IF($F249="","",IFERROR(INDEX(사건마스터!$AK$5:$AK$64,MATCH($F249,사건마스터!$A$5:$A$64,0)),""))</f>
        <v/>
      </c>
      <c r="N249" s="48">
        <f>IF($F249="","",IFERROR(INDEX(사건마스터!$AL$5:$AL$64,MATCH($F249,사건마스터!$A$5:$A$64,0)),""))</f>
        <v/>
      </c>
      <c r="O249" s="43">
        <f>IF($I249="","",COUNTIF($I249:$N249,"?*"))</f>
        <v/>
      </c>
      <c r="P249" s="46">
        <f>IF($I249="","",_xlfn.TEXTJOIN(", ",TRUE,$I249:$N249))</f>
        <v/>
      </c>
      <c r="Q249" s="47">
        <f>IF($I249="","",IFERROR(INDEX(코드설정!$D$5:$D$24,MATCH($I249,코드설정!$C$5:$C$24,0)),""))</f>
        <v/>
      </c>
      <c r="R249" s="49" t="n"/>
      <c r="S249" s="50" t="n"/>
      <c r="T249" s="51" t="n"/>
      <c r="U249" s="43">
        <f>IF(OR($B249="",$C249=""),"",$C249-$B249+1)</f>
        <v/>
      </c>
      <c r="V249" s="52" t="n"/>
      <c r="W249" s="53">
        <f>IF(OR($V249="",$O249=""),"",$V249*$O249)</f>
        <v/>
      </c>
      <c r="X249" s="45" t="n"/>
      <c r="Y249" s="49" t="n"/>
    </row>
    <row r="250">
      <c r="A250" s="43">
        <f>IF($B250="","",COUNT($B$5:$B250))</f>
        <v/>
      </c>
      <c r="B250" s="44" t="n"/>
      <c r="C250" s="44" t="n"/>
      <c r="D250" s="45" t="n"/>
      <c r="E250" s="45" t="n"/>
      <c r="F250" s="45" t="n"/>
      <c r="G250" s="46">
        <f>IF($F250="","",IFERROR(INDEX(사건마스터!$B$5:$B$64,MATCH($F250,사건마스터!$A$5:$A$64,0)),""))</f>
        <v/>
      </c>
      <c r="H250" s="47">
        <f>IF($F250="","",IFERROR(INDEX(사건마스터!$C$5:$C$64,MATCH($F250,사건마스터!$A$5:$A$64,0)),""))</f>
        <v/>
      </c>
      <c r="I250" s="48">
        <f>IF($F250="","",IFERROR(INDEX(사건마스터!$H$5:$H$64,MATCH($F250,사건마스터!$A$5:$A$64,0)),""))</f>
        <v/>
      </c>
      <c r="J250" s="48">
        <f>IF($F250="","",IFERROR(INDEX(사건마스터!$AH$5:$AH$64,MATCH($F250,사건마스터!$A$5:$A$64,0)),""))</f>
        <v/>
      </c>
      <c r="K250" s="48">
        <f>IF($F250="","",IFERROR(INDEX(사건마스터!$AI$5:$AI$64,MATCH($F250,사건마스터!$A$5:$A$64,0)),""))</f>
        <v/>
      </c>
      <c r="L250" s="48">
        <f>IF($F250="","",IFERROR(INDEX(사건마스터!$AJ$5:$AJ$64,MATCH($F250,사건마스터!$A$5:$A$64,0)),""))</f>
        <v/>
      </c>
      <c r="M250" s="48">
        <f>IF($F250="","",IFERROR(INDEX(사건마스터!$AK$5:$AK$64,MATCH($F250,사건마스터!$A$5:$A$64,0)),""))</f>
        <v/>
      </c>
      <c r="N250" s="48">
        <f>IF($F250="","",IFERROR(INDEX(사건마스터!$AL$5:$AL$64,MATCH($F250,사건마스터!$A$5:$A$64,0)),""))</f>
        <v/>
      </c>
      <c r="O250" s="43">
        <f>IF($I250="","",COUNTIF($I250:$N250,"?*"))</f>
        <v/>
      </c>
      <c r="P250" s="46">
        <f>IF($I250="","",_xlfn.TEXTJOIN(", ",TRUE,$I250:$N250))</f>
        <v/>
      </c>
      <c r="Q250" s="47">
        <f>IF($I250="","",IFERROR(INDEX(코드설정!$D$5:$D$24,MATCH($I250,코드설정!$C$5:$C$24,0)),""))</f>
        <v/>
      </c>
      <c r="R250" s="49" t="n"/>
      <c r="S250" s="50" t="n"/>
      <c r="T250" s="51" t="n"/>
      <c r="U250" s="43">
        <f>IF(OR($B250="",$C250=""),"",$C250-$B250+1)</f>
        <v/>
      </c>
      <c r="V250" s="52" t="n"/>
      <c r="W250" s="53">
        <f>IF(OR($V250="",$O250=""),"",$V250*$O250)</f>
        <v/>
      </c>
      <c r="X250" s="45" t="n"/>
      <c r="Y250" s="49" t="n"/>
    </row>
    <row r="251">
      <c r="A251" s="43">
        <f>IF($B251="","",COUNT($B$5:$B251))</f>
        <v/>
      </c>
      <c r="B251" s="44" t="n"/>
      <c r="C251" s="44" t="n"/>
      <c r="D251" s="45" t="n"/>
      <c r="E251" s="45" t="n"/>
      <c r="F251" s="45" t="n"/>
      <c r="G251" s="46">
        <f>IF($F251="","",IFERROR(INDEX(사건마스터!$B$5:$B$64,MATCH($F251,사건마스터!$A$5:$A$64,0)),""))</f>
        <v/>
      </c>
      <c r="H251" s="47">
        <f>IF($F251="","",IFERROR(INDEX(사건마스터!$C$5:$C$64,MATCH($F251,사건마스터!$A$5:$A$64,0)),""))</f>
        <v/>
      </c>
      <c r="I251" s="48">
        <f>IF($F251="","",IFERROR(INDEX(사건마스터!$H$5:$H$64,MATCH($F251,사건마스터!$A$5:$A$64,0)),""))</f>
        <v/>
      </c>
      <c r="J251" s="48">
        <f>IF($F251="","",IFERROR(INDEX(사건마스터!$AH$5:$AH$64,MATCH($F251,사건마스터!$A$5:$A$64,0)),""))</f>
        <v/>
      </c>
      <c r="K251" s="48">
        <f>IF($F251="","",IFERROR(INDEX(사건마스터!$AI$5:$AI$64,MATCH($F251,사건마스터!$A$5:$A$64,0)),""))</f>
        <v/>
      </c>
      <c r="L251" s="48">
        <f>IF($F251="","",IFERROR(INDEX(사건마스터!$AJ$5:$AJ$64,MATCH($F251,사건마스터!$A$5:$A$64,0)),""))</f>
        <v/>
      </c>
      <c r="M251" s="48">
        <f>IF($F251="","",IFERROR(INDEX(사건마스터!$AK$5:$AK$64,MATCH($F251,사건마스터!$A$5:$A$64,0)),""))</f>
        <v/>
      </c>
      <c r="N251" s="48">
        <f>IF($F251="","",IFERROR(INDEX(사건마스터!$AL$5:$AL$64,MATCH($F251,사건마스터!$A$5:$A$64,0)),""))</f>
        <v/>
      </c>
      <c r="O251" s="43">
        <f>IF($I251="","",COUNTIF($I251:$N251,"?*"))</f>
        <v/>
      </c>
      <c r="P251" s="46">
        <f>IF($I251="","",_xlfn.TEXTJOIN(", ",TRUE,$I251:$N251))</f>
        <v/>
      </c>
      <c r="Q251" s="47">
        <f>IF($I251="","",IFERROR(INDEX(코드설정!$D$5:$D$24,MATCH($I251,코드설정!$C$5:$C$24,0)),""))</f>
        <v/>
      </c>
      <c r="R251" s="49" t="n"/>
      <c r="S251" s="50" t="n"/>
      <c r="T251" s="51" t="n"/>
      <c r="U251" s="43">
        <f>IF(OR($B251="",$C251=""),"",$C251-$B251+1)</f>
        <v/>
      </c>
      <c r="V251" s="52" t="n"/>
      <c r="W251" s="53">
        <f>IF(OR($V251="",$O251=""),"",$V251*$O251)</f>
        <v/>
      </c>
      <c r="X251" s="45" t="n"/>
      <c r="Y251" s="49" t="n"/>
    </row>
    <row r="252">
      <c r="A252" s="43">
        <f>IF($B252="","",COUNT($B$5:$B252))</f>
        <v/>
      </c>
      <c r="B252" s="44" t="n"/>
      <c r="C252" s="44" t="n"/>
      <c r="D252" s="45" t="n"/>
      <c r="E252" s="45" t="n"/>
      <c r="F252" s="45" t="n"/>
      <c r="G252" s="46">
        <f>IF($F252="","",IFERROR(INDEX(사건마스터!$B$5:$B$64,MATCH($F252,사건마스터!$A$5:$A$64,0)),""))</f>
        <v/>
      </c>
      <c r="H252" s="47">
        <f>IF($F252="","",IFERROR(INDEX(사건마스터!$C$5:$C$64,MATCH($F252,사건마스터!$A$5:$A$64,0)),""))</f>
        <v/>
      </c>
      <c r="I252" s="48">
        <f>IF($F252="","",IFERROR(INDEX(사건마스터!$H$5:$H$64,MATCH($F252,사건마스터!$A$5:$A$64,0)),""))</f>
        <v/>
      </c>
      <c r="J252" s="48">
        <f>IF($F252="","",IFERROR(INDEX(사건마스터!$AH$5:$AH$64,MATCH($F252,사건마스터!$A$5:$A$64,0)),""))</f>
        <v/>
      </c>
      <c r="K252" s="48">
        <f>IF($F252="","",IFERROR(INDEX(사건마스터!$AI$5:$AI$64,MATCH($F252,사건마스터!$A$5:$A$64,0)),""))</f>
        <v/>
      </c>
      <c r="L252" s="48">
        <f>IF($F252="","",IFERROR(INDEX(사건마스터!$AJ$5:$AJ$64,MATCH($F252,사건마스터!$A$5:$A$64,0)),""))</f>
        <v/>
      </c>
      <c r="M252" s="48">
        <f>IF($F252="","",IFERROR(INDEX(사건마스터!$AK$5:$AK$64,MATCH($F252,사건마스터!$A$5:$A$64,0)),""))</f>
        <v/>
      </c>
      <c r="N252" s="48">
        <f>IF($F252="","",IFERROR(INDEX(사건마스터!$AL$5:$AL$64,MATCH($F252,사건마스터!$A$5:$A$64,0)),""))</f>
        <v/>
      </c>
      <c r="O252" s="43">
        <f>IF($I252="","",COUNTIF($I252:$N252,"?*"))</f>
        <v/>
      </c>
      <c r="P252" s="46">
        <f>IF($I252="","",_xlfn.TEXTJOIN(", ",TRUE,$I252:$N252))</f>
        <v/>
      </c>
      <c r="Q252" s="47">
        <f>IF($I252="","",IFERROR(INDEX(코드설정!$D$5:$D$24,MATCH($I252,코드설정!$C$5:$C$24,0)),""))</f>
        <v/>
      </c>
      <c r="R252" s="49" t="n"/>
      <c r="S252" s="50" t="n"/>
      <c r="T252" s="51" t="n"/>
      <c r="U252" s="43">
        <f>IF(OR($B252="",$C252=""),"",$C252-$B252+1)</f>
        <v/>
      </c>
      <c r="V252" s="52" t="n"/>
      <c r="W252" s="53">
        <f>IF(OR($V252="",$O252=""),"",$V252*$O252)</f>
        <v/>
      </c>
      <c r="X252" s="45" t="n"/>
      <c r="Y252" s="49" t="n"/>
    </row>
    <row r="253">
      <c r="A253" s="43">
        <f>IF($B253="","",COUNT($B$5:$B253))</f>
        <v/>
      </c>
      <c r="B253" s="44" t="n"/>
      <c r="C253" s="44" t="n"/>
      <c r="D253" s="45" t="n"/>
      <c r="E253" s="45" t="n"/>
      <c r="F253" s="45" t="n"/>
      <c r="G253" s="46">
        <f>IF($F253="","",IFERROR(INDEX(사건마스터!$B$5:$B$64,MATCH($F253,사건마스터!$A$5:$A$64,0)),""))</f>
        <v/>
      </c>
      <c r="H253" s="47">
        <f>IF($F253="","",IFERROR(INDEX(사건마스터!$C$5:$C$64,MATCH($F253,사건마스터!$A$5:$A$64,0)),""))</f>
        <v/>
      </c>
      <c r="I253" s="48">
        <f>IF($F253="","",IFERROR(INDEX(사건마스터!$H$5:$H$64,MATCH($F253,사건마스터!$A$5:$A$64,0)),""))</f>
        <v/>
      </c>
      <c r="J253" s="48">
        <f>IF($F253="","",IFERROR(INDEX(사건마스터!$AH$5:$AH$64,MATCH($F253,사건마스터!$A$5:$A$64,0)),""))</f>
        <v/>
      </c>
      <c r="K253" s="48">
        <f>IF($F253="","",IFERROR(INDEX(사건마스터!$AI$5:$AI$64,MATCH($F253,사건마스터!$A$5:$A$64,0)),""))</f>
        <v/>
      </c>
      <c r="L253" s="48">
        <f>IF($F253="","",IFERROR(INDEX(사건마스터!$AJ$5:$AJ$64,MATCH($F253,사건마스터!$A$5:$A$64,0)),""))</f>
        <v/>
      </c>
      <c r="M253" s="48">
        <f>IF($F253="","",IFERROR(INDEX(사건마스터!$AK$5:$AK$64,MATCH($F253,사건마스터!$A$5:$A$64,0)),""))</f>
        <v/>
      </c>
      <c r="N253" s="48">
        <f>IF($F253="","",IFERROR(INDEX(사건마스터!$AL$5:$AL$64,MATCH($F253,사건마스터!$A$5:$A$64,0)),""))</f>
        <v/>
      </c>
      <c r="O253" s="43">
        <f>IF($I253="","",COUNTIF($I253:$N253,"?*"))</f>
        <v/>
      </c>
      <c r="P253" s="46">
        <f>IF($I253="","",_xlfn.TEXTJOIN(", ",TRUE,$I253:$N253))</f>
        <v/>
      </c>
      <c r="Q253" s="47">
        <f>IF($I253="","",IFERROR(INDEX(코드설정!$D$5:$D$24,MATCH($I253,코드설정!$C$5:$C$24,0)),""))</f>
        <v/>
      </c>
      <c r="R253" s="49" t="n"/>
      <c r="S253" s="50" t="n"/>
      <c r="T253" s="51" t="n"/>
      <c r="U253" s="43">
        <f>IF(OR($B253="",$C253=""),"",$C253-$B253+1)</f>
        <v/>
      </c>
      <c r="V253" s="52" t="n"/>
      <c r="W253" s="53">
        <f>IF(OR($V253="",$O253=""),"",$V253*$O253)</f>
        <v/>
      </c>
      <c r="X253" s="45" t="n"/>
      <c r="Y253" s="49" t="n"/>
    </row>
    <row r="254">
      <c r="A254" s="43">
        <f>IF($B254="","",COUNT($B$5:$B254))</f>
        <v/>
      </c>
      <c r="B254" s="44" t="n"/>
      <c r="C254" s="44" t="n"/>
      <c r="D254" s="45" t="n"/>
      <c r="E254" s="45" t="n"/>
      <c r="F254" s="45" t="n"/>
      <c r="G254" s="46">
        <f>IF($F254="","",IFERROR(INDEX(사건마스터!$B$5:$B$64,MATCH($F254,사건마스터!$A$5:$A$64,0)),""))</f>
        <v/>
      </c>
      <c r="H254" s="47">
        <f>IF($F254="","",IFERROR(INDEX(사건마스터!$C$5:$C$64,MATCH($F254,사건마스터!$A$5:$A$64,0)),""))</f>
        <v/>
      </c>
      <c r="I254" s="48">
        <f>IF($F254="","",IFERROR(INDEX(사건마스터!$H$5:$H$64,MATCH($F254,사건마스터!$A$5:$A$64,0)),""))</f>
        <v/>
      </c>
      <c r="J254" s="48">
        <f>IF($F254="","",IFERROR(INDEX(사건마스터!$AH$5:$AH$64,MATCH($F254,사건마스터!$A$5:$A$64,0)),""))</f>
        <v/>
      </c>
      <c r="K254" s="48">
        <f>IF($F254="","",IFERROR(INDEX(사건마스터!$AI$5:$AI$64,MATCH($F254,사건마스터!$A$5:$A$64,0)),""))</f>
        <v/>
      </c>
      <c r="L254" s="48">
        <f>IF($F254="","",IFERROR(INDEX(사건마스터!$AJ$5:$AJ$64,MATCH($F254,사건마스터!$A$5:$A$64,0)),""))</f>
        <v/>
      </c>
      <c r="M254" s="48">
        <f>IF($F254="","",IFERROR(INDEX(사건마스터!$AK$5:$AK$64,MATCH($F254,사건마스터!$A$5:$A$64,0)),""))</f>
        <v/>
      </c>
      <c r="N254" s="48">
        <f>IF($F254="","",IFERROR(INDEX(사건마스터!$AL$5:$AL$64,MATCH($F254,사건마스터!$A$5:$A$64,0)),""))</f>
        <v/>
      </c>
      <c r="O254" s="43">
        <f>IF($I254="","",COUNTIF($I254:$N254,"?*"))</f>
        <v/>
      </c>
      <c r="P254" s="46">
        <f>IF($I254="","",_xlfn.TEXTJOIN(", ",TRUE,$I254:$N254))</f>
        <v/>
      </c>
      <c r="Q254" s="47">
        <f>IF($I254="","",IFERROR(INDEX(코드설정!$D$5:$D$24,MATCH($I254,코드설정!$C$5:$C$24,0)),""))</f>
        <v/>
      </c>
      <c r="R254" s="49" t="n"/>
      <c r="S254" s="50" t="n"/>
      <c r="T254" s="51" t="n"/>
      <c r="U254" s="43">
        <f>IF(OR($B254="",$C254=""),"",$C254-$B254+1)</f>
        <v/>
      </c>
      <c r="V254" s="52" t="n"/>
      <c r="W254" s="53">
        <f>IF(OR($V254="",$O254=""),"",$V254*$O254)</f>
        <v/>
      </c>
      <c r="X254" s="45" t="n"/>
      <c r="Y254" s="49" t="n"/>
    </row>
    <row r="255">
      <c r="A255" s="43">
        <f>IF($B255="","",COUNT($B$5:$B255))</f>
        <v/>
      </c>
      <c r="B255" s="44" t="n"/>
      <c r="C255" s="44" t="n"/>
      <c r="D255" s="45" t="n"/>
      <c r="E255" s="45" t="n"/>
      <c r="F255" s="45" t="n"/>
      <c r="G255" s="46">
        <f>IF($F255="","",IFERROR(INDEX(사건마스터!$B$5:$B$64,MATCH($F255,사건마스터!$A$5:$A$64,0)),""))</f>
        <v/>
      </c>
      <c r="H255" s="47">
        <f>IF($F255="","",IFERROR(INDEX(사건마스터!$C$5:$C$64,MATCH($F255,사건마스터!$A$5:$A$64,0)),""))</f>
        <v/>
      </c>
      <c r="I255" s="48">
        <f>IF($F255="","",IFERROR(INDEX(사건마스터!$H$5:$H$64,MATCH($F255,사건마스터!$A$5:$A$64,0)),""))</f>
        <v/>
      </c>
      <c r="J255" s="48">
        <f>IF($F255="","",IFERROR(INDEX(사건마스터!$AH$5:$AH$64,MATCH($F255,사건마스터!$A$5:$A$64,0)),""))</f>
        <v/>
      </c>
      <c r="K255" s="48">
        <f>IF($F255="","",IFERROR(INDEX(사건마스터!$AI$5:$AI$64,MATCH($F255,사건마스터!$A$5:$A$64,0)),""))</f>
        <v/>
      </c>
      <c r="L255" s="48">
        <f>IF($F255="","",IFERROR(INDEX(사건마스터!$AJ$5:$AJ$64,MATCH($F255,사건마스터!$A$5:$A$64,0)),""))</f>
        <v/>
      </c>
      <c r="M255" s="48">
        <f>IF($F255="","",IFERROR(INDEX(사건마스터!$AK$5:$AK$64,MATCH($F255,사건마스터!$A$5:$A$64,0)),""))</f>
        <v/>
      </c>
      <c r="N255" s="48">
        <f>IF($F255="","",IFERROR(INDEX(사건마스터!$AL$5:$AL$64,MATCH($F255,사건마스터!$A$5:$A$64,0)),""))</f>
        <v/>
      </c>
      <c r="O255" s="43">
        <f>IF($I255="","",COUNTIF($I255:$N255,"?*"))</f>
        <v/>
      </c>
      <c r="P255" s="46">
        <f>IF($I255="","",_xlfn.TEXTJOIN(", ",TRUE,$I255:$N255))</f>
        <v/>
      </c>
      <c r="Q255" s="47">
        <f>IF($I255="","",IFERROR(INDEX(코드설정!$D$5:$D$24,MATCH($I255,코드설정!$C$5:$C$24,0)),""))</f>
        <v/>
      </c>
      <c r="R255" s="49" t="n"/>
      <c r="S255" s="50" t="n"/>
      <c r="T255" s="51" t="n"/>
      <c r="U255" s="43">
        <f>IF(OR($B255="",$C255=""),"",$C255-$B255+1)</f>
        <v/>
      </c>
      <c r="V255" s="52" t="n"/>
      <c r="W255" s="53">
        <f>IF(OR($V255="",$O255=""),"",$V255*$O255)</f>
        <v/>
      </c>
      <c r="X255" s="45" t="n"/>
      <c r="Y255" s="49" t="n"/>
    </row>
    <row r="256">
      <c r="A256" s="43">
        <f>IF($B256="","",COUNT($B$5:$B256))</f>
        <v/>
      </c>
      <c r="B256" s="44" t="n"/>
      <c r="C256" s="44" t="n"/>
      <c r="D256" s="45" t="n"/>
      <c r="E256" s="45" t="n"/>
      <c r="F256" s="45" t="n"/>
      <c r="G256" s="46">
        <f>IF($F256="","",IFERROR(INDEX(사건마스터!$B$5:$B$64,MATCH($F256,사건마스터!$A$5:$A$64,0)),""))</f>
        <v/>
      </c>
      <c r="H256" s="47">
        <f>IF($F256="","",IFERROR(INDEX(사건마스터!$C$5:$C$64,MATCH($F256,사건마스터!$A$5:$A$64,0)),""))</f>
        <v/>
      </c>
      <c r="I256" s="48">
        <f>IF($F256="","",IFERROR(INDEX(사건마스터!$H$5:$H$64,MATCH($F256,사건마스터!$A$5:$A$64,0)),""))</f>
        <v/>
      </c>
      <c r="J256" s="48">
        <f>IF($F256="","",IFERROR(INDEX(사건마스터!$AH$5:$AH$64,MATCH($F256,사건마스터!$A$5:$A$64,0)),""))</f>
        <v/>
      </c>
      <c r="K256" s="48">
        <f>IF($F256="","",IFERROR(INDEX(사건마스터!$AI$5:$AI$64,MATCH($F256,사건마스터!$A$5:$A$64,0)),""))</f>
        <v/>
      </c>
      <c r="L256" s="48">
        <f>IF($F256="","",IFERROR(INDEX(사건마스터!$AJ$5:$AJ$64,MATCH($F256,사건마스터!$A$5:$A$64,0)),""))</f>
        <v/>
      </c>
      <c r="M256" s="48">
        <f>IF($F256="","",IFERROR(INDEX(사건마스터!$AK$5:$AK$64,MATCH($F256,사건마스터!$A$5:$A$64,0)),""))</f>
        <v/>
      </c>
      <c r="N256" s="48">
        <f>IF($F256="","",IFERROR(INDEX(사건마스터!$AL$5:$AL$64,MATCH($F256,사건마스터!$A$5:$A$64,0)),""))</f>
        <v/>
      </c>
      <c r="O256" s="43">
        <f>IF($I256="","",COUNTIF($I256:$N256,"?*"))</f>
        <v/>
      </c>
      <c r="P256" s="46">
        <f>IF($I256="","",_xlfn.TEXTJOIN(", ",TRUE,$I256:$N256))</f>
        <v/>
      </c>
      <c r="Q256" s="47">
        <f>IF($I256="","",IFERROR(INDEX(코드설정!$D$5:$D$24,MATCH($I256,코드설정!$C$5:$C$24,0)),""))</f>
        <v/>
      </c>
      <c r="R256" s="49" t="n"/>
      <c r="S256" s="50" t="n"/>
      <c r="T256" s="51" t="n"/>
      <c r="U256" s="43">
        <f>IF(OR($B256="",$C256=""),"",$C256-$B256+1)</f>
        <v/>
      </c>
      <c r="V256" s="52" t="n"/>
      <c r="W256" s="53">
        <f>IF(OR($V256="",$O256=""),"",$V256*$O256)</f>
        <v/>
      </c>
      <c r="X256" s="45" t="n"/>
      <c r="Y256" s="49" t="n"/>
    </row>
    <row r="257">
      <c r="A257" s="43">
        <f>IF($B257="","",COUNT($B$5:$B257))</f>
        <v/>
      </c>
      <c r="B257" s="44" t="n"/>
      <c r="C257" s="44" t="n"/>
      <c r="D257" s="45" t="n"/>
      <c r="E257" s="45" t="n"/>
      <c r="F257" s="45" t="n"/>
      <c r="G257" s="46">
        <f>IF($F257="","",IFERROR(INDEX(사건마스터!$B$5:$B$64,MATCH($F257,사건마스터!$A$5:$A$64,0)),""))</f>
        <v/>
      </c>
      <c r="H257" s="47">
        <f>IF($F257="","",IFERROR(INDEX(사건마스터!$C$5:$C$64,MATCH($F257,사건마스터!$A$5:$A$64,0)),""))</f>
        <v/>
      </c>
      <c r="I257" s="48">
        <f>IF($F257="","",IFERROR(INDEX(사건마스터!$H$5:$H$64,MATCH($F257,사건마스터!$A$5:$A$64,0)),""))</f>
        <v/>
      </c>
      <c r="J257" s="48">
        <f>IF($F257="","",IFERROR(INDEX(사건마스터!$AH$5:$AH$64,MATCH($F257,사건마스터!$A$5:$A$64,0)),""))</f>
        <v/>
      </c>
      <c r="K257" s="48">
        <f>IF($F257="","",IFERROR(INDEX(사건마스터!$AI$5:$AI$64,MATCH($F257,사건마스터!$A$5:$A$64,0)),""))</f>
        <v/>
      </c>
      <c r="L257" s="48">
        <f>IF($F257="","",IFERROR(INDEX(사건마스터!$AJ$5:$AJ$64,MATCH($F257,사건마스터!$A$5:$A$64,0)),""))</f>
        <v/>
      </c>
      <c r="M257" s="48">
        <f>IF($F257="","",IFERROR(INDEX(사건마스터!$AK$5:$AK$64,MATCH($F257,사건마스터!$A$5:$A$64,0)),""))</f>
        <v/>
      </c>
      <c r="N257" s="48">
        <f>IF($F257="","",IFERROR(INDEX(사건마스터!$AL$5:$AL$64,MATCH($F257,사건마스터!$A$5:$A$64,0)),""))</f>
        <v/>
      </c>
      <c r="O257" s="43">
        <f>IF($I257="","",COUNTIF($I257:$N257,"?*"))</f>
        <v/>
      </c>
      <c r="P257" s="46">
        <f>IF($I257="","",_xlfn.TEXTJOIN(", ",TRUE,$I257:$N257))</f>
        <v/>
      </c>
      <c r="Q257" s="47">
        <f>IF($I257="","",IFERROR(INDEX(코드설정!$D$5:$D$24,MATCH($I257,코드설정!$C$5:$C$24,0)),""))</f>
        <v/>
      </c>
      <c r="R257" s="49" t="n"/>
      <c r="S257" s="50" t="n"/>
      <c r="T257" s="51" t="n"/>
      <c r="U257" s="43">
        <f>IF(OR($B257="",$C257=""),"",$C257-$B257+1)</f>
        <v/>
      </c>
      <c r="V257" s="52" t="n"/>
      <c r="W257" s="53">
        <f>IF(OR($V257="",$O257=""),"",$V257*$O257)</f>
        <v/>
      </c>
      <c r="X257" s="45" t="n"/>
      <c r="Y257" s="49" t="n"/>
    </row>
    <row r="258">
      <c r="A258" s="43">
        <f>IF($B258="","",COUNT($B$5:$B258))</f>
        <v/>
      </c>
      <c r="B258" s="44" t="n"/>
      <c r="C258" s="44" t="n"/>
      <c r="D258" s="45" t="n"/>
      <c r="E258" s="45" t="n"/>
      <c r="F258" s="45" t="n"/>
      <c r="G258" s="46">
        <f>IF($F258="","",IFERROR(INDEX(사건마스터!$B$5:$B$64,MATCH($F258,사건마스터!$A$5:$A$64,0)),""))</f>
        <v/>
      </c>
      <c r="H258" s="47">
        <f>IF($F258="","",IFERROR(INDEX(사건마스터!$C$5:$C$64,MATCH($F258,사건마스터!$A$5:$A$64,0)),""))</f>
        <v/>
      </c>
      <c r="I258" s="48">
        <f>IF($F258="","",IFERROR(INDEX(사건마스터!$H$5:$H$64,MATCH($F258,사건마스터!$A$5:$A$64,0)),""))</f>
        <v/>
      </c>
      <c r="J258" s="48">
        <f>IF($F258="","",IFERROR(INDEX(사건마스터!$AH$5:$AH$64,MATCH($F258,사건마스터!$A$5:$A$64,0)),""))</f>
        <v/>
      </c>
      <c r="K258" s="48">
        <f>IF($F258="","",IFERROR(INDEX(사건마스터!$AI$5:$AI$64,MATCH($F258,사건마스터!$A$5:$A$64,0)),""))</f>
        <v/>
      </c>
      <c r="L258" s="48">
        <f>IF($F258="","",IFERROR(INDEX(사건마스터!$AJ$5:$AJ$64,MATCH($F258,사건마스터!$A$5:$A$64,0)),""))</f>
        <v/>
      </c>
      <c r="M258" s="48">
        <f>IF($F258="","",IFERROR(INDEX(사건마스터!$AK$5:$AK$64,MATCH($F258,사건마스터!$A$5:$A$64,0)),""))</f>
        <v/>
      </c>
      <c r="N258" s="48">
        <f>IF($F258="","",IFERROR(INDEX(사건마스터!$AL$5:$AL$64,MATCH($F258,사건마스터!$A$5:$A$64,0)),""))</f>
        <v/>
      </c>
      <c r="O258" s="43">
        <f>IF($I258="","",COUNTIF($I258:$N258,"?*"))</f>
        <v/>
      </c>
      <c r="P258" s="46">
        <f>IF($I258="","",_xlfn.TEXTJOIN(", ",TRUE,$I258:$N258))</f>
        <v/>
      </c>
      <c r="Q258" s="47">
        <f>IF($I258="","",IFERROR(INDEX(코드설정!$D$5:$D$24,MATCH($I258,코드설정!$C$5:$C$24,0)),""))</f>
        <v/>
      </c>
      <c r="R258" s="49" t="n"/>
      <c r="S258" s="50" t="n"/>
      <c r="T258" s="51" t="n"/>
      <c r="U258" s="43">
        <f>IF(OR($B258="",$C258=""),"",$C258-$B258+1)</f>
        <v/>
      </c>
      <c r="V258" s="52" t="n"/>
      <c r="W258" s="53">
        <f>IF(OR($V258="",$O258=""),"",$V258*$O258)</f>
        <v/>
      </c>
      <c r="X258" s="45" t="n"/>
      <c r="Y258" s="49" t="n"/>
    </row>
    <row r="259">
      <c r="A259" s="43">
        <f>IF($B259="","",COUNT($B$5:$B259))</f>
        <v/>
      </c>
      <c r="B259" s="44" t="n"/>
      <c r="C259" s="44" t="n"/>
      <c r="D259" s="45" t="n"/>
      <c r="E259" s="45" t="n"/>
      <c r="F259" s="45" t="n"/>
      <c r="G259" s="46">
        <f>IF($F259="","",IFERROR(INDEX(사건마스터!$B$5:$B$64,MATCH($F259,사건마스터!$A$5:$A$64,0)),""))</f>
        <v/>
      </c>
      <c r="H259" s="47">
        <f>IF($F259="","",IFERROR(INDEX(사건마스터!$C$5:$C$64,MATCH($F259,사건마스터!$A$5:$A$64,0)),""))</f>
        <v/>
      </c>
      <c r="I259" s="48">
        <f>IF($F259="","",IFERROR(INDEX(사건마스터!$H$5:$H$64,MATCH($F259,사건마스터!$A$5:$A$64,0)),""))</f>
        <v/>
      </c>
      <c r="J259" s="48">
        <f>IF($F259="","",IFERROR(INDEX(사건마스터!$AH$5:$AH$64,MATCH($F259,사건마스터!$A$5:$A$64,0)),""))</f>
        <v/>
      </c>
      <c r="K259" s="48">
        <f>IF($F259="","",IFERROR(INDEX(사건마스터!$AI$5:$AI$64,MATCH($F259,사건마스터!$A$5:$A$64,0)),""))</f>
        <v/>
      </c>
      <c r="L259" s="48">
        <f>IF($F259="","",IFERROR(INDEX(사건마스터!$AJ$5:$AJ$64,MATCH($F259,사건마스터!$A$5:$A$64,0)),""))</f>
        <v/>
      </c>
      <c r="M259" s="48">
        <f>IF($F259="","",IFERROR(INDEX(사건마스터!$AK$5:$AK$64,MATCH($F259,사건마스터!$A$5:$A$64,0)),""))</f>
        <v/>
      </c>
      <c r="N259" s="48">
        <f>IF($F259="","",IFERROR(INDEX(사건마스터!$AL$5:$AL$64,MATCH($F259,사건마스터!$A$5:$A$64,0)),""))</f>
        <v/>
      </c>
      <c r="O259" s="43">
        <f>IF($I259="","",COUNTIF($I259:$N259,"?*"))</f>
        <v/>
      </c>
      <c r="P259" s="46">
        <f>IF($I259="","",_xlfn.TEXTJOIN(", ",TRUE,$I259:$N259))</f>
        <v/>
      </c>
      <c r="Q259" s="47">
        <f>IF($I259="","",IFERROR(INDEX(코드설정!$D$5:$D$24,MATCH($I259,코드설정!$C$5:$C$24,0)),""))</f>
        <v/>
      </c>
      <c r="R259" s="49" t="n"/>
      <c r="S259" s="50" t="n"/>
      <c r="T259" s="51" t="n"/>
      <c r="U259" s="43">
        <f>IF(OR($B259="",$C259=""),"",$C259-$B259+1)</f>
        <v/>
      </c>
      <c r="V259" s="52" t="n"/>
      <c r="W259" s="53">
        <f>IF(OR($V259="",$O259=""),"",$V259*$O259)</f>
        <v/>
      </c>
      <c r="X259" s="45" t="n"/>
      <c r="Y259" s="49" t="n"/>
    </row>
    <row r="260">
      <c r="A260" s="43">
        <f>IF($B260="","",COUNT($B$5:$B260))</f>
        <v/>
      </c>
      <c r="B260" s="44" t="n"/>
      <c r="C260" s="44" t="n"/>
      <c r="D260" s="45" t="n"/>
      <c r="E260" s="45" t="n"/>
      <c r="F260" s="45" t="n"/>
      <c r="G260" s="46">
        <f>IF($F260="","",IFERROR(INDEX(사건마스터!$B$5:$B$64,MATCH($F260,사건마스터!$A$5:$A$64,0)),""))</f>
        <v/>
      </c>
      <c r="H260" s="47">
        <f>IF($F260="","",IFERROR(INDEX(사건마스터!$C$5:$C$64,MATCH($F260,사건마스터!$A$5:$A$64,0)),""))</f>
        <v/>
      </c>
      <c r="I260" s="48">
        <f>IF($F260="","",IFERROR(INDEX(사건마스터!$H$5:$H$64,MATCH($F260,사건마스터!$A$5:$A$64,0)),""))</f>
        <v/>
      </c>
      <c r="J260" s="48">
        <f>IF($F260="","",IFERROR(INDEX(사건마스터!$AH$5:$AH$64,MATCH($F260,사건마스터!$A$5:$A$64,0)),""))</f>
        <v/>
      </c>
      <c r="K260" s="48">
        <f>IF($F260="","",IFERROR(INDEX(사건마스터!$AI$5:$AI$64,MATCH($F260,사건마스터!$A$5:$A$64,0)),""))</f>
        <v/>
      </c>
      <c r="L260" s="48">
        <f>IF($F260="","",IFERROR(INDEX(사건마스터!$AJ$5:$AJ$64,MATCH($F260,사건마스터!$A$5:$A$64,0)),""))</f>
        <v/>
      </c>
      <c r="M260" s="48">
        <f>IF($F260="","",IFERROR(INDEX(사건마스터!$AK$5:$AK$64,MATCH($F260,사건마스터!$A$5:$A$64,0)),""))</f>
        <v/>
      </c>
      <c r="N260" s="48">
        <f>IF($F260="","",IFERROR(INDEX(사건마스터!$AL$5:$AL$64,MATCH($F260,사건마스터!$A$5:$A$64,0)),""))</f>
        <v/>
      </c>
      <c r="O260" s="43">
        <f>IF($I260="","",COUNTIF($I260:$N260,"?*"))</f>
        <v/>
      </c>
      <c r="P260" s="46">
        <f>IF($I260="","",_xlfn.TEXTJOIN(", ",TRUE,$I260:$N260))</f>
        <v/>
      </c>
      <c r="Q260" s="47">
        <f>IF($I260="","",IFERROR(INDEX(코드설정!$D$5:$D$24,MATCH($I260,코드설정!$C$5:$C$24,0)),""))</f>
        <v/>
      </c>
      <c r="R260" s="49" t="n"/>
      <c r="S260" s="50" t="n"/>
      <c r="T260" s="51" t="n"/>
      <c r="U260" s="43">
        <f>IF(OR($B260="",$C260=""),"",$C260-$B260+1)</f>
        <v/>
      </c>
      <c r="V260" s="52" t="n"/>
      <c r="W260" s="53">
        <f>IF(OR($V260="",$O260=""),"",$V260*$O260)</f>
        <v/>
      </c>
      <c r="X260" s="45" t="n"/>
      <c r="Y260" s="49" t="n"/>
    </row>
    <row r="261">
      <c r="A261" s="43">
        <f>IF($B261="","",COUNT($B$5:$B261))</f>
        <v/>
      </c>
      <c r="B261" s="44" t="n"/>
      <c r="C261" s="44" t="n"/>
      <c r="D261" s="45" t="n"/>
      <c r="E261" s="45" t="n"/>
      <c r="F261" s="45" t="n"/>
      <c r="G261" s="46">
        <f>IF($F261="","",IFERROR(INDEX(사건마스터!$B$5:$B$64,MATCH($F261,사건마스터!$A$5:$A$64,0)),""))</f>
        <v/>
      </c>
      <c r="H261" s="47">
        <f>IF($F261="","",IFERROR(INDEX(사건마스터!$C$5:$C$64,MATCH($F261,사건마스터!$A$5:$A$64,0)),""))</f>
        <v/>
      </c>
      <c r="I261" s="48">
        <f>IF($F261="","",IFERROR(INDEX(사건마스터!$H$5:$H$64,MATCH($F261,사건마스터!$A$5:$A$64,0)),""))</f>
        <v/>
      </c>
      <c r="J261" s="48">
        <f>IF($F261="","",IFERROR(INDEX(사건마스터!$AH$5:$AH$64,MATCH($F261,사건마스터!$A$5:$A$64,0)),""))</f>
        <v/>
      </c>
      <c r="K261" s="48">
        <f>IF($F261="","",IFERROR(INDEX(사건마스터!$AI$5:$AI$64,MATCH($F261,사건마스터!$A$5:$A$64,0)),""))</f>
        <v/>
      </c>
      <c r="L261" s="48">
        <f>IF($F261="","",IFERROR(INDEX(사건마스터!$AJ$5:$AJ$64,MATCH($F261,사건마스터!$A$5:$A$64,0)),""))</f>
        <v/>
      </c>
      <c r="M261" s="48">
        <f>IF($F261="","",IFERROR(INDEX(사건마스터!$AK$5:$AK$64,MATCH($F261,사건마스터!$A$5:$A$64,0)),""))</f>
        <v/>
      </c>
      <c r="N261" s="48">
        <f>IF($F261="","",IFERROR(INDEX(사건마스터!$AL$5:$AL$64,MATCH($F261,사건마스터!$A$5:$A$64,0)),""))</f>
        <v/>
      </c>
      <c r="O261" s="43">
        <f>IF($I261="","",COUNTIF($I261:$N261,"?*"))</f>
        <v/>
      </c>
      <c r="P261" s="46">
        <f>IF($I261="","",_xlfn.TEXTJOIN(", ",TRUE,$I261:$N261))</f>
        <v/>
      </c>
      <c r="Q261" s="47">
        <f>IF($I261="","",IFERROR(INDEX(코드설정!$D$5:$D$24,MATCH($I261,코드설정!$C$5:$C$24,0)),""))</f>
        <v/>
      </c>
      <c r="R261" s="49" t="n"/>
      <c r="S261" s="50" t="n"/>
      <c r="T261" s="51" t="n"/>
      <c r="U261" s="43">
        <f>IF(OR($B261="",$C261=""),"",$C261-$B261+1)</f>
        <v/>
      </c>
      <c r="V261" s="52" t="n"/>
      <c r="W261" s="53">
        <f>IF(OR($V261="",$O261=""),"",$V261*$O261)</f>
        <v/>
      </c>
      <c r="X261" s="45" t="n"/>
      <c r="Y261" s="49" t="n"/>
    </row>
    <row r="262">
      <c r="A262" s="43">
        <f>IF($B262="","",COUNT($B$5:$B262))</f>
        <v/>
      </c>
      <c r="B262" s="44" t="n"/>
      <c r="C262" s="44" t="n"/>
      <c r="D262" s="45" t="n"/>
      <c r="E262" s="45" t="n"/>
      <c r="F262" s="45" t="n"/>
      <c r="G262" s="46">
        <f>IF($F262="","",IFERROR(INDEX(사건마스터!$B$5:$B$64,MATCH($F262,사건마스터!$A$5:$A$64,0)),""))</f>
        <v/>
      </c>
      <c r="H262" s="47">
        <f>IF($F262="","",IFERROR(INDEX(사건마스터!$C$5:$C$64,MATCH($F262,사건마스터!$A$5:$A$64,0)),""))</f>
        <v/>
      </c>
      <c r="I262" s="48">
        <f>IF($F262="","",IFERROR(INDEX(사건마스터!$H$5:$H$64,MATCH($F262,사건마스터!$A$5:$A$64,0)),""))</f>
        <v/>
      </c>
      <c r="J262" s="48">
        <f>IF($F262="","",IFERROR(INDEX(사건마스터!$AH$5:$AH$64,MATCH($F262,사건마스터!$A$5:$A$64,0)),""))</f>
        <v/>
      </c>
      <c r="K262" s="48">
        <f>IF($F262="","",IFERROR(INDEX(사건마스터!$AI$5:$AI$64,MATCH($F262,사건마스터!$A$5:$A$64,0)),""))</f>
        <v/>
      </c>
      <c r="L262" s="48">
        <f>IF($F262="","",IFERROR(INDEX(사건마스터!$AJ$5:$AJ$64,MATCH($F262,사건마스터!$A$5:$A$64,0)),""))</f>
        <v/>
      </c>
      <c r="M262" s="48">
        <f>IF($F262="","",IFERROR(INDEX(사건마스터!$AK$5:$AK$64,MATCH($F262,사건마스터!$A$5:$A$64,0)),""))</f>
        <v/>
      </c>
      <c r="N262" s="48">
        <f>IF($F262="","",IFERROR(INDEX(사건마스터!$AL$5:$AL$64,MATCH($F262,사건마스터!$A$5:$A$64,0)),""))</f>
        <v/>
      </c>
      <c r="O262" s="43">
        <f>IF($I262="","",COUNTIF($I262:$N262,"?*"))</f>
        <v/>
      </c>
      <c r="P262" s="46">
        <f>IF($I262="","",_xlfn.TEXTJOIN(", ",TRUE,$I262:$N262))</f>
        <v/>
      </c>
      <c r="Q262" s="47">
        <f>IF($I262="","",IFERROR(INDEX(코드설정!$D$5:$D$24,MATCH($I262,코드설정!$C$5:$C$24,0)),""))</f>
        <v/>
      </c>
      <c r="R262" s="49" t="n"/>
      <c r="S262" s="50" t="n"/>
      <c r="T262" s="51" t="n"/>
      <c r="U262" s="43">
        <f>IF(OR($B262="",$C262=""),"",$C262-$B262+1)</f>
        <v/>
      </c>
      <c r="V262" s="52" t="n"/>
      <c r="W262" s="53">
        <f>IF(OR($V262="",$O262=""),"",$V262*$O262)</f>
        <v/>
      </c>
      <c r="X262" s="45" t="n"/>
      <c r="Y262" s="49" t="n"/>
    </row>
    <row r="263">
      <c r="A263" s="43">
        <f>IF($B263="","",COUNT($B$5:$B263))</f>
        <v/>
      </c>
      <c r="B263" s="44" t="n"/>
      <c r="C263" s="44" t="n"/>
      <c r="D263" s="45" t="n"/>
      <c r="E263" s="45" t="n"/>
      <c r="F263" s="45" t="n"/>
      <c r="G263" s="46">
        <f>IF($F263="","",IFERROR(INDEX(사건마스터!$B$5:$B$64,MATCH($F263,사건마스터!$A$5:$A$64,0)),""))</f>
        <v/>
      </c>
      <c r="H263" s="47">
        <f>IF($F263="","",IFERROR(INDEX(사건마스터!$C$5:$C$64,MATCH($F263,사건마스터!$A$5:$A$64,0)),""))</f>
        <v/>
      </c>
      <c r="I263" s="48">
        <f>IF($F263="","",IFERROR(INDEX(사건마스터!$H$5:$H$64,MATCH($F263,사건마스터!$A$5:$A$64,0)),""))</f>
        <v/>
      </c>
      <c r="J263" s="48">
        <f>IF($F263="","",IFERROR(INDEX(사건마스터!$AH$5:$AH$64,MATCH($F263,사건마스터!$A$5:$A$64,0)),""))</f>
        <v/>
      </c>
      <c r="K263" s="48">
        <f>IF($F263="","",IFERROR(INDEX(사건마스터!$AI$5:$AI$64,MATCH($F263,사건마스터!$A$5:$A$64,0)),""))</f>
        <v/>
      </c>
      <c r="L263" s="48">
        <f>IF($F263="","",IFERROR(INDEX(사건마스터!$AJ$5:$AJ$64,MATCH($F263,사건마스터!$A$5:$A$64,0)),""))</f>
        <v/>
      </c>
      <c r="M263" s="48">
        <f>IF($F263="","",IFERROR(INDEX(사건마스터!$AK$5:$AK$64,MATCH($F263,사건마스터!$A$5:$A$64,0)),""))</f>
        <v/>
      </c>
      <c r="N263" s="48">
        <f>IF($F263="","",IFERROR(INDEX(사건마스터!$AL$5:$AL$64,MATCH($F263,사건마스터!$A$5:$A$64,0)),""))</f>
        <v/>
      </c>
      <c r="O263" s="43">
        <f>IF($I263="","",COUNTIF($I263:$N263,"?*"))</f>
        <v/>
      </c>
      <c r="P263" s="46">
        <f>IF($I263="","",_xlfn.TEXTJOIN(", ",TRUE,$I263:$N263))</f>
        <v/>
      </c>
      <c r="Q263" s="47">
        <f>IF($I263="","",IFERROR(INDEX(코드설정!$D$5:$D$24,MATCH($I263,코드설정!$C$5:$C$24,0)),""))</f>
        <v/>
      </c>
      <c r="R263" s="49" t="n"/>
      <c r="S263" s="50" t="n"/>
      <c r="T263" s="51" t="n"/>
      <c r="U263" s="43">
        <f>IF(OR($B263="",$C263=""),"",$C263-$B263+1)</f>
        <v/>
      </c>
      <c r="V263" s="52" t="n"/>
      <c r="W263" s="53">
        <f>IF(OR($V263="",$O263=""),"",$V263*$O263)</f>
        <v/>
      </c>
      <c r="X263" s="45" t="n"/>
      <c r="Y263" s="49" t="n"/>
    </row>
    <row r="264">
      <c r="A264" s="43">
        <f>IF($B264="","",COUNT($B$5:$B264))</f>
        <v/>
      </c>
      <c r="B264" s="44" t="n"/>
      <c r="C264" s="44" t="n"/>
      <c r="D264" s="45" t="n"/>
      <c r="E264" s="45" t="n"/>
      <c r="F264" s="45" t="n"/>
      <c r="G264" s="46">
        <f>IF($F264="","",IFERROR(INDEX(사건마스터!$B$5:$B$64,MATCH($F264,사건마스터!$A$5:$A$64,0)),""))</f>
        <v/>
      </c>
      <c r="H264" s="47">
        <f>IF($F264="","",IFERROR(INDEX(사건마스터!$C$5:$C$64,MATCH($F264,사건마스터!$A$5:$A$64,0)),""))</f>
        <v/>
      </c>
      <c r="I264" s="48">
        <f>IF($F264="","",IFERROR(INDEX(사건마스터!$H$5:$H$64,MATCH($F264,사건마스터!$A$5:$A$64,0)),""))</f>
        <v/>
      </c>
      <c r="J264" s="48">
        <f>IF($F264="","",IFERROR(INDEX(사건마스터!$AH$5:$AH$64,MATCH($F264,사건마스터!$A$5:$A$64,0)),""))</f>
        <v/>
      </c>
      <c r="K264" s="48">
        <f>IF($F264="","",IFERROR(INDEX(사건마스터!$AI$5:$AI$64,MATCH($F264,사건마스터!$A$5:$A$64,0)),""))</f>
        <v/>
      </c>
      <c r="L264" s="48">
        <f>IF($F264="","",IFERROR(INDEX(사건마스터!$AJ$5:$AJ$64,MATCH($F264,사건마스터!$A$5:$A$64,0)),""))</f>
        <v/>
      </c>
      <c r="M264" s="48">
        <f>IF($F264="","",IFERROR(INDEX(사건마스터!$AK$5:$AK$64,MATCH($F264,사건마스터!$A$5:$A$64,0)),""))</f>
        <v/>
      </c>
      <c r="N264" s="48">
        <f>IF($F264="","",IFERROR(INDEX(사건마스터!$AL$5:$AL$64,MATCH($F264,사건마스터!$A$5:$A$64,0)),""))</f>
        <v/>
      </c>
      <c r="O264" s="43">
        <f>IF($I264="","",COUNTIF($I264:$N264,"?*"))</f>
        <v/>
      </c>
      <c r="P264" s="46">
        <f>IF($I264="","",_xlfn.TEXTJOIN(", ",TRUE,$I264:$N264))</f>
        <v/>
      </c>
      <c r="Q264" s="47">
        <f>IF($I264="","",IFERROR(INDEX(코드설정!$D$5:$D$24,MATCH($I264,코드설정!$C$5:$C$24,0)),""))</f>
        <v/>
      </c>
      <c r="R264" s="49" t="n"/>
      <c r="S264" s="50" t="n"/>
      <c r="T264" s="51" t="n"/>
      <c r="U264" s="43">
        <f>IF(OR($B264="",$C264=""),"",$C264-$B264+1)</f>
        <v/>
      </c>
      <c r="V264" s="52" t="n"/>
      <c r="W264" s="53">
        <f>IF(OR($V264="",$O264=""),"",$V264*$O264)</f>
        <v/>
      </c>
      <c r="X264" s="45" t="n"/>
      <c r="Y264" s="49" t="n"/>
    </row>
    <row r="265">
      <c r="A265" s="43">
        <f>IF($B265="","",COUNT($B$5:$B265))</f>
        <v/>
      </c>
      <c r="B265" s="44" t="n"/>
      <c r="C265" s="44" t="n"/>
      <c r="D265" s="45" t="n"/>
      <c r="E265" s="45" t="n"/>
      <c r="F265" s="45" t="n"/>
      <c r="G265" s="46">
        <f>IF($F265="","",IFERROR(INDEX(사건마스터!$B$5:$B$64,MATCH($F265,사건마스터!$A$5:$A$64,0)),""))</f>
        <v/>
      </c>
      <c r="H265" s="47">
        <f>IF($F265="","",IFERROR(INDEX(사건마스터!$C$5:$C$64,MATCH($F265,사건마스터!$A$5:$A$64,0)),""))</f>
        <v/>
      </c>
      <c r="I265" s="48">
        <f>IF($F265="","",IFERROR(INDEX(사건마스터!$H$5:$H$64,MATCH($F265,사건마스터!$A$5:$A$64,0)),""))</f>
        <v/>
      </c>
      <c r="J265" s="48">
        <f>IF($F265="","",IFERROR(INDEX(사건마스터!$AH$5:$AH$64,MATCH($F265,사건마스터!$A$5:$A$64,0)),""))</f>
        <v/>
      </c>
      <c r="K265" s="48">
        <f>IF($F265="","",IFERROR(INDEX(사건마스터!$AI$5:$AI$64,MATCH($F265,사건마스터!$A$5:$A$64,0)),""))</f>
        <v/>
      </c>
      <c r="L265" s="48">
        <f>IF($F265="","",IFERROR(INDEX(사건마스터!$AJ$5:$AJ$64,MATCH($F265,사건마스터!$A$5:$A$64,0)),""))</f>
        <v/>
      </c>
      <c r="M265" s="48">
        <f>IF($F265="","",IFERROR(INDEX(사건마스터!$AK$5:$AK$64,MATCH($F265,사건마스터!$A$5:$A$64,0)),""))</f>
        <v/>
      </c>
      <c r="N265" s="48">
        <f>IF($F265="","",IFERROR(INDEX(사건마스터!$AL$5:$AL$64,MATCH($F265,사건마스터!$A$5:$A$64,0)),""))</f>
        <v/>
      </c>
      <c r="O265" s="43">
        <f>IF($I265="","",COUNTIF($I265:$N265,"?*"))</f>
        <v/>
      </c>
      <c r="P265" s="46">
        <f>IF($I265="","",_xlfn.TEXTJOIN(", ",TRUE,$I265:$N265))</f>
        <v/>
      </c>
      <c r="Q265" s="47">
        <f>IF($I265="","",IFERROR(INDEX(코드설정!$D$5:$D$24,MATCH($I265,코드설정!$C$5:$C$24,0)),""))</f>
        <v/>
      </c>
      <c r="R265" s="49" t="n"/>
      <c r="S265" s="50" t="n"/>
      <c r="T265" s="51" t="n"/>
      <c r="U265" s="43">
        <f>IF(OR($B265="",$C265=""),"",$C265-$B265+1)</f>
        <v/>
      </c>
      <c r="V265" s="52" t="n"/>
      <c r="W265" s="53">
        <f>IF(OR($V265="",$O265=""),"",$V265*$O265)</f>
        <v/>
      </c>
      <c r="X265" s="45" t="n"/>
      <c r="Y265" s="49" t="n"/>
    </row>
    <row r="266">
      <c r="A266" s="43">
        <f>IF($B266="","",COUNT($B$5:$B266))</f>
        <v/>
      </c>
      <c r="B266" s="44" t="n"/>
      <c r="C266" s="44" t="n"/>
      <c r="D266" s="45" t="n"/>
      <c r="E266" s="45" t="n"/>
      <c r="F266" s="45" t="n"/>
      <c r="G266" s="46">
        <f>IF($F266="","",IFERROR(INDEX(사건마스터!$B$5:$B$64,MATCH($F266,사건마스터!$A$5:$A$64,0)),""))</f>
        <v/>
      </c>
      <c r="H266" s="47">
        <f>IF($F266="","",IFERROR(INDEX(사건마스터!$C$5:$C$64,MATCH($F266,사건마스터!$A$5:$A$64,0)),""))</f>
        <v/>
      </c>
      <c r="I266" s="48">
        <f>IF($F266="","",IFERROR(INDEX(사건마스터!$H$5:$H$64,MATCH($F266,사건마스터!$A$5:$A$64,0)),""))</f>
        <v/>
      </c>
      <c r="J266" s="48">
        <f>IF($F266="","",IFERROR(INDEX(사건마스터!$AH$5:$AH$64,MATCH($F266,사건마스터!$A$5:$A$64,0)),""))</f>
        <v/>
      </c>
      <c r="K266" s="48">
        <f>IF($F266="","",IFERROR(INDEX(사건마스터!$AI$5:$AI$64,MATCH($F266,사건마스터!$A$5:$A$64,0)),""))</f>
        <v/>
      </c>
      <c r="L266" s="48">
        <f>IF($F266="","",IFERROR(INDEX(사건마스터!$AJ$5:$AJ$64,MATCH($F266,사건마스터!$A$5:$A$64,0)),""))</f>
        <v/>
      </c>
      <c r="M266" s="48">
        <f>IF($F266="","",IFERROR(INDEX(사건마스터!$AK$5:$AK$64,MATCH($F266,사건마스터!$A$5:$A$64,0)),""))</f>
        <v/>
      </c>
      <c r="N266" s="48">
        <f>IF($F266="","",IFERROR(INDEX(사건마스터!$AL$5:$AL$64,MATCH($F266,사건마스터!$A$5:$A$64,0)),""))</f>
        <v/>
      </c>
      <c r="O266" s="43">
        <f>IF($I266="","",COUNTIF($I266:$N266,"?*"))</f>
        <v/>
      </c>
      <c r="P266" s="46">
        <f>IF($I266="","",_xlfn.TEXTJOIN(", ",TRUE,$I266:$N266))</f>
        <v/>
      </c>
      <c r="Q266" s="47">
        <f>IF($I266="","",IFERROR(INDEX(코드설정!$D$5:$D$24,MATCH($I266,코드설정!$C$5:$C$24,0)),""))</f>
        <v/>
      </c>
      <c r="R266" s="49" t="n"/>
      <c r="S266" s="50" t="n"/>
      <c r="T266" s="51" t="n"/>
      <c r="U266" s="43">
        <f>IF(OR($B266="",$C266=""),"",$C266-$B266+1)</f>
        <v/>
      </c>
      <c r="V266" s="52" t="n"/>
      <c r="W266" s="53">
        <f>IF(OR($V266="",$O266=""),"",$V266*$O266)</f>
        <v/>
      </c>
      <c r="X266" s="45" t="n"/>
      <c r="Y266" s="49" t="n"/>
    </row>
    <row r="267">
      <c r="A267" s="43">
        <f>IF($B267="","",COUNT($B$5:$B267))</f>
        <v/>
      </c>
      <c r="B267" s="44" t="n"/>
      <c r="C267" s="44" t="n"/>
      <c r="D267" s="45" t="n"/>
      <c r="E267" s="45" t="n"/>
      <c r="F267" s="45" t="n"/>
      <c r="G267" s="46">
        <f>IF($F267="","",IFERROR(INDEX(사건마스터!$B$5:$B$64,MATCH($F267,사건마스터!$A$5:$A$64,0)),""))</f>
        <v/>
      </c>
      <c r="H267" s="47">
        <f>IF($F267="","",IFERROR(INDEX(사건마스터!$C$5:$C$64,MATCH($F267,사건마스터!$A$5:$A$64,0)),""))</f>
        <v/>
      </c>
      <c r="I267" s="48">
        <f>IF($F267="","",IFERROR(INDEX(사건마스터!$H$5:$H$64,MATCH($F267,사건마스터!$A$5:$A$64,0)),""))</f>
        <v/>
      </c>
      <c r="J267" s="48">
        <f>IF($F267="","",IFERROR(INDEX(사건마스터!$AH$5:$AH$64,MATCH($F267,사건마스터!$A$5:$A$64,0)),""))</f>
        <v/>
      </c>
      <c r="K267" s="48">
        <f>IF($F267="","",IFERROR(INDEX(사건마스터!$AI$5:$AI$64,MATCH($F267,사건마스터!$A$5:$A$64,0)),""))</f>
        <v/>
      </c>
      <c r="L267" s="48">
        <f>IF($F267="","",IFERROR(INDEX(사건마스터!$AJ$5:$AJ$64,MATCH($F267,사건마스터!$A$5:$A$64,0)),""))</f>
        <v/>
      </c>
      <c r="M267" s="48">
        <f>IF($F267="","",IFERROR(INDEX(사건마스터!$AK$5:$AK$64,MATCH($F267,사건마스터!$A$5:$A$64,0)),""))</f>
        <v/>
      </c>
      <c r="N267" s="48">
        <f>IF($F267="","",IFERROR(INDEX(사건마스터!$AL$5:$AL$64,MATCH($F267,사건마스터!$A$5:$A$64,0)),""))</f>
        <v/>
      </c>
      <c r="O267" s="43">
        <f>IF($I267="","",COUNTIF($I267:$N267,"?*"))</f>
        <v/>
      </c>
      <c r="P267" s="46">
        <f>IF($I267="","",_xlfn.TEXTJOIN(", ",TRUE,$I267:$N267))</f>
        <v/>
      </c>
      <c r="Q267" s="47">
        <f>IF($I267="","",IFERROR(INDEX(코드설정!$D$5:$D$24,MATCH($I267,코드설정!$C$5:$C$24,0)),""))</f>
        <v/>
      </c>
      <c r="R267" s="49" t="n"/>
      <c r="S267" s="50" t="n"/>
      <c r="T267" s="51" t="n"/>
      <c r="U267" s="43">
        <f>IF(OR($B267="",$C267=""),"",$C267-$B267+1)</f>
        <v/>
      </c>
      <c r="V267" s="52" t="n"/>
      <c r="W267" s="53">
        <f>IF(OR($V267="",$O267=""),"",$V267*$O267)</f>
        <v/>
      </c>
      <c r="X267" s="45" t="n"/>
      <c r="Y267" s="49" t="n"/>
    </row>
    <row r="268">
      <c r="A268" s="43">
        <f>IF($B268="","",COUNT($B$5:$B268))</f>
        <v/>
      </c>
      <c r="B268" s="44" t="n"/>
      <c r="C268" s="44" t="n"/>
      <c r="D268" s="45" t="n"/>
      <c r="E268" s="45" t="n"/>
      <c r="F268" s="45" t="n"/>
      <c r="G268" s="46">
        <f>IF($F268="","",IFERROR(INDEX(사건마스터!$B$5:$B$64,MATCH($F268,사건마스터!$A$5:$A$64,0)),""))</f>
        <v/>
      </c>
      <c r="H268" s="47">
        <f>IF($F268="","",IFERROR(INDEX(사건마스터!$C$5:$C$64,MATCH($F268,사건마스터!$A$5:$A$64,0)),""))</f>
        <v/>
      </c>
      <c r="I268" s="48">
        <f>IF($F268="","",IFERROR(INDEX(사건마스터!$H$5:$H$64,MATCH($F268,사건마스터!$A$5:$A$64,0)),""))</f>
        <v/>
      </c>
      <c r="J268" s="48">
        <f>IF($F268="","",IFERROR(INDEX(사건마스터!$AH$5:$AH$64,MATCH($F268,사건마스터!$A$5:$A$64,0)),""))</f>
        <v/>
      </c>
      <c r="K268" s="48">
        <f>IF($F268="","",IFERROR(INDEX(사건마스터!$AI$5:$AI$64,MATCH($F268,사건마스터!$A$5:$A$64,0)),""))</f>
        <v/>
      </c>
      <c r="L268" s="48">
        <f>IF($F268="","",IFERROR(INDEX(사건마스터!$AJ$5:$AJ$64,MATCH($F268,사건마스터!$A$5:$A$64,0)),""))</f>
        <v/>
      </c>
      <c r="M268" s="48">
        <f>IF($F268="","",IFERROR(INDEX(사건마스터!$AK$5:$AK$64,MATCH($F268,사건마스터!$A$5:$A$64,0)),""))</f>
        <v/>
      </c>
      <c r="N268" s="48">
        <f>IF($F268="","",IFERROR(INDEX(사건마스터!$AL$5:$AL$64,MATCH($F268,사건마스터!$A$5:$A$64,0)),""))</f>
        <v/>
      </c>
      <c r="O268" s="43">
        <f>IF($I268="","",COUNTIF($I268:$N268,"?*"))</f>
        <v/>
      </c>
      <c r="P268" s="46">
        <f>IF($I268="","",_xlfn.TEXTJOIN(", ",TRUE,$I268:$N268))</f>
        <v/>
      </c>
      <c r="Q268" s="47">
        <f>IF($I268="","",IFERROR(INDEX(코드설정!$D$5:$D$24,MATCH($I268,코드설정!$C$5:$C$24,0)),""))</f>
        <v/>
      </c>
      <c r="R268" s="49" t="n"/>
      <c r="S268" s="50" t="n"/>
      <c r="T268" s="51" t="n"/>
      <c r="U268" s="43">
        <f>IF(OR($B268="",$C268=""),"",$C268-$B268+1)</f>
        <v/>
      </c>
      <c r="V268" s="52" t="n"/>
      <c r="W268" s="53">
        <f>IF(OR($V268="",$O268=""),"",$V268*$O268)</f>
        <v/>
      </c>
      <c r="X268" s="45" t="n"/>
      <c r="Y268" s="49" t="n"/>
    </row>
    <row r="269">
      <c r="A269" s="43">
        <f>IF($B269="","",COUNT($B$5:$B269))</f>
        <v/>
      </c>
      <c r="B269" s="44" t="n"/>
      <c r="C269" s="44" t="n"/>
      <c r="D269" s="45" t="n"/>
      <c r="E269" s="45" t="n"/>
      <c r="F269" s="45" t="n"/>
      <c r="G269" s="46">
        <f>IF($F269="","",IFERROR(INDEX(사건마스터!$B$5:$B$64,MATCH($F269,사건마스터!$A$5:$A$64,0)),""))</f>
        <v/>
      </c>
      <c r="H269" s="47">
        <f>IF($F269="","",IFERROR(INDEX(사건마스터!$C$5:$C$64,MATCH($F269,사건마스터!$A$5:$A$64,0)),""))</f>
        <v/>
      </c>
      <c r="I269" s="48">
        <f>IF($F269="","",IFERROR(INDEX(사건마스터!$H$5:$H$64,MATCH($F269,사건마스터!$A$5:$A$64,0)),""))</f>
        <v/>
      </c>
      <c r="J269" s="48">
        <f>IF($F269="","",IFERROR(INDEX(사건마스터!$AH$5:$AH$64,MATCH($F269,사건마스터!$A$5:$A$64,0)),""))</f>
        <v/>
      </c>
      <c r="K269" s="48">
        <f>IF($F269="","",IFERROR(INDEX(사건마스터!$AI$5:$AI$64,MATCH($F269,사건마스터!$A$5:$A$64,0)),""))</f>
        <v/>
      </c>
      <c r="L269" s="48">
        <f>IF($F269="","",IFERROR(INDEX(사건마스터!$AJ$5:$AJ$64,MATCH($F269,사건마스터!$A$5:$A$64,0)),""))</f>
        <v/>
      </c>
      <c r="M269" s="48">
        <f>IF($F269="","",IFERROR(INDEX(사건마스터!$AK$5:$AK$64,MATCH($F269,사건마스터!$A$5:$A$64,0)),""))</f>
        <v/>
      </c>
      <c r="N269" s="48">
        <f>IF($F269="","",IFERROR(INDEX(사건마스터!$AL$5:$AL$64,MATCH($F269,사건마스터!$A$5:$A$64,0)),""))</f>
        <v/>
      </c>
      <c r="O269" s="43">
        <f>IF($I269="","",COUNTIF($I269:$N269,"?*"))</f>
        <v/>
      </c>
      <c r="P269" s="46">
        <f>IF($I269="","",_xlfn.TEXTJOIN(", ",TRUE,$I269:$N269))</f>
        <v/>
      </c>
      <c r="Q269" s="47">
        <f>IF($I269="","",IFERROR(INDEX(코드설정!$D$5:$D$24,MATCH($I269,코드설정!$C$5:$C$24,0)),""))</f>
        <v/>
      </c>
      <c r="R269" s="49" t="n"/>
      <c r="S269" s="50" t="n"/>
      <c r="T269" s="51" t="n"/>
      <c r="U269" s="43">
        <f>IF(OR($B269="",$C269=""),"",$C269-$B269+1)</f>
        <v/>
      </c>
      <c r="V269" s="52" t="n"/>
      <c r="W269" s="53">
        <f>IF(OR($V269="",$O269=""),"",$V269*$O269)</f>
        <v/>
      </c>
      <c r="X269" s="45" t="n"/>
      <c r="Y269" s="49" t="n"/>
    </row>
    <row r="270">
      <c r="A270" s="43">
        <f>IF($B270="","",COUNT($B$5:$B270))</f>
        <v/>
      </c>
      <c r="B270" s="44" t="n"/>
      <c r="C270" s="44" t="n"/>
      <c r="D270" s="45" t="n"/>
      <c r="E270" s="45" t="n"/>
      <c r="F270" s="45" t="n"/>
      <c r="G270" s="46">
        <f>IF($F270="","",IFERROR(INDEX(사건마스터!$B$5:$B$64,MATCH($F270,사건마스터!$A$5:$A$64,0)),""))</f>
        <v/>
      </c>
      <c r="H270" s="47">
        <f>IF($F270="","",IFERROR(INDEX(사건마스터!$C$5:$C$64,MATCH($F270,사건마스터!$A$5:$A$64,0)),""))</f>
        <v/>
      </c>
      <c r="I270" s="48">
        <f>IF($F270="","",IFERROR(INDEX(사건마스터!$H$5:$H$64,MATCH($F270,사건마스터!$A$5:$A$64,0)),""))</f>
        <v/>
      </c>
      <c r="J270" s="48">
        <f>IF($F270="","",IFERROR(INDEX(사건마스터!$AH$5:$AH$64,MATCH($F270,사건마스터!$A$5:$A$64,0)),""))</f>
        <v/>
      </c>
      <c r="K270" s="48">
        <f>IF($F270="","",IFERROR(INDEX(사건마스터!$AI$5:$AI$64,MATCH($F270,사건마스터!$A$5:$A$64,0)),""))</f>
        <v/>
      </c>
      <c r="L270" s="48">
        <f>IF($F270="","",IFERROR(INDEX(사건마스터!$AJ$5:$AJ$64,MATCH($F270,사건마스터!$A$5:$A$64,0)),""))</f>
        <v/>
      </c>
      <c r="M270" s="48">
        <f>IF($F270="","",IFERROR(INDEX(사건마스터!$AK$5:$AK$64,MATCH($F270,사건마스터!$A$5:$A$64,0)),""))</f>
        <v/>
      </c>
      <c r="N270" s="48">
        <f>IF($F270="","",IFERROR(INDEX(사건마스터!$AL$5:$AL$64,MATCH($F270,사건마스터!$A$5:$A$64,0)),""))</f>
        <v/>
      </c>
      <c r="O270" s="43">
        <f>IF($I270="","",COUNTIF($I270:$N270,"?*"))</f>
        <v/>
      </c>
      <c r="P270" s="46">
        <f>IF($I270="","",_xlfn.TEXTJOIN(", ",TRUE,$I270:$N270))</f>
        <v/>
      </c>
      <c r="Q270" s="47">
        <f>IF($I270="","",IFERROR(INDEX(코드설정!$D$5:$D$24,MATCH($I270,코드설정!$C$5:$C$24,0)),""))</f>
        <v/>
      </c>
      <c r="R270" s="49" t="n"/>
      <c r="S270" s="50" t="n"/>
      <c r="T270" s="51" t="n"/>
      <c r="U270" s="43">
        <f>IF(OR($B270="",$C270=""),"",$C270-$B270+1)</f>
        <v/>
      </c>
      <c r="V270" s="52" t="n"/>
      <c r="W270" s="53">
        <f>IF(OR($V270="",$O270=""),"",$V270*$O270)</f>
        <v/>
      </c>
      <c r="X270" s="45" t="n"/>
      <c r="Y270" s="49" t="n"/>
    </row>
    <row r="271">
      <c r="A271" s="43">
        <f>IF($B271="","",COUNT($B$5:$B271))</f>
        <v/>
      </c>
      <c r="B271" s="44" t="n"/>
      <c r="C271" s="44" t="n"/>
      <c r="D271" s="45" t="n"/>
      <c r="E271" s="45" t="n"/>
      <c r="F271" s="45" t="n"/>
      <c r="G271" s="46">
        <f>IF($F271="","",IFERROR(INDEX(사건마스터!$B$5:$B$64,MATCH($F271,사건마스터!$A$5:$A$64,0)),""))</f>
        <v/>
      </c>
      <c r="H271" s="47">
        <f>IF($F271="","",IFERROR(INDEX(사건마스터!$C$5:$C$64,MATCH($F271,사건마스터!$A$5:$A$64,0)),""))</f>
        <v/>
      </c>
      <c r="I271" s="48">
        <f>IF($F271="","",IFERROR(INDEX(사건마스터!$H$5:$H$64,MATCH($F271,사건마스터!$A$5:$A$64,0)),""))</f>
        <v/>
      </c>
      <c r="J271" s="48">
        <f>IF($F271="","",IFERROR(INDEX(사건마스터!$AH$5:$AH$64,MATCH($F271,사건마스터!$A$5:$A$64,0)),""))</f>
        <v/>
      </c>
      <c r="K271" s="48">
        <f>IF($F271="","",IFERROR(INDEX(사건마스터!$AI$5:$AI$64,MATCH($F271,사건마스터!$A$5:$A$64,0)),""))</f>
        <v/>
      </c>
      <c r="L271" s="48">
        <f>IF($F271="","",IFERROR(INDEX(사건마스터!$AJ$5:$AJ$64,MATCH($F271,사건마스터!$A$5:$A$64,0)),""))</f>
        <v/>
      </c>
      <c r="M271" s="48">
        <f>IF($F271="","",IFERROR(INDEX(사건마스터!$AK$5:$AK$64,MATCH($F271,사건마스터!$A$5:$A$64,0)),""))</f>
        <v/>
      </c>
      <c r="N271" s="48">
        <f>IF($F271="","",IFERROR(INDEX(사건마스터!$AL$5:$AL$64,MATCH($F271,사건마스터!$A$5:$A$64,0)),""))</f>
        <v/>
      </c>
      <c r="O271" s="43">
        <f>IF($I271="","",COUNTIF($I271:$N271,"?*"))</f>
        <v/>
      </c>
      <c r="P271" s="46">
        <f>IF($I271="","",_xlfn.TEXTJOIN(", ",TRUE,$I271:$N271))</f>
        <v/>
      </c>
      <c r="Q271" s="47">
        <f>IF($I271="","",IFERROR(INDEX(코드설정!$D$5:$D$24,MATCH($I271,코드설정!$C$5:$C$24,0)),""))</f>
        <v/>
      </c>
      <c r="R271" s="49" t="n"/>
      <c r="S271" s="50" t="n"/>
      <c r="T271" s="51" t="n"/>
      <c r="U271" s="43">
        <f>IF(OR($B271="",$C271=""),"",$C271-$B271+1)</f>
        <v/>
      </c>
      <c r="V271" s="52" t="n"/>
      <c r="W271" s="53">
        <f>IF(OR($V271="",$O271=""),"",$V271*$O271)</f>
        <v/>
      </c>
      <c r="X271" s="45" t="n"/>
      <c r="Y271" s="49" t="n"/>
    </row>
    <row r="272">
      <c r="A272" s="43">
        <f>IF($B272="","",COUNT($B$5:$B272))</f>
        <v/>
      </c>
      <c r="B272" s="44" t="n"/>
      <c r="C272" s="44" t="n"/>
      <c r="D272" s="45" t="n"/>
      <c r="E272" s="45" t="n"/>
      <c r="F272" s="45" t="n"/>
      <c r="G272" s="46">
        <f>IF($F272="","",IFERROR(INDEX(사건마스터!$B$5:$B$64,MATCH($F272,사건마스터!$A$5:$A$64,0)),""))</f>
        <v/>
      </c>
      <c r="H272" s="47">
        <f>IF($F272="","",IFERROR(INDEX(사건마스터!$C$5:$C$64,MATCH($F272,사건마스터!$A$5:$A$64,0)),""))</f>
        <v/>
      </c>
      <c r="I272" s="48">
        <f>IF($F272="","",IFERROR(INDEX(사건마스터!$H$5:$H$64,MATCH($F272,사건마스터!$A$5:$A$64,0)),""))</f>
        <v/>
      </c>
      <c r="J272" s="48">
        <f>IF($F272="","",IFERROR(INDEX(사건마스터!$AH$5:$AH$64,MATCH($F272,사건마스터!$A$5:$A$64,0)),""))</f>
        <v/>
      </c>
      <c r="K272" s="48">
        <f>IF($F272="","",IFERROR(INDEX(사건마스터!$AI$5:$AI$64,MATCH($F272,사건마스터!$A$5:$A$64,0)),""))</f>
        <v/>
      </c>
      <c r="L272" s="48">
        <f>IF($F272="","",IFERROR(INDEX(사건마스터!$AJ$5:$AJ$64,MATCH($F272,사건마스터!$A$5:$A$64,0)),""))</f>
        <v/>
      </c>
      <c r="M272" s="48">
        <f>IF($F272="","",IFERROR(INDEX(사건마스터!$AK$5:$AK$64,MATCH($F272,사건마스터!$A$5:$A$64,0)),""))</f>
        <v/>
      </c>
      <c r="N272" s="48">
        <f>IF($F272="","",IFERROR(INDEX(사건마스터!$AL$5:$AL$64,MATCH($F272,사건마스터!$A$5:$A$64,0)),""))</f>
        <v/>
      </c>
      <c r="O272" s="43">
        <f>IF($I272="","",COUNTIF($I272:$N272,"?*"))</f>
        <v/>
      </c>
      <c r="P272" s="46">
        <f>IF($I272="","",_xlfn.TEXTJOIN(", ",TRUE,$I272:$N272))</f>
        <v/>
      </c>
      <c r="Q272" s="47">
        <f>IF($I272="","",IFERROR(INDEX(코드설정!$D$5:$D$24,MATCH($I272,코드설정!$C$5:$C$24,0)),""))</f>
        <v/>
      </c>
      <c r="R272" s="49" t="n"/>
      <c r="S272" s="50" t="n"/>
      <c r="T272" s="51" t="n"/>
      <c r="U272" s="43">
        <f>IF(OR($B272="",$C272=""),"",$C272-$B272+1)</f>
        <v/>
      </c>
      <c r="V272" s="52" t="n"/>
      <c r="W272" s="53">
        <f>IF(OR($V272="",$O272=""),"",$V272*$O272)</f>
        <v/>
      </c>
      <c r="X272" s="45" t="n"/>
      <c r="Y272" s="49" t="n"/>
    </row>
    <row r="273">
      <c r="A273" s="43">
        <f>IF($B273="","",COUNT($B$5:$B273))</f>
        <v/>
      </c>
      <c r="B273" s="44" t="n"/>
      <c r="C273" s="44" t="n"/>
      <c r="D273" s="45" t="n"/>
      <c r="E273" s="45" t="n"/>
      <c r="F273" s="45" t="n"/>
      <c r="G273" s="46">
        <f>IF($F273="","",IFERROR(INDEX(사건마스터!$B$5:$B$64,MATCH($F273,사건마스터!$A$5:$A$64,0)),""))</f>
        <v/>
      </c>
      <c r="H273" s="47">
        <f>IF($F273="","",IFERROR(INDEX(사건마스터!$C$5:$C$64,MATCH($F273,사건마스터!$A$5:$A$64,0)),""))</f>
        <v/>
      </c>
      <c r="I273" s="48">
        <f>IF($F273="","",IFERROR(INDEX(사건마스터!$H$5:$H$64,MATCH($F273,사건마스터!$A$5:$A$64,0)),""))</f>
        <v/>
      </c>
      <c r="J273" s="48">
        <f>IF($F273="","",IFERROR(INDEX(사건마스터!$AH$5:$AH$64,MATCH($F273,사건마스터!$A$5:$A$64,0)),""))</f>
        <v/>
      </c>
      <c r="K273" s="48">
        <f>IF($F273="","",IFERROR(INDEX(사건마스터!$AI$5:$AI$64,MATCH($F273,사건마스터!$A$5:$A$64,0)),""))</f>
        <v/>
      </c>
      <c r="L273" s="48">
        <f>IF($F273="","",IFERROR(INDEX(사건마스터!$AJ$5:$AJ$64,MATCH($F273,사건마스터!$A$5:$A$64,0)),""))</f>
        <v/>
      </c>
      <c r="M273" s="48">
        <f>IF($F273="","",IFERROR(INDEX(사건마스터!$AK$5:$AK$64,MATCH($F273,사건마스터!$A$5:$A$64,0)),""))</f>
        <v/>
      </c>
      <c r="N273" s="48">
        <f>IF($F273="","",IFERROR(INDEX(사건마스터!$AL$5:$AL$64,MATCH($F273,사건마스터!$A$5:$A$64,0)),""))</f>
        <v/>
      </c>
      <c r="O273" s="43">
        <f>IF($I273="","",COUNTIF($I273:$N273,"?*"))</f>
        <v/>
      </c>
      <c r="P273" s="46">
        <f>IF($I273="","",_xlfn.TEXTJOIN(", ",TRUE,$I273:$N273))</f>
        <v/>
      </c>
      <c r="Q273" s="47">
        <f>IF($I273="","",IFERROR(INDEX(코드설정!$D$5:$D$24,MATCH($I273,코드설정!$C$5:$C$24,0)),""))</f>
        <v/>
      </c>
      <c r="R273" s="49" t="n"/>
      <c r="S273" s="50" t="n"/>
      <c r="T273" s="51" t="n"/>
      <c r="U273" s="43">
        <f>IF(OR($B273="",$C273=""),"",$C273-$B273+1)</f>
        <v/>
      </c>
      <c r="V273" s="52" t="n"/>
      <c r="W273" s="53">
        <f>IF(OR($V273="",$O273=""),"",$V273*$O273)</f>
        <v/>
      </c>
      <c r="X273" s="45" t="n"/>
      <c r="Y273" s="49" t="n"/>
    </row>
    <row r="274">
      <c r="A274" s="43">
        <f>IF($B274="","",COUNT($B$5:$B274))</f>
        <v/>
      </c>
      <c r="B274" s="44" t="n"/>
      <c r="C274" s="44" t="n"/>
      <c r="D274" s="45" t="n"/>
      <c r="E274" s="45" t="n"/>
      <c r="F274" s="45" t="n"/>
      <c r="G274" s="46">
        <f>IF($F274="","",IFERROR(INDEX(사건마스터!$B$5:$B$64,MATCH($F274,사건마스터!$A$5:$A$64,0)),""))</f>
        <v/>
      </c>
      <c r="H274" s="47">
        <f>IF($F274="","",IFERROR(INDEX(사건마스터!$C$5:$C$64,MATCH($F274,사건마스터!$A$5:$A$64,0)),""))</f>
        <v/>
      </c>
      <c r="I274" s="48">
        <f>IF($F274="","",IFERROR(INDEX(사건마스터!$H$5:$H$64,MATCH($F274,사건마스터!$A$5:$A$64,0)),""))</f>
        <v/>
      </c>
      <c r="J274" s="48">
        <f>IF($F274="","",IFERROR(INDEX(사건마스터!$AH$5:$AH$64,MATCH($F274,사건마스터!$A$5:$A$64,0)),""))</f>
        <v/>
      </c>
      <c r="K274" s="48">
        <f>IF($F274="","",IFERROR(INDEX(사건마스터!$AI$5:$AI$64,MATCH($F274,사건마스터!$A$5:$A$64,0)),""))</f>
        <v/>
      </c>
      <c r="L274" s="48">
        <f>IF($F274="","",IFERROR(INDEX(사건마스터!$AJ$5:$AJ$64,MATCH($F274,사건마스터!$A$5:$A$64,0)),""))</f>
        <v/>
      </c>
      <c r="M274" s="48">
        <f>IF($F274="","",IFERROR(INDEX(사건마스터!$AK$5:$AK$64,MATCH($F274,사건마스터!$A$5:$A$64,0)),""))</f>
        <v/>
      </c>
      <c r="N274" s="48">
        <f>IF($F274="","",IFERROR(INDEX(사건마스터!$AL$5:$AL$64,MATCH($F274,사건마스터!$A$5:$A$64,0)),""))</f>
        <v/>
      </c>
      <c r="O274" s="43">
        <f>IF($I274="","",COUNTIF($I274:$N274,"?*"))</f>
        <v/>
      </c>
      <c r="P274" s="46">
        <f>IF($I274="","",_xlfn.TEXTJOIN(", ",TRUE,$I274:$N274))</f>
        <v/>
      </c>
      <c r="Q274" s="47">
        <f>IF($I274="","",IFERROR(INDEX(코드설정!$D$5:$D$24,MATCH($I274,코드설정!$C$5:$C$24,0)),""))</f>
        <v/>
      </c>
      <c r="R274" s="49" t="n"/>
      <c r="S274" s="50" t="n"/>
      <c r="T274" s="51" t="n"/>
      <c r="U274" s="43">
        <f>IF(OR($B274="",$C274=""),"",$C274-$B274+1)</f>
        <v/>
      </c>
      <c r="V274" s="52" t="n"/>
      <c r="W274" s="53">
        <f>IF(OR($V274="",$O274=""),"",$V274*$O274)</f>
        <v/>
      </c>
      <c r="X274" s="45" t="n"/>
      <c r="Y274" s="49" t="n"/>
    </row>
    <row r="275">
      <c r="A275" s="43">
        <f>IF($B275="","",COUNT($B$5:$B275))</f>
        <v/>
      </c>
      <c r="B275" s="44" t="n"/>
      <c r="C275" s="44" t="n"/>
      <c r="D275" s="45" t="n"/>
      <c r="E275" s="45" t="n"/>
      <c r="F275" s="45" t="n"/>
      <c r="G275" s="46">
        <f>IF($F275="","",IFERROR(INDEX(사건마스터!$B$5:$B$64,MATCH($F275,사건마스터!$A$5:$A$64,0)),""))</f>
        <v/>
      </c>
      <c r="H275" s="47">
        <f>IF($F275="","",IFERROR(INDEX(사건마스터!$C$5:$C$64,MATCH($F275,사건마스터!$A$5:$A$64,0)),""))</f>
        <v/>
      </c>
      <c r="I275" s="48">
        <f>IF($F275="","",IFERROR(INDEX(사건마스터!$H$5:$H$64,MATCH($F275,사건마스터!$A$5:$A$64,0)),""))</f>
        <v/>
      </c>
      <c r="J275" s="48">
        <f>IF($F275="","",IFERROR(INDEX(사건마스터!$AH$5:$AH$64,MATCH($F275,사건마스터!$A$5:$A$64,0)),""))</f>
        <v/>
      </c>
      <c r="K275" s="48">
        <f>IF($F275="","",IFERROR(INDEX(사건마스터!$AI$5:$AI$64,MATCH($F275,사건마스터!$A$5:$A$64,0)),""))</f>
        <v/>
      </c>
      <c r="L275" s="48">
        <f>IF($F275="","",IFERROR(INDEX(사건마스터!$AJ$5:$AJ$64,MATCH($F275,사건마스터!$A$5:$A$64,0)),""))</f>
        <v/>
      </c>
      <c r="M275" s="48">
        <f>IF($F275="","",IFERROR(INDEX(사건마스터!$AK$5:$AK$64,MATCH($F275,사건마스터!$A$5:$A$64,0)),""))</f>
        <v/>
      </c>
      <c r="N275" s="48">
        <f>IF($F275="","",IFERROR(INDEX(사건마스터!$AL$5:$AL$64,MATCH($F275,사건마스터!$A$5:$A$64,0)),""))</f>
        <v/>
      </c>
      <c r="O275" s="43">
        <f>IF($I275="","",COUNTIF($I275:$N275,"?*"))</f>
        <v/>
      </c>
      <c r="P275" s="46">
        <f>IF($I275="","",_xlfn.TEXTJOIN(", ",TRUE,$I275:$N275))</f>
        <v/>
      </c>
      <c r="Q275" s="47">
        <f>IF($I275="","",IFERROR(INDEX(코드설정!$D$5:$D$24,MATCH($I275,코드설정!$C$5:$C$24,0)),""))</f>
        <v/>
      </c>
      <c r="R275" s="49" t="n"/>
      <c r="S275" s="50" t="n"/>
      <c r="T275" s="51" t="n"/>
      <c r="U275" s="43">
        <f>IF(OR($B275="",$C275=""),"",$C275-$B275+1)</f>
        <v/>
      </c>
      <c r="V275" s="52" t="n"/>
      <c r="W275" s="53">
        <f>IF(OR($V275="",$O275=""),"",$V275*$O275)</f>
        <v/>
      </c>
      <c r="X275" s="45" t="n"/>
      <c r="Y275" s="49" t="n"/>
    </row>
    <row r="276">
      <c r="A276" s="43">
        <f>IF($B276="","",COUNT($B$5:$B276))</f>
        <v/>
      </c>
      <c r="B276" s="44" t="n"/>
      <c r="C276" s="44" t="n"/>
      <c r="D276" s="45" t="n"/>
      <c r="E276" s="45" t="n"/>
      <c r="F276" s="45" t="n"/>
      <c r="G276" s="46">
        <f>IF($F276="","",IFERROR(INDEX(사건마스터!$B$5:$B$64,MATCH($F276,사건마스터!$A$5:$A$64,0)),""))</f>
        <v/>
      </c>
      <c r="H276" s="47">
        <f>IF($F276="","",IFERROR(INDEX(사건마스터!$C$5:$C$64,MATCH($F276,사건마스터!$A$5:$A$64,0)),""))</f>
        <v/>
      </c>
      <c r="I276" s="48">
        <f>IF($F276="","",IFERROR(INDEX(사건마스터!$H$5:$H$64,MATCH($F276,사건마스터!$A$5:$A$64,0)),""))</f>
        <v/>
      </c>
      <c r="J276" s="48">
        <f>IF($F276="","",IFERROR(INDEX(사건마스터!$AH$5:$AH$64,MATCH($F276,사건마스터!$A$5:$A$64,0)),""))</f>
        <v/>
      </c>
      <c r="K276" s="48">
        <f>IF($F276="","",IFERROR(INDEX(사건마스터!$AI$5:$AI$64,MATCH($F276,사건마스터!$A$5:$A$64,0)),""))</f>
        <v/>
      </c>
      <c r="L276" s="48">
        <f>IF($F276="","",IFERROR(INDEX(사건마스터!$AJ$5:$AJ$64,MATCH($F276,사건마스터!$A$5:$A$64,0)),""))</f>
        <v/>
      </c>
      <c r="M276" s="48">
        <f>IF($F276="","",IFERROR(INDEX(사건마스터!$AK$5:$AK$64,MATCH($F276,사건마스터!$A$5:$A$64,0)),""))</f>
        <v/>
      </c>
      <c r="N276" s="48">
        <f>IF($F276="","",IFERROR(INDEX(사건마스터!$AL$5:$AL$64,MATCH($F276,사건마스터!$A$5:$A$64,0)),""))</f>
        <v/>
      </c>
      <c r="O276" s="43">
        <f>IF($I276="","",COUNTIF($I276:$N276,"?*"))</f>
        <v/>
      </c>
      <c r="P276" s="46">
        <f>IF($I276="","",_xlfn.TEXTJOIN(", ",TRUE,$I276:$N276))</f>
        <v/>
      </c>
      <c r="Q276" s="47">
        <f>IF($I276="","",IFERROR(INDEX(코드설정!$D$5:$D$24,MATCH($I276,코드설정!$C$5:$C$24,0)),""))</f>
        <v/>
      </c>
      <c r="R276" s="49" t="n"/>
      <c r="S276" s="50" t="n"/>
      <c r="T276" s="51" t="n"/>
      <c r="U276" s="43">
        <f>IF(OR($B276="",$C276=""),"",$C276-$B276+1)</f>
        <v/>
      </c>
      <c r="V276" s="52" t="n"/>
      <c r="W276" s="53">
        <f>IF(OR($V276="",$O276=""),"",$V276*$O276)</f>
        <v/>
      </c>
      <c r="X276" s="45" t="n"/>
      <c r="Y276" s="49" t="n"/>
    </row>
    <row r="277">
      <c r="A277" s="43">
        <f>IF($B277="","",COUNT($B$5:$B277))</f>
        <v/>
      </c>
      <c r="B277" s="44" t="n"/>
      <c r="C277" s="44" t="n"/>
      <c r="D277" s="45" t="n"/>
      <c r="E277" s="45" t="n"/>
      <c r="F277" s="45" t="n"/>
      <c r="G277" s="46">
        <f>IF($F277="","",IFERROR(INDEX(사건마스터!$B$5:$B$64,MATCH($F277,사건마스터!$A$5:$A$64,0)),""))</f>
        <v/>
      </c>
      <c r="H277" s="47">
        <f>IF($F277="","",IFERROR(INDEX(사건마스터!$C$5:$C$64,MATCH($F277,사건마스터!$A$5:$A$64,0)),""))</f>
        <v/>
      </c>
      <c r="I277" s="48">
        <f>IF($F277="","",IFERROR(INDEX(사건마스터!$H$5:$H$64,MATCH($F277,사건마스터!$A$5:$A$64,0)),""))</f>
        <v/>
      </c>
      <c r="J277" s="48">
        <f>IF($F277="","",IFERROR(INDEX(사건마스터!$AH$5:$AH$64,MATCH($F277,사건마스터!$A$5:$A$64,0)),""))</f>
        <v/>
      </c>
      <c r="K277" s="48">
        <f>IF($F277="","",IFERROR(INDEX(사건마스터!$AI$5:$AI$64,MATCH($F277,사건마스터!$A$5:$A$64,0)),""))</f>
        <v/>
      </c>
      <c r="L277" s="48">
        <f>IF($F277="","",IFERROR(INDEX(사건마스터!$AJ$5:$AJ$64,MATCH($F277,사건마스터!$A$5:$A$64,0)),""))</f>
        <v/>
      </c>
      <c r="M277" s="48">
        <f>IF($F277="","",IFERROR(INDEX(사건마스터!$AK$5:$AK$64,MATCH($F277,사건마스터!$A$5:$A$64,0)),""))</f>
        <v/>
      </c>
      <c r="N277" s="48">
        <f>IF($F277="","",IFERROR(INDEX(사건마스터!$AL$5:$AL$64,MATCH($F277,사건마스터!$A$5:$A$64,0)),""))</f>
        <v/>
      </c>
      <c r="O277" s="43">
        <f>IF($I277="","",COUNTIF($I277:$N277,"?*"))</f>
        <v/>
      </c>
      <c r="P277" s="46">
        <f>IF($I277="","",_xlfn.TEXTJOIN(", ",TRUE,$I277:$N277))</f>
        <v/>
      </c>
      <c r="Q277" s="47">
        <f>IF($I277="","",IFERROR(INDEX(코드설정!$D$5:$D$24,MATCH($I277,코드설정!$C$5:$C$24,0)),""))</f>
        <v/>
      </c>
      <c r="R277" s="49" t="n"/>
      <c r="S277" s="50" t="n"/>
      <c r="T277" s="51" t="n"/>
      <c r="U277" s="43">
        <f>IF(OR($B277="",$C277=""),"",$C277-$B277+1)</f>
        <v/>
      </c>
      <c r="V277" s="52" t="n"/>
      <c r="W277" s="53">
        <f>IF(OR($V277="",$O277=""),"",$V277*$O277)</f>
        <v/>
      </c>
      <c r="X277" s="45" t="n"/>
      <c r="Y277" s="49" t="n"/>
    </row>
    <row r="278">
      <c r="A278" s="43">
        <f>IF($B278="","",COUNT($B$5:$B278))</f>
        <v/>
      </c>
      <c r="B278" s="44" t="n"/>
      <c r="C278" s="44" t="n"/>
      <c r="D278" s="45" t="n"/>
      <c r="E278" s="45" t="n"/>
      <c r="F278" s="45" t="n"/>
      <c r="G278" s="46">
        <f>IF($F278="","",IFERROR(INDEX(사건마스터!$B$5:$B$64,MATCH($F278,사건마스터!$A$5:$A$64,0)),""))</f>
        <v/>
      </c>
      <c r="H278" s="47">
        <f>IF($F278="","",IFERROR(INDEX(사건마스터!$C$5:$C$64,MATCH($F278,사건마스터!$A$5:$A$64,0)),""))</f>
        <v/>
      </c>
      <c r="I278" s="48">
        <f>IF($F278="","",IFERROR(INDEX(사건마스터!$H$5:$H$64,MATCH($F278,사건마스터!$A$5:$A$64,0)),""))</f>
        <v/>
      </c>
      <c r="J278" s="48">
        <f>IF($F278="","",IFERROR(INDEX(사건마스터!$AH$5:$AH$64,MATCH($F278,사건마스터!$A$5:$A$64,0)),""))</f>
        <v/>
      </c>
      <c r="K278" s="48">
        <f>IF($F278="","",IFERROR(INDEX(사건마스터!$AI$5:$AI$64,MATCH($F278,사건마스터!$A$5:$A$64,0)),""))</f>
        <v/>
      </c>
      <c r="L278" s="48">
        <f>IF($F278="","",IFERROR(INDEX(사건마스터!$AJ$5:$AJ$64,MATCH($F278,사건마스터!$A$5:$A$64,0)),""))</f>
        <v/>
      </c>
      <c r="M278" s="48">
        <f>IF($F278="","",IFERROR(INDEX(사건마스터!$AK$5:$AK$64,MATCH($F278,사건마스터!$A$5:$A$64,0)),""))</f>
        <v/>
      </c>
      <c r="N278" s="48">
        <f>IF($F278="","",IFERROR(INDEX(사건마스터!$AL$5:$AL$64,MATCH($F278,사건마스터!$A$5:$A$64,0)),""))</f>
        <v/>
      </c>
      <c r="O278" s="43">
        <f>IF($I278="","",COUNTIF($I278:$N278,"?*"))</f>
        <v/>
      </c>
      <c r="P278" s="46">
        <f>IF($I278="","",_xlfn.TEXTJOIN(", ",TRUE,$I278:$N278))</f>
        <v/>
      </c>
      <c r="Q278" s="47">
        <f>IF($I278="","",IFERROR(INDEX(코드설정!$D$5:$D$24,MATCH($I278,코드설정!$C$5:$C$24,0)),""))</f>
        <v/>
      </c>
      <c r="R278" s="49" t="n"/>
      <c r="S278" s="50" t="n"/>
      <c r="T278" s="51" t="n"/>
      <c r="U278" s="43">
        <f>IF(OR($B278="",$C278=""),"",$C278-$B278+1)</f>
        <v/>
      </c>
      <c r="V278" s="52" t="n"/>
      <c r="W278" s="53">
        <f>IF(OR($V278="",$O278=""),"",$V278*$O278)</f>
        <v/>
      </c>
      <c r="X278" s="45" t="n"/>
      <c r="Y278" s="49" t="n"/>
    </row>
    <row r="279">
      <c r="A279" s="43">
        <f>IF($B279="","",COUNT($B$5:$B279))</f>
        <v/>
      </c>
      <c r="B279" s="44" t="n"/>
      <c r="C279" s="44" t="n"/>
      <c r="D279" s="45" t="n"/>
      <c r="E279" s="45" t="n"/>
      <c r="F279" s="45" t="n"/>
      <c r="G279" s="46">
        <f>IF($F279="","",IFERROR(INDEX(사건마스터!$B$5:$B$64,MATCH($F279,사건마스터!$A$5:$A$64,0)),""))</f>
        <v/>
      </c>
      <c r="H279" s="47">
        <f>IF($F279="","",IFERROR(INDEX(사건마스터!$C$5:$C$64,MATCH($F279,사건마스터!$A$5:$A$64,0)),""))</f>
        <v/>
      </c>
      <c r="I279" s="48">
        <f>IF($F279="","",IFERROR(INDEX(사건마스터!$H$5:$H$64,MATCH($F279,사건마스터!$A$5:$A$64,0)),""))</f>
        <v/>
      </c>
      <c r="J279" s="48">
        <f>IF($F279="","",IFERROR(INDEX(사건마스터!$AH$5:$AH$64,MATCH($F279,사건마스터!$A$5:$A$64,0)),""))</f>
        <v/>
      </c>
      <c r="K279" s="48">
        <f>IF($F279="","",IFERROR(INDEX(사건마스터!$AI$5:$AI$64,MATCH($F279,사건마스터!$A$5:$A$64,0)),""))</f>
        <v/>
      </c>
      <c r="L279" s="48">
        <f>IF($F279="","",IFERROR(INDEX(사건마스터!$AJ$5:$AJ$64,MATCH($F279,사건마스터!$A$5:$A$64,0)),""))</f>
        <v/>
      </c>
      <c r="M279" s="48">
        <f>IF($F279="","",IFERROR(INDEX(사건마스터!$AK$5:$AK$64,MATCH($F279,사건마스터!$A$5:$A$64,0)),""))</f>
        <v/>
      </c>
      <c r="N279" s="48">
        <f>IF($F279="","",IFERROR(INDEX(사건마스터!$AL$5:$AL$64,MATCH($F279,사건마스터!$A$5:$A$64,0)),""))</f>
        <v/>
      </c>
      <c r="O279" s="43">
        <f>IF($I279="","",COUNTIF($I279:$N279,"?*"))</f>
        <v/>
      </c>
      <c r="P279" s="46">
        <f>IF($I279="","",_xlfn.TEXTJOIN(", ",TRUE,$I279:$N279))</f>
        <v/>
      </c>
      <c r="Q279" s="47">
        <f>IF($I279="","",IFERROR(INDEX(코드설정!$D$5:$D$24,MATCH($I279,코드설정!$C$5:$C$24,0)),""))</f>
        <v/>
      </c>
      <c r="R279" s="49" t="n"/>
      <c r="S279" s="50" t="n"/>
      <c r="T279" s="51" t="n"/>
      <c r="U279" s="43">
        <f>IF(OR($B279="",$C279=""),"",$C279-$B279+1)</f>
        <v/>
      </c>
      <c r="V279" s="52" t="n"/>
      <c r="W279" s="53">
        <f>IF(OR($V279="",$O279=""),"",$V279*$O279)</f>
        <v/>
      </c>
      <c r="X279" s="45" t="n"/>
      <c r="Y279" s="49" t="n"/>
    </row>
    <row r="280">
      <c r="A280" s="43">
        <f>IF($B280="","",COUNT($B$5:$B280))</f>
        <v/>
      </c>
      <c r="B280" s="44" t="n"/>
      <c r="C280" s="44" t="n"/>
      <c r="D280" s="45" t="n"/>
      <c r="E280" s="45" t="n"/>
      <c r="F280" s="45" t="n"/>
      <c r="G280" s="46">
        <f>IF($F280="","",IFERROR(INDEX(사건마스터!$B$5:$B$64,MATCH($F280,사건마스터!$A$5:$A$64,0)),""))</f>
        <v/>
      </c>
      <c r="H280" s="47">
        <f>IF($F280="","",IFERROR(INDEX(사건마스터!$C$5:$C$64,MATCH($F280,사건마스터!$A$5:$A$64,0)),""))</f>
        <v/>
      </c>
      <c r="I280" s="48">
        <f>IF($F280="","",IFERROR(INDEX(사건마스터!$H$5:$H$64,MATCH($F280,사건마스터!$A$5:$A$64,0)),""))</f>
        <v/>
      </c>
      <c r="J280" s="48">
        <f>IF($F280="","",IFERROR(INDEX(사건마스터!$AH$5:$AH$64,MATCH($F280,사건마스터!$A$5:$A$64,0)),""))</f>
        <v/>
      </c>
      <c r="K280" s="48">
        <f>IF($F280="","",IFERROR(INDEX(사건마스터!$AI$5:$AI$64,MATCH($F280,사건마스터!$A$5:$A$64,0)),""))</f>
        <v/>
      </c>
      <c r="L280" s="48">
        <f>IF($F280="","",IFERROR(INDEX(사건마스터!$AJ$5:$AJ$64,MATCH($F280,사건마스터!$A$5:$A$64,0)),""))</f>
        <v/>
      </c>
      <c r="M280" s="48">
        <f>IF($F280="","",IFERROR(INDEX(사건마스터!$AK$5:$AK$64,MATCH($F280,사건마스터!$A$5:$A$64,0)),""))</f>
        <v/>
      </c>
      <c r="N280" s="48">
        <f>IF($F280="","",IFERROR(INDEX(사건마스터!$AL$5:$AL$64,MATCH($F280,사건마스터!$A$5:$A$64,0)),""))</f>
        <v/>
      </c>
      <c r="O280" s="43">
        <f>IF($I280="","",COUNTIF($I280:$N280,"?*"))</f>
        <v/>
      </c>
      <c r="P280" s="46">
        <f>IF($I280="","",_xlfn.TEXTJOIN(", ",TRUE,$I280:$N280))</f>
        <v/>
      </c>
      <c r="Q280" s="47">
        <f>IF($I280="","",IFERROR(INDEX(코드설정!$D$5:$D$24,MATCH($I280,코드설정!$C$5:$C$24,0)),""))</f>
        <v/>
      </c>
      <c r="R280" s="49" t="n"/>
      <c r="S280" s="50" t="n"/>
      <c r="T280" s="51" t="n"/>
      <c r="U280" s="43">
        <f>IF(OR($B280="",$C280=""),"",$C280-$B280+1)</f>
        <v/>
      </c>
      <c r="V280" s="52" t="n"/>
      <c r="W280" s="53">
        <f>IF(OR($V280="",$O280=""),"",$V280*$O280)</f>
        <v/>
      </c>
      <c r="X280" s="45" t="n"/>
      <c r="Y280" s="49" t="n"/>
    </row>
    <row r="281">
      <c r="A281" s="43">
        <f>IF($B281="","",COUNT($B$5:$B281))</f>
        <v/>
      </c>
      <c r="B281" s="44" t="n"/>
      <c r="C281" s="44" t="n"/>
      <c r="D281" s="45" t="n"/>
      <c r="E281" s="45" t="n"/>
      <c r="F281" s="45" t="n"/>
      <c r="G281" s="46">
        <f>IF($F281="","",IFERROR(INDEX(사건마스터!$B$5:$B$64,MATCH($F281,사건마스터!$A$5:$A$64,0)),""))</f>
        <v/>
      </c>
      <c r="H281" s="47">
        <f>IF($F281="","",IFERROR(INDEX(사건마스터!$C$5:$C$64,MATCH($F281,사건마스터!$A$5:$A$64,0)),""))</f>
        <v/>
      </c>
      <c r="I281" s="48">
        <f>IF($F281="","",IFERROR(INDEX(사건마스터!$H$5:$H$64,MATCH($F281,사건마스터!$A$5:$A$64,0)),""))</f>
        <v/>
      </c>
      <c r="J281" s="48">
        <f>IF($F281="","",IFERROR(INDEX(사건마스터!$AH$5:$AH$64,MATCH($F281,사건마스터!$A$5:$A$64,0)),""))</f>
        <v/>
      </c>
      <c r="K281" s="48">
        <f>IF($F281="","",IFERROR(INDEX(사건마스터!$AI$5:$AI$64,MATCH($F281,사건마스터!$A$5:$A$64,0)),""))</f>
        <v/>
      </c>
      <c r="L281" s="48">
        <f>IF($F281="","",IFERROR(INDEX(사건마스터!$AJ$5:$AJ$64,MATCH($F281,사건마스터!$A$5:$A$64,0)),""))</f>
        <v/>
      </c>
      <c r="M281" s="48">
        <f>IF($F281="","",IFERROR(INDEX(사건마스터!$AK$5:$AK$64,MATCH($F281,사건마스터!$A$5:$A$64,0)),""))</f>
        <v/>
      </c>
      <c r="N281" s="48">
        <f>IF($F281="","",IFERROR(INDEX(사건마스터!$AL$5:$AL$64,MATCH($F281,사건마스터!$A$5:$A$64,0)),""))</f>
        <v/>
      </c>
      <c r="O281" s="43">
        <f>IF($I281="","",COUNTIF($I281:$N281,"?*"))</f>
        <v/>
      </c>
      <c r="P281" s="46">
        <f>IF($I281="","",_xlfn.TEXTJOIN(", ",TRUE,$I281:$N281))</f>
        <v/>
      </c>
      <c r="Q281" s="47">
        <f>IF($I281="","",IFERROR(INDEX(코드설정!$D$5:$D$24,MATCH($I281,코드설정!$C$5:$C$24,0)),""))</f>
        <v/>
      </c>
      <c r="R281" s="49" t="n"/>
      <c r="S281" s="50" t="n"/>
      <c r="T281" s="51" t="n"/>
      <c r="U281" s="43">
        <f>IF(OR($B281="",$C281=""),"",$C281-$B281+1)</f>
        <v/>
      </c>
      <c r="V281" s="52" t="n"/>
      <c r="W281" s="53">
        <f>IF(OR($V281="",$O281=""),"",$V281*$O281)</f>
        <v/>
      </c>
      <c r="X281" s="45" t="n"/>
      <c r="Y281" s="49" t="n"/>
    </row>
    <row r="282">
      <c r="A282" s="43">
        <f>IF($B282="","",COUNT($B$5:$B282))</f>
        <v/>
      </c>
      <c r="B282" s="44" t="n"/>
      <c r="C282" s="44" t="n"/>
      <c r="D282" s="45" t="n"/>
      <c r="E282" s="45" t="n"/>
      <c r="F282" s="45" t="n"/>
      <c r="G282" s="46">
        <f>IF($F282="","",IFERROR(INDEX(사건마스터!$B$5:$B$64,MATCH($F282,사건마스터!$A$5:$A$64,0)),""))</f>
        <v/>
      </c>
      <c r="H282" s="47">
        <f>IF($F282="","",IFERROR(INDEX(사건마스터!$C$5:$C$64,MATCH($F282,사건마스터!$A$5:$A$64,0)),""))</f>
        <v/>
      </c>
      <c r="I282" s="48">
        <f>IF($F282="","",IFERROR(INDEX(사건마스터!$H$5:$H$64,MATCH($F282,사건마스터!$A$5:$A$64,0)),""))</f>
        <v/>
      </c>
      <c r="J282" s="48">
        <f>IF($F282="","",IFERROR(INDEX(사건마스터!$AH$5:$AH$64,MATCH($F282,사건마스터!$A$5:$A$64,0)),""))</f>
        <v/>
      </c>
      <c r="K282" s="48">
        <f>IF($F282="","",IFERROR(INDEX(사건마스터!$AI$5:$AI$64,MATCH($F282,사건마스터!$A$5:$A$64,0)),""))</f>
        <v/>
      </c>
      <c r="L282" s="48">
        <f>IF($F282="","",IFERROR(INDEX(사건마스터!$AJ$5:$AJ$64,MATCH($F282,사건마스터!$A$5:$A$64,0)),""))</f>
        <v/>
      </c>
      <c r="M282" s="48">
        <f>IF($F282="","",IFERROR(INDEX(사건마스터!$AK$5:$AK$64,MATCH($F282,사건마스터!$A$5:$A$64,0)),""))</f>
        <v/>
      </c>
      <c r="N282" s="48">
        <f>IF($F282="","",IFERROR(INDEX(사건마스터!$AL$5:$AL$64,MATCH($F282,사건마스터!$A$5:$A$64,0)),""))</f>
        <v/>
      </c>
      <c r="O282" s="43">
        <f>IF($I282="","",COUNTIF($I282:$N282,"?*"))</f>
        <v/>
      </c>
      <c r="P282" s="46">
        <f>IF($I282="","",_xlfn.TEXTJOIN(", ",TRUE,$I282:$N282))</f>
        <v/>
      </c>
      <c r="Q282" s="47">
        <f>IF($I282="","",IFERROR(INDEX(코드설정!$D$5:$D$24,MATCH($I282,코드설정!$C$5:$C$24,0)),""))</f>
        <v/>
      </c>
      <c r="R282" s="49" t="n"/>
      <c r="S282" s="50" t="n"/>
      <c r="T282" s="51" t="n"/>
      <c r="U282" s="43">
        <f>IF(OR($B282="",$C282=""),"",$C282-$B282+1)</f>
        <v/>
      </c>
      <c r="V282" s="52" t="n"/>
      <c r="W282" s="53">
        <f>IF(OR($V282="",$O282=""),"",$V282*$O282)</f>
        <v/>
      </c>
      <c r="X282" s="45" t="n"/>
      <c r="Y282" s="49" t="n"/>
    </row>
    <row r="283">
      <c r="A283" s="43">
        <f>IF($B283="","",COUNT($B$5:$B283))</f>
        <v/>
      </c>
      <c r="B283" s="44" t="n"/>
      <c r="C283" s="44" t="n"/>
      <c r="D283" s="45" t="n"/>
      <c r="E283" s="45" t="n"/>
      <c r="F283" s="45" t="n"/>
      <c r="G283" s="46">
        <f>IF($F283="","",IFERROR(INDEX(사건마스터!$B$5:$B$64,MATCH($F283,사건마스터!$A$5:$A$64,0)),""))</f>
        <v/>
      </c>
      <c r="H283" s="47">
        <f>IF($F283="","",IFERROR(INDEX(사건마스터!$C$5:$C$64,MATCH($F283,사건마스터!$A$5:$A$64,0)),""))</f>
        <v/>
      </c>
      <c r="I283" s="48">
        <f>IF($F283="","",IFERROR(INDEX(사건마스터!$H$5:$H$64,MATCH($F283,사건마스터!$A$5:$A$64,0)),""))</f>
        <v/>
      </c>
      <c r="J283" s="48">
        <f>IF($F283="","",IFERROR(INDEX(사건마스터!$AH$5:$AH$64,MATCH($F283,사건마스터!$A$5:$A$64,0)),""))</f>
        <v/>
      </c>
      <c r="K283" s="48">
        <f>IF($F283="","",IFERROR(INDEX(사건마스터!$AI$5:$AI$64,MATCH($F283,사건마스터!$A$5:$A$64,0)),""))</f>
        <v/>
      </c>
      <c r="L283" s="48">
        <f>IF($F283="","",IFERROR(INDEX(사건마스터!$AJ$5:$AJ$64,MATCH($F283,사건마스터!$A$5:$A$64,0)),""))</f>
        <v/>
      </c>
      <c r="M283" s="48">
        <f>IF($F283="","",IFERROR(INDEX(사건마스터!$AK$5:$AK$64,MATCH($F283,사건마스터!$A$5:$A$64,0)),""))</f>
        <v/>
      </c>
      <c r="N283" s="48">
        <f>IF($F283="","",IFERROR(INDEX(사건마스터!$AL$5:$AL$64,MATCH($F283,사건마스터!$A$5:$A$64,0)),""))</f>
        <v/>
      </c>
      <c r="O283" s="43">
        <f>IF($I283="","",COUNTIF($I283:$N283,"?*"))</f>
        <v/>
      </c>
      <c r="P283" s="46">
        <f>IF($I283="","",_xlfn.TEXTJOIN(", ",TRUE,$I283:$N283))</f>
        <v/>
      </c>
      <c r="Q283" s="47">
        <f>IF($I283="","",IFERROR(INDEX(코드설정!$D$5:$D$24,MATCH($I283,코드설정!$C$5:$C$24,0)),""))</f>
        <v/>
      </c>
      <c r="R283" s="49" t="n"/>
      <c r="S283" s="50" t="n"/>
      <c r="T283" s="51" t="n"/>
      <c r="U283" s="43">
        <f>IF(OR($B283="",$C283=""),"",$C283-$B283+1)</f>
        <v/>
      </c>
      <c r="V283" s="52" t="n"/>
      <c r="W283" s="53">
        <f>IF(OR($V283="",$O283=""),"",$V283*$O283)</f>
        <v/>
      </c>
      <c r="X283" s="45" t="n"/>
      <c r="Y283" s="49" t="n"/>
    </row>
    <row r="284">
      <c r="A284" s="43">
        <f>IF($B284="","",COUNT($B$5:$B284))</f>
        <v/>
      </c>
      <c r="B284" s="44" t="n"/>
      <c r="C284" s="44" t="n"/>
      <c r="D284" s="45" t="n"/>
      <c r="E284" s="45" t="n"/>
      <c r="F284" s="45" t="n"/>
      <c r="G284" s="46">
        <f>IF($F284="","",IFERROR(INDEX(사건마스터!$B$5:$B$64,MATCH($F284,사건마스터!$A$5:$A$64,0)),""))</f>
        <v/>
      </c>
      <c r="H284" s="47">
        <f>IF($F284="","",IFERROR(INDEX(사건마스터!$C$5:$C$64,MATCH($F284,사건마스터!$A$5:$A$64,0)),""))</f>
        <v/>
      </c>
      <c r="I284" s="48">
        <f>IF($F284="","",IFERROR(INDEX(사건마스터!$H$5:$H$64,MATCH($F284,사건마스터!$A$5:$A$64,0)),""))</f>
        <v/>
      </c>
      <c r="J284" s="48">
        <f>IF($F284="","",IFERROR(INDEX(사건마스터!$AH$5:$AH$64,MATCH($F284,사건마스터!$A$5:$A$64,0)),""))</f>
        <v/>
      </c>
      <c r="K284" s="48">
        <f>IF($F284="","",IFERROR(INDEX(사건마스터!$AI$5:$AI$64,MATCH($F284,사건마스터!$A$5:$A$64,0)),""))</f>
        <v/>
      </c>
      <c r="L284" s="48">
        <f>IF($F284="","",IFERROR(INDEX(사건마스터!$AJ$5:$AJ$64,MATCH($F284,사건마스터!$A$5:$A$64,0)),""))</f>
        <v/>
      </c>
      <c r="M284" s="48">
        <f>IF($F284="","",IFERROR(INDEX(사건마스터!$AK$5:$AK$64,MATCH($F284,사건마스터!$A$5:$A$64,0)),""))</f>
        <v/>
      </c>
      <c r="N284" s="48">
        <f>IF($F284="","",IFERROR(INDEX(사건마스터!$AL$5:$AL$64,MATCH($F284,사건마스터!$A$5:$A$64,0)),""))</f>
        <v/>
      </c>
      <c r="O284" s="43">
        <f>IF($I284="","",COUNTIF($I284:$N284,"?*"))</f>
        <v/>
      </c>
      <c r="P284" s="46">
        <f>IF($I284="","",_xlfn.TEXTJOIN(", ",TRUE,$I284:$N284))</f>
        <v/>
      </c>
      <c r="Q284" s="47">
        <f>IF($I284="","",IFERROR(INDEX(코드설정!$D$5:$D$24,MATCH($I284,코드설정!$C$5:$C$24,0)),""))</f>
        <v/>
      </c>
      <c r="R284" s="49" t="n"/>
      <c r="S284" s="50" t="n"/>
      <c r="T284" s="51" t="n"/>
      <c r="U284" s="43">
        <f>IF(OR($B284="",$C284=""),"",$C284-$B284+1)</f>
        <v/>
      </c>
      <c r="V284" s="52" t="n"/>
      <c r="W284" s="53">
        <f>IF(OR($V284="",$O284=""),"",$V284*$O284)</f>
        <v/>
      </c>
      <c r="X284" s="45" t="n"/>
      <c r="Y284" s="49" t="n"/>
    </row>
    <row r="285">
      <c r="A285" s="43">
        <f>IF($B285="","",COUNT($B$5:$B285))</f>
        <v/>
      </c>
      <c r="B285" s="44" t="n"/>
      <c r="C285" s="44" t="n"/>
      <c r="D285" s="45" t="n"/>
      <c r="E285" s="45" t="n"/>
      <c r="F285" s="45" t="n"/>
      <c r="G285" s="46">
        <f>IF($F285="","",IFERROR(INDEX(사건마스터!$B$5:$B$64,MATCH($F285,사건마스터!$A$5:$A$64,0)),""))</f>
        <v/>
      </c>
      <c r="H285" s="47">
        <f>IF($F285="","",IFERROR(INDEX(사건마스터!$C$5:$C$64,MATCH($F285,사건마스터!$A$5:$A$64,0)),""))</f>
        <v/>
      </c>
      <c r="I285" s="48">
        <f>IF($F285="","",IFERROR(INDEX(사건마스터!$H$5:$H$64,MATCH($F285,사건마스터!$A$5:$A$64,0)),""))</f>
        <v/>
      </c>
      <c r="J285" s="48">
        <f>IF($F285="","",IFERROR(INDEX(사건마스터!$AH$5:$AH$64,MATCH($F285,사건마스터!$A$5:$A$64,0)),""))</f>
        <v/>
      </c>
      <c r="K285" s="48">
        <f>IF($F285="","",IFERROR(INDEX(사건마스터!$AI$5:$AI$64,MATCH($F285,사건마스터!$A$5:$A$64,0)),""))</f>
        <v/>
      </c>
      <c r="L285" s="48">
        <f>IF($F285="","",IFERROR(INDEX(사건마스터!$AJ$5:$AJ$64,MATCH($F285,사건마스터!$A$5:$A$64,0)),""))</f>
        <v/>
      </c>
      <c r="M285" s="48">
        <f>IF($F285="","",IFERROR(INDEX(사건마스터!$AK$5:$AK$64,MATCH($F285,사건마스터!$A$5:$A$64,0)),""))</f>
        <v/>
      </c>
      <c r="N285" s="48">
        <f>IF($F285="","",IFERROR(INDEX(사건마스터!$AL$5:$AL$64,MATCH($F285,사건마스터!$A$5:$A$64,0)),""))</f>
        <v/>
      </c>
      <c r="O285" s="43">
        <f>IF($I285="","",COUNTIF($I285:$N285,"?*"))</f>
        <v/>
      </c>
      <c r="P285" s="46">
        <f>IF($I285="","",_xlfn.TEXTJOIN(", ",TRUE,$I285:$N285))</f>
        <v/>
      </c>
      <c r="Q285" s="47">
        <f>IF($I285="","",IFERROR(INDEX(코드설정!$D$5:$D$24,MATCH($I285,코드설정!$C$5:$C$24,0)),""))</f>
        <v/>
      </c>
      <c r="R285" s="49" t="n"/>
      <c r="S285" s="50" t="n"/>
      <c r="T285" s="51" t="n"/>
      <c r="U285" s="43">
        <f>IF(OR($B285="",$C285=""),"",$C285-$B285+1)</f>
        <v/>
      </c>
      <c r="V285" s="52" t="n"/>
      <c r="W285" s="53">
        <f>IF(OR($V285="",$O285=""),"",$V285*$O285)</f>
        <v/>
      </c>
      <c r="X285" s="45" t="n"/>
      <c r="Y285" s="49" t="n"/>
    </row>
    <row r="286">
      <c r="A286" s="43">
        <f>IF($B286="","",COUNT($B$5:$B286))</f>
        <v/>
      </c>
      <c r="B286" s="44" t="n"/>
      <c r="C286" s="44" t="n"/>
      <c r="D286" s="45" t="n"/>
      <c r="E286" s="45" t="n"/>
      <c r="F286" s="45" t="n"/>
      <c r="G286" s="46">
        <f>IF($F286="","",IFERROR(INDEX(사건마스터!$B$5:$B$64,MATCH($F286,사건마스터!$A$5:$A$64,0)),""))</f>
        <v/>
      </c>
      <c r="H286" s="47">
        <f>IF($F286="","",IFERROR(INDEX(사건마스터!$C$5:$C$64,MATCH($F286,사건마스터!$A$5:$A$64,0)),""))</f>
        <v/>
      </c>
      <c r="I286" s="48">
        <f>IF($F286="","",IFERROR(INDEX(사건마스터!$H$5:$H$64,MATCH($F286,사건마스터!$A$5:$A$64,0)),""))</f>
        <v/>
      </c>
      <c r="J286" s="48">
        <f>IF($F286="","",IFERROR(INDEX(사건마스터!$AH$5:$AH$64,MATCH($F286,사건마스터!$A$5:$A$64,0)),""))</f>
        <v/>
      </c>
      <c r="K286" s="48">
        <f>IF($F286="","",IFERROR(INDEX(사건마스터!$AI$5:$AI$64,MATCH($F286,사건마스터!$A$5:$A$64,0)),""))</f>
        <v/>
      </c>
      <c r="L286" s="48">
        <f>IF($F286="","",IFERROR(INDEX(사건마스터!$AJ$5:$AJ$64,MATCH($F286,사건마스터!$A$5:$A$64,0)),""))</f>
        <v/>
      </c>
      <c r="M286" s="48">
        <f>IF($F286="","",IFERROR(INDEX(사건마스터!$AK$5:$AK$64,MATCH($F286,사건마스터!$A$5:$A$64,0)),""))</f>
        <v/>
      </c>
      <c r="N286" s="48">
        <f>IF($F286="","",IFERROR(INDEX(사건마스터!$AL$5:$AL$64,MATCH($F286,사건마스터!$A$5:$A$64,0)),""))</f>
        <v/>
      </c>
      <c r="O286" s="43">
        <f>IF($I286="","",COUNTIF($I286:$N286,"?*"))</f>
        <v/>
      </c>
      <c r="P286" s="46">
        <f>IF($I286="","",_xlfn.TEXTJOIN(", ",TRUE,$I286:$N286))</f>
        <v/>
      </c>
      <c r="Q286" s="47">
        <f>IF($I286="","",IFERROR(INDEX(코드설정!$D$5:$D$24,MATCH($I286,코드설정!$C$5:$C$24,0)),""))</f>
        <v/>
      </c>
      <c r="R286" s="49" t="n"/>
      <c r="S286" s="50" t="n"/>
      <c r="T286" s="51" t="n"/>
      <c r="U286" s="43">
        <f>IF(OR($B286="",$C286=""),"",$C286-$B286+1)</f>
        <v/>
      </c>
      <c r="V286" s="52" t="n"/>
      <c r="W286" s="53">
        <f>IF(OR($V286="",$O286=""),"",$V286*$O286)</f>
        <v/>
      </c>
      <c r="X286" s="45" t="n"/>
      <c r="Y286" s="49" t="n"/>
    </row>
    <row r="287">
      <c r="A287" s="43">
        <f>IF($B287="","",COUNT($B$5:$B287))</f>
        <v/>
      </c>
      <c r="B287" s="44" t="n"/>
      <c r="C287" s="44" t="n"/>
      <c r="D287" s="45" t="n"/>
      <c r="E287" s="45" t="n"/>
      <c r="F287" s="45" t="n"/>
      <c r="G287" s="46">
        <f>IF($F287="","",IFERROR(INDEX(사건마스터!$B$5:$B$64,MATCH($F287,사건마스터!$A$5:$A$64,0)),""))</f>
        <v/>
      </c>
      <c r="H287" s="47">
        <f>IF($F287="","",IFERROR(INDEX(사건마스터!$C$5:$C$64,MATCH($F287,사건마스터!$A$5:$A$64,0)),""))</f>
        <v/>
      </c>
      <c r="I287" s="48">
        <f>IF($F287="","",IFERROR(INDEX(사건마스터!$H$5:$H$64,MATCH($F287,사건마스터!$A$5:$A$64,0)),""))</f>
        <v/>
      </c>
      <c r="J287" s="48">
        <f>IF($F287="","",IFERROR(INDEX(사건마스터!$AH$5:$AH$64,MATCH($F287,사건마스터!$A$5:$A$64,0)),""))</f>
        <v/>
      </c>
      <c r="K287" s="48">
        <f>IF($F287="","",IFERROR(INDEX(사건마스터!$AI$5:$AI$64,MATCH($F287,사건마스터!$A$5:$A$64,0)),""))</f>
        <v/>
      </c>
      <c r="L287" s="48">
        <f>IF($F287="","",IFERROR(INDEX(사건마스터!$AJ$5:$AJ$64,MATCH($F287,사건마스터!$A$5:$A$64,0)),""))</f>
        <v/>
      </c>
      <c r="M287" s="48">
        <f>IF($F287="","",IFERROR(INDEX(사건마스터!$AK$5:$AK$64,MATCH($F287,사건마스터!$A$5:$A$64,0)),""))</f>
        <v/>
      </c>
      <c r="N287" s="48">
        <f>IF($F287="","",IFERROR(INDEX(사건마스터!$AL$5:$AL$64,MATCH($F287,사건마스터!$A$5:$A$64,0)),""))</f>
        <v/>
      </c>
      <c r="O287" s="43">
        <f>IF($I287="","",COUNTIF($I287:$N287,"?*"))</f>
        <v/>
      </c>
      <c r="P287" s="46">
        <f>IF($I287="","",_xlfn.TEXTJOIN(", ",TRUE,$I287:$N287))</f>
        <v/>
      </c>
      <c r="Q287" s="47">
        <f>IF($I287="","",IFERROR(INDEX(코드설정!$D$5:$D$24,MATCH($I287,코드설정!$C$5:$C$24,0)),""))</f>
        <v/>
      </c>
      <c r="R287" s="49" t="n"/>
      <c r="S287" s="50" t="n"/>
      <c r="T287" s="51" t="n"/>
      <c r="U287" s="43">
        <f>IF(OR($B287="",$C287=""),"",$C287-$B287+1)</f>
        <v/>
      </c>
      <c r="V287" s="52" t="n"/>
      <c r="W287" s="53">
        <f>IF(OR($V287="",$O287=""),"",$V287*$O287)</f>
        <v/>
      </c>
      <c r="X287" s="45" t="n"/>
      <c r="Y287" s="49" t="n"/>
    </row>
    <row r="288">
      <c r="A288" s="43">
        <f>IF($B288="","",COUNT($B$5:$B288))</f>
        <v/>
      </c>
      <c r="B288" s="44" t="n"/>
      <c r="C288" s="44" t="n"/>
      <c r="D288" s="45" t="n"/>
      <c r="E288" s="45" t="n"/>
      <c r="F288" s="45" t="n"/>
      <c r="G288" s="46">
        <f>IF($F288="","",IFERROR(INDEX(사건마스터!$B$5:$B$64,MATCH($F288,사건마스터!$A$5:$A$64,0)),""))</f>
        <v/>
      </c>
      <c r="H288" s="47">
        <f>IF($F288="","",IFERROR(INDEX(사건마스터!$C$5:$C$64,MATCH($F288,사건마스터!$A$5:$A$64,0)),""))</f>
        <v/>
      </c>
      <c r="I288" s="48">
        <f>IF($F288="","",IFERROR(INDEX(사건마스터!$H$5:$H$64,MATCH($F288,사건마스터!$A$5:$A$64,0)),""))</f>
        <v/>
      </c>
      <c r="J288" s="48">
        <f>IF($F288="","",IFERROR(INDEX(사건마스터!$AH$5:$AH$64,MATCH($F288,사건마스터!$A$5:$A$64,0)),""))</f>
        <v/>
      </c>
      <c r="K288" s="48">
        <f>IF($F288="","",IFERROR(INDEX(사건마스터!$AI$5:$AI$64,MATCH($F288,사건마스터!$A$5:$A$64,0)),""))</f>
        <v/>
      </c>
      <c r="L288" s="48">
        <f>IF($F288="","",IFERROR(INDEX(사건마스터!$AJ$5:$AJ$64,MATCH($F288,사건마스터!$A$5:$A$64,0)),""))</f>
        <v/>
      </c>
      <c r="M288" s="48">
        <f>IF($F288="","",IFERROR(INDEX(사건마스터!$AK$5:$AK$64,MATCH($F288,사건마스터!$A$5:$A$64,0)),""))</f>
        <v/>
      </c>
      <c r="N288" s="48">
        <f>IF($F288="","",IFERROR(INDEX(사건마스터!$AL$5:$AL$64,MATCH($F288,사건마스터!$A$5:$A$64,0)),""))</f>
        <v/>
      </c>
      <c r="O288" s="43">
        <f>IF($I288="","",COUNTIF($I288:$N288,"?*"))</f>
        <v/>
      </c>
      <c r="P288" s="46">
        <f>IF($I288="","",_xlfn.TEXTJOIN(", ",TRUE,$I288:$N288))</f>
        <v/>
      </c>
      <c r="Q288" s="47">
        <f>IF($I288="","",IFERROR(INDEX(코드설정!$D$5:$D$24,MATCH($I288,코드설정!$C$5:$C$24,0)),""))</f>
        <v/>
      </c>
      <c r="R288" s="49" t="n"/>
      <c r="S288" s="50" t="n"/>
      <c r="T288" s="51" t="n"/>
      <c r="U288" s="43">
        <f>IF(OR($B288="",$C288=""),"",$C288-$B288+1)</f>
        <v/>
      </c>
      <c r="V288" s="52" t="n"/>
      <c r="W288" s="53">
        <f>IF(OR($V288="",$O288=""),"",$V288*$O288)</f>
        <v/>
      </c>
      <c r="X288" s="45" t="n"/>
      <c r="Y288" s="49" t="n"/>
    </row>
    <row r="289">
      <c r="A289" s="43">
        <f>IF($B289="","",COUNT($B$5:$B289))</f>
        <v/>
      </c>
      <c r="B289" s="44" t="n"/>
      <c r="C289" s="44" t="n"/>
      <c r="D289" s="45" t="n"/>
      <c r="E289" s="45" t="n"/>
      <c r="F289" s="45" t="n"/>
      <c r="G289" s="46">
        <f>IF($F289="","",IFERROR(INDEX(사건마스터!$B$5:$B$64,MATCH($F289,사건마스터!$A$5:$A$64,0)),""))</f>
        <v/>
      </c>
      <c r="H289" s="47">
        <f>IF($F289="","",IFERROR(INDEX(사건마스터!$C$5:$C$64,MATCH($F289,사건마스터!$A$5:$A$64,0)),""))</f>
        <v/>
      </c>
      <c r="I289" s="48">
        <f>IF($F289="","",IFERROR(INDEX(사건마스터!$H$5:$H$64,MATCH($F289,사건마스터!$A$5:$A$64,0)),""))</f>
        <v/>
      </c>
      <c r="J289" s="48">
        <f>IF($F289="","",IFERROR(INDEX(사건마스터!$AH$5:$AH$64,MATCH($F289,사건마스터!$A$5:$A$64,0)),""))</f>
        <v/>
      </c>
      <c r="K289" s="48">
        <f>IF($F289="","",IFERROR(INDEX(사건마스터!$AI$5:$AI$64,MATCH($F289,사건마스터!$A$5:$A$64,0)),""))</f>
        <v/>
      </c>
      <c r="L289" s="48">
        <f>IF($F289="","",IFERROR(INDEX(사건마스터!$AJ$5:$AJ$64,MATCH($F289,사건마스터!$A$5:$A$64,0)),""))</f>
        <v/>
      </c>
      <c r="M289" s="48">
        <f>IF($F289="","",IFERROR(INDEX(사건마스터!$AK$5:$AK$64,MATCH($F289,사건마스터!$A$5:$A$64,0)),""))</f>
        <v/>
      </c>
      <c r="N289" s="48">
        <f>IF($F289="","",IFERROR(INDEX(사건마스터!$AL$5:$AL$64,MATCH($F289,사건마스터!$A$5:$A$64,0)),""))</f>
        <v/>
      </c>
      <c r="O289" s="43">
        <f>IF($I289="","",COUNTIF($I289:$N289,"?*"))</f>
        <v/>
      </c>
      <c r="P289" s="46">
        <f>IF($I289="","",_xlfn.TEXTJOIN(", ",TRUE,$I289:$N289))</f>
        <v/>
      </c>
      <c r="Q289" s="47">
        <f>IF($I289="","",IFERROR(INDEX(코드설정!$D$5:$D$24,MATCH($I289,코드설정!$C$5:$C$24,0)),""))</f>
        <v/>
      </c>
      <c r="R289" s="49" t="n"/>
      <c r="S289" s="50" t="n"/>
      <c r="T289" s="51" t="n"/>
      <c r="U289" s="43">
        <f>IF(OR($B289="",$C289=""),"",$C289-$B289+1)</f>
        <v/>
      </c>
      <c r="V289" s="52" t="n"/>
      <c r="W289" s="53">
        <f>IF(OR($V289="",$O289=""),"",$V289*$O289)</f>
        <v/>
      </c>
      <c r="X289" s="45" t="n"/>
      <c r="Y289" s="49" t="n"/>
    </row>
    <row r="290">
      <c r="A290" s="43">
        <f>IF($B290="","",COUNT($B$5:$B290))</f>
        <v/>
      </c>
      <c r="B290" s="44" t="n"/>
      <c r="C290" s="44" t="n"/>
      <c r="D290" s="45" t="n"/>
      <c r="E290" s="45" t="n"/>
      <c r="F290" s="45" t="n"/>
      <c r="G290" s="46">
        <f>IF($F290="","",IFERROR(INDEX(사건마스터!$B$5:$B$64,MATCH($F290,사건마스터!$A$5:$A$64,0)),""))</f>
        <v/>
      </c>
      <c r="H290" s="47">
        <f>IF($F290="","",IFERROR(INDEX(사건마스터!$C$5:$C$64,MATCH($F290,사건마스터!$A$5:$A$64,0)),""))</f>
        <v/>
      </c>
      <c r="I290" s="48">
        <f>IF($F290="","",IFERROR(INDEX(사건마스터!$H$5:$H$64,MATCH($F290,사건마스터!$A$5:$A$64,0)),""))</f>
        <v/>
      </c>
      <c r="J290" s="48">
        <f>IF($F290="","",IFERROR(INDEX(사건마스터!$AH$5:$AH$64,MATCH($F290,사건마스터!$A$5:$A$64,0)),""))</f>
        <v/>
      </c>
      <c r="K290" s="48">
        <f>IF($F290="","",IFERROR(INDEX(사건마스터!$AI$5:$AI$64,MATCH($F290,사건마스터!$A$5:$A$64,0)),""))</f>
        <v/>
      </c>
      <c r="L290" s="48">
        <f>IF($F290="","",IFERROR(INDEX(사건마스터!$AJ$5:$AJ$64,MATCH($F290,사건마스터!$A$5:$A$64,0)),""))</f>
        <v/>
      </c>
      <c r="M290" s="48">
        <f>IF($F290="","",IFERROR(INDEX(사건마스터!$AK$5:$AK$64,MATCH($F290,사건마스터!$A$5:$A$64,0)),""))</f>
        <v/>
      </c>
      <c r="N290" s="48">
        <f>IF($F290="","",IFERROR(INDEX(사건마스터!$AL$5:$AL$64,MATCH($F290,사건마스터!$A$5:$A$64,0)),""))</f>
        <v/>
      </c>
      <c r="O290" s="43">
        <f>IF($I290="","",COUNTIF($I290:$N290,"?*"))</f>
        <v/>
      </c>
      <c r="P290" s="46">
        <f>IF($I290="","",_xlfn.TEXTJOIN(", ",TRUE,$I290:$N290))</f>
        <v/>
      </c>
      <c r="Q290" s="47">
        <f>IF($I290="","",IFERROR(INDEX(코드설정!$D$5:$D$24,MATCH($I290,코드설정!$C$5:$C$24,0)),""))</f>
        <v/>
      </c>
      <c r="R290" s="49" t="n"/>
      <c r="S290" s="50" t="n"/>
      <c r="T290" s="51" t="n"/>
      <c r="U290" s="43">
        <f>IF(OR($B290="",$C290=""),"",$C290-$B290+1)</f>
        <v/>
      </c>
      <c r="V290" s="52" t="n"/>
      <c r="W290" s="53">
        <f>IF(OR($V290="",$O290=""),"",$V290*$O290)</f>
        <v/>
      </c>
      <c r="X290" s="45" t="n"/>
      <c r="Y290" s="49" t="n"/>
    </row>
    <row r="291">
      <c r="A291" s="43">
        <f>IF($B291="","",COUNT($B$5:$B291))</f>
        <v/>
      </c>
      <c r="B291" s="44" t="n"/>
      <c r="C291" s="44" t="n"/>
      <c r="D291" s="45" t="n"/>
      <c r="E291" s="45" t="n"/>
      <c r="F291" s="45" t="n"/>
      <c r="G291" s="46">
        <f>IF($F291="","",IFERROR(INDEX(사건마스터!$B$5:$B$64,MATCH($F291,사건마스터!$A$5:$A$64,0)),""))</f>
        <v/>
      </c>
      <c r="H291" s="47">
        <f>IF($F291="","",IFERROR(INDEX(사건마스터!$C$5:$C$64,MATCH($F291,사건마스터!$A$5:$A$64,0)),""))</f>
        <v/>
      </c>
      <c r="I291" s="48">
        <f>IF($F291="","",IFERROR(INDEX(사건마스터!$H$5:$H$64,MATCH($F291,사건마스터!$A$5:$A$64,0)),""))</f>
        <v/>
      </c>
      <c r="J291" s="48">
        <f>IF($F291="","",IFERROR(INDEX(사건마스터!$AH$5:$AH$64,MATCH($F291,사건마스터!$A$5:$A$64,0)),""))</f>
        <v/>
      </c>
      <c r="K291" s="48">
        <f>IF($F291="","",IFERROR(INDEX(사건마스터!$AI$5:$AI$64,MATCH($F291,사건마스터!$A$5:$A$64,0)),""))</f>
        <v/>
      </c>
      <c r="L291" s="48">
        <f>IF($F291="","",IFERROR(INDEX(사건마스터!$AJ$5:$AJ$64,MATCH($F291,사건마스터!$A$5:$A$64,0)),""))</f>
        <v/>
      </c>
      <c r="M291" s="48">
        <f>IF($F291="","",IFERROR(INDEX(사건마스터!$AK$5:$AK$64,MATCH($F291,사건마스터!$A$5:$A$64,0)),""))</f>
        <v/>
      </c>
      <c r="N291" s="48">
        <f>IF($F291="","",IFERROR(INDEX(사건마스터!$AL$5:$AL$64,MATCH($F291,사건마스터!$A$5:$A$64,0)),""))</f>
        <v/>
      </c>
      <c r="O291" s="43">
        <f>IF($I291="","",COUNTIF($I291:$N291,"?*"))</f>
        <v/>
      </c>
      <c r="P291" s="46">
        <f>IF($I291="","",_xlfn.TEXTJOIN(", ",TRUE,$I291:$N291))</f>
        <v/>
      </c>
      <c r="Q291" s="47">
        <f>IF($I291="","",IFERROR(INDEX(코드설정!$D$5:$D$24,MATCH($I291,코드설정!$C$5:$C$24,0)),""))</f>
        <v/>
      </c>
      <c r="R291" s="49" t="n"/>
      <c r="S291" s="50" t="n"/>
      <c r="T291" s="51" t="n"/>
      <c r="U291" s="43">
        <f>IF(OR($B291="",$C291=""),"",$C291-$B291+1)</f>
        <v/>
      </c>
      <c r="V291" s="52" t="n"/>
      <c r="W291" s="53">
        <f>IF(OR($V291="",$O291=""),"",$V291*$O291)</f>
        <v/>
      </c>
      <c r="X291" s="45" t="n"/>
      <c r="Y291" s="49" t="n"/>
    </row>
    <row r="292">
      <c r="A292" s="43">
        <f>IF($B292="","",COUNT($B$5:$B292))</f>
        <v/>
      </c>
      <c r="B292" s="44" t="n"/>
      <c r="C292" s="44" t="n"/>
      <c r="D292" s="45" t="n"/>
      <c r="E292" s="45" t="n"/>
      <c r="F292" s="45" t="n"/>
      <c r="G292" s="46">
        <f>IF($F292="","",IFERROR(INDEX(사건마스터!$B$5:$B$64,MATCH($F292,사건마스터!$A$5:$A$64,0)),""))</f>
        <v/>
      </c>
      <c r="H292" s="47">
        <f>IF($F292="","",IFERROR(INDEX(사건마스터!$C$5:$C$64,MATCH($F292,사건마스터!$A$5:$A$64,0)),""))</f>
        <v/>
      </c>
      <c r="I292" s="48">
        <f>IF($F292="","",IFERROR(INDEX(사건마스터!$H$5:$H$64,MATCH($F292,사건마스터!$A$5:$A$64,0)),""))</f>
        <v/>
      </c>
      <c r="J292" s="48">
        <f>IF($F292="","",IFERROR(INDEX(사건마스터!$AH$5:$AH$64,MATCH($F292,사건마스터!$A$5:$A$64,0)),""))</f>
        <v/>
      </c>
      <c r="K292" s="48">
        <f>IF($F292="","",IFERROR(INDEX(사건마스터!$AI$5:$AI$64,MATCH($F292,사건마스터!$A$5:$A$64,0)),""))</f>
        <v/>
      </c>
      <c r="L292" s="48">
        <f>IF($F292="","",IFERROR(INDEX(사건마스터!$AJ$5:$AJ$64,MATCH($F292,사건마스터!$A$5:$A$64,0)),""))</f>
        <v/>
      </c>
      <c r="M292" s="48">
        <f>IF($F292="","",IFERROR(INDEX(사건마스터!$AK$5:$AK$64,MATCH($F292,사건마스터!$A$5:$A$64,0)),""))</f>
        <v/>
      </c>
      <c r="N292" s="48">
        <f>IF($F292="","",IFERROR(INDEX(사건마스터!$AL$5:$AL$64,MATCH($F292,사건마스터!$A$5:$A$64,0)),""))</f>
        <v/>
      </c>
      <c r="O292" s="43">
        <f>IF($I292="","",COUNTIF($I292:$N292,"?*"))</f>
        <v/>
      </c>
      <c r="P292" s="46">
        <f>IF($I292="","",_xlfn.TEXTJOIN(", ",TRUE,$I292:$N292))</f>
        <v/>
      </c>
      <c r="Q292" s="47">
        <f>IF($I292="","",IFERROR(INDEX(코드설정!$D$5:$D$24,MATCH($I292,코드설정!$C$5:$C$24,0)),""))</f>
        <v/>
      </c>
      <c r="R292" s="49" t="n"/>
      <c r="S292" s="50" t="n"/>
      <c r="T292" s="51" t="n"/>
      <c r="U292" s="43">
        <f>IF(OR($B292="",$C292=""),"",$C292-$B292+1)</f>
        <v/>
      </c>
      <c r="V292" s="52" t="n"/>
      <c r="W292" s="53">
        <f>IF(OR($V292="",$O292=""),"",$V292*$O292)</f>
        <v/>
      </c>
      <c r="X292" s="45" t="n"/>
      <c r="Y292" s="49" t="n"/>
    </row>
    <row r="293">
      <c r="A293" s="43">
        <f>IF($B293="","",COUNT($B$5:$B293))</f>
        <v/>
      </c>
      <c r="B293" s="44" t="n"/>
      <c r="C293" s="44" t="n"/>
      <c r="D293" s="45" t="n"/>
      <c r="E293" s="45" t="n"/>
      <c r="F293" s="45" t="n"/>
      <c r="G293" s="46">
        <f>IF($F293="","",IFERROR(INDEX(사건마스터!$B$5:$B$64,MATCH($F293,사건마스터!$A$5:$A$64,0)),""))</f>
        <v/>
      </c>
      <c r="H293" s="47">
        <f>IF($F293="","",IFERROR(INDEX(사건마스터!$C$5:$C$64,MATCH($F293,사건마스터!$A$5:$A$64,0)),""))</f>
        <v/>
      </c>
      <c r="I293" s="48">
        <f>IF($F293="","",IFERROR(INDEX(사건마스터!$H$5:$H$64,MATCH($F293,사건마스터!$A$5:$A$64,0)),""))</f>
        <v/>
      </c>
      <c r="J293" s="48">
        <f>IF($F293="","",IFERROR(INDEX(사건마스터!$AH$5:$AH$64,MATCH($F293,사건마스터!$A$5:$A$64,0)),""))</f>
        <v/>
      </c>
      <c r="K293" s="48">
        <f>IF($F293="","",IFERROR(INDEX(사건마스터!$AI$5:$AI$64,MATCH($F293,사건마스터!$A$5:$A$64,0)),""))</f>
        <v/>
      </c>
      <c r="L293" s="48">
        <f>IF($F293="","",IFERROR(INDEX(사건마스터!$AJ$5:$AJ$64,MATCH($F293,사건마스터!$A$5:$A$64,0)),""))</f>
        <v/>
      </c>
      <c r="M293" s="48">
        <f>IF($F293="","",IFERROR(INDEX(사건마스터!$AK$5:$AK$64,MATCH($F293,사건마스터!$A$5:$A$64,0)),""))</f>
        <v/>
      </c>
      <c r="N293" s="48">
        <f>IF($F293="","",IFERROR(INDEX(사건마스터!$AL$5:$AL$64,MATCH($F293,사건마스터!$A$5:$A$64,0)),""))</f>
        <v/>
      </c>
      <c r="O293" s="43">
        <f>IF($I293="","",COUNTIF($I293:$N293,"?*"))</f>
        <v/>
      </c>
      <c r="P293" s="46">
        <f>IF($I293="","",_xlfn.TEXTJOIN(", ",TRUE,$I293:$N293))</f>
        <v/>
      </c>
      <c r="Q293" s="47">
        <f>IF($I293="","",IFERROR(INDEX(코드설정!$D$5:$D$24,MATCH($I293,코드설정!$C$5:$C$24,0)),""))</f>
        <v/>
      </c>
      <c r="R293" s="49" t="n"/>
      <c r="S293" s="50" t="n"/>
      <c r="T293" s="51" t="n"/>
      <c r="U293" s="43">
        <f>IF(OR($B293="",$C293=""),"",$C293-$B293+1)</f>
        <v/>
      </c>
      <c r="V293" s="52" t="n"/>
      <c r="W293" s="53">
        <f>IF(OR($V293="",$O293=""),"",$V293*$O293)</f>
        <v/>
      </c>
      <c r="X293" s="45" t="n"/>
      <c r="Y293" s="49" t="n"/>
    </row>
    <row r="294">
      <c r="A294" s="43">
        <f>IF($B294="","",COUNT($B$5:$B294))</f>
        <v/>
      </c>
      <c r="B294" s="44" t="n"/>
      <c r="C294" s="44" t="n"/>
      <c r="D294" s="45" t="n"/>
      <c r="E294" s="45" t="n"/>
      <c r="F294" s="45" t="n"/>
      <c r="G294" s="46">
        <f>IF($F294="","",IFERROR(INDEX(사건마스터!$B$5:$B$64,MATCH($F294,사건마스터!$A$5:$A$64,0)),""))</f>
        <v/>
      </c>
      <c r="H294" s="47">
        <f>IF($F294="","",IFERROR(INDEX(사건마스터!$C$5:$C$64,MATCH($F294,사건마스터!$A$5:$A$64,0)),""))</f>
        <v/>
      </c>
      <c r="I294" s="48">
        <f>IF($F294="","",IFERROR(INDEX(사건마스터!$H$5:$H$64,MATCH($F294,사건마스터!$A$5:$A$64,0)),""))</f>
        <v/>
      </c>
      <c r="J294" s="48">
        <f>IF($F294="","",IFERROR(INDEX(사건마스터!$AH$5:$AH$64,MATCH($F294,사건마스터!$A$5:$A$64,0)),""))</f>
        <v/>
      </c>
      <c r="K294" s="48">
        <f>IF($F294="","",IFERROR(INDEX(사건마스터!$AI$5:$AI$64,MATCH($F294,사건마스터!$A$5:$A$64,0)),""))</f>
        <v/>
      </c>
      <c r="L294" s="48">
        <f>IF($F294="","",IFERROR(INDEX(사건마스터!$AJ$5:$AJ$64,MATCH($F294,사건마스터!$A$5:$A$64,0)),""))</f>
        <v/>
      </c>
      <c r="M294" s="48">
        <f>IF($F294="","",IFERROR(INDEX(사건마스터!$AK$5:$AK$64,MATCH($F294,사건마스터!$A$5:$A$64,0)),""))</f>
        <v/>
      </c>
      <c r="N294" s="48">
        <f>IF($F294="","",IFERROR(INDEX(사건마스터!$AL$5:$AL$64,MATCH($F294,사건마스터!$A$5:$A$64,0)),""))</f>
        <v/>
      </c>
      <c r="O294" s="43">
        <f>IF($I294="","",COUNTIF($I294:$N294,"?*"))</f>
        <v/>
      </c>
      <c r="P294" s="46">
        <f>IF($I294="","",_xlfn.TEXTJOIN(", ",TRUE,$I294:$N294))</f>
        <v/>
      </c>
      <c r="Q294" s="47">
        <f>IF($I294="","",IFERROR(INDEX(코드설정!$D$5:$D$24,MATCH($I294,코드설정!$C$5:$C$24,0)),""))</f>
        <v/>
      </c>
      <c r="R294" s="49" t="n"/>
      <c r="S294" s="50" t="n"/>
      <c r="T294" s="51" t="n"/>
      <c r="U294" s="43">
        <f>IF(OR($B294="",$C294=""),"",$C294-$B294+1)</f>
        <v/>
      </c>
      <c r="V294" s="52" t="n"/>
      <c r="W294" s="53">
        <f>IF(OR($V294="",$O294=""),"",$V294*$O294)</f>
        <v/>
      </c>
      <c r="X294" s="45" t="n"/>
      <c r="Y294" s="49" t="n"/>
    </row>
    <row r="295">
      <c r="A295" s="43">
        <f>IF($B295="","",COUNT($B$5:$B295))</f>
        <v/>
      </c>
      <c r="B295" s="44" t="n"/>
      <c r="C295" s="44" t="n"/>
      <c r="D295" s="45" t="n"/>
      <c r="E295" s="45" t="n"/>
      <c r="F295" s="45" t="n"/>
      <c r="G295" s="46">
        <f>IF($F295="","",IFERROR(INDEX(사건마스터!$B$5:$B$64,MATCH($F295,사건마스터!$A$5:$A$64,0)),""))</f>
        <v/>
      </c>
      <c r="H295" s="47">
        <f>IF($F295="","",IFERROR(INDEX(사건마스터!$C$5:$C$64,MATCH($F295,사건마스터!$A$5:$A$64,0)),""))</f>
        <v/>
      </c>
      <c r="I295" s="48">
        <f>IF($F295="","",IFERROR(INDEX(사건마스터!$H$5:$H$64,MATCH($F295,사건마스터!$A$5:$A$64,0)),""))</f>
        <v/>
      </c>
      <c r="J295" s="48">
        <f>IF($F295="","",IFERROR(INDEX(사건마스터!$AH$5:$AH$64,MATCH($F295,사건마스터!$A$5:$A$64,0)),""))</f>
        <v/>
      </c>
      <c r="K295" s="48">
        <f>IF($F295="","",IFERROR(INDEX(사건마스터!$AI$5:$AI$64,MATCH($F295,사건마스터!$A$5:$A$64,0)),""))</f>
        <v/>
      </c>
      <c r="L295" s="48">
        <f>IF($F295="","",IFERROR(INDEX(사건마스터!$AJ$5:$AJ$64,MATCH($F295,사건마스터!$A$5:$A$64,0)),""))</f>
        <v/>
      </c>
      <c r="M295" s="48">
        <f>IF($F295="","",IFERROR(INDEX(사건마스터!$AK$5:$AK$64,MATCH($F295,사건마스터!$A$5:$A$64,0)),""))</f>
        <v/>
      </c>
      <c r="N295" s="48">
        <f>IF($F295="","",IFERROR(INDEX(사건마스터!$AL$5:$AL$64,MATCH($F295,사건마스터!$A$5:$A$64,0)),""))</f>
        <v/>
      </c>
      <c r="O295" s="43">
        <f>IF($I295="","",COUNTIF($I295:$N295,"?*"))</f>
        <v/>
      </c>
      <c r="P295" s="46">
        <f>IF($I295="","",_xlfn.TEXTJOIN(", ",TRUE,$I295:$N295))</f>
        <v/>
      </c>
      <c r="Q295" s="47">
        <f>IF($I295="","",IFERROR(INDEX(코드설정!$D$5:$D$24,MATCH($I295,코드설정!$C$5:$C$24,0)),""))</f>
        <v/>
      </c>
      <c r="R295" s="49" t="n"/>
      <c r="S295" s="50" t="n"/>
      <c r="T295" s="51" t="n"/>
      <c r="U295" s="43">
        <f>IF(OR($B295="",$C295=""),"",$C295-$B295+1)</f>
        <v/>
      </c>
      <c r="V295" s="52" t="n"/>
      <c r="W295" s="53">
        <f>IF(OR($V295="",$O295=""),"",$V295*$O295)</f>
        <v/>
      </c>
      <c r="X295" s="45" t="n"/>
      <c r="Y295" s="49" t="n"/>
    </row>
    <row r="296">
      <c r="A296" s="43">
        <f>IF($B296="","",COUNT($B$5:$B296))</f>
        <v/>
      </c>
      <c r="B296" s="44" t="n"/>
      <c r="C296" s="44" t="n"/>
      <c r="D296" s="45" t="n"/>
      <c r="E296" s="45" t="n"/>
      <c r="F296" s="45" t="n"/>
      <c r="G296" s="46">
        <f>IF($F296="","",IFERROR(INDEX(사건마스터!$B$5:$B$64,MATCH($F296,사건마스터!$A$5:$A$64,0)),""))</f>
        <v/>
      </c>
      <c r="H296" s="47">
        <f>IF($F296="","",IFERROR(INDEX(사건마스터!$C$5:$C$64,MATCH($F296,사건마스터!$A$5:$A$64,0)),""))</f>
        <v/>
      </c>
      <c r="I296" s="48">
        <f>IF($F296="","",IFERROR(INDEX(사건마스터!$H$5:$H$64,MATCH($F296,사건마스터!$A$5:$A$64,0)),""))</f>
        <v/>
      </c>
      <c r="J296" s="48">
        <f>IF($F296="","",IFERROR(INDEX(사건마스터!$AH$5:$AH$64,MATCH($F296,사건마스터!$A$5:$A$64,0)),""))</f>
        <v/>
      </c>
      <c r="K296" s="48">
        <f>IF($F296="","",IFERROR(INDEX(사건마스터!$AI$5:$AI$64,MATCH($F296,사건마스터!$A$5:$A$64,0)),""))</f>
        <v/>
      </c>
      <c r="L296" s="48">
        <f>IF($F296="","",IFERROR(INDEX(사건마스터!$AJ$5:$AJ$64,MATCH($F296,사건마스터!$A$5:$A$64,0)),""))</f>
        <v/>
      </c>
      <c r="M296" s="48">
        <f>IF($F296="","",IFERROR(INDEX(사건마스터!$AK$5:$AK$64,MATCH($F296,사건마스터!$A$5:$A$64,0)),""))</f>
        <v/>
      </c>
      <c r="N296" s="48">
        <f>IF($F296="","",IFERROR(INDEX(사건마스터!$AL$5:$AL$64,MATCH($F296,사건마스터!$A$5:$A$64,0)),""))</f>
        <v/>
      </c>
      <c r="O296" s="43">
        <f>IF($I296="","",COUNTIF($I296:$N296,"?*"))</f>
        <v/>
      </c>
      <c r="P296" s="46">
        <f>IF($I296="","",_xlfn.TEXTJOIN(", ",TRUE,$I296:$N296))</f>
        <v/>
      </c>
      <c r="Q296" s="47">
        <f>IF($I296="","",IFERROR(INDEX(코드설정!$D$5:$D$24,MATCH($I296,코드설정!$C$5:$C$24,0)),""))</f>
        <v/>
      </c>
      <c r="R296" s="49" t="n"/>
      <c r="S296" s="50" t="n"/>
      <c r="T296" s="51" t="n"/>
      <c r="U296" s="43">
        <f>IF(OR($B296="",$C296=""),"",$C296-$B296+1)</f>
        <v/>
      </c>
      <c r="V296" s="52" t="n"/>
      <c r="W296" s="53">
        <f>IF(OR($V296="",$O296=""),"",$V296*$O296)</f>
        <v/>
      </c>
      <c r="X296" s="45" t="n"/>
      <c r="Y296" s="49" t="n"/>
    </row>
    <row r="297">
      <c r="A297" s="43">
        <f>IF($B297="","",COUNT($B$5:$B297))</f>
        <v/>
      </c>
      <c r="B297" s="44" t="n"/>
      <c r="C297" s="44" t="n"/>
      <c r="D297" s="45" t="n"/>
      <c r="E297" s="45" t="n"/>
      <c r="F297" s="45" t="n"/>
      <c r="G297" s="46">
        <f>IF($F297="","",IFERROR(INDEX(사건마스터!$B$5:$B$64,MATCH($F297,사건마스터!$A$5:$A$64,0)),""))</f>
        <v/>
      </c>
      <c r="H297" s="47">
        <f>IF($F297="","",IFERROR(INDEX(사건마스터!$C$5:$C$64,MATCH($F297,사건마스터!$A$5:$A$64,0)),""))</f>
        <v/>
      </c>
      <c r="I297" s="48">
        <f>IF($F297="","",IFERROR(INDEX(사건마스터!$H$5:$H$64,MATCH($F297,사건마스터!$A$5:$A$64,0)),""))</f>
        <v/>
      </c>
      <c r="J297" s="48">
        <f>IF($F297="","",IFERROR(INDEX(사건마스터!$AH$5:$AH$64,MATCH($F297,사건마스터!$A$5:$A$64,0)),""))</f>
        <v/>
      </c>
      <c r="K297" s="48">
        <f>IF($F297="","",IFERROR(INDEX(사건마스터!$AI$5:$AI$64,MATCH($F297,사건마스터!$A$5:$A$64,0)),""))</f>
        <v/>
      </c>
      <c r="L297" s="48">
        <f>IF($F297="","",IFERROR(INDEX(사건마스터!$AJ$5:$AJ$64,MATCH($F297,사건마스터!$A$5:$A$64,0)),""))</f>
        <v/>
      </c>
      <c r="M297" s="48">
        <f>IF($F297="","",IFERROR(INDEX(사건마스터!$AK$5:$AK$64,MATCH($F297,사건마스터!$A$5:$A$64,0)),""))</f>
        <v/>
      </c>
      <c r="N297" s="48">
        <f>IF($F297="","",IFERROR(INDEX(사건마스터!$AL$5:$AL$64,MATCH($F297,사건마스터!$A$5:$A$64,0)),""))</f>
        <v/>
      </c>
      <c r="O297" s="43">
        <f>IF($I297="","",COUNTIF($I297:$N297,"?*"))</f>
        <v/>
      </c>
      <c r="P297" s="46">
        <f>IF($I297="","",_xlfn.TEXTJOIN(", ",TRUE,$I297:$N297))</f>
        <v/>
      </c>
      <c r="Q297" s="47">
        <f>IF($I297="","",IFERROR(INDEX(코드설정!$D$5:$D$24,MATCH($I297,코드설정!$C$5:$C$24,0)),""))</f>
        <v/>
      </c>
      <c r="R297" s="49" t="n"/>
      <c r="S297" s="50" t="n"/>
      <c r="T297" s="51" t="n"/>
      <c r="U297" s="43">
        <f>IF(OR($B297="",$C297=""),"",$C297-$B297+1)</f>
        <v/>
      </c>
      <c r="V297" s="52" t="n"/>
      <c r="W297" s="53">
        <f>IF(OR($V297="",$O297=""),"",$V297*$O297)</f>
        <v/>
      </c>
      <c r="X297" s="45" t="n"/>
      <c r="Y297" s="49" t="n"/>
    </row>
    <row r="298">
      <c r="A298" s="43">
        <f>IF($B298="","",COUNT($B$5:$B298))</f>
        <v/>
      </c>
      <c r="B298" s="44" t="n"/>
      <c r="C298" s="44" t="n"/>
      <c r="D298" s="45" t="n"/>
      <c r="E298" s="45" t="n"/>
      <c r="F298" s="45" t="n"/>
      <c r="G298" s="46">
        <f>IF($F298="","",IFERROR(INDEX(사건마스터!$B$5:$B$64,MATCH($F298,사건마스터!$A$5:$A$64,0)),""))</f>
        <v/>
      </c>
      <c r="H298" s="47">
        <f>IF($F298="","",IFERROR(INDEX(사건마스터!$C$5:$C$64,MATCH($F298,사건마스터!$A$5:$A$64,0)),""))</f>
        <v/>
      </c>
      <c r="I298" s="48">
        <f>IF($F298="","",IFERROR(INDEX(사건마스터!$H$5:$H$64,MATCH($F298,사건마스터!$A$5:$A$64,0)),""))</f>
        <v/>
      </c>
      <c r="J298" s="48">
        <f>IF($F298="","",IFERROR(INDEX(사건마스터!$AH$5:$AH$64,MATCH($F298,사건마스터!$A$5:$A$64,0)),""))</f>
        <v/>
      </c>
      <c r="K298" s="48">
        <f>IF($F298="","",IFERROR(INDEX(사건마스터!$AI$5:$AI$64,MATCH($F298,사건마스터!$A$5:$A$64,0)),""))</f>
        <v/>
      </c>
      <c r="L298" s="48">
        <f>IF($F298="","",IFERROR(INDEX(사건마스터!$AJ$5:$AJ$64,MATCH($F298,사건마스터!$A$5:$A$64,0)),""))</f>
        <v/>
      </c>
      <c r="M298" s="48">
        <f>IF($F298="","",IFERROR(INDEX(사건마스터!$AK$5:$AK$64,MATCH($F298,사건마스터!$A$5:$A$64,0)),""))</f>
        <v/>
      </c>
      <c r="N298" s="48">
        <f>IF($F298="","",IFERROR(INDEX(사건마스터!$AL$5:$AL$64,MATCH($F298,사건마스터!$A$5:$A$64,0)),""))</f>
        <v/>
      </c>
      <c r="O298" s="43">
        <f>IF($I298="","",COUNTIF($I298:$N298,"?*"))</f>
        <v/>
      </c>
      <c r="P298" s="46">
        <f>IF($I298="","",_xlfn.TEXTJOIN(", ",TRUE,$I298:$N298))</f>
        <v/>
      </c>
      <c r="Q298" s="47">
        <f>IF($I298="","",IFERROR(INDEX(코드설정!$D$5:$D$24,MATCH($I298,코드설정!$C$5:$C$24,0)),""))</f>
        <v/>
      </c>
      <c r="R298" s="49" t="n"/>
      <c r="S298" s="50" t="n"/>
      <c r="T298" s="51" t="n"/>
      <c r="U298" s="43">
        <f>IF(OR($B298="",$C298=""),"",$C298-$B298+1)</f>
        <v/>
      </c>
      <c r="V298" s="52" t="n"/>
      <c r="W298" s="53">
        <f>IF(OR($V298="",$O298=""),"",$V298*$O298)</f>
        <v/>
      </c>
      <c r="X298" s="45" t="n"/>
      <c r="Y298" s="49" t="n"/>
    </row>
    <row r="299">
      <c r="A299" s="43">
        <f>IF($B299="","",COUNT($B$5:$B299))</f>
        <v/>
      </c>
      <c r="B299" s="44" t="n"/>
      <c r="C299" s="44" t="n"/>
      <c r="D299" s="45" t="n"/>
      <c r="E299" s="45" t="n"/>
      <c r="F299" s="45" t="n"/>
      <c r="G299" s="46">
        <f>IF($F299="","",IFERROR(INDEX(사건마스터!$B$5:$B$64,MATCH($F299,사건마스터!$A$5:$A$64,0)),""))</f>
        <v/>
      </c>
      <c r="H299" s="47">
        <f>IF($F299="","",IFERROR(INDEX(사건마스터!$C$5:$C$64,MATCH($F299,사건마스터!$A$5:$A$64,0)),""))</f>
        <v/>
      </c>
      <c r="I299" s="48">
        <f>IF($F299="","",IFERROR(INDEX(사건마스터!$H$5:$H$64,MATCH($F299,사건마스터!$A$5:$A$64,0)),""))</f>
        <v/>
      </c>
      <c r="J299" s="48">
        <f>IF($F299="","",IFERROR(INDEX(사건마스터!$AH$5:$AH$64,MATCH($F299,사건마스터!$A$5:$A$64,0)),""))</f>
        <v/>
      </c>
      <c r="K299" s="48">
        <f>IF($F299="","",IFERROR(INDEX(사건마스터!$AI$5:$AI$64,MATCH($F299,사건마스터!$A$5:$A$64,0)),""))</f>
        <v/>
      </c>
      <c r="L299" s="48">
        <f>IF($F299="","",IFERROR(INDEX(사건마스터!$AJ$5:$AJ$64,MATCH($F299,사건마스터!$A$5:$A$64,0)),""))</f>
        <v/>
      </c>
      <c r="M299" s="48">
        <f>IF($F299="","",IFERROR(INDEX(사건마스터!$AK$5:$AK$64,MATCH($F299,사건마스터!$A$5:$A$64,0)),""))</f>
        <v/>
      </c>
      <c r="N299" s="48">
        <f>IF($F299="","",IFERROR(INDEX(사건마스터!$AL$5:$AL$64,MATCH($F299,사건마스터!$A$5:$A$64,0)),""))</f>
        <v/>
      </c>
      <c r="O299" s="43">
        <f>IF($I299="","",COUNTIF($I299:$N299,"?*"))</f>
        <v/>
      </c>
      <c r="P299" s="46">
        <f>IF($I299="","",_xlfn.TEXTJOIN(", ",TRUE,$I299:$N299))</f>
        <v/>
      </c>
      <c r="Q299" s="47">
        <f>IF($I299="","",IFERROR(INDEX(코드설정!$D$5:$D$24,MATCH($I299,코드설정!$C$5:$C$24,0)),""))</f>
        <v/>
      </c>
      <c r="R299" s="49" t="n"/>
      <c r="S299" s="50" t="n"/>
      <c r="T299" s="51" t="n"/>
      <c r="U299" s="43">
        <f>IF(OR($B299="",$C299=""),"",$C299-$B299+1)</f>
        <v/>
      </c>
      <c r="V299" s="52" t="n"/>
      <c r="W299" s="53">
        <f>IF(OR($V299="",$O299=""),"",$V299*$O299)</f>
        <v/>
      </c>
      <c r="X299" s="45" t="n"/>
      <c r="Y299" s="49" t="n"/>
    </row>
    <row r="300">
      <c r="A300" s="43">
        <f>IF($B300="","",COUNT($B$5:$B300))</f>
        <v/>
      </c>
      <c r="B300" s="44" t="n"/>
      <c r="C300" s="44" t="n"/>
      <c r="D300" s="45" t="n"/>
      <c r="E300" s="45" t="n"/>
      <c r="F300" s="45" t="n"/>
      <c r="G300" s="46">
        <f>IF($F300="","",IFERROR(INDEX(사건마스터!$B$5:$B$64,MATCH($F300,사건마스터!$A$5:$A$64,0)),""))</f>
        <v/>
      </c>
      <c r="H300" s="47">
        <f>IF($F300="","",IFERROR(INDEX(사건마스터!$C$5:$C$64,MATCH($F300,사건마스터!$A$5:$A$64,0)),""))</f>
        <v/>
      </c>
      <c r="I300" s="48">
        <f>IF($F300="","",IFERROR(INDEX(사건마스터!$H$5:$H$64,MATCH($F300,사건마스터!$A$5:$A$64,0)),""))</f>
        <v/>
      </c>
      <c r="J300" s="48">
        <f>IF($F300="","",IFERROR(INDEX(사건마스터!$AH$5:$AH$64,MATCH($F300,사건마스터!$A$5:$A$64,0)),""))</f>
        <v/>
      </c>
      <c r="K300" s="48">
        <f>IF($F300="","",IFERROR(INDEX(사건마스터!$AI$5:$AI$64,MATCH($F300,사건마스터!$A$5:$A$64,0)),""))</f>
        <v/>
      </c>
      <c r="L300" s="48">
        <f>IF($F300="","",IFERROR(INDEX(사건마스터!$AJ$5:$AJ$64,MATCH($F300,사건마스터!$A$5:$A$64,0)),""))</f>
        <v/>
      </c>
      <c r="M300" s="48">
        <f>IF($F300="","",IFERROR(INDEX(사건마스터!$AK$5:$AK$64,MATCH($F300,사건마스터!$A$5:$A$64,0)),""))</f>
        <v/>
      </c>
      <c r="N300" s="48">
        <f>IF($F300="","",IFERROR(INDEX(사건마스터!$AL$5:$AL$64,MATCH($F300,사건마스터!$A$5:$A$64,0)),""))</f>
        <v/>
      </c>
      <c r="O300" s="43">
        <f>IF($I300="","",COUNTIF($I300:$N300,"?*"))</f>
        <v/>
      </c>
      <c r="P300" s="46">
        <f>IF($I300="","",_xlfn.TEXTJOIN(", ",TRUE,$I300:$N300))</f>
        <v/>
      </c>
      <c r="Q300" s="47">
        <f>IF($I300="","",IFERROR(INDEX(코드설정!$D$5:$D$24,MATCH($I300,코드설정!$C$5:$C$24,0)),""))</f>
        <v/>
      </c>
      <c r="R300" s="49" t="n"/>
      <c r="S300" s="50" t="n"/>
      <c r="T300" s="51" t="n"/>
      <c r="U300" s="43">
        <f>IF(OR($B300="",$C300=""),"",$C300-$B300+1)</f>
        <v/>
      </c>
      <c r="V300" s="52" t="n"/>
      <c r="W300" s="53">
        <f>IF(OR($V300="",$O300=""),"",$V300*$O300)</f>
        <v/>
      </c>
      <c r="X300" s="45" t="n"/>
      <c r="Y300" s="49" t="n"/>
    </row>
    <row r="301">
      <c r="A301" s="43">
        <f>IF($B301="","",COUNT($B$5:$B301))</f>
        <v/>
      </c>
      <c r="B301" s="44" t="n"/>
      <c r="C301" s="44" t="n"/>
      <c r="D301" s="45" t="n"/>
      <c r="E301" s="45" t="n"/>
      <c r="F301" s="45" t="n"/>
      <c r="G301" s="46">
        <f>IF($F301="","",IFERROR(INDEX(사건마스터!$B$5:$B$64,MATCH($F301,사건마스터!$A$5:$A$64,0)),""))</f>
        <v/>
      </c>
      <c r="H301" s="47">
        <f>IF($F301="","",IFERROR(INDEX(사건마스터!$C$5:$C$64,MATCH($F301,사건마스터!$A$5:$A$64,0)),""))</f>
        <v/>
      </c>
      <c r="I301" s="48">
        <f>IF($F301="","",IFERROR(INDEX(사건마스터!$H$5:$H$64,MATCH($F301,사건마스터!$A$5:$A$64,0)),""))</f>
        <v/>
      </c>
      <c r="J301" s="48">
        <f>IF($F301="","",IFERROR(INDEX(사건마스터!$AH$5:$AH$64,MATCH($F301,사건마스터!$A$5:$A$64,0)),""))</f>
        <v/>
      </c>
      <c r="K301" s="48">
        <f>IF($F301="","",IFERROR(INDEX(사건마스터!$AI$5:$AI$64,MATCH($F301,사건마스터!$A$5:$A$64,0)),""))</f>
        <v/>
      </c>
      <c r="L301" s="48">
        <f>IF($F301="","",IFERROR(INDEX(사건마스터!$AJ$5:$AJ$64,MATCH($F301,사건마스터!$A$5:$A$64,0)),""))</f>
        <v/>
      </c>
      <c r="M301" s="48">
        <f>IF($F301="","",IFERROR(INDEX(사건마스터!$AK$5:$AK$64,MATCH($F301,사건마스터!$A$5:$A$64,0)),""))</f>
        <v/>
      </c>
      <c r="N301" s="48">
        <f>IF($F301="","",IFERROR(INDEX(사건마스터!$AL$5:$AL$64,MATCH($F301,사건마스터!$A$5:$A$64,0)),""))</f>
        <v/>
      </c>
      <c r="O301" s="43">
        <f>IF($I301="","",COUNTIF($I301:$N301,"?*"))</f>
        <v/>
      </c>
      <c r="P301" s="46">
        <f>IF($I301="","",_xlfn.TEXTJOIN(", ",TRUE,$I301:$N301))</f>
        <v/>
      </c>
      <c r="Q301" s="47">
        <f>IF($I301="","",IFERROR(INDEX(코드설정!$D$5:$D$24,MATCH($I301,코드설정!$C$5:$C$24,0)),""))</f>
        <v/>
      </c>
      <c r="R301" s="49" t="n"/>
      <c r="S301" s="50" t="n"/>
      <c r="T301" s="51" t="n"/>
      <c r="U301" s="43">
        <f>IF(OR($B301="",$C301=""),"",$C301-$B301+1)</f>
        <v/>
      </c>
      <c r="V301" s="52" t="n"/>
      <c r="W301" s="53">
        <f>IF(OR($V301="",$O301=""),"",$V301*$O301)</f>
        <v/>
      </c>
      <c r="X301" s="45" t="n"/>
      <c r="Y301" s="49" t="n"/>
    </row>
    <row r="302">
      <c r="A302" s="43">
        <f>IF($B302="","",COUNT($B$5:$B302))</f>
        <v/>
      </c>
      <c r="B302" s="44" t="n"/>
      <c r="C302" s="44" t="n"/>
      <c r="D302" s="45" t="n"/>
      <c r="E302" s="45" t="n"/>
      <c r="F302" s="45" t="n"/>
      <c r="G302" s="46">
        <f>IF($F302="","",IFERROR(INDEX(사건마스터!$B$5:$B$64,MATCH($F302,사건마스터!$A$5:$A$64,0)),""))</f>
        <v/>
      </c>
      <c r="H302" s="47">
        <f>IF($F302="","",IFERROR(INDEX(사건마스터!$C$5:$C$64,MATCH($F302,사건마스터!$A$5:$A$64,0)),""))</f>
        <v/>
      </c>
      <c r="I302" s="48">
        <f>IF($F302="","",IFERROR(INDEX(사건마스터!$H$5:$H$64,MATCH($F302,사건마스터!$A$5:$A$64,0)),""))</f>
        <v/>
      </c>
      <c r="J302" s="48">
        <f>IF($F302="","",IFERROR(INDEX(사건마스터!$AH$5:$AH$64,MATCH($F302,사건마스터!$A$5:$A$64,0)),""))</f>
        <v/>
      </c>
      <c r="K302" s="48">
        <f>IF($F302="","",IFERROR(INDEX(사건마스터!$AI$5:$AI$64,MATCH($F302,사건마스터!$A$5:$A$64,0)),""))</f>
        <v/>
      </c>
      <c r="L302" s="48">
        <f>IF($F302="","",IFERROR(INDEX(사건마스터!$AJ$5:$AJ$64,MATCH($F302,사건마스터!$A$5:$A$64,0)),""))</f>
        <v/>
      </c>
      <c r="M302" s="48">
        <f>IF($F302="","",IFERROR(INDEX(사건마스터!$AK$5:$AK$64,MATCH($F302,사건마스터!$A$5:$A$64,0)),""))</f>
        <v/>
      </c>
      <c r="N302" s="48">
        <f>IF($F302="","",IFERROR(INDEX(사건마스터!$AL$5:$AL$64,MATCH($F302,사건마스터!$A$5:$A$64,0)),""))</f>
        <v/>
      </c>
      <c r="O302" s="43">
        <f>IF($I302="","",COUNTIF($I302:$N302,"?*"))</f>
        <v/>
      </c>
      <c r="P302" s="46">
        <f>IF($I302="","",_xlfn.TEXTJOIN(", ",TRUE,$I302:$N302))</f>
        <v/>
      </c>
      <c r="Q302" s="47">
        <f>IF($I302="","",IFERROR(INDEX(코드설정!$D$5:$D$24,MATCH($I302,코드설정!$C$5:$C$24,0)),""))</f>
        <v/>
      </c>
      <c r="R302" s="49" t="n"/>
      <c r="S302" s="50" t="n"/>
      <c r="T302" s="51" t="n"/>
      <c r="U302" s="43">
        <f>IF(OR($B302="",$C302=""),"",$C302-$B302+1)</f>
        <v/>
      </c>
      <c r="V302" s="52" t="n"/>
      <c r="W302" s="53">
        <f>IF(OR($V302="",$O302=""),"",$V302*$O302)</f>
        <v/>
      </c>
      <c r="X302" s="45" t="n"/>
      <c r="Y302" s="49" t="n"/>
    </row>
    <row r="303">
      <c r="A303" s="43">
        <f>IF($B303="","",COUNT($B$5:$B303))</f>
        <v/>
      </c>
      <c r="B303" s="44" t="n"/>
      <c r="C303" s="44" t="n"/>
      <c r="D303" s="45" t="n"/>
      <c r="E303" s="45" t="n"/>
      <c r="F303" s="45" t="n"/>
      <c r="G303" s="46">
        <f>IF($F303="","",IFERROR(INDEX(사건마스터!$B$5:$B$64,MATCH($F303,사건마스터!$A$5:$A$64,0)),""))</f>
        <v/>
      </c>
      <c r="H303" s="47">
        <f>IF($F303="","",IFERROR(INDEX(사건마스터!$C$5:$C$64,MATCH($F303,사건마스터!$A$5:$A$64,0)),""))</f>
        <v/>
      </c>
      <c r="I303" s="48">
        <f>IF($F303="","",IFERROR(INDEX(사건마스터!$H$5:$H$64,MATCH($F303,사건마스터!$A$5:$A$64,0)),""))</f>
        <v/>
      </c>
      <c r="J303" s="48">
        <f>IF($F303="","",IFERROR(INDEX(사건마스터!$AH$5:$AH$64,MATCH($F303,사건마스터!$A$5:$A$64,0)),""))</f>
        <v/>
      </c>
      <c r="K303" s="48">
        <f>IF($F303="","",IFERROR(INDEX(사건마스터!$AI$5:$AI$64,MATCH($F303,사건마스터!$A$5:$A$64,0)),""))</f>
        <v/>
      </c>
      <c r="L303" s="48">
        <f>IF($F303="","",IFERROR(INDEX(사건마스터!$AJ$5:$AJ$64,MATCH($F303,사건마스터!$A$5:$A$64,0)),""))</f>
        <v/>
      </c>
      <c r="M303" s="48">
        <f>IF($F303="","",IFERROR(INDEX(사건마스터!$AK$5:$AK$64,MATCH($F303,사건마스터!$A$5:$A$64,0)),""))</f>
        <v/>
      </c>
      <c r="N303" s="48">
        <f>IF($F303="","",IFERROR(INDEX(사건마스터!$AL$5:$AL$64,MATCH($F303,사건마스터!$A$5:$A$64,0)),""))</f>
        <v/>
      </c>
      <c r="O303" s="43">
        <f>IF($I303="","",COUNTIF($I303:$N303,"?*"))</f>
        <v/>
      </c>
      <c r="P303" s="46">
        <f>IF($I303="","",_xlfn.TEXTJOIN(", ",TRUE,$I303:$N303))</f>
        <v/>
      </c>
      <c r="Q303" s="47">
        <f>IF($I303="","",IFERROR(INDEX(코드설정!$D$5:$D$24,MATCH($I303,코드설정!$C$5:$C$24,0)),""))</f>
        <v/>
      </c>
      <c r="R303" s="49" t="n"/>
      <c r="S303" s="50" t="n"/>
      <c r="T303" s="51" t="n"/>
      <c r="U303" s="43">
        <f>IF(OR($B303="",$C303=""),"",$C303-$B303+1)</f>
        <v/>
      </c>
      <c r="V303" s="52" t="n"/>
      <c r="W303" s="53">
        <f>IF(OR($V303="",$O303=""),"",$V303*$O303)</f>
        <v/>
      </c>
      <c r="X303" s="45" t="n"/>
      <c r="Y303" s="49" t="n"/>
    </row>
    <row r="304">
      <c r="A304" s="43">
        <f>IF($B304="","",COUNT($B$5:$B304))</f>
        <v/>
      </c>
      <c r="B304" s="44" t="n"/>
      <c r="C304" s="44" t="n"/>
      <c r="D304" s="45" t="n"/>
      <c r="E304" s="45" t="n"/>
      <c r="F304" s="45" t="n"/>
      <c r="G304" s="46">
        <f>IF($F304="","",IFERROR(INDEX(사건마스터!$B$5:$B$64,MATCH($F304,사건마스터!$A$5:$A$64,0)),""))</f>
        <v/>
      </c>
      <c r="H304" s="47">
        <f>IF($F304="","",IFERROR(INDEX(사건마스터!$C$5:$C$64,MATCH($F304,사건마스터!$A$5:$A$64,0)),""))</f>
        <v/>
      </c>
      <c r="I304" s="48">
        <f>IF($F304="","",IFERROR(INDEX(사건마스터!$H$5:$H$64,MATCH($F304,사건마스터!$A$5:$A$64,0)),""))</f>
        <v/>
      </c>
      <c r="J304" s="48">
        <f>IF($F304="","",IFERROR(INDEX(사건마스터!$AH$5:$AH$64,MATCH($F304,사건마스터!$A$5:$A$64,0)),""))</f>
        <v/>
      </c>
      <c r="K304" s="48">
        <f>IF($F304="","",IFERROR(INDEX(사건마스터!$AI$5:$AI$64,MATCH($F304,사건마스터!$A$5:$A$64,0)),""))</f>
        <v/>
      </c>
      <c r="L304" s="48">
        <f>IF($F304="","",IFERROR(INDEX(사건마스터!$AJ$5:$AJ$64,MATCH($F304,사건마스터!$A$5:$A$64,0)),""))</f>
        <v/>
      </c>
      <c r="M304" s="48">
        <f>IF($F304="","",IFERROR(INDEX(사건마스터!$AK$5:$AK$64,MATCH($F304,사건마스터!$A$5:$A$64,0)),""))</f>
        <v/>
      </c>
      <c r="N304" s="48">
        <f>IF($F304="","",IFERROR(INDEX(사건마스터!$AL$5:$AL$64,MATCH($F304,사건마스터!$A$5:$A$64,0)),""))</f>
        <v/>
      </c>
      <c r="O304" s="43">
        <f>IF($I304="","",COUNTIF($I304:$N304,"?*"))</f>
        <v/>
      </c>
      <c r="P304" s="46">
        <f>IF($I304="","",_xlfn.TEXTJOIN(", ",TRUE,$I304:$N304))</f>
        <v/>
      </c>
      <c r="Q304" s="47">
        <f>IF($I304="","",IFERROR(INDEX(코드설정!$D$5:$D$24,MATCH($I304,코드설정!$C$5:$C$24,0)),""))</f>
        <v/>
      </c>
      <c r="R304" s="49" t="n"/>
      <c r="S304" s="50" t="n"/>
      <c r="T304" s="51" t="n"/>
      <c r="U304" s="43">
        <f>IF(OR($B304="",$C304=""),"",$C304-$B304+1)</f>
        <v/>
      </c>
      <c r="V304" s="52" t="n"/>
      <c r="W304" s="53">
        <f>IF(OR($V304="",$O304=""),"",$V304*$O304)</f>
        <v/>
      </c>
      <c r="X304" s="45" t="n"/>
      <c r="Y304" s="49" t="n"/>
    </row>
    <row r="305">
      <c r="A305" s="43">
        <f>IF($B305="","",COUNT($B$5:$B305))</f>
        <v/>
      </c>
      <c r="B305" s="44" t="n"/>
      <c r="C305" s="44" t="n"/>
      <c r="D305" s="45" t="n"/>
      <c r="E305" s="45" t="n"/>
      <c r="F305" s="45" t="n"/>
      <c r="G305" s="46">
        <f>IF($F305="","",IFERROR(INDEX(사건마스터!$B$5:$B$64,MATCH($F305,사건마스터!$A$5:$A$64,0)),""))</f>
        <v/>
      </c>
      <c r="H305" s="47">
        <f>IF($F305="","",IFERROR(INDEX(사건마스터!$C$5:$C$64,MATCH($F305,사건마스터!$A$5:$A$64,0)),""))</f>
        <v/>
      </c>
      <c r="I305" s="48">
        <f>IF($F305="","",IFERROR(INDEX(사건마스터!$H$5:$H$64,MATCH($F305,사건마스터!$A$5:$A$64,0)),""))</f>
        <v/>
      </c>
      <c r="J305" s="48">
        <f>IF($F305="","",IFERROR(INDEX(사건마스터!$AH$5:$AH$64,MATCH($F305,사건마스터!$A$5:$A$64,0)),""))</f>
        <v/>
      </c>
      <c r="K305" s="48">
        <f>IF($F305="","",IFERROR(INDEX(사건마스터!$AI$5:$AI$64,MATCH($F305,사건마스터!$A$5:$A$64,0)),""))</f>
        <v/>
      </c>
      <c r="L305" s="48">
        <f>IF($F305="","",IFERROR(INDEX(사건마스터!$AJ$5:$AJ$64,MATCH($F305,사건마스터!$A$5:$A$64,0)),""))</f>
        <v/>
      </c>
      <c r="M305" s="48">
        <f>IF($F305="","",IFERROR(INDEX(사건마스터!$AK$5:$AK$64,MATCH($F305,사건마스터!$A$5:$A$64,0)),""))</f>
        <v/>
      </c>
      <c r="N305" s="48">
        <f>IF($F305="","",IFERROR(INDEX(사건마스터!$AL$5:$AL$64,MATCH($F305,사건마스터!$A$5:$A$64,0)),""))</f>
        <v/>
      </c>
      <c r="O305" s="43">
        <f>IF($I305="","",COUNTIF($I305:$N305,"?*"))</f>
        <v/>
      </c>
      <c r="P305" s="46">
        <f>IF($I305="","",_xlfn.TEXTJOIN(", ",TRUE,$I305:$N305))</f>
        <v/>
      </c>
      <c r="Q305" s="47">
        <f>IF($I305="","",IFERROR(INDEX(코드설정!$D$5:$D$24,MATCH($I305,코드설정!$C$5:$C$24,0)),""))</f>
        <v/>
      </c>
      <c r="R305" s="49" t="n"/>
      <c r="S305" s="50" t="n"/>
      <c r="T305" s="51" t="n"/>
      <c r="U305" s="43">
        <f>IF(OR($B305="",$C305=""),"",$C305-$B305+1)</f>
        <v/>
      </c>
      <c r="V305" s="52" t="n"/>
      <c r="W305" s="53">
        <f>IF(OR($V305="",$O305=""),"",$V305*$O305)</f>
        <v/>
      </c>
      <c r="X305" s="45" t="n"/>
      <c r="Y305" s="49" t="n"/>
    </row>
    <row r="306">
      <c r="A306" s="43">
        <f>IF($B306="","",COUNT($B$5:$B306))</f>
        <v/>
      </c>
      <c r="B306" s="44" t="n"/>
      <c r="C306" s="44" t="n"/>
      <c r="D306" s="45" t="n"/>
      <c r="E306" s="45" t="n"/>
      <c r="F306" s="45" t="n"/>
      <c r="G306" s="46">
        <f>IF($F306="","",IFERROR(INDEX(사건마스터!$B$5:$B$64,MATCH($F306,사건마스터!$A$5:$A$64,0)),""))</f>
        <v/>
      </c>
      <c r="H306" s="47">
        <f>IF($F306="","",IFERROR(INDEX(사건마스터!$C$5:$C$64,MATCH($F306,사건마스터!$A$5:$A$64,0)),""))</f>
        <v/>
      </c>
      <c r="I306" s="48">
        <f>IF($F306="","",IFERROR(INDEX(사건마스터!$H$5:$H$64,MATCH($F306,사건마스터!$A$5:$A$64,0)),""))</f>
        <v/>
      </c>
      <c r="J306" s="48">
        <f>IF($F306="","",IFERROR(INDEX(사건마스터!$AH$5:$AH$64,MATCH($F306,사건마스터!$A$5:$A$64,0)),""))</f>
        <v/>
      </c>
      <c r="K306" s="48">
        <f>IF($F306="","",IFERROR(INDEX(사건마스터!$AI$5:$AI$64,MATCH($F306,사건마스터!$A$5:$A$64,0)),""))</f>
        <v/>
      </c>
      <c r="L306" s="48">
        <f>IF($F306="","",IFERROR(INDEX(사건마스터!$AJ$5:$AJ$64,MATCH($F306,사건마스터!$A$5:$A$64,0)),""))</f>
        <v/>
      </c>
      <c r="M306" s="48">
        <f>IF($F306="","",IFERROR(INDEX(사건마스터!$AK$5:$AK$64,MATCH($F306,사건마스터!$A$5:$A$64,0)),""))</f>
        <v/>
      </c>
      <c r="N306" s="48">
        <f>IF($F306="","",IFERROR(INDEX(사건마스터!$AL$5:$AL$64,MATCH($F306,사건마스터!$A$5:$A$64,0)),""))</f>
        <v/>
      </c>
      <c r="O306" s="43">
        <f>IF($I306="","",COUNTIF($I306:$N306,"?*"))</f>
        <v/>
      </c>
      <c r="P306" s="46">
        <f>IF($I306="","",_xlfn.TEXTJOIN(", ",TRUE,$I306:$N306))</f>
        <v/>
      </c>
      <c r="Q306" s="47">
        <f>IF($I306="","",IFERROR(INDEX(코드설정!$D$5:$D$24,MATCH($I306,코드설정!$C$5:$C$24,0)),""))</f>
        <v/>
      </c>
      <c r="R306" s="49" t="n"/>
      <c r="S306" s="50" t="n"/>
      <c r="T306" s="51" t="n"/>
      <c r="U306" s="43">
        <f>IF(OR($B306="",$C306=""),"",$C306-$B306+1)</f>
        <v/>
      </c>
      <c r="V306" s="52" t="n"/>
      <c r="W306" s="53">
        <f>IF(OR($V306="",$O306=""),"",$V306*$O306)</f>
        <v/>
      </c>
      <c r="X306" s="45" t="n"/>
      <c r="Y306" s="49" t="n"/>
    </row>
    <row r="307">
      <c r="A307" s="43">
        <f>IF($B307="","",COUNT($B$5:$B307))</f>
        <v/>
      </c>
      <c r="B307" s="44" t="n"/>
      <c r="C307" s="44" t="n"/>
      <c r="D307" s="45" t="n"/>
      <c r="E307" s="45" t="n"/>
      <c r="F307" s="45" t="n"/>
      <c r="G307" s="46">
        <f>IF($F307="","",IFERROR(INDEX(사건마스터!$B$5:$B$64,MATCH($F307,사건마스터!$A$5:$A$64,0)),""))</f>
        <v/>
      </c>
      <c r="H307" s="47">
        <f>IF($F307="","",IFERROR(INDEX(사건마스터!$C$5:$C$64,MATCH($F307,사건마스터!$A$5:$A$64,0)),""))</f>
        <v/>
      </c>
      <c r="I307" s="48">
        <f>IF($F307="","",IFERROR(INDEX(사건마스터!$H$5:$H$64,MATCH($F307,사건마스터!$A$5:$A$64,0)),""))</f>
        <v/>
      </c>
      <c r="J307" s="48">
        <f>IF($F307="","",IFERROR(INDEX(사건마스터!$AH$5:$AH$64,MATCH($F307,사건마스터!$A$5:$A$64,0)),""))</f>
        <v/>
      </c>
      <c r="K307" s="48">
        <f>IF($F307="","",IFERROR(INDEX(사건마스터!$AI$5:$AI$64,MATCH($F307,사건마스터!$A$5:$A$64,0)),""))</f>
        <v/>
      </c>
      <c r="L307" s="48">
        <f>IF($F307="","",IFERROR(INDEX(사건마스터!$AJ$5:$AJ$64,MATCH($F307,사건마스터!$A$5:$A$64,0)),""))</f>
        <v/>
      </c>
      <c r="M307" s="48">
        <f>IF($F307="","",IFERROR(INDEX(사건마스터!$AK$5:$AK$64,MATCH($F307,사건마스터!$A$5:$A$64,0)),""))</f>
        <v/>
      </c>
      <c r="N307" s="48">
        <f>IF($F307="","",IFERROR(INDEX(사건마스터!$AL$5:$AL$64,MATCH($F307,사건마스터!$A$5:$A$64,0)),""))</f>
        <v/>
      </c>
      <c r="O307" s="43">
        <f>IF($I307="","",COUNTIF($I307:$N307,"?*"))</f>
        <v/>
      </c>
      <c r="P307" s="46">
        <f>IF($I307="","",_xlfn.TEXTJOIN(", ",TRUE,$I307:$N307))</f>
        <v/>
      </c>
      <c r="Q307" s="47">
        <f>IF($I307="","",IFERROR(INDEX(코드설정!$D$5:$D$24,MATCH($I307,코드설정!$C$5:$C$24,0)),""))</f>
        <v/>
      </c>
      <c r="R307" s="49" t="n"/>
      <c r="S307" s="50" t="n"/>
      <c r="T307" s="51" t="n"/>
      <c r="U307" s="43">
        <f>IF(OR($B307="",$C307=""),"",$C307-$B307+1)</f>
        <v/>
      </c>
      <c r="V307" s="52" t="n"/>
      <c r="W307" s="53">
        <f>IF(OR($V307="",$O307=""),"",$V307*$O307)</f>
        <v/>
      </c>
      <c r="X307" s="45" t="n"/>
      <c r="Y307" s="49" t="n"/>
    </row>
    <row r="308">
      <c r="A308" s="43">
        <f>IF($B308="","",COUNT($B$5:$B308))</f>
        <v/>
      </c>
      <c r="B308" s="44" t="n"/>
      <c r="C308" s="44" t="n"/>
      <c r="D308" s="45" t="n"/>
      <c r="E308" s="45" t="n"/>
      <c r="F308" s="45" t="n"/>
      <c r="G308" s="46">
        <f>IF($F308="","",IFERROR(INDEX(사건마스터!$B$5:$B$64,MATCH($F308,사건마스터!$A$5:$A$64,0)),""))</f>
        <v/>
      </c>
      <c r="H308" s="47">
        <f>IF($F308="","",IFERROR(INDEX(사건마스터!$C$5:$C$64,MATCH($F308,사건마스터!$A$5:$A$64,0)),""))</f>
        <v/>
      </c>
      <c r="I308" s="48">
        <f>IF($F308="","",IFERROR(INDEX(사건마스터!$H$5:$H$64,MATCH($F308,사건마스터!$A$5:$A$64,0)),""))</f>
        <v/>
      </c>
      <c r="J308" s="48">
        <f>IF($F308="","",IFERROR(INDEX(사건마스터!$AH$5:$AH$64,MATCH($F308,사건마스터!$A$5:$A$64,0)),""))</f>
        <v/>
      </c>
      <c r="K308" s="48">
        <f>IF($F308="","",IFERROR(INDEX(사건마스터!$AI$5:$AI$64,MATCH($F308,사건마스터!$A$5:$A$64,0)),""))</f>
        <v/>
      </c>
      <c r="L308" s="48">
        <f>IF($F308="","",IFERROR(INDEX(사건마스터!$AJ$5:$AJ$64,MATCH($F308,사건마스터!$A$5:$A$64,0)),""))</f>
        <v/>
      </c>
      <c r="M308" s="48">
        <f>IF($F308="","",IFERROR(INDEX(사건마스터!$AK$5:$AK$64,MATCH($F308,사건마스터!$A$5:$A$64,0)),""))</f>
        <v/>
      </c>
      <c r="N308" s="48">
        <f>IF($F308="","",IFERROR(INDEX(사건마스터!$AL$5:$AL$64,MATCH($F308,사건마스터!$A$5:$A$64,0)),""))</f>
        <v/>
      </c>
      <c r="O308" s="43">
        <f>IF($I308="","",COUNTIF($I308:$N308,"?*"))</f>
        <v/>
      </c>
      <c r="P308" s="46">
        <f>IF($I308="","",_xlfn.TEXTJOIN(", ",TRUE,$I308:$N308))</f>
        <v/>
      </c>
      <c r="Q308" s="47">
        <f>IF($I308="","",IFERROR(INDEX(코드설정!$D$5:$D$24,MATCH($I308,코드설정!$C$5:$C$24,0)),""))</f>
        <v/>
      </c>
      <c r="R308" s="49" t="n"/>
      <c r="S308" s="50" t="n"/>
      <c r="T308" s="51" t="n"/>
      <c r="U308" s="43">
        <f>IF(OR($B308="",$C308=""),"",$C308-$B308+1)</f>
        <v/>
      </c>
      <c r="V308" s="52" t="n"/>
      <c r="W308" s="53">
        <f>IF(OR($V308="",$O308=""),"",$V308*$O308)</f>
        <v/>
      </c>
      <c r="X308" s="45" t="n"/>
      <c r="Y308" s="49" t="n"/>
    </row>
    <row r="309">
      <c r="A309" s="43">
        <f>IF($B309="","",COUNT($B$5:$B309))</f>
        <v/>
      </c>
      <c r="B309" s="44" t="n"/>
      <c r="C309" s="44" t="n"/>
      <c r="D309" s="45" t="n"/>
      <c r="E309" s="45" t="n"/>
      <c r="F309" s="45" t="n"/>
      <c r="G309" s="46">
        <f>IF($F309="","",IFERROR(INDEX(사건마스터!$B$5:$B$64,MATCH($F309,사건마스터!$A$5:$A$64,0)),""))</f>
        <v/>
      </c>
      <c r="H309" s="47">
        <f>IF($F309="","",IFERROR(INDEX(사건마스터!$C$5:$C$64,MATCH($F309,사건마스터!$A$5:$A$64,0)),""))</f>
        <v/>
      </c>
      <c r="I309" s="48">
        <f>IF($F309="","",IFERROR(INDEX(사건마스터!$H$5:$H$64,MATCH($F309,사건마스터!$A$5:$A$64,0)),""))</f>
        <v/>
      </c>
      <c r="J309" s="48">
        <f>IF($F309="","",IFERROR(INDEX(사건마스터!$AH$5:$AH$64,MATCH($F309,사건마스터!$A$5:$A$64,0)),""))</f>
        <v/>
      </c>
      <c r="K309" s="48">
        <f>IF($F309="","",IFERROR(INDEX(사건마스터!$AI$5:$AI$64,MATCH($F309,사건마스터!$A$5:$A$64,0)),""))</f>
        <v/>
      </c>
      <c r="L309" s="48">
        <f>IF($F309="","",IFERROR(INDEX(사건마스터!$AJ$5:$AJ$64,MATCH($F309,사건마스터!$A$5:$A$64,0)),""))</f>
        <v/>
      </c>
      <c r="M309" s="48">
        <f>IF($F309="","",IFERROR(INDEX(사건마스터!$AK$5:$AK$64,MATCH($F309,사건마스터!$A$5:$A$64,0)),""))</f>
        <v/>
      </c>
      <c r="N309" s="48">
        <f>IF($F309="","",IFERROR(INDEX(사건마스터!$AL$5:$AL$64,MATCH($F309,사건마스터!$A$5:$A$64,0)),""))</f>
        <v/>
      </c>
      <c r="O309" s="43">
        <f>IF($I309="","",COUNTIF($I309:$N309,"?*"))</f>
        <v/>
      </c>
      <c r="P309" s="46">
        <f>IF($I309="","",_xlfn.TEXTJOIN(", ",TRUE,$I309:$N309))</f>
        <v/>
      </c>
      <c r="Q309" s="47">
        <f>IF($I309="","",IFERROR(INDEX(코드설정!$D$5:$D$24,MATCH($I309,코드설정!$C$5:$C$24,0)),""))</f>
        <v/>
      </c>
      <c r="R309" s="49" t="n"/>
      <c r="S309" s="50" t="n"/>
      <c r="T309" s="51" t="n"/>
      <c r="U309" s="43">
        <f>IF(OR($B309="",$C309=""),"",$C309-$B309+1)</f>
        <v/>
      </c>
      <c r="V309" s="52" t="n"/>
      <c r="W309" s="53">
        <f>IF(OR($V309="",$O309=""),"",$V309*$O309)</f>
        <v/>
      </c>
      <c r="X309" s="45" t="n"/>
      <c r="Y309" s="49" t="n"/>
    </row>
    <row r="310">
      <c r="A310" s="43">
        <f>IF($B310="","",COUNT($B$5:$B310))</f>
        <v/>
      </c>
      <c r="B310" s="44" t="n"/>
      <c r="C310" s="44" t="n"/>
      <c r="D310" s="45" t="n"/>
      <c r="E310" s="45" t="n"/>
      <c r="F310" s="45" t="n"/>
      <c r="G310" s="46">
        <f>IF($F310="","",IFERROR(INDEX(사건마스터!$B$5:$B$64,MATCH($F310,사건마스터!$A$5:$A$64,0)),""))</f>
        <v/>
      </c>
      <c r="H310" s="47">
        <f>IF($F310="","",IFERROR(INDEX(사건마스터!$C$5:$C$64,MATCH($F310,사건마스터!$A$5:$A$64,0)),""))</f>
        <v/>
      </c>
      <c r="I310" s="48">
        <f>IF($F310="","",IFERROR(INDEX(사건마스터!$H$5:$H$64,MATCH($F310,사건마스터!$A$5:$A$64,0)),""))</f>
        <v/>
      </c>
      <c r="J310" s="48">
        <f>IF($F310="","",IFERROR(INDEX(사건마스터!$AH$5:$AH$64,MATCH($F310,사건마스터!$A$5:$A$64,0)),""))</f>
        <v/>
      </c>
      <c r="K310" s="48">
        <f>IF($F310="","",IFERROR(INDEX(사건마스터!$AI$5:$AI$64,MATCH($F310,사건마스터!$A$5:$A$64,0)),""))</f>
        <v/>
      </c>
      <c r="L310" s="48">
        <f>IF($F310="","",IFERROR(INDEX(사건마스터!$AJ$5:$AJ$64,MATCH($F310,사건마스터!$A$5:$A$64,0)),""))</f>
        <v/>
      </c>
      <c r="M310" s="48">
        <f>IF($F310="","",IFERROR(INDEX(사건마스터!$AK$5:$AK$64,MATCH($F310,사건마스터!$A$5:$A$64,0)),""))</f>
        <v/>
      </c>
      <c r="N310" s="48">
        <f>IF($F310="","",IFERROR(INDEX(사건마스터!$AL$5:$AL$64,MATCH($F310,사건마스터!$A$5:$A$64,0)),""))</f>
        <v/>
      </c>
      <c r="O310" s="43">
        <f>IF($I310="","",COUNTIF($I310:$N310,"?*"))</f>
        <v/>
      </c>
      <c r="P310" s="46">
        <f>IF($I310="","",_xlfn.TEXTJOIN(", ",TRUE,$I310:$N310))</f>
        <v/>
      </c>
      <c r="Q310" s="47">
        <f>IF($I310="","",IFERROR(INDEX(코드설정!$D$5:$D$24,MATCH($I310,코드설정!$C$5:$C$24,0)),""))</f>
        <v/>
      </c>
      <c r="R310" s="49" t="n"/>
      <c r="S310" s="50" t="n"/>
      <c r="T310" s="51" t="n"/>
      <c r="U310" s="43">
        <f>IF(OR($B310="",$C310=""),"",$C310-$B310+1)</f>
        <v/>
      </c>
      <c r="V310" s="52" t="n"/>
      <c r="W310" s="53">
        <f>IF(OR($V310="",$O310=""),"",$V310*$O310)</f>
        <v/>
      </c>
      <c r="X310" s="45" t="n"/>
      <c r="Y310" s="49" t="n"/>
    </row>
    <row r="311">
      <c r="A311" s="43">
        <f>IF($B311="","",COUNT($B$5:$B311))</f>
        <v/>
      </c>
      <c r="B311" s="44" t="n"/>
      <c r="C311" s="44" t="n"/>
      <c r="D311" s="45" t="n"/>
      <c r="E311" s="45" t="n"/>
      <c r="F311" s="45" t="n"/>
      <c r="G311" s="46">
        <f>IF($F311="","",IFERROR(INDEX(사건마스터!$B$5:$B$64,MATCH($F311,사건마스터!$A$5:$A$64,0)),""))</f>
        <v/>
      </c>
      <c r="H311" s="47">
        <f>IF($F311="","",IFERROR(INDEX(사건마스터!$C$5:$C$64,MATCH($F311,사건마스터!$A$5:$A$64,0)),""))</f>
        <v/>
      </c>
      <c r="I311" s="48">
        <f>IF($F311="","",IFERROR(INDEX(사건마스터!$H$5:$H$64,MATCH($F311,사건마스터!$A$5:$A$64,0)),""))</f>
        <v/>
      </c>
      <c r="J311" s="48">
        <f>IF($F311="","",IFERROR(INDEX(사건마스터!$AH$5:$AH$64,MATCH($F311,사건마스터!$A$5:$A$64,0)),""))</f>
        <v/>
      </c>
      <c r="K311" s="48">
        <f>IF($F311="","",IFERROR(INDEX(사건마스터!$AI$5:$AI$64,MATCH($F311,사건마스터!$A$5:$A$64,0)),""))</f>
        <v/>
      </c>
      <c r="L311" s="48">
        <f>IF($F311="","",IFERROR(INDEX(사건마스터!$AJ$5:$AJ$64,MATCH($F311,사건마스터!$A$5:$A$64,0)),""))</f>
        <v/>
      </c>
      <c r="M311" s="48">
        <f>IF($F311="","",IFERROR(INDEX(사건마스터!$AK$5:$AK$64,MATCH($F311,사건마스터!$A$5:$A$64,0)),""))</f>
        <v/>
      </c>
      <c r="N311" s="48">
        <f>IF($F311="","",IFERROR(INDEX(사건마스터!$AL$5:$AL$64,MATCH($F311,사건마스터!$A$5:$A$64,0)),""))</f>
        <v/>
      </c>
      <c r="O311" s="43">
        <f>IF($I311="","",COUNTIF($I311:$N311,"?*"))</f>
        <v/>
      </c>
      <c r="P311" s="46">
        <f>IF($I311="","",_xlfn.TEXTJOIN(", ",TRUE,$I311:$N311))</f>
        <v/>
      </c>
      <c r="Q311" s="47">
        <f>IF($I311="","",IFERROR(INDEX(코드설정!$D$5:$D$24,MATCH($I311,코드설정!$C$5:$C$24,0)),""))</f>
        <v/>
      </c>
      <c r="R311" s="49" t="n"/>
      <c r="S311" s="50" t="n"/>
      <c r="T311" s="51" t="n"/>
      <c r="U311" s="43">
        <f>IF(OR($B311="",$C311=""),"",$C311-$B311+1)</f>
        <v/>
      </c>
      <c r="V311" s="52" t="n"/>
      <c r="W311" s="53">
        <f>IF(OR($V311="",$O311=""),"",$V311*$O311)</f>
        <v/>
      </c>
      <c r="X311" s="45" t="n"/>
      <c r="Y311" s="49" t="n"/>
    </row>
    <row r="312">
      <c r="A312" s="43">
        <f>IF($B312="","",COUNT($B$5:$B312))</f>
        <v/>
      </c>
      <c r="B312" s="44" t="n"/>
      <c r="C312" s="44" t="n"/>
      <c r="D312" s="45" t="n"/>
      <c r="E312" s="45" t="n"/>
      <c r="F312" s="45" t="n"/>
      <c r="G312" s="46">
        <f>IF($F312="","",IFERROR(INDEX(사건마스터!$B$5:$B$64,MATCH($F312,사건마스터!$A$5:$A$64,0)),""))</f>
        <v/>
      </c>
      <c r="H312" s="47">
        <f>IF($F312="","",IFERROR(INDEX(사건마스터!$C$5:$C$64,MATCH($F312,사건마스터!$A$5:$A$64,0)),""))</f>
        <v/>
      </c>
      <c r="I312" s="48">
        <f>IF($F312="","",IFERROR(INDEX(사건마스터!$H$5:$H$64,MATCH($F312,사건마스터!$A$5:$A$64,0)),""))</f>
        <v/>
      </c>
      <c r="J312" s="48">
        <f>IF($F312="","",IFERROR(INDEX(사건마스터!$AH$5:$AH$64,MATCH($F312,사건마스터!$A$5:$A$64,0)),""))</f>
        <v/>
      </c>
      <c r="K312" s="48">
        <f>IF($F312="","",IFERROR(INDEX(사건마스터!$AI$5:$AI$64,MATCH($F312,사건마스터!$A$5:$A$64,0)),""))</f>
        <v/>
      </c>
      <c r="L312" s="48">
        <f>IF($F312="","",IFERROR(INDEX(사건마스터!$AJ$5:$AJ$64,MATCH($F312,사건마스터!$A$5:$A$64,0)),""))</f>
        <v/>
      </c>
      <c r="M312" s="48">
        <f>IF($F312="","",IFERROR(INDEX(사건마스터!$AK$5:$AK$64,MATCH($F312,사건마스터!$A$5:$A$64,0)),""))</f>
        <v/>
      </c>
      <c r="N312" s="48">
        <f>IF($F312="","",IFERROR(INDEX(사건마스터!$AL$5:$AL$64,MATCH($F312,사건마스터!$A$5:$A$64,0)),""))</f>
        <v/>
      </c>
      <c r="O312" s="43">
        <f>IF($I312="","",COUNTIF($I312:$N312,"?*"))</f>
        <v/>
      </c>
      <c r="P312" s="46">
        <f>IF($I312="","",_xlfn.TEXTJOIN(", ",TRUE,$I312:$N312))</f>
        <v/>
      </c>
      <c r="Q312" s="47">
        <f>IF($I312="","",IFERROR(INDEX(코드설정!$D$5:$D$24,MATCH($I312,코드설정!$C$5:$C$24,0)),""))</f>
        <v/>
      </c>
      <c r="R312" s="49" t="n"/>
      <c r="S312" s="50" t="n"/>
      <c r="T312" s="51" t="n"/>
      <c r="U312" s="43">
        <f>IF(OR($B312="",$C312=""),"",$C312-$B312+1)</f>
        <v/>
      </c>
      <c r="V312" s="52" t="n"/>
      <c r="W312" s="53">
        <f>IF(OR($V312="",$O312=""),"",$V312*$O312)</f>
        <v/>
      </c>
      <c r="X312" s="45" t="n"/>
      <c r="Y312" s="49" t="n"/>
    </row>
    <row r="313">
      <c r="A313" s="43">
        <f>IF($B313="","",COUNT($B$5:$B313))</f>
        <v/>
      </c>
      <c r="B313" s="44" t="n"/>
      <c r="C313" s="44" t="n"/>
      <c r="D313" s="45" t="n"/>
      <c r="E313" s="45" t="n"/>
      <c r="F313" s="45" t="n"/>
      <c r="G313" s="46">
        <f>IF($F313="","",IFERROR(INDEX(사건마스터!$B$5:$B$64,MATCH($F313,사건마스터!$A$5:$A$64,0)),""))</f>
        <v/>
      </c>
      <c r="H313" s="47">
        <f>IF($F313="","",IFERROR(INDEX(사건마스터!$C$5:$C$64,MATCH($F313,사건마스터!$A$5:$A$64,0)),""))</f>
        <v/>
      </c>
      <c r="I313" s="48">
        <f>IF($F313="","",IFERROR(INDEX(사건마스터!$H$5:$H$64,MATCH($F313,사건마스터!$A$5:$A$64,0)),""))</f>
        <v/>
      </c>
      <c r="J313" s="48">
        <f>IF($F313="","",IFERROR(INDEX(사건마스터!$AH$5:$AH$64,MATCH($F313,사건마스터!$A$5:$A$64,0)),""))</f>
        <v/>
      </c>
      <c r="K313" s="48">
        <f>IF($F313="","",IFERROR(INDEX(사건마스터!$AI$5:$AI$64,MATCH($F313,사건마스터!$A$5:$A$64,0)),""))</f>
        <v/>
      </c>
      <c r="L313" s="48">
        <f>IF($F313="","",IFERROR(INDEX(사건마스터!$AJ$5:$AJ$64,MATCH($F313,사건마스터!$A$5:$A$64,0)),""))</f>
        <v/>
      </c>
      <c r="M313" s="48">
        <f>IF($F313="","",IFERROR(INDEX(사건마스터!$AK$5:$AK$64,MATCH($F313,사건마스터!$A$5:$A$64,0)),""))</f>
        <v/>
      </c>
      <c r="N313" s="48">
        <f>IF($F313="","",IFERROR(INDEX(사건마스터!$AL$5:$AL$64,MATCH($F313,사건마스터!$A$5:$A$64,0)),""))</f>
        <v/>
      </c>
      <c r="O313" s="43">
        <f>IF($I313="","",COUNTIF($I313:$N313,"?*"))</f>
        <v/>
      </c>
      <c r="P313" s="46">
        <f>IF($I313="","",_xlfn.TEXTJOIN(", ",TRUE,$I313:$N313))</f>
        <v/>
      </c>
      <c r="Q313" s="47">
        <f>IF($I313="","",IFERROR(INDEX(코드설정!$D$5:$D$24,MATCH($I313,코드설정!$C$5:$C$24,0)),""))</f>
        <v/>
      </c>
      <c r="R313" s="49" t="n"/>
      <c r="S313" s="50" t="n"/>
      <c r="T313" s="51" t="n"/>
      <c r="U313" s="43">
        <f>IF(OR($B313="",$C313=""),"",$C313-$B313+1)</f>
        <v/>
      </c>
      <c r="V313" s="52" t="n"/>
      <c r="W313" s="53">
        <f>IF(OR($V313="",$O313=""),"",$V313*$O313)</f>
        <v/>
      </c>
      <c r="X313" s="45" t="n"/>
      <c r="Y313" s="49" t="n"/>
    </row>
    <row r="314">
      <c r="A314" s="43">
        <f>IF($B314="","",COUNT($B$5:$B314))</f>
        <v/>
      </c>
      <c r="B314" s="44" t="n"/>
      <c r="C314" s="44" t="n"/>
      <c r="D314" s="45" t="n"/>
      <c r="E314" s="45" t="n"/>
      <c r="F314" s="45" t="n"/>
      <c r="G314" s="46">
        <f>IF($F314="","",IFERROR(INDEX(사건마스터!$B$5:$B$64,MATCH($F314,사건마스터!$A$5:$A$64,0)),""))</f>
        <v/>
      </c>
      <c r="H314" s="47">
        <f>IF($F314="","",IFERROR(INDEX(사건마스터!$C$5:$C$64,MATCH($F314,사건마스터!$A$5:$A$64,0)),""))</f>
        <v/>
      </c>
      <c r="I314" s="48">
        <f>IF($F314="","",IFERROR(INDEX(사건마스터!$H$5:$H$64,MATCH($F314,사건마스터!$A$5:$A$64,0)),""))</f>
        <v/>
      </c>
      <c r="J314" s="48">
        <f>IF($F314="","",IFERROR(INDEX(사건마스터!$AH$5:$AH$64,MATCH($F314,사건마스터!$A$5:$A$64,0)),""))</f>
        <v/>
      </c>
      <c r="K314" s="48">
        <f>IF($F314="","",IFERROR(INDEX(사건마스터!$AI$5:$AI$64,MATCH($F314,사건마스터!$A$5:$A$64,0)),""))</f>
        <v/>
      </c>
      <c r="L314" s="48">
        <f>IF($F314="","",IFERROR(INDEX(사건마스터!$AJ$5:$AJ$64,MATCH($F314,사건마스터!$A$5:$A$64,0)),""))</f>
        <v/>
      </c>
      <c r="M314" s="48">
        <f>IF($F314="","",IFERROR(INDEX(사건마스터!$AK$5:$AK$64,MATCH($F314,사건마스터!$A$5:$A$64,0)),""))</f>
        <v/>
      </c>
      <c r="N314" s="48">
        <f>IF($F314="","",IFERROR(INDEX(사건마스터!$AL$5:$AL$64,MATCH($F314,사건마스터!$A$5:$A$64,0)),""))</f>
        <v/>
      </c>
      <c r="O314" s="43">
        <f>IF($I314="","",COUNTIF($I314:$N314,"?*"))</f>
        <v/>
      </c>
      <c r="P314" s="46">
        <f>IF($I314="","",_xlfn.TEXTJOIN(", ",TRUE,$I314:$N314))</f>
        <v/>
      </c>
      <c r="Q314" s="47">
        <f>IF($I314="","",IFERROR(INDEX(코드설정!$D$5:$D$24,MATCH($I314,코드설정!$C$5:$C$24,0)),""))</f>
        <v/>
      </c>
      <c r="R314" s="49" t="n"/>
      <c r="S314" s="50" t="n"/>
      <c r="T314" s="51" t="n"/>
      <c r="U314" s="43">
        <f>IF(OR($B314="",$C314=""),"",$C314-$B314+1)</f>
        <v/>
      </c>
      <c r="V314" s="52" t="n"/>
      <c r="W314" s="53">
        <f>IF(OR($V314="",$O314=""),"",$V314*$O314)</f>
        <v/>
      </c>
      <c r="X314" s="45" t="n"/>
      <c r="Y314" s="49" t="n"/>
    </row>
    <row r="315">
      <c r="A315" s="43">
        <f>IF($B315="","",COUNT($B$5:$B315))</f>
        <v/>
      </c>
      <c r="B315" s="44" t="n"/>
      <c r="C315" s="44" t="n"/>
      <c r="D315" s="45" t="n"/>
      <c r="E315" s="45" t="n"/>
      <c r="F315" s="45" t="n"/>
      <c r="G315" s="46">
        <f>IF($F315="","",IFERROR(INDEX(사건마스터!$B$5:$B$64,MATCH($F315,사건마스터!$A$5:$A$64,0)),""))</f>
        <v/>
      </c>
      <c r="H315" s="47">
        <f>IF($F315="","",IFERROR(INDEX(사건마스터!$C$5:$C$64,MATCH($F315,사건마스터!$A$5:$A$64,0)),""))</f>
        <v/>
      </c>
      <c r="I315" s="48">
        <f>IF($F315="","",IFERROR(INDEX(사건마스터!$H$5:$H$64,MATCH($F315,사건마스터!$A$5:$A$64,0)),""))</f>
        <v/>
      </c>
      <c r="J315" s="48">
        <f>IF($F315="","",IFERROR(INDEX(사건마스터!$AH$5:$AH$64,MATCH($F315,사건마스터!$A$5:$A$64,0)),""))</f>
        <v/>
      </c>
      <c r="K315" s="48">
        <f>IF($F315="","",IFERROR(INDEX(사건마스터!$AI$5:$AI$64,MATCH($F315,사건마스터!$A$5:$A$64,0)),""))</f>
        <v/>
      </c>
      <c r="L315" s="48">
        <f>IF($F315="","",IFERROR(INDEX(사건마스터!$AJ$5:$AJ$64,MATCH($F315,사건마스터!$A$5:$A$64,0)),""))</f>
        <v/>
      </c>
      <c r="M315" s="48">
        <f>IF($F315="","",IFERROR(INDEX(사건마스터!$AK$5:$AK$64,MATCH($F315,사건마스터!$A$5:$A$64,0)),""))</f>
        <v/>
      </c>
      <c r="N315" s="48">
        <f>IF($F315="","",IFERROR(INDEX(사건마스터!$AL$5:$AL$64,MATCH($F315,사건마스터!$A$5:$A$64,0)),""))</f>
        <v/>
      </c>
      <c r="O315" s="43">
        <f>IF($I315="","",COUNTIF($I315:$N315,"?*"))</f>
        <v/>
      </c>
      <c r="P315" s="46">
        <f>IF($I315="","",_xlfn.TEXTJOIN(", ",TRUE,$I315:$N315))</f>
        <v/>
      </c>
      <c r="Q315" s="47">
        <f>IF($I315="","",IFERROR(INDEX(코드설정!$D$5:$D$24,MATCH($I315,코드설정!$C$5:$C$24,0)),""))</f>
        <v/>
      </c>
      <c r="R315" s="49" t="n"/>
      <c r="S315" s="50" t="n"/>
      <c r="T315" s="51" t="n"/>
      <c r="U315" s="43">
        <f>IF(OR($B315="",$C315=""),"",$C315-$B315+1)</f>
        <v/>
      </c>
      <c r="V315" s="52" t="n"/>
      <c r="W315" s="53">
        <f>IF(OR($V315="",$O315=""),"",$V315*$O315)</f>
        <v/>
      </c>
      <c r="X315" s="45" t="n"/>
      <c r="Y315" s="49" t="n"/>
    </row>
    <row r="316">
      <c r="A316" s="43">
        <f>IF($B316="","",COUNT($B$5:$B316))</f>
        <v/>
      </c>
      <c r="B316" s="44" t="n"/>
      <c r="C316" s="44" t="n"/>
      <c r="D316" s="45" t="n"/>
      <c r="E316" s="45" t="n"/>
      <c r="F316" s="45" t="n"/>
      <c r="G316" s="46">
        <f>IF($F316="","",IFERROR(INDEX(사건마스터!$B$5:$B$64,MATCH($F316,사건마스터!$A$5:$A$64,0)),""))</f>
        <v/>
      </c>
      <c r="H316" s="47">
        <f>IF($F316="","",IFERROR(INDEX(사건마스터!$C$5:$C$64,MATCH($F316,사건마스터!$A$5:$A$64,0)),""))</f>
        <v/>
      </c>
      <c r="I316" s="48">
        <f>IF($F316="","",IFERROR(INDEX(사건마스터!$H$5:$H$64,MATCH($F316,사건마스터!$A$5:$A$64,0)),""))</f>
        <v/>
      </c>
      <c r="J316" s="48">
        <f>IF($F316="","",IFERROR(INDEX(사건마스터!$AH$5:$AH$64,MATCH($F316,사건마스터!$A$5:$A$64,0)),""))</f>
        <v/>
      </c>
      <c r="K316" s="48">
        <f>IF($F316="","",IFERROR(INDEX(사건마스터!$AI$5:$AI$64,MATCH($F316,사건마스터!$A$5:$A$64,0)),""))</f>
        <v/>
      </c>
      <c r="L316" s="48">
        <f>IF($F316="","",IFERROR(INDEX(사건마스터!$AJ$5:$AJ$64,MATCH($F316,사건마스터!$A$5:$A$64,0)),""))</f>
        <v/>
      </c>
      <c r="M316" s="48">
        <f>IF($F316="","",IFERROR(INDEX(사건마스터!$AK$5:$AK$64,MATCH($F316,사건마스터!$A$5:$A$64,0)),""))</f>
        <v/>
      </c>
      <c r="N316" s="48">
        <f>IF($F316="","",IFERROR(INDEX(사건마스터!$AL$5:$AL$64,MATCH($F316,사건마스터!$A$5:$A$64,0)),""))</f>
        <v/>
      </c>
      <c r="O316" s="43">
        <f>IF($I316="","",COUNTIF($I316:$N316,"?*"))</f>
        <v/>
      </c>
      <c r="P316" s="46">
        <f>IF($I316="","",_xlfn.TEXTJOIN(", ",TRUE,$I316:$N316))</f>
        <v/>
      </c>
      <c r="Q316" s="47">
        <f>IF($I316="","",IFERROR(INDEX(코드설정!$D$5:$D$24,MATCH($I316,코드설정!$C$5:$C$24,0)),""))</f>
        <v/>
      </c>
      <c r="R316" s="49" t="n"/>
      <c r="S316" s="50" t="n"/>
      <c r="T316" s="51" t="n"/>
      <c r="U316" s="43">
        <f>IF(OR($B316="",$C316=""),"",$C316-$B316+1)</f>
        <v/>
      </c>
      <c r="V316" s="52" t="n"/>
      <c r="W316" s="53">
        <f>IF(OR($V316="",$O316=""),"",$V316*$O316)</f>
        <v/>
      </c>
      <c r="X316" s="45" t="n"/>
      <c r="Y316" s="49" t="n"/>
    </row>
    <row r="317">
      <c r="A317" s="43">
        <f>IF($B317="","",COUNT($B$5:$B317))</f>
        <v/>
      </c>
      <c r="B317" s="44" t="n"/>
      <c r="C317" s="44" t="n"/>
      <c r="D317" s="45" t="n"/>
      <c r="E317" s="45" t="n"/>
      <c r="F317" s="45" t="n"/>
      <c r="G317" s="46">
        <f>IF($F317="","",IFERROR(INDEX(사건마스터!$B$5:$B$64,MATCH($F317,사건마스터!$A$5:$A$64,0)),""))</f>
        <v/>
      </c>
      <c r="H317" s="47">
        <f>IF($F317="","",IFERROR(INDEX(사건마스터!$C$5:$C$64,MATCH($F317,사건마스터!$A$5:$A$64,0)),""))</f>
        <v/>
      </c>
      <c r="I317" s="48">
        <f>IF($F317="","",IFERROR(INDEX(사건마스터!$H$5:$H$64,MATCH($F317,사건마스터!$A$5:$A$64,0)),""))</f>
        <v/>
      </c>
      <c r="J317" s="48">
        <f>IF($F317="","",IFERROR(INDEX(사건마스터!$AH$5:$AH$64,MATCH($F317,사건마스터!$A$5:$A$64,0)),""))</f>
        <v/>
      </c>
      <c r="K317" s="48">
        <f>IF($F317="","",IFERROR(INDEX(사건마스터!$AI$5:$AI$64,MATCH($F317,사건마스터!$A$5:$A$64,0)),""))</f>
        <v/>
      </c>
      <c r="L317" s="48">
        <f>IF($F317="","",IFERROR(INDEX(사건마스터!$AJ$5:$AJ$64,MATCH($F317,사건마스터!$A$5:$A$64,0)),""))</f>
        <v/>
      </c>
      <c r="M317" s="48">
        <f>IF($F317="","",IFERROR(INDEX(사건마스터!$AK$5:$AK$64,MATCH($F317,사건마스터!$A$5:$A$64,0)),""))</f>
        <v/>
      </c>
      <c r="N317" s="48">
        <f>IF($F317="","",IFERROR(INDEX(사건마스터!$AL$5:$AL$64,MATCH($F317,사건마스터!$A$5:$A$64,0)),""))</f>
        <v/>
      </c>
      <c r="O317" s="43">
        <f>IF($I317="","",COUNTIF($I317:$N317,"?*"))</f>
        <v/>
      </c>
      <c r="P317" s="46">
        <f>IF($I317="","",_xlfn.TEXTJOIN(", ",TRUE,$I317:$N317))</f>
        <v/>
      </c>
      <c r="Q317" s="47">
        <f>IF($I317="","",IFERROR(INDEX(코드설정!$D$5:$D$24,MATCH($I317,코드설정!$C$5:$C$24,0)),""))</f>
        <v/>
      </c>
      <c r="R317" s="49" t="n"/>
      <c r="S317" s="50" t="n"/>
      <c r="T317" s="51" t="n"/>
      <c r="U317" s="43">
        <f>IF(OR($B317="",$C317=""),"",$C317-$B317+1)</f>
        <v/>
      </c>
      <c r="V317" s="52" t="n"/>
      <c r="W317" s="53">
        <f>IF(OR($V317="",$O317=""),"",$V317*$O317)</f>
        <v/>
      </c>
      <c r="X317" s="45" t="n"/>
      <c r="Y317" s="49" t="n"/>
    </row>
    <row r="318">
      <c r="A318" s="43">
        <f>IF($B318="","",COUNT($B$5:$B318))</f>
        <v/>
      </c>
      <c r="B318" s="44" t="n"/>
      <c r="C318" s="44" t="n"/>
      <c r="D318" s="45" t="n"/>
      <c r="E318" s="45" t="n"/>
      <c r="F318" s="45" t="n"/>
      <c r="G318" s="46">
        <f>IF($F318="","",IFERROR(INDEX(사건마스터!$B$5:$B$64,MATCH($F318,사건마스터!$A$5:$A$64,0)),""))</f>
        <v/>
      </c>
      <c r="H318" s="47">
        <f>IF($F318="","",IFERROR(INDEX(사건마스터!$C$5:$C$64,MATCH($F318,사건마스터!$A$5:$A$64,0)),""))</f>
        <v/>
      </c>
      <c r="I318" s="48">
        <f>IF($F318="","",IFERROR(INDEX(사건마스터!$H$5:$H$64,MATCH($F318,사건마스터!$A$5:$A$64,0)),""))</f>
        <v/>
      </c>
      <c r="J318" s="48">
        <f>IF($F318="","",IFERROR(INDEX(사건마스터!$AH$5:$AH$64,MATCH($F318,사건마스터!$A$5:$A$64,0)),""))</f>
        <v/>
      </c>
      <c r="K318" s="48">
        <f>IF($F318="","",IFERROR(INDEX(사건마스터!$AI$5:$AI$64,MATCH($F318,사건마스터!$A$5:$A$64,0)),""))</f>
        <v/>
      </c>
      <c r="L318" s="48">
        <f>IF($F318="","",IFERROR(INDEX(사건마스터!$AJ$5:$AJ$64,MATCH($F318,사건마스터!$A$5:$A$64,0)),""))</f>
        <v/>
      </c>
      <c r="M318" s="48">
        <f>IF($F318="","",IFERROR(INDEX(사건마스터!$AK$5:$AK$64,MATCH($F318,사건마스터!$A$5:$A$64,0)),""))</f>
        <v/>
      </c>
      <c r="N318" s="48">
        <f>IF($F318="","",IFERROR(INDEX(사건마스터!$AL$5:$AL$64,MATCH($F318,사건마스터!$A$5:$A$64,0)),""))</f>
        <v/>
      </c>
      <c r="O318" s="43">
        <f>IF($I318="","",COUNTIF($I318:$N318,"?*"))</f>
        <v/>
      </c>
      <c r="P318" s="46">
        <f>IF($I318="","",_xlfn.TEXTJOIN(", ",TRUE,$I318:$N318))</f>
        <v/>
      </c>
      <c r="Q318" s="47">
        <f>IF($I318="","",IFERROR(INDEX(코드설정!$D$5:$D$24,MATCH($I318,코드설정!$C$5:$C$24,0)),""))</f>
        <v/>
      </c>
      <c r="R318" s="49" t="n"/>
      <c r="S318" s="50" t="n"/>
      <c r="T318" s="51" t="n"/>
      <c r="U318" s="43">
        <f>IF(OR($B318="",$C318=""),"",$C318-$B318+1)</f>
        <v/>
      </c>
      <c r="V318" s="52" t="n"/>
      <c r="W318" s="53">
        <f>IF(OR($V318="",$O318=""),"",$V318*$O318)</f>
        <v/>
      </c>
      <c r="X318" s="45" t="n"/>
      <c r="Y318" s="49" t="n"/>
    </row>
    <row r="319">
      <c r="A319" s="43">
        <f>IF($B319="","",COUNT($B$5:$B319))</f>
        <v/>
      </c>
      <c r="B319" s="44" t="n"/>
      <c r="C319" s="44" t="n"/>
      <c r="D319" s="45" t="n"/>
      <c r="E319" s="45" t="n"/>
      <c r="F319" s="45" t="n"/>
      <c r="G319" s="46">
        <f>IF($F319="","",IFERROR(INDEX(사건마스터!$B$5:$B$64,MATCH($F319,사건마스터!$A$5:$A$64,0)),""))</f>
        <v/>
      </c>
      <c r="H319" s="47">
        <f>IF($F319="","",IFERROR(INDEX(사건마스터!$C$5:$C$64,MATCH($F319,사건마스터!$A$5:$A$64,0)),""))</f>
        <v/>
      </c>
      <c r="I319" s="48">
        <f>IF($F319="","",IFERROR(INDEX(사건마스터!$H$5:$H$64,MATCH($F319,사건마스터!$A$5:$A$64,0)),""))</f>
        <v/>
      </c>
      <c r="J319" s="48">
        <f>IF($F319="","",IFERROR(INDEX(사건마스터!$AH$5:$AH$64,MATCH($F319,사건마스터!$A$5:$A$64,0)),""))</f>
        <v/>
      </c>
      <c r="K319" s="48">
        <f>IF($F319="","",IFERROR(INDEX(사건마스터!$AI$5:$AI$64,MATCH($F319,사건마스터!$A$5:$A$64,0)),""))</f>
        <v/>
      </c>
      <c r="L319" s="48">
        <f>IF($F319="","",IFERROR(INDEX(사건마스터!$AJ$5:$AJ$64,MATCH($F319,사건마스터!$A$5:$A$64,0)),""))</f>
        <v/>
      </c>
      <c r="M319" s="48">
        <f>IF($F319="","",IFERROR(INDEX(사건마스터!$AK$5:$AK$64,MATCH($F319,사건마스터!$A$5:$A$64,0)),""))</f>
        <v/>
      </c>
      <c r="N319" s="48">
        <f>IF($F319="","",IFERROR(INDEX(사건마스터!$AL$5:$AL$64,MATCH($F319,사건마스터!$A$5:$A$64,0)),""))</f>
        <v/>
      </c>
      <c r="O319" s="43">
        <f>IF($I319="","",COUNTIF($I319:$N319,"?*"))</f>
        <v/>
      </c>
      <c r="P319" s="46">
        <f>IF($I319="","",_xlfn.TEXTJOIN(", ",TRUE,$I319:$N319))</f>
        <v/>
      </c>
      <c r="Q319" s="47">
        <f>IF($I319="","",IFERROR(INDEX(코드설정!$D$5:$D$24,MATCH($I319,코드설정!$C$5:$C$24,0)),""))</f>
        <v/>
      </c>
      <c r="R319" s="49" t="n"/>
      <c r="S319" s="50" t="n"/>
      <c r="T319" s="51" t="n"/>
      <c r="U319" s="43">
        <f>IF(OR($B319="",$C319=""),"",$C319-$B319+1)</f>
        <v/>
      </c>
      <c r="V319" s="52" t="n"/>
      <c r="W319" s="53">
        <f>IF(OR($V319="",$O319=""),"",$V319*$O319)</f>
        <v/>
      </c>
      <c r="X319" s="45" t="n"/>
      <c r="Y319" s="49" t="n"/>
    </row>
    <row r="320">
      <c r="A320" s="43">
        <f>IF($B320="","",COUNT($B$5:$B320))</f>
        <v/>
      </c>
      <c r="B320" s="44" t="n"/>
      <c r="C320" s="44" t="n"/>
      <c r="D320" s="45" t="n"/>
      <c r="E320" s="45" t="n"/>
      <c r="F320" s="45" t="n"/>
      <c r="G320" s="46">
        <f>IF($F320="","",IFERROR(INDEX(사건마스터!$B$5:$B$64,MATCH($F320,사건마스터!$A$5:$A$64,0)),""))</f>
        <v/>
      </c>
      <c r="H320" s="47">
        <f>IF($F320="","",IFERROR(INDEX(사건마스터!$C$5:$C$64,MATCH($F320,사건마스터!$A$5:$A$64,0)),""))</f>
        <v/>
      </c>
      <c r="I320" s="48">
        <f>IF($F320="","",IFERROR(INDEX(사건마스터!$H$5:$H$64,MATCH($F320,사건마스터!$A$5:$A$64,0)),""))</f>
        <v/>
      </c>
      <c r="J320" s="48">
        <f>IF($F320="","",IFERROR(INDEX(사건마스터!$AH$5:$AH$64,MATCH($F320,사건마스터!$A$5:$A$64,0)),""))</f>
        <v/>
      </c>
      <c r="K320" s="48">
        <f>IF($F320="","",IFERROR(INDEX(사건마스터!$AI$5:$AI$64,MATCH($F320,사건마스터!$A$5:$A$64,0)),""))</f>
        <v/>
      </c>
      <c r="L320" s="48">
        <f>IF($F320="","",IFERROR(INDEX(사건마스터!$AJ$5:$AJ$64,MATCH($F320,사건마스터!$A$5:$A$64,0)),""))</f>
        <v/>
      </c>
      <c r="M320" s="48">
        <f>IF($F320="","",IFERROR(INDEX(사건마스터!$AK$5:$AK$64,MATCH($F320,사건마스터!$A$5:$A$64,0)),""))</f>
        <v/>
      </c>
      <c r="N320" s="48">
        <f>IF($F320="","",IFERROR(INDEX(사건마스터!$AL$5:$AL$64,MATCH($F320,사건마스터!$A$5:$A$64,0)),""))</f>
        <v/>
      </c>
      <c r="O320" s="43">
        <f>IF($I320="","",COUNTIF($I320:$N320,"?*"))</f>
        <v/>
      </c>
      <c r="P320" s="46">
        <f>IF($I320="","",_xlfn.TEXTJOIN(", ",TRUE,$I320:$N320))</f>
        <v/>
      </c>
      <c r="Q320" s="47">
        <f>IF($I320="","",IFERROR(INDEX(코드설정!$D$5:$D$24,MATCH($I320,코드설정!$C$5:$C$24,0)),""))</f>
        <v/>
      </c>
      <c r="R320" s="49" t="n"/>
      <c r="S320" s="50" t="n"/>
      <c r="T320" s="51" t="n"/>
      <c r="U320" s="43">
        <f>IF(OR($B320="",$C320=""),"",$C320-$B320+1)</f>
        <v/>
      </c>
      <c r="V320" s="52" t="n"/>
      <c r="W320" s="53">
        <f>IF(OR($V320="",$O320=""),"",$V320*$O320)</f>
        <v/>
      </c>
      <c r="X320" s="45" t="n"/>
      <c r="Y320" s="49" t="n"/>
    </row>
    <row r="321">
      <c r="A321" s="43">
        <f>IF($B321="","",COUNT($B$5:$B321))</f>
        <v/>
      </c>
      <c r="B321" s="44" t="n"/>
      <c r="C321" s="44" t="n"/>
      <c r="D321" s="45" t="n"/>
      <c r="E321" s="45" t="n"/>
      <c r="F321" s="45" t="n"/>
      <c r="G321" s="46">
        <f>IF($F321="","",IFERROR(INDEX(사건마스터!$B$5:$B$64,MATCH($F321,사건마스터!$A$5:$A$64,0)),""))</f>
        <v/>
      </c>
      <c r="H321" s="47">
        <f>IF($F321="","",IFERROR(INDEX(사건마스터!$C$5:$C$64,MATCH($F321,사건마스터!$A$5:$A$64,0)),""))</f>
        <v/>
      </c>
      <c r="I321" s="48">
        <f>IF($F321="","",IFERROR(INDEX(사건마스터!$H$5:$H$64,MATCH($F321,사건마스터!$A$5:$A$64,0)),""))</f>
        <v/>
      </c>
      <c r="J321" s="48">
        <f>IF($F321="","",IFERROR(INDEX(사건마스터!$AH$5:$AH$64,MATCH($F321,사건마스터!$A$5:$A$64,0)),""))</f>
        <v/>
      </c>
      <c r="K321" s="48">
        <f>IF($F321="","",IFERROR(INDEX(사건마스터!$AI$5:$AI$64,MATCH($F321,사건마스터!$A$5:$A$64,0)),""))</f>
        <v/>
      </c>
      <c r="L321" s="48">
        <f>IF($F321="","",IFERROR(INDEX(사건마스터!$AJ$5:$AJ$64,MATCH($F321,사건마스터!$A$5:$A$64,0)),""))</f>
        <v/>
      </c>
      <c r="M321" s="48">
        <f>IF($F321="","",IFERROR(INDEX(사건마스터!$AK$5:$AK$64,MATCH($F321,사건마스터!$A$5:$A$64,0)),""))</f>
        <v/>
      </c>
      <c r="N321" s="48">
        <f>IF($F321="","",IFERROR(INDEX(사건마스터!$AL$5:$AL$64,MATCH($F321,사건마스터!$A$5:$A$64,0)),""))</f>
        <v/>
      </c>
      <c r="O321" s="43">
        <f>IF($I321="","",COUNTIF($I321:$N321,"?*"))</f>
        <v/>
      </c>
      <c r="P321" s="46">
        <f>IF($I321="","",_xlfn.TEXTJOIN(", ",TRUE,$I321:$N321))</f>
        <v/>
      </c>
      <c r="Q321" s="47">
        <f>IF($I321="","",IFERROR(INDEX(코드설정!$D$5:$D$24,MATCH($I321,코드설정!$C$5:$C$24,0)),""))</f>
        <v/>
      </c>
      <c r="R321" s="49" t="n"/>
      <c r="S321" s="50" t="n"/>
      <c r="T321" s="51" t="n"/>
      <c r="U321" s="43">
        <f>IF(OR($B321="",$C321=""),"",$C321-$B321+1)</f>
        <v/>
      </c>
      <c r="V321" s="52" t="n"/>
      <c r="W321" s="53">
        <f>IF(OR($V321="",$O321=""),"",$V321*$O321)</f>
        <v/>
      </c>
      <c r="X321" s="45" t="n"/>
      <c r="Y321" s="49" t="n"/>
    </row>
    <row r="322">
      <c r="A322" s="43">
        <f>IF($B322="","",COUNT($B$5:$B322))</f>
        <v/>
      </c>
      <c r="B322" s="44" t="n"/>
      <c r="C322" s="44" t="n"/>
      <c r="D322" s="45" t="n"/>
      <c r="E322" s="45" t="n"/>
      <c r="F322" s="45" t="n"/>
      <c r="G322" s="46">
        <f>IF($F322="","",IFERROR(INDEX(사건마스터!$B$5:$B$64,MATCH($F322,사건마스터!$A$5:$A$64,0)),""))</f>
        <v/>
      </c>
      <c r="H322" s="47">
        <f>IF($F322="","",IFERROR(INDEX(사건마스터!$C$5:$C$64,MATCH($F322,사건마스터!$A$5:$A$64,0)),""))</f>
        <v/>
      </c>
      <c r="I322" s="48">
        <f>IF($F322="","",IFERROR(INDEX(사건마스터!$H$5:$H$64,MATCH($F322,사건마스터!$A$5:$A$64,0)),""))</f>
        <v/>
      </c>
      <c r="J322" s="48">
        <f>IF($F322="","",IFERROR(INDEX(사건마스터!$AH$5:$AH$64,MATCH($F322,사건마스터!$A$5:$A$64,0)),""))</f>
        <v/>
      </c>
      <c r="K322" s="48">
        <f>IF($F322="","",IFERROR(INDEX(사건마스터!$AI$5:$AI$64,MATCH($F322,사건마스터!$A$5:$A$64,0)),""))</f>
        <v/>
      </c>
      <c r="L322" s="48">
        <f>IF($F322="","",IFERROR(INDEX(사건마스터!$AJ$5:$AJ$64,MATCH($F322,사건마스터!$A$5:$A$64,0)),""))</f>
        <v/>
      </c>
      <c r="M322" s="48">
        <f>IF($F322="","",IFERROR(INDEX(사건마스터!$AK$5:$AK$64,MATCH($F322,사건마스터!$A$5:$A$64,0)),""))</f>
        <v/>
      </c>
      <c r="N322" s="48">
        <f>IF($F322="","",IFERROR(INDEX(사건마스터!$AL$5:$AL$64,MATCH($F322,사건마스터!$A$5:$A$64,0)),""))</f>
        <v/>
      </c>
      <c r="O322" s="43">
        <f>IF($I322="","",COUNTIF($I322:$N322,"?*"))</f>
        <v/>
      </c>
      <c r="P322" s="46">
        <f>IF($I322="","",_xlfn.TEXTJOIN(", ",TRUE,$I322:$N322))</f>
        <v/>
      </c>
      <c r="Q322" s="47">
        <f>IF($I322="","",IFERROR(INDEX(코드설정!$D$5:$D$24,MATCH($I322,코드설정!$C$5:$C$24,0)),""))</f>
        <v/>
      </c>
      <c r="R322" s="49" t="n"/>
      <c r="S322" s="50" t="n"/>
      <c r="T322" s="51" t="n"/>
      <c r="U322" s="43">
        <f>IF(OR($B322="",$C322=""),"",$C322-$B322+1)</f>
        <v/>
      </c>
      <c r="V322" s="52" t="n"/>
      <c r="W322" s="53">
        <f>IF(OR($V322="",$O322=""),"",$V322*$O322)</f>
        <v/>
      </c>
      <c r="X322" s="45" t="n"/>
      <c r="Y322" s="49" t="n"/>
    </row>
    <row r="323">
      <c r="A323" s="43">
        <f>IF($B323="","",COUNT($B$5:$B323))</f>
        <v/>
      </c>
      <c r="B323" s="44" t="n"/>
      <c r="C323" s="44" t="n"/>
      <c r="D323" s="45" t="n"/>
      <c r="E323" s="45" t="n"/>
      <c r="F323" s="45" t="n"/>
      <c r="G323" s="46">
        <f>IF($F323="","",IFERROR(INDEX(사건마스터!$B$5:$B$64,MATCH($F323,사건마스터!$A$5:$A$64,0)),""))</f>
        <v/>
      </c>
      <c r="H323" s="47">
        <f>IF($F323="","",IFERROR(INDEX(사건마스터!$C$5:$C$64,MATCH($F323,사건마스터!$A$5:$A$64,0)),""))</f>
        <v/>
      </c>
      <c r="I323" s="48">
        <f>IF($F323="","",IFERROR(INDEX(사건마스터!$H$5:$H$64,MATCH($F323,사건마스터!$A$5:$A$64,0)),""))</f>
        <v/>
      </c>
      <c r="J323" s="48">
        <f>IF($F323="","",IFERROR(INDEX(사건마스터!$AH$5:$AH$64,MATCH($F323,사건마스터!$A$5:$A$64,0)),""))</f>
        <v/>
      </c>
      <c r="K323" s="48">
        <f>IF($F323="","",IFERROR(INDEX(사건마스터!$AI$5:$AI$64,MATCH($F323,사건마스터!$A$5:$A$64,0)),""))</f>
        <v/>
      </c>
      <c r="L323" s="48">
        <f>IF($F323="","",IFERROR(INDEX(사건마스터!$AJ$5:$AJ$64,MATCH($F323,사건마스터!$A$5:$A$64,0)),""))</f>
        <v/>
      </c>
      <c r="M323" s="48">
        <f>IF($F323="","",IFERROR(INDEX(사건마스터!$AK$5:$AK$64,MATCH($F323,사건마스터!$A$5:$A$64,0)),""))</f>
        <v/>
      </c>
      <c r="N323" s="48">
        <f>IF($F323="","",IFERROR(INDEX(사건마스터!$AL$5:$AL$64,MATCH($F323,사건마스터!$A$5:$A$64,0)),""))</f>
        <v/>
      </c>
      <c r="O323" s="43">
        <f>IF($I323="","",COUNTIF($I323:$N323,"?*"))</f>
        <v/>
      </c>
      <c r="P323" s="46">
        <f>IF($I323="","",_xlfn.TEXTJOIN(", ",TRUE,$I323:$N323))</f>
        <v/>
      </c>
      <c r="Q323" s="47">
        <f>IF($I323="","",IFERROR(INDEX(코드설정!$D$5:$D$24,MATCH($I323,코드설정!$C$5:$C$24,0)),""))</f>
        <v/>
      </c>
      <c r="R323" s="49" t="n"/>
      <c r="S323" s="50" t="n"/>
      <c r="T323" s="51" t="n"/>
      <c r="U323" s="43">
        <f>IF(OR($B323="",$C323=""),"",$C323-$B323+1)</f>
        <v/>
      </c>
      <c r="V323" s="52" t="n"/>
      <c r="W323" s="53">
        <f>IF(OR($V323="",$O323=""),"",$V323*$O323)</f>
        <v/>
      </c>
      <c r="X323" s="45" t="n"/>
      <c r="Y323" s="49" t="n"/>
    </row>
    <row r="324">
      <c r="A324" s="43">
        <f>IF($B324="","",COUNT($B$5:$B324))</f>
        <v/>
      </c>
      <c r="B324" s="44" t="n"/>
      <c r="C324" s="44" t="n"/>
      <c r="D324" s="45" t="n"/>
      <c r="E324" s="45" t="n"/>
      <c r="F324" s="45" t="n"/>
      <c r="G324" s="46">
        <f>IF($F324="","",IFERROR(INDEX(사건마스터!$B$5:$B$64,MATCH($F324,사건마스터!$A$5:$A$64,0)),""))</f>
        <v/>
      </c>
      <c r="H324" s="47">
        <f>IF($F324="","",IFERROR(INDEX(사건마스터!$C$5:$C$64,MATCH($F324,사건마스터!$A$5:$A$64,0)),""))</f>
        <v/>
      </c>
      <c r="I324" s="48">
        <f>IF($F324="","",IFERROR(INDEX(사건마스터!$H$5:$H$64,MATCH($F324,사건마스터!$A$5:$A$64,0)),""))</f>
        <v/>
      </c>
      <c r="J324" s="48">
        <f>IF($F324="","",IFERROR(INDEX(사건마스터!$AH$5:$AH$64,MATCH($F324,사건마스터!$A$5:$A$64,0)),""))</f>
        <v/>
      </c>
      <c r="K324" s="48">
        <f>IF($F324="","",IFERROR(INDEX(사건마스터!$AI$5:$AI$64,MATCH($F324,사건마스터!$A$5:$A$64,0)),""))</f>
        <v/>
      </c>
      <c r="L324" s="48">
        <f>IF($F324="","",IFERROR(INDEX(사건마스터!$AJ$5:$AJ$64,MATCH($F324,사건마스터!$A$5:$A$64,0)),""))</f>
        <v/>
      </c>
      <c r="M324" s="48">
        <f>IF($F324="","",IFERROR(INDEX(사건마스터!$AK$5:$AK$64,MATCH($F324,사건마스터!$A$5:$A$64,0)),""))</f>
        <v/>
      </c>
      <c r="N324" s="48">
        <f>IF($F324="","",IFERROR(INDEX(사건마스터!$AL$5:$AL$64,MATCH($F324,사건마스터!$A$5:$A$64,0)),""))</f>
        <v/>
      </c>
      <c r="O324" s="43">
        <f>IF($I324="","",COUNTIF($I324:$N324,"?*"))</f>
        <v/>
      </c>
      <c r="P324" s="46">
        <f>IF($I324="","",_xlfn.TEXTJOIN(", ",TRUE,$I324:$N324))</f>
        <v/>
      </c>
      <c r="Q324" s="47">
        <f>IF($I324="","",IFERROR(INDEX(코드설정!$D$5:$D$24,MATCH($I324,코드설정!$C$5:$C$24,0)),""))</f>
        <v/>
      </c>
      <c r="R324" s="49" t="n"/>
      <c r="S324" s="50" t="n"/>
      <c r="T324" s="51" t="n"/>
      <c r="U324" s="43">
        <f>IF(OR($B324="",$C324=""),"",$C324-$B324+1)</f>
        <v/>
      </c>
      <c r="V324" s="52" t="n"/>
      <c r="W324" s="53">
        <f>IF(OR($V324="",$O324=""),"",$V324*$O324)</f>
        <v/>
      </c>
      <c r="X324" s="45" t="n"/>
      <c r="Y324" s="49" t="n"/>
    </row>
    <row r="325">
      <c r="A325" s="43">
        <f>IF($B325="","",COUNT($B$5:$B325))</f>
        <v/>
      </c>
      <c r="B325" s="44" t="n"/>
      <c r="C325" s="44" t="n"/>
      <c r="D325" s="45" t="n"/>
      <c r="E325" s="45" t="n"/>
      <c r="F325" s="45" t="n"/>
      <c r="G325" s="46">
        <f>IF($F325="","",IFERROR(INDEX(사건마스터!$B$5:$B$64,MATCH($F325,사건마스터!$A$5:$A$64,0)),""))</f>
        <v/>
      </c>
      <c r="H325" s="47">
        <f>IF($F325="","",IFERROR(INDEX(사건마스터!$C$5:$C$64,MATCH($F325,사건마스터!$A$5:$A$64,0)),""))</f>
        <v/>
      </c>
      <c r="I325" s="48">
        <f>IF($F325="","",IFERROR(INDEX(사건마스터!$H$5:$H$64,MATCH($F325,사건마스터!$A$5:$A$64,0)),""))</f>
        <v/>
      </c>
      <c r="J325" s="48">
        <f>IF($F325="","",IFERROR(INDEX(사건마스터!$AH$5:$AH$64,MATCH($F325,사건마스터!$A$5:$A$64,0)),""))</f>
        <v/>
      </c>
      <c r="K325" s="48">
        <f>IF($F325="","",IFERROR(INDEX(사건마스터!$AI$5:$AI$64,MATCH($F325,사건마스터!$A$5:$A$64,0)),""))</f>
        <v/>
      </c>
      <c r="L325" s="48">
        <f>IF($F325="","",IFERROR(INDEX(사건마스터!$AJ$5:$AJ$64,MATCH($F325,사건마스터!$A$5:$A$64,0)),""))</f>
        <v/>
      </c>
      <c r="M325" s="48">
        <f>IF($F325="","",IFERROR(INDEX(사건마스터!$AK$5:$AK$64,MATCH($F325,사건마스터!$A$5:$A$64,0)),""))</f>
        <v/>
      </c>
      <c r="N325" s="48">
        <f>IF($F325="","",IFERROR(INDEX(사건마스터!$AL$5:$AL$64,MATCH($F325,사건마스터!$A$5:$A$64,0)),""))</f>
        <v/>
      </c>
      <c r="O325" s="43">
        <f>IF($I325="","",COUNTIF($I325:$N325,"?*"))</f>
        <v/>
      </c>
      <c r="P325" s="46">
        <f>IF($I325="","",_xlfn.TEXTJOIN(", ",TRUE,$I325:$N325))</f>
        <v/>
      </c>
      <c r="Q325" s="47">
        <f>IF($I325="","",IFERROR(INDEX(코드설정!$D$5:$D$24,MATCH($I325,코드설정!$C$5:$C$24,0)),""))</f>
        <v/>
      </c>
      <c r="R325" s="49" t="n"/>
      <c r="S325" s="50" t="n"/>
      <c r="T325" s="51" t="n"/>
      <c r="U325" s="43">
        <f>IF(OR($B325="",$C325=""),"",$C325-$B325+1)</f>
        <v/>
      </c>
      <c r="V325" s="52" t="n"/>
      <c r="W325" s="53">
        <f>IF(OR($V325="",$O325=""),"",$V325*$O325)</f>
        <v/>
      </c>
      <c r="X325" s="45" t="n"/>
      <c r="Y325" s="49" t="n"/>
    </row>
    <row r="326">
      <c r="A326" s="43">
        <f>IF($B326="","",COUNT($B$5:$B326))</f>
        <v/>
      </c>
      <c r="B326" s="44" t="n"/>
      <c r="C326" s="44" t="n"/>
      <c r="D326" s="45" t="n"/>
      <c r="E326" s="45" t="n"/>
      <c r="F326" s="45" t="n"/>
      <c r="G326" s="46">
        <f>IF($F326="","",IFERROR(INDEX(사건마스터!$B$5:$B$64,MATCH($F326,사건마스터!$A$5:$A$64,0)),""))</f>
        <v/>
      </c>
      <c r="H326" s="47">
        <f>IF($F326="","",IFERROR(INDEX(사건마스터!$C$5:$C$64,MATCH($F326,사건마스터!$A$5:$A$64,0)),""))</f>
        <v/>
      </c>
      <c r="I326" s="48">
        <f>IF($F326="","",IFERROR(INDEX(사건마스터!$H$5:$H$64,MATCH($F326,사건마스터!$A$5:$A$64,0)),""))</f>
        <v/>
      </c>
      <c r="J326" s="48">
        <f>IF($F326="","",IFERROR(INDEX(사건마스터!$AH$5:$AH$64,MATCH($F326,사건마스터!$A$5:$A$64,0)),""))</f>
        <v/>
      </c>
      <c r="K326" s="48">
        <f>IF($F326="","",IFERROR(INDEX(사건마스터!$AI$5:$AI$64,MATCH($F326,사건마스터!$A$5:$A$64,0)),""))</f>
        <v/>
      </c>
      <c r="L326" s="48">
        <f>IF($F326="","",IFERROR(INDEX(사건마스터!$AJ$5:$AJ$64,MATCH($F326,사건마스터!$A$5:$A$64,0)),""))</f>
        <v/>
      </c>
      <c r="M326" s="48">
        <f>IF($F326="","",IFERROR(INDEX(사건마스터!$AK$5:$AK$64,MATCH($F326,사건마스터!$A$5:$A$64,0)),""))</f>
        <v/>
      </c>
      <c r="N326" s="48">
        <f>IF($F326="","",IFERROR(INDEX(사건마스터!$AL$5:$AL$64,MATCH($F326,사건마스터!$A$5:$A$64,0)),""))</f>
        <v/>
      </c>
      <c r="O326" s="43">
        <f>IF($I326="","",COUNTIF($I326:$N326,"?*"))</f>
        <v/>
      </c>
      <c r="P326" s="46">
        <f>IF($I326="","",_xlfn.TEXTJOIN(", ",TRUE,$I326:$N326))</f>
        <v/>
      </c>
      <c r="Q326" s="47">
        <f>IF($I326="","",IFERROR(INDEX(코드설정!$D$5:$D$24,MATCH($I326,코드설정!$C$5:$C$24,0)),""))</f>
        <v/>
      </c>
      <c r="R326" s="49" t="n"/>
      <c r="S326" s="50" t="n"/>
      <c r="T326" s="51" t="n"/>
      <c r="U326" s="43">
        <f>IF(OR($B326="",$C326=""),"",$C326-$B326+1)</f>
        <v/>
      </c>
      <c r="V326" s="52" t="n"/>
      <c r="W326" s="53">
        <f>IF(OR($V326="",$O326=""),"",$V326*$O326)</f>
        <v/>
      </c>
      <c r="X326" s="45" t="n"/>
      <c r="Y326" s="49" t="n"/>
    </row>
    <row r="327">
      <c r="A327" s="43">
        <f>IF($B327="","",COUNT($B$5:$B327))</f>
        <v/>
      </c>
      <c r="B327" s="44" t="n"/>
      <c r="C327" s="44" t="n"/>
      <c r="D327" s="45" t="n"/>
      <c r="E327" s="45" t="n"/>
      <c r="F327" s="45" t="n"/>
      <c r="G327" s="46">
        <f>IF($F327="","",IFERROR(INDEX(사건마스터!$B$5:$B$64,MATCH($F327,사건마스터!$A$5:$A$64,0)),""))</f>
        <v/>
      </c>
      <c r="H327" s="47">
        <f>IF($F327="","",IFERROR(INDEX(사건마스터!$C$5:$C$64,MATCH($F327,사건마스터!$A$5:$A$64,0)),""))</f>
        <v/>
      </c>
      <c r="I327" s="48">
        <f>IF($F327="","",IFERROR(INDEX(사건마스터!$H$5:$H$64,MATCH($F327,사건마스터!$A$5:$A$64,0)),""))</f>
        <v/>
      </c>
      <c r="J327" s="48">
        <f>IF($F327="","",IFERROR(INDEX(사건마스터!$AH$5:$AH$64,MATCH($F327,사건마스터!$A$5:$A$64,0)),""))</f>
        <v/>
      </c>
      <c r="K327" s="48">
        <f>IF($F327="","",IFERROR(INDEX(사건마스터!$AI$5:$AI$64,MATCH($F327,사건마스터!$A$5:$A$64,0)),""))</f>
        <v/>
      </c>
      <c r="L327" s="48">
        <f>IF($F327="","",IFERROR(INDEX(사건마스터!$AJ$5:$AJ$64,MATCH($F327,사건마스터!$A$5:$A$64,0)),""))</f>
        <v/>
      </c>
      <c r="M327" s="48">
        <f>IF($F327="","",IFERROR(INDEX(사건마스터!$AK$5:$AK$64,MATCH($F327,사건마스터!$A$5:$A$64,0)),""))</f>
        <v/>
      </c>
      <c r="N327" s="48">
        <f>IF($F327="","",IFERROR(INDEX(사건마스터!$AL$5:$AL$64,MATCH($F327,사건마스터!$A$5:$A$64,0)),""))</f>
        <v/>
      </c>
      <c r="O327" s="43">
        <f>IF($I327="","",COUNTIF($I327:$N327,"?*"))</f>
        <v/>
      </c>
      <c r="P327" s="46">
        <f>IF($I327="","",_xlfn.TEXTJOIN(", ",TRUE,$I327:$N327))</f>
        <v/>
      </c>
      <c r="Q327" s="47">
        <f>IF($I327="","",IFERROR(INDEX(코드설정!$D$5:$D$24,MATCH($I327,코드설정!$C$5:$C$24,0)),""))</f>
        <v/>
      </c>
      <c r="R327" s="49" t="n"/>
      <c r="S327" s="50" t="n"/>
      <c r="T327" s="51" t="n"/>
      <c r="U327" s="43">
        <f>IF(OR($B327="",$C327=""),"",$C327-$B327+1)</f>
        <v/>
      </c>
      <c r="V327" s="52" t="n"/>
      <c r="W327" s="53">
        <f>IF(OR($V327="",$O327=""),"",$V327*$O327)</f>
        <v/>
      </c>
      <c r="X327" s="45" t="n"/>
      <c r="Y327" s="49" t="n"/>
    </row>
    <row r="328">
      <c r="A328" s="43">
        <f>IF($B328="","",COUNT($B$5:$B328))</f>
        <v/>
      </c>
      <c r="B328" s="44" t="n"/>
      <c r="C328" s="44" t="n"/>
      <c r="D328" s="45" t="n"/>
      <c r="E328" s="45" t="n"/>
      <c r="F328" s="45" t="n"/>
      <c r="G328" s="46">
        <f>IF($F328="","",IFERROR(INDEX(사건마스터!$B$5:$B$64,MATCH($F328,사건마스터!$A$5:$A$64,0)),""))</f>
        <v/>
      </c>
      <c r="H328" s="47">
        <f>IF($F328="","",IFERROR(INDEX(사건마스터!$C$5:$C$64,MATCH($F328,사건마스터!$A$5:$A$64,0)),""))</f>
        <v/>
      </c>
      <c r="I328" s="48">
        <f>IF($F328="","",IFERROR(INDEX(사건마스터!$H$5:$H$64,MATCH($F328,사건마스터!$A$5:$A$64,0)),""))</f>
        <v/>
      </c>
      <c r="J328" s="48">
        <f>IF($F328="","",IFERROR(INDEX(사건마스터!$AH$5:$AH$64,MATCH($F328,사건마스터!$A$5:$A$64,0)),""))</f>
        <v/>
      </c>
      <c r="K328" s="48">
        <f>IF($F328="","",IFERROR(INDEX(사건마스터!$AI$5:$AI$64,MATCH($F328,사건마스터!$A$5:$A$64,0)),""))</f>
        <v/>
      </c>
      <c r="L328" s="48">
        <f>IF($F328="","",IFERROR(INDEX(사건마스터!$AJ$5:$AJ$64,MATCH($F328,사건마스터!$A$5:$A$64,0)),""))</f>
        <v/>
      </c>
      <c r="M328" s="48">
        <f>IF($F328="","",IFERROR(INDEX(사건마스터!$AK$5:$AK$64,MATCH($F328,사건마스터!$A$5:$A$64,0)),""))</f>
        <v/>
      </c>
      <c r="N328" s="48">
        <f>IF($F328="","",IFERROR(INDEX(사건마스터!$AL$5:$AL$64,MATCH($F328,사건마스터!$A$5:$A$64,0)),""))</f>
        <v/>
      </c>
      <c r="O328" s="43">
        <f>IF($I328="","",COUNTIF($I328:$N328,"?*"))</f>
        <v/>
      </c>
      <c r="P328" s="46">
        <f>IF($I328="","",_xlfn.TEXTJOIN(", ",TRUE,$I328:$N328))</f>
        <v/>
      </c>
      <c r="Q328" s="47">
        <f>IF($I328="","",IFERROR(INDEX(코드설정!$D$5:$D$24,MATCH($I328,코드설정!$C$5:$C$24,0)),""))</f>
        <v/>
      </c>
      <c r="R328" s="49" t="n"/>
      <c r="S328" s="50" t="n"/>
      <c r="T328" s="51" t="n"/>
      <c r="U328" s="43">
        <f>IF(OR($B328="",$C328=""),"",$C328-$B328+1)</f>
        <v/>
      </c>
      <c r="V328" s="52" t="n"/>
      <c r="W328" s="53">
        <f>IF(OR($V328="",$O328=""),"",$V328*$O328)</f>
        <v/>
      </c>
      <c r="X328" s="45" t="n"/>
      <c r="Y328" s="49" t="n"/>
    </row>
    <row r="329">
      <c r="A329" s="43">
        <f>IF($B329="","",COUNT($B$5:$B329))</f>
        <v/>
      </c>
      <c r="B329" s="44" t="n"/>
      <c r="C329" s="44" t="n"/>
      <c r="D329" s="45" t="n"/>
      <c r="E329" s="45" t="n"/>
      <c r="F329" s="45" t="n"/>
      <c r="G329" s="46">
        <f>IF($F329="","",IFERROR(INDEX(사건마스터!$B$5:$B$64,MATCH($F329,사건마스터!$A$5:$A$64,0)),""))</f>
        <v/>
      </c>
      <c r="H329" s="47">
        <f>IF($F329="","",IFERROR(INDEX(사건마스터!$C$5:$C$64,MATCH($F329,사건마스터!$A$5:$A$64,0)),""))</f>
        <v/>
      </c>
      <c r="I329" s="48">
        <f>IF($F329="","",IFERROR(INDEX(사건마스터!$H$5:$H$64,MATCH($F329,사건마스터!$A$5:$A$64,0)),""))</f>
        <v/>
      </c>
      <c r="J329" s="48">
        <f>IF($F329="","",IFERROR(INDEX(사건마스터!$AH$5:$AH$64,MATCH($F329,사건마스터!$A$5:$A$64,0)),""))</f>
        <v/>
      </c>
      <c r="K329" s="48">
        <f>IF($F329="","",IFERROR(INDEX(사건마스터!$AI$5:$AI$64,MATCH($F329,사건마스터!$A$5:$A$64,0)),""))</f>
        <v/>
      </c>
      <c r="L329" s="48">
        <f>IF($F329="","",IFERROR(INDEX(사건마스터!$AJ$5:$AJ$64,MATCH($F329,사건마스터!$A$5:$A$64,0)),""))</f>
        <v/>
      </c>
      <c r="M329" s="48">
        <f>IF($F329="","",IFERROR(INDEX(사건마스터!$AK$5:$AK$64,MATCH($F329,사건마스터!$A$5:$A$64,0)),""))</f>
        <v/>
      </c>
      <c r="N329" s="48">
        <f>IF($F329="","",IFERROR(INDEX(사건마스터!$AL$5:$AL$64,MATCH($F329,사건마스터!$A$5:$A$64,0)),""))</f>
        <v/>
      </c>
      <c r="O329" s="43">
        <f>IF($I329="","",COUNTIF($I329:$N329,"?*"))</f>
        <v/>
      </c>
      <c r="P329" s="46">
        <f>IF($I329="","",_xlfn.TEXTJOIN(", ",TRUE,$I329:$N329))</f>
        <v/>
      </c>
      <c r="Q329" s="47">
        <f>IF($I329="","",IFERROR(INDEX(코드설정!$D$5:$D$24,MATCH($I329,코드설정!$C$5:$C$24,0)),""))</f>
        <v/>
      </c>
      <c r="R329" s="49" t="n"/>
      <c r="S329" s="50" t="n"/>
      <c r="T329" s="51" t="n"/>
      <c r="U329" s="43">
        <f>IF(OR($B329="",$C329=""),"",$C329-$B329+1)</f>
        <v/>
      </c>
      <c r="V329" s="52" t="n"/>
      <c r="W329" s="53">
        <f>IF(OR($V329="",$O329=""),"",$V329*$O329)</f>
        <v/>
      </c>
      <c r="X329" s="45" t="n"/>
      <c r="Y329" s="49" t="n"/>
    </row>
    <row r="330">
      <c r="A330" s="43">
        <f>IF($B330="","",COUNT($B$5:$B330))</f>
        <v/>
      </c>
      <c r="B330" s="44" t="n"/>
      <c r="C330" s="44" t="n"/>
      <c r="D330" s="45" t="n"/>
      <c r="E330" s="45" t="n"/>
      <c r="F330" s="45" t="n"/>
      <c r="G330" s="46">
        <f>IF($F330="","",IFERROR(INDEX(사건마스터!$B$5:$B$64,MATCH($F330,사건마스터!$A$5:$A$64,0)),""))</f>
        <v/>
      </c>
      <c r="H330" s="47">
        <f>IF($F330="","",IFERROR(INDEX(사건마스터!$C$5:$C$64,MATCH($F330,사건마스터!$A$5:$A$64,0)),""))</f>
        <v/>
      </c>
      <c r="I330" s="48">
        <f>IF($F330="","",IFERROR(INDEX(사건마스터!$H$5:$H$64,MATCH($F330,사건마스터!$A$5:$A$64,0)),""))</f>
        <v/>
      </c>
      <c r="J330" s="48">
        <f>IF($F330="","",IFERROR(INDEX(사건마스터!$AH$5:$AH$64,MATCH($F330,사건마스터!$A$5:$A$64,0)),""))</f>
        <v/>
      </c>
      <c r="K330" s="48">
        <f>IF($F330="","",IFERROR(INDEX(사건마스터!$AI$5:$AI$64,MATCH($F330,사건마스터!$A$5:$A$64,0)),""))</f>
        <v/>
      </c>
      <c r="L330" s="48">
        <f>IF($F330="","",IFERROR(INDEX(사건마스터!$AJ$5:$AJ$64,MATCH($F330,사건마스터!$A$5:$A$64,0)),""))</f>
        <v/>
      </c>
      <c r="M330" s="48">
        <f>IF($F330="","",IFERROR(INDEX(사건마스터!$AK$5:$AK$64,MATCH($F330,사건마스터!$A$5:$A$64,0)),""))</f>
        <v/>
      </c>
      <c r="N330" s="48">
        <f>IF($F330="","",IFERROR(INDEX(사건마스터!$AL$5:$AL$64,MATCH($F330,사건마스터!$A$5:$A$64,0)),""))</f>
        <v/>
      </c>
      <c r="O330" s="43">
        <f>IF($I330="","",COUNTIF($I330:$N330,"?*"))</f>
        <v/>
      </c>
      <c r="P330" s="46">
        <f>IF($I330="","",_xlfn.TEXTJOIN(", ",TRUE,$I330:$N330))</f>
        <v/>
      </c>
      <c r="Q330" s="47">
        <f>IF($I330="","",IFERROR(INDEX(코드설정!$D$5:$D$24,MATCH($I330,코드설정!$C$5:$C$24,0)),""))</f>
        <v/>
      </c>
      <c r="R330" s="49" t="n"/>
      <c r="S330" s="50" t="n"/>
      <c r="T330" s="51" t="n"/>
      <c r="U330" s="43">
        <f>IF(OR($B330="",$C330=""),"",$C330-$B330+1)</f>
        <v/>
      </c>
      <c r="V330" s="52" t="n"/>
      <c r="W330" s="53">
        <f>IF(OR($V330="",$O330=""),"",$V330*$O330)</f>
        <v/>
      </c>
      <c r="X330" s="45" t="n"/>
      <c r="Y330" s="49" t="n"/>
    </row>
    <row r="331">
      <c r="A331" s="43">
        <f>IF($B331="","",COUNT($B$5:$B331))</f>
        <v/>
      </c>
      <c r="B331" s="44" t="n"/>
      <c r="C331" s="44" t="n"/>
      <c r="D331" s="45" t="n"/>
      <c r="E331" s="45" t="n"/>
      <c r="F331" s="45" t="n"/>
      <c r="G331" s="46">
        <f>IF($F331="","",IFERROR(INDEX(사건마스터!$B$5:$B$64,MATCH($F331,사건마스터!$A$5:$A$64,0)),""))</f>
        <v/>
      </c>
      <c r="H331" s="47">
        <f>IF($F331="","",IFERROR(INDEX(사건마스터!$C$5:$C$64,MATCH($F331,사건마스터!$A$5:$A$64,0)),""))</f>
        <v/>
      </c>
      <c r="I331" s="48">
        <f>IF($F331="","",IFERROR(INDEX(사건마스터!$H$5:$H$64,MATCH($F331,사건마스터!$A$5:$A$64,0)),""))</f>
        <v/>
      </c>
      <c r="J331" s="48">
        <f>IF($F331="","",IFERROR(INDEX(사건마스터!$AH$5:$AH$64,MATCH($F331,사건마스터!$A$5:$A$64,0)),""))</f>
        <v/>
      </c>
      <c r="K331" s="48">
        <f>IF($F331="","",IFERROR(INDEX(사건마스터!$AI$5:$AI$64,MATCH($F331,사건마스터!$A$5:$A$64,0)),""))</f>
        <v/>
      </c>
      <c r="L331" s="48">
        <f>IF($F331="","",IFERROR(INDEX(사건마스터!$AJ$5:$AJ$64,MATCH($F331,사건마스터!$A$5:$A$64,0)),""))</f>
        <v/>
      </c>
      <c r="M331" s="48">
        <f>IF($F331="","",IFERROR(INDEX(사건마스터!$AK$5:$AK$64,MATCH($F331,사건마스터!$A$5:$A$64,0)),""))</f>
        <v/>
      </c>
      <c r="N331" s="48">
        <f>IF($F331="","",IFERROR(INDEX(사건마스터!$AL$5:$AL$64,MATCH($F331,사건마스터!$A$5:$A$64,0)),""))</f>
        <v/>
      </c>
      <c r="O331" s="43">
        <f>IF($I331="","",COUNTIF($I331:$N331,"?*"))</f>
        <v/>
      </c>
      <c r="P331" s="46">
        <f>IF($I331="","",_xlfn.TEXTJOIN(", ",TRUE,$I331:$N331))</f>
        <v/>
      </c>
      <c r="Q331" s="47">
        <f>IF($I331="","",IFERROR(INDEX(코드설정!$D$5:$D$24,MATCH($I331,코드설정!$C$5:$C$24,0)),""))</f>
        <v/>
      </c>
      <c r="R331" s="49" t="n"/>
      <c r="S331" s="50" t="n"/>
      <c r="T331" s="51" t="n"/>
      <c r="U331" s="43">
        <f>IF(OR($B331="",$C331=""),"",$C331-$B331+1)</f>
        <v/>
      </c>
      <c r="V331" s="52" t="n"/>
      <c r="W331" s="53">
        <f>IF(OR($V331="",$O331=""),"",$V331*$O331)</f>
        <v/>
      </c>
      <c r="X331" s="45" t="n"/>
      <c r="Y331" s="49" t="n"/>
    </row>
    <row r="332">
      <c r="A332" s="43">
        <f>IF($B332="","",COUNT($B$5:$B332))</f>
        <v/>
      </c>
      <c r="B332" s="44" t="n"/>
      <c r="C332" s="44" t="n"/>
      <c r="D332" s="45" t="n"/>
      <c r="E332" s="45" t="n"/>
      <c r="F332" s="45" t="n"/>
      <c r="G332" s="46">
        <f>IF($F332="","",IFERROR(INDEX(사건마스터!$B$5:$B$64,MATCH($F332,사건마스터!$A$5:$A$64,0)),""))</f>
        <v/>
      </c>
      <c r="H332" s="47">
        <f>IF($F332="","",IFERROR(INDEX(사건마스터!$C$5:$C$64,MATCH($F332,사건마스터!$A$5:$A$64,0)),""))</f>
        <v/>
      </c>
      <c r="I332" s="48">
        <f>IF($F332="","",IFERROR(INDEX(사건마스터!$H$5:$H$64,MATCH($F332,사건마스터!$A$5:$A$64,0)),""))</f>
        <v/>
      </c>
      <c r="J332" s="48">
        <f>IF($F332="","",IFERROR(INDEX(사건마스터!$AH$5:$AH$64,MATCH($F332,사건마스터!$A$5:$A$64,0)),""))</f>
        <v/>
      </c>
      <c r="K332" s="48">
        <f>IF($F332="","",IFERROR(INDEX(사건마스터!$AI$5:$AI$64,MATCH($F332,사건마스터!$A$5:$A$64,0)),""))</f>
        <v/>
      </c>
      <c r="L332" s="48">
        <f>IF($F332="","",IFERROR(INDEX(사건마스터!$AJ$5:$AJ$64,MATCH($F332,사건마스터!$A$5:$A$64,0)),""))</f>
        <v/>
      </c>
      <c r="M332" s="48">
        <f>IF($F332="","",IFERROR(INDEX(사건마스터!$AK$5:$AK$64,MATCH($F332,사건마스터!$A$5:$A$64,0)),""))</f>
        <v/>
      </c>
      <c r="N332" s="48">
        <f>IF($F332="","",IFERROR(INDEX(사건마스터!$AL$5:$AL$64,MATCH($F332,사건마스터!$A$5:$A$64,0)),""))</f>
        <v/>
      </c>
      <c r="O332" s="43">
        <f>IF($I332="","",COUNTIF($I332:$N332,"?*"))</f>
        <v/>
      </c>
      <c r="P332" s="46">
        <f>IF($I332="","",_xlfn.TEXTJOIN(", ",TRUE,$I332:$N332))</f>
        <v/>
      </c>
      <c r="Q332" s="47">
        <f>IF($I332="","",IFERROR(INDEX(코드설정!$D$5:$D$24,MATCH($I332,코드설정!$C$5:$C$24,0)),""))</f>
        <v/>
      </c>
      <c r="R332" s="49" t="n"/>
      <c r="S332" s="50" t="n"/>
      <c r="T332" s="51" t="n"/>
      <c r="U332" s="43">
        <f>IF(OR($B332="",$C332=""),"",$C332-$B332+1)</f>
        <v/>
      </c>
      <c r="V332" s="52" t="n"/>
      <c r="W332" s="53">
        <f>IF(OR($V332="",$O332=""),"",$V332*$O332)</f>
        <v/>
      </c>
      <c r="X332" s="45" t="n"/>
      <c r="Y332" s="49" t="n"/>
    </row>
    <row r="333">
      <c r="A333" s="43">
        <f>IF($B333="","",COUNT($B$5:$B333))</f>
        <v/>
      </c>
      <c r="B333" s="44" t="n"/>
      <c r="C333" s="44" t="n"/>
      <c r="D333" s="45" t="n"/>
      <c r="E333" s="45" t="n"/>
      <c r="F333" s="45" t="n"/>
      <c r="G333" s="46">
        <f>IF($F333="","",IFERROR(INDEX(사건마스터!$B$5:$B$64,MATCH($F333,사건마스터!$A$5:$A$64,0)),""))</f>
        <v/>
      </c>
      <c r="H333" s="47">
        <f>IF($F333="","",IFERROR(INDEX(사건마스터!$C$5:$C$64,MATCH($F333,사건마스터!$A$5:$A$64,0)),""))</f>
        <v/>
      </c>
      <c r="I333" s="48">
        <f>IF($F333="","",IFERROR(INDEX(사건마스터!$H$5:$H$64,MATCH($F333,사건마스터!$A$5:$A$64,0)),""))</f>
        <v/>
      </c>
      <c r="J333" s="48">
        <f>IF($F333="","",IFERROR(INDEX(사건마스터!$AH$5:$AH$64,MATCH($F333,사건마스터!$A$5:$A$64,0)),""))</f>
        <v/>
      </c>
      <c r="K333" s="48">
        <f>IF($F333="","",IFERROR(INDEX(사건마스터!$AI$5:$AI$64,MATCH($F333,사건마스터!$A$5:$A$64,0)),""))</f>
        <v/>
      </c>
      <c r="L333" s="48">
        <f>IF($F333="","",IFERROR(INDEX(사건마스터!$AJ$5:$AJ$64,MATCH($F333,사건마스터!$A$5:$A$64,0)),""))</f>
        <v/>
      </c>
      <c r="M333" s="48">
        <f>IF($F333="","",IFERROR(INDEX(사건마스터!$AK$5:$AK$64,MATCH($F333,사건마스터!$A$5:$A$64,0)),""))</f>
        <v/>
      </c>
      <c r="N333" s="48">
        <f>IF($F333="","",IFERROR(INDEX(사건마스터!$AL$5:$AL$64,MATCH($F333,사건마스터!$A$5:$A$64,0)),""))</f>
        <v/>
      </c>
      <c r="O333" s="43">
        <f>IF($I333="","",COUNTIF($I333:$N333,"?*"))</f>
        <v/>
      </c>
      <c r="P333" s="46">
        <f>IF($I333="","",_xlfn.TEXTJOIN(", ",TRUE,$I333:$N333))</f>
        <v/>
      </c>
      <c r="Q333" s="47">
        <f>IF($I333="","",IFERROR(INDEX(코드설정!$D$5:$D$24,MATCH($I333,코드설정!$C$5:$C$24,0)),""))</f>
        <v/>
      </c>
      <c r="R333" s="49" t="n"/>
      <c r="S333" s="50" t="n"/>
      <c r="T333" s="51" t="n"/>
      <c r="U333" s="43">
        <f>IF(OR($B333="",$C333=""),"",$C333-$B333+1)</f>
        <v/>
      </c>
      <c r="V333" s="52" t="n"/>
      <c r="W333" s="53">
        <f>IF(OR($V333="",$O333=""),"",$V333*$O333)</f>
        <v/>
      </c>
      <c r="X333" s="45" t="n"/>
      <c r="Y333" s="49" t="n"/>
    </row>
    <row r="334">
      <c r="A334" s="43">
        <f>IF($B334="","",COUNT($B$5:$B334))</f>
        <v/>
      </c>
      <c r="B334" s="44" t="n"/>
      <c r="C334" s="44" t="n"/>
      <c r="D334" s="45" t="n"/>
      <c r="E334" s="45" t="n"/>
      <c r="F334" s="45" t="n"/>
      <c r="G334" s="46">
        <f>IF($F334="","",IFERROR(INDEX(사건마스터!$B$5:$B$64,MATCH($F334,사건마스터!$A$5:$A$64,0)),""))</f>
        <v/>
      </c>
      <c r="H334" s="47">
        <f>IF($F334="","",IFERROR(INDEX(사건마스터!$C$5:$C$64,MATCH($F334,사건마스터!$A$5:$A$64,0)),""))</f>
        <v/>
      </c>
      <c r="I334" s="48">
        <f>IF($F334="","",IFERROR(INDEX(사건마스터!$H$5:$H$64,MATCH($F334,사건마스터!$A$5:$A$64,0)),""))</f>
        <v/>
      </c>
      <c r="J334" s="48">
        <f>IF($F334="","",IFERROR(INDEX(사건마스터!$AH$5:$AH$64,MATCH($F334,사건마스터!$A$5:$A$64,0)),""))</f>
        <v/>
      </c>
      <c r="K334" s="48">
        <f>IF($F334="","",IFERROR(INDEX(사건마스터!$AI$5:$AI$64,MATCH($F334,사건마스터!$A$5:$A$64,0)),""))</f>
        <v/>
      </c>
      <c r="L334" s="48">
        <f>IF($F334="","",IFERROR(INDEX(사건마스터!$AJ$5:$AJ$64,MATCH($F334,사건마스터!$A$5:$A$64,0)),""))</f>
        <v/>
      </c>
      <c r="M334" s="48">
        <f>IF($F334="","",IFERROR(INDEX(사건마스터!$AK$5:$AK$64,MATCH($F334,사건마스터!$A$5:$A$64,0)),""))</f>
        <v/>
      </c>
      <c r="N334" s="48">
        <f>IF($F334="","",IFERROR(INDEX(사건마스터!$AL$5:$AL$64,MATCH($F334,사건마스터!$A$5:$A$64,0)),""))</f>
        <v/>
      </c>
      <c r="O334" s="43">
        <f>IF($I334="","",COUNTIF($I334:$N334,"?*"))</f>
        <v/>
      </c>
      <c r="P334" s="46">
        <f>IF($I334="","",_xlfn.TEXTJOIN(", ",TRUE,$I334:$N334))</f>
        <v/>
      </c>
      <c r="Q334" s="47">
        <f>IF($I334="","",IFERROR(INDEX(코드설정!$D$5:$D$24,MATCH($I334,코드설정!$C$5:$C$24,0)),""))</f>
        <v/>
      </c>
      <c r="R334" s="49" t="n"/>
      <c r="S334" s="50" t="n"/>
      <c r="T334" s="51" t="n"/>
      <c r="U334" s="43">
        <f>IF(OR($B334="",$C334=""),"",$C334-$B334+1)</f>
        <v/>
      </c>
      <c r="V334" s="52" t="n"/>
      <c r="W334" s="53">
        <f>IF(OR($V334="",$O334=""),"",$V334*$O334)</f>
        <v/>
      </c>
      <c r="X334" s="45" t="n"/>
      <c r="Y334" s="49" t="n"/>
    </row>
    <row r="335">
      <c r="A335" s="43">
        <f>IF($B335="","",COUNT($B$5:$B335))</f>
        <v/>
      </c>
      <c r="B335" s="44" t="n"/>
      <c r="C335" s="44" t="n"/>
      <c r="D335" s="45" t="n"/>
      <c r="E335" s="45" t="n"/>
      <c r="F335" s="45" t="n"/>
      <c r="G335" s="46">
        <f>IF($F335="","",IFERROR(INDEX(사건마스터!$B$5:$B$64,MATCH($F335,사건마스터!$A$5:$A$64,0)),""))</f>
        <v/>
      </c>
      <c r="H335" s="47">
        <f>IF($F335="","",IFERROR(INDEX(사건마스터!$C$5:$C$64,MATCH($F335,사건마스터!$A$5:$A$64,0)),""))</f>
        <v/>
      </c>
      <c r="I335" s="48">
        <f>IF($F335="","",IFERROR(INDEX(사건마스터!$H$5:$H$64,MATCH($F335,사건마스터!$A$5:$A$64,0)),""))</f>
        <v/>
      </c>
      <c r="J335" s="48">
        <f>IF($F335="","",IFERROR(INDEX(사건마스터!$AH$5:$AH$64,MATCH($F335,사건마스터!$A$5:$A$64,0)),""))</f>
        <v/>
      </c>
      <c r="K335" s="48">
        <f>IF($F335="","",IFERROR(INDEX(사건마스터!$AI$5:$AI$64,MATCH($F335,사건마스터!$A$5:$A$64,0)),""))</f>
        <v/>
      </c>
      <c r="L335" s="48">
        <f>IF($F335="","",IFERROR(INDEX(사건마스터!$AJ$5:$AJ$64,MATCH($F335,사건마스터!$A$5:$A$64,0)),""))</f>
        <v/>
      </c>
      <c r="M335" s="48">
        <f>IF($F335="","",IFERROR(INDEX(사건마스터!$AK$5:$AK$64,MATCH($F335,사건마스터!$A$5:$A$64,0)),""))</f>
        <v/>
      </c>
      <c r="N335" s="48">
        <f>IF($F335="","",IFERROR(INDEX(사건마스터!$AL$5:$AL$64,MATCH($F335,사건마스터!$A$5:$A$64,0)),""))</f>
        <v/>
      </c>
      <c r="O335" s="43">
        <f>IF($I335="","",COUNTIF($I335:$N335,"?*"))</f>
        <v/>
      </c>
      <c r="P335" s="46">
        <f>IF($I335="","",_xlfn.TEXTJOIN(", ",TRUE,$I335:$N335))</f>
        <v/>
      </c>
      <c r="Q335" s="47">
        <f>IF($I335="","",IFERROR(INDEX(코드설정!$D$5:$D$24,MATCH($I335,코드설정!$C$5:$C$24,0)),""))</f>
        <v/>
      </c>
      <c r="R335" s="49" t="n"/>
      <c r="S335" s="50" t="n"/>
      <c r="T335" s="51" t="n"/>
      <c r="U335" s="43">
        <f>IF(OR($B335="",$C335=""),"",$C335-$B335+1)</f>
        <v/>
      </c>
      <c r="V335" s="52" t="n"/>
      <c r="W335" s="53">
        <f>IF(OR($V335="",$O335=""),"",$V335*$O335)</f>
        <v/>
      </c>
      <c r="X335" s="45" t="n"/>
      <c r="Y335" s="49" t="n"/>
    </row>
    <row r="336">
      <c r="A336" s="43">
        <f>IF($B336="","",COUNT($B$5:$B336))</f>
        <v/>
      </c>
      <c r="B336" s="44" t="n"/>
      <c r="C336" s="44" t="n"/>
      <c r="D336" s="45" t="n"/>
      <c r="E336" s="45" t="n"/>
      <c r="F336" s="45" t="n"/>
      <c r="G336" s="46">
        <f>IF($F336="","",IFERROR(INDEX(사건마스터!$B$5:$B$64,MATCH($F336,사건마스터!$A$5:$A$64,0)),""))</f>
        <v/>
      </c>
      <c r="H336" s="47">
        <f>IF($F336="","",IFERROR(INDEX(사건마스터!$C$5:$C$64,MATCH($F336,사건마스터!$A$5:$A$64,0)),""))</f>
        <v/>
      </c>
      <c r="I336" s="48">
        <f>IF($F336="","",IFERROR(INDEX(사건마스터!$H$5:$H$64,MATCH($F336,사건마스터!$A$5:$A$64,0)),""))</f>
        <v/>
      </c>
      <c r="J336" s="48">
        <f>IF($F336="","",IFERROR(INDEX(사건마스터!$AH$5:$AH$64,MATCH($F336,사건마스터!$A$5:$A$64,0)),""))</f>
        <v/>
      </c>
      <c r="K336" s="48">
        <f>IF($F336="","",IFERROR(INDEX(사건마스터!$AI$5:$AI$64,MATCH($F336,사건마스터!$A$5:$A$64,0)),""))</f>
        <v/>
      </c>
      <c r="L336" s="48">
        <f>IF($F336="","",IFERROR(INDEX(사건마스터!$AJ$5:$AJ$64,MATCH($F336,사건마스터!$A$5:$A$64,0)),""))</f>
        <v/>
      </c>
      <c r="M336" s="48">
        <f>IF($F336="","",IFERROR(INDEX(사건마스터!$AK$5:$AK$64,MATCH($F336,사건마스터!$A$5:$A$64,0)),""))</f>
        <v/>
      </c>
      <c r="N336" s="48">
        <f>IF($F336="","",IFERROR(INDEX(사건마스터!$AL$5:$AL$64,MATCH($F336,사건마스터!$A$5:$A$64,0)),""))</f>
        <v/>
      </c>
      <c r="O336" s="43">
        <f>IF($I336="","",COUNTIF($I336:$N336,"?*"))</f>
        <v/>
      </c>
      <c r="P336" s="46">
        <f>IF($I336="","",_xlfn.TEXTJOIN(", ",TRUE,$I336:$N336))</f>
        <v/>
      </c>
      <c r="Q336" s="47">
        <f>IF($I336="","",IFERROR(INDEX(코드설정!$D$5:$D$24,MATCH($I336,코드설정!$C$5:$C$24,0)),""))</f>
        <v/>
      </c>
      <c r="R336" s="49" t="n"/>
      <c r="S336" s="50" t="n"/>
      <c r="T336" s="51" t="n"/>
      <c r="U336" s="43">
        <f>IF(OR($B336="",$C336=""),"",$C336-$B336+1)</f>
        <v/>
      </c>
      <c r="V336" s="52" t="n"/>
      <c r="W336" s="53">
        <f>IF(OR($V336="",$O336=""),"",$V336*$O336)</f>
        <v/>
      </c>
      <c r="X336" s="45" t="n"/>
      <c r="Y336" s="49" t="n"/>
    </row>
    <row r="337">
      <c r="A337" s="43">
        <f>IF($B337="","",COUNT($B$5:$B337))</f>
        <v/>
      </c>
      <c r="B337" s="44" t="n"/>
      <c r="C337" s="44" t="n"/>
      <c r="D337" s="45" t="n"/>
      <c r="E337" s="45" t="n"/>
      <c r="F337" s="45" t="n"/>
      <c r="G337" s="46">
        <f>IF($F337="","",IFERROR(INDEX(사건마스터!$B$5:$B$64,MATCH($F337,사건마스터!$A$5:$A$64,0)),""))</f>
        <v/>
      </c>
      <c r="H337" s="47">
        <f>IF($F337="","",IFERROR(INDEX(사건마스터!$C$5:$C$64,MATCH($F337,사건마스터!$A$5:$A$64,0)),""))</f>
        <v/>
      </c>
      <c r="I337" s="48">
        <f>IF($F337="","",IFERROR(INDEX(사건마스터!$H$5:$H$64,MATCH($F337,사건마스터!$A$5:$A$64,0)),""))</f>
        <v/>
      </c>
      <c r="J337" s="48">
        <f>IF($F337="","",IFERROR(INDEX(사건마스터!$AH$5:$AH$64,MATCH($F337,사건마스터!$A$5:$A$64,0)),""))</f>
        <v/>
      </c>
      <c r="K337" s="48">
        <f>IF($F337="","",IFERROR(INDEX(사건마스터!$AI$5:$AI$64,MATCH($F337,사건마스터!$A$5:$A$64,0)),""))</f>
        <v/>
      </c>
      <c r="L337" s="48">
        <f>IF($F337="","",IFERROR(INDEX(사건마스터!$AJ$5:$AJ$64,MATCH($F337,사건마스터!$A$5:$A$64,0)),""))</f>
        <v/>
      </c>
      <c r="M337" s="48">
        <f>IF($F337="","",IFERROR(INDEX(사건마스터!$AK$5:$AK$64,MATCH($F337,사건마스터!$A$5:$A$64,0)),""))</f>
        <v/>
      </c>
      <c r="N337" s="48">
        <f>IF($F337="","",IFERROR(INDEX(사건마스터!$AL$5:$AL$64,MATCH($F337,사건마스터!$A$5:$A$64,0)),""))</f>
        <v/>
      </c>
      <c r="O337" s="43">
        <f>IF($I337="","",COUNTIF($I337:$N337,"?*"))</f>
        <v/>
      </c>
      <c r="P337" s="46">
        <f>IF($I337="","",_xlfn.TEXTJOIN(", ",TRUE,$I337:$N337))</f>
        <v/>
      </c>
      <c r="Q337" s="47">
        <f>IF($I337="","",IFERROR(INDEX(코드설정!$D$5:$D$24,MATCH($I337,코드설정!$C$5:$C$24,0)),""))</f>
        <v/>
      </c>
      <c r="R337" s="49" t="n"/>
      <c r="S337" s="50" t="n"/>
      <c r="T337" s="51" t="n"/>
      <c r="U337" s="43">
        <f>IF(OR($B337="",$C337=""),"",$C337-$B337+1)</f>
        <v/>
      </c>
      <c r="V337" s="52" t="n"/>
      <c r="W337" s="53">
        <f>IF(OR($V337="",$O337=""),"",$V337*$O337)</f>
        <v/>
      </c>
      <c r="X337" s="45" t="n"/>
      <c r="Y337" s="49" t="n"/>
    </row>
    <row r="338">
      <c r="A338" s="43">
        <f>IF($B338="","",COUNT($B$5:$B338))</f>
        <v/>
      </c>
      <c r="B338" s="44" t="n"/>
      <c r="C338" s="44" t="n"/>
      <c r="D338" s="45" t="n"/>
      <c r="E338" s="45" t="n"/>
      <c r="F338" s="45" t="n"/>
      <c r="G338" s="46">
        <f>IF($F338="","",IFERROR(INDEX(사건마스터!$B$5:$B$64,MATCH($F338,사건마스터!$A$5:$A$64,0)),""))</f>
        <v/>
      </c>
      <c r="H338" s="47">
        <f>IF($F338="","",IFERROR(INDEX(사건마스터!$C$5:$C$64,MATCH($F338,사건마스터!$A$5:$A$64,0)),""))</f>
        <v/>
      </c>
      <c r="I338" s="48">
        <f>IF($F338="","",IFERROR(INDEX(사건마스터!$H$5:$H$64,MATCH($F338,사건마스터!$A$5:$A$64,0)),""))</f>
        <v/>
      </c>
      <c r="J338" s="48">
        <f>IF($F338="","",IFERROR(INDEX(사건마스터!$AH$5:$AH$64,MATCH($F338,사건마스터!$A$5:$A$64,0)),""))</f>
        <v/>
      </c>
      <c r="K338" s="48">
        <f>IF($F338="","",IFERROR(INDEX(사건마스터!$AI$5:$AI$64,MATCH($F338,사건마스터!$A$5:$A$64,0)),""))</f>
        <v/>
      </c>
      <c r="L338" s="48">
        <f>IF($F338="","",IFERROR(INDEX(사건마스터!$AJ$5:$AJ$64,MATCH($F338,사건마스터!$A$5:$A$64,0)),""))</f>
        <v/>
      </c>
      <c r="M338" s="48">
        <f>IF($F338="","",IFERROR(INDEX(사건마스터!$AK$5:$AK$64,MATCH($F338,사건마스터!$A$5:$A$64,0)),""))</f>
        <v/>
      </c>
      <c r="N338" s="48">
        <f>IF($F338="","",IFERROR(INDEX(사건마스터!$AL$5:$AL$64,MATCH($F338,사건마스터!$A$5:$A$64,0)),""))</f>
        <v/>
      </c>
      <c r="O338" s="43">
        <f>IF($I338="","",COUNTIF($I338:$N338,"?*"))</f>
        <v/>
      </c>
      <c r="P338" s="46">
        <f>IF($I338="","",_xlfn.TEXTJOIN(", ",TRUE,$I338:$N338))</f>
        <v/>
      </c>
      <c r="Q338" s="47">
        <f>IF($I338="","",IFERROR(INDEX(코드설정!$D$5:$D$24,MATCH($I338,코드설정!$C$5:$C$24,0)),""))</f>
        <v/>
      </c>
      <c r="R338" s="49" t="n"/>
      <c r="S338" s="50" t="n"/>
      <c r="T338" s="51" t="n"/>
      <c r="U338" s="43">
        <f>IF(OR($B338="",$C338=""),"",$C338-$B338+1)</f>
        <v/>
      </c>
      <c r="V338" s="52" t="n"/>
      <c r="W338" s="53">
        <f>IF(OR($V338="",$O338=""),"",$V338*$O338)</f>
        <v/>
      </c>
      <c r="X338" s="45" t="n"/>
      <c r="Y338" s="49" t="n"/>
    </row>
    <row r="339">
      <c r="A339" s="43">
        <f>IF($B339="","",COUNT($B$5:$B339))</f>
        <v/>
      </c>
      <c r="B339" s="44" t="n"/>
      <c r="C339" s="44" t="n"/>
      <c r="D339" s="45" t="n"/>
      <c r="E339" s="45" t="n"/>
      <c r="F339" s="45" t="n"/>
      <c r="G339" s="46">
        <f>IF($F339="","",IFERROR(INDEX(사건마스터!$B$5:$B$64,MATCH($F339,사건마스터!$A$5:$A$64,0)),""))</f>
        <v/>
      </c>
      <c r="H339" s="47">
        <f>IF($F339="","",IFERROR(INDEX(사건마스터!$C$5:$C$64,MATCH($F339,사건마스터!$A$5:$A$64,0)),""))</f>
        <v/>
      </c>
      <c r="I339" s="48">
        <f>IF($F339="","",IFERROR(INDEX(사건마스터!$H$5:$H$64,MATCH($F339,사건마스터!$A$5:$A$64,0)),""))</f>
        <v/>
      </c>
      <c r="J339" s="48">
        <f>IF($F339="","",IFERROR(INDEX(사건마스터!$AH$5:$AH$64,MATCH($F339,사건마스터!$A$5:$A$64,0)),""))</f>
        <v/>
      </c>
      <c r="K339" s="48">
        <f>IF($F339="","",IFERROR(INDEX(사건마스터!$AI$5:$AI$64,MATCH($F339,사건마스터!$A$5:$A$64,0)),""))</f>
        <v/>
      </c>
      <c r="L339" s="48">
        <f>IF($F339="","",IFERROR(INDEX(사건마스터!$AJ$5:$AJ$64,MATCH($F339,사건마스터!$A$5:$A$64,0)),""))</f>
        <v/>
      </c>
      <c r="M339" s="48">
        <f>IF($F339="","",IFERROR(INDEX(사건마스터!$AK$5:$AK$64,MATCH($F339,사건마스터!$A$5:$A$64,0)),""))</f>
        <v/>
      </c>
      <c r="N339" s="48">
        <f>IF($F339="","",IFERROR(INDEX(사건마스터!$AL$5:$AL$64,MATCH($F339,사건마스터!$A$5:$A$64,0)),""))</f>
        <v/>
      </c>
      <c r="O339" s="43">
        <f>IF($I339="","",COUNTIF($I339:$N339,"?*"))</f>
        <v/>
      </c>
      <c r="P339" s="46">
        <f>IF($I339="","",_xlfn.TEXTJOIN(", ",TRUE,$I339:$N339))</f>
        <v/>
      </c>
      <c r="Q339" s="47">
        <f>IF($I339="","",IFERROR(INDEX(코드설정!$D$5:$D$24,MATCH($I339,코드설정!$C$5:$C$24,0)),""))</f>
        <v/>
      </c>
      <c r="R339" s="49" t="n"/>
      <c r="S339" s="50" t="n"/>
      <c r="T339" s="51" t="n"/>
      <c r="U339" s="43">
        <f>IF(OR($B339="",$C339=""),"",$C339-$B339+1)</f>
        <v/>
      </c>
      <c r="V339" s="52" t="n"/>
      <c r="W339" s="53">
        <f>IF(OR($V339="",$O339=""),"",$V339*$O339)</f>
        <v/>
      </c>
      <c r="X339" s="45" t="n"/>
      <c r="Y339" s="49" t="n"/>
    </row>
    <row r="340">
      <c r="A340" s="43">
        <f>IF($B340="","",COUNT($B$5:$B340))</f>
        <v/>
      </c>
      <c r="B340" s="44" t="n"/>
      <c r="C340" s="44" t="n"/>
      <c r="D340" s="45" t="n"/>
      <c r="E340" s="45" t="n"/>
      <c r="F340" s="45" t="n"/>
      <c r="G340" s="46">
        <f>IF($F340="","",IFERROR(INDEX(사건마스터!$B$5:$B$64,MATCH($F340,사건마스터!$A$5:$A$64,0)),""))</f>
        <v/>
      </c>
      <c r="H340" s="47">
        <f>IF($F340="","",IFERROR(INDEX(사건마스터!$C$5:$C$64,MATCH($F340,사건마스터!$A$5:$A$64,0)),""))</f>
        <v/>
      </c>
      <c r="I340" s="48">
        <f>IF($F340="","",IFERROR(INDEX(사건마스터!$H$5:$H$64,MATCH($F340,사건마스터!$A$5:$A$64,0)),""))</f>
        <v/>
      </c>
      <c r="J340" s="48">
        <f>IF($F340="","",IFERROR(INDEX(사건마스터!$AH$5:$AH$64,MATCH($F340,사건마스터!$A$5:$A$64,0)),""))</f>
        <v/>
      </c>
      <c r="K340" s="48">
        <f>IF($F340="","",IFERROR(INDEX(사건마스터!$AI$5:$AI$64,MATCH($F340,사건마스터!$A$5:$A$64,0)),""))</f>
        <v/>
      </c>
      <c r="L340" s="48">
        <f>IF($F340="","",IFERROR(INDEX(사건마스터!$AJ$5:$AJ$64,MATCH($F340,사건마스터!$A$5:$A$64,0)),""))</f>
        <v/>
      </c>
      <c r="M340" s="48">
        <f>IF($F340="","",IFERROR(INDEX(사건마스터!$AK$5:$AK$64,MATCH($F340,사건마스터!$A$5:$A$64,0)),""))</f>
        <v/>
      </c>
      <c r="N340" s="48">
        <f>IF($F340="","",IFERROR(INDEX(사건마스터!$AL$5:$AL$64,MATCH($F340,사건마스터!$A$5:$A$64,0)),""))</f>
        <v/>
      </c>
      <c r="O340" s="43">
        <f>IF($I340="","",COUNTIF($I340:$N340,"?*"))</f>
        <v/>
      </c>
      <c r="P340" s="46">
        <f>IF($I340="","",_xlfn.TEXTJOIN(", ",TRUE,$I340:$N340))</f>
        <v/>
      </c>
      <c r="Q340" s="47">
        <f>IF($I340="","",IFERROR(INDEX(코드설정!$D$5:$D$24,MATCH($I340,코드설정!$C$5:$C$24,0)),""))</f>
        <v/>
      </c>
      <c r="R340" s="49" t="n"/>
      <c r="S340" s="50" t="n"/>
      <c r="T340" s="51" t="n"/>
      <c r="U340" s="43">
        <f>IF(OR($B340="",$C340=""),"",$C340-$B340+1)</f>
        <v/>
      </c>
      <c r="V340" s="52" t="n"/>
      <c r="W340" s="53">
        <f>IF(OR($V340="",$O340=""),"",$V340*$O340)</f>
        <v/>
      </c>
      <c r="X340" s="45" t="n"/>
      <c r="Y340" s="49" t="n"/>
    </row>
    <row r="341">
      <c r="A341" s="43">
        <f>IF($B341="","",COUNT($B$5:$B341))</f>
        <v/>
      </c>
      <c r="B341" s="44" t="n"/>
      <c r="C341" s="44" t="n"/>
      <c r="D341" s="45" t="n"/>
      <c r="E341" s="45" t="n"/>
      <c r="F341" s="45" t="n"/>
      <c r="G341" s="46">
        <f>IF($F341="","",IFERROR(INDEX(사건마스터!$B$5:$B$64,MATCH($F341,사건마스터!$A$5:$A$64,0)),""))</f>
        <v/>
      </c>
      <c r="H341" s="47">
        <f>IF($F341="","",IFERROR(INDEX(사건마스터!$C$5:$C$64,MATCH($F341,사건마스터!$A$5:$A$64,0)),""))</f>
        <v/>
      </c>
      <c r="I341" s="48">
        <f>IF($F341="","",IFERROR(INDEX(사건마스터!$H$5:$H$64,MATCH($F341,사건마스터!$A$5:$A$64,0)),""))</f>
        <v/>
      </c>
      <c r="J341" s="48">
        <f>IF($F341="","",IFERROR(INDEX(사건마스터!$AH$5:$AH$64,MATCH($F341,사건마스터!$A$5:$A$64,0)),""))</f>
        <v/>
      </c>
      <c r="K341" s="48">
        <f>IF($F341="","",IFERROR(INDEX(사건마스터!$AI$5:$AI$64,MATCH($F341,사건마스터!$A$5:$A$64,0)),""))</f>
        <v/>
      </c>
      <c r="L341" s="48">
        <f>IF($F341="","",IFERROR(INDEX(사건마스터!$AJ$5:$AJ$64,MATCH($F341,사건마스터!$A$5:$A$64,0)),""))</f>
        <v/>
      </c>
      <c r="M341" s="48">
        <f>IF($F341="","",IFERROR(INDEX(사건마스터!$AK$5:$AK$64,MATCH($F341,사건마스터!$A$5:$A$64,0)),""))</f>
        <v/>
      </c>
      <c r="N341" s="48">
        <f>IF($F341="","",IFERROR(INDEX(사건마스터!$AL$5:$AL$64,MATCH($F341,사건마스터!$A$5:$A$64,0)),""))</f>
        <v/>
      </c>
      <c r="O341" s="43">
        <f>IF($I341="","",COUNTIF($I341:$N341,"?*"))</f>
        <v/>
      </c>
      <c r="P341" s="46">
        <f>IF($I341="","",_xlfn.TEXTJOIN(", ",TRUE,$I341:$N341))</f>
        <v/>
      </c>
      <c r="Q341" s="47">
        <f>IF($I341="","",IFERROR(INDEX(코드설정!$D$5:$D$24,MATCH($I341,코드설정!$C$5:$C$24,0)),""))</f>
        <v/>
      </c>
      <c r="R341" s="49" t="n"/>
      <c r="S341" s="50" t="n"/>
      <c r="T341" s="51" t="n"/>
      <c r="U341" s="43">
        <f>IF(OR($B341="",$C341=""),"",$C341-$B341+1)</f>
        <v/>
      </c>
      <c r="V341" s="52" t="n"/>
      <c r="W341" s="53">
        <f>IF(OR($V341="",$O341=""),"",$V341*$O341)</f>
        <v/>
      </c>
      <c r="X341" s="45" t="n"/>
      <c r="Y341" s="49" t="n"/>
    </row>
    <row r="342">
      <c r="A342" s="43">
        <f>IF($B342="","",COUNT($B$5:$B342))</f>
        <v/>
      </c>
      <c r="B342" s="44" t="n"/>
      <c r="C342" s="44" t="n"/>
      <c r="D342" s="45" t="n"/>
      <c r="E342" s="45" t="n"/>
      <c r="F342" s="45" t="n"/>
      <c r="G342" s="46">
        <f>IF($F342="","",IFERROR(INDEX(사건마스터!$B$5:$B$64,MATCH($F342,사건마스터!$A$5:$A$64,0)),""))</f>
        <v/>
      </c>
      <c r="H342" s="47">
        <f>IF($F342="","",IFERROR(INDEX(사건마스터!$C$5:$C$64,MATCH($F342,사건마스터!$A$5:$A$64,0)),""))</f>
        <v/>
      </c>
      <c r="I342" s="48">
        <f>IF($F342="","",IFERROR(INDEX(사건마스터!$H$5:$H$64,MATCH($F342,사건마스터!$A$5:$A$64,0)),""))</f>
        <v/>
      </c>
      <c r="J342" s="48">
        <f>IF($F342="","",IFERROR(INDEX(사건마스터!$AH$5:$AH$64,MATCH($F342,사건마스터!$A$5:$A$64,0)),""))</f>
        <v/>
      </c>
      <c r="K342" s="48">
        <f>IF($F342="","",IFERROR(INDEX(사건마스터!$AI$5:$AI$64,MATCH($F342,사건마스터!$A$5:$A$64,0)),""))</f>
        <v/>
      </c>
      <c r="L342" s="48">
        <f>IF($F342="","",IFERROR(INDEX(사건마스터!$AJ$5:$AJ$64,MATCH($F342,사건마스터!$A$5:$A$64,0)),""))</f>
        <v/>
      </c>
      <c r="M342" s="48">
        <f>IF($F342="","",IFERROR(INDEX(사건마스터!$AK$5:$AK$64,MATCH($F342,사건마스터!$A$5:$A$64,0)),""))</f>
        <v/>
      </c>
      <c r="N342" s="48">
        <f>IF($F342="","",IFERROR(INDEX(사건마스터!$AL$5:$AL$64,MATCH($F342,사건마스터!$A$5:$A$64,0)),""))</f>
        <v/>
      </c>
      <c r="O342" s="43">
        <f>IF($I342="","",COUNTIF($I342:$N342,"?*"))</f>
        <v/>
      </c>
      <c r="P342" s="46">
        <f>IF($I342="","",_xlfn.TEXTJOIN(", ",TRUE,$I342:$N342))</f>
        <v/>
      </c>
      <c r="Q342" s="47">
        <f>IF($I342="","",IFERROR(INDEX(코드설정!$D$5:$D$24,MATCH($I342,코드설정!$C$5:$C$24,0)),""))</f>
        <v/>
      </c>
      <c r="R342" s="49" t="n"/>
      <c r="S342" s="50" t="n"/>
      <c r="T342" s="51" t="n"/>
      <c r="U342" s="43">
        <f>IF(OR($B342="",$C342=""),"",$C342-$B342+1)</f>
        <v/>
      </c>
      <c r="V342" s="52" t="n"/>
      <c r="W342" s="53">
        <f>IF(OR($V342="",$O342=""),"",$V342*$O342)</f>
        <v/>
      </c>
      <c r="X342" s="45" t="n"/>
      <c r="Y342" s="49" t="n"/>
    </row>
    <row r="343">
      <c r="A343" s="43">
        <f>IF($B343="","",COUNT($B$5:$B343))</f>
        <v/>
      </c>
      <c r="B343" s="44" t="n"/>
      <c r="C343" s="44" t="n"/>
      <c r="D343" s="45" t="n"/>
      <c r="E343" s="45" t="n"/>
      <c r="F343" s="45" t="n"/>
      <c r="G343" s="46">
        <f>IF($F343="","",IFERROR(INDEX(사건마스터!$B$5:$B$64,MATCH($F343,사건마스터!$A$5:$A$64,0)),""))</f>
        <v/>
      </c>
      <c r="H343" s="47">
        <f>IF($F343="","",IFERROR(INDEX(사건마스터!$C$5:$C$64,MATCH($F343,사건마스터!$A$5:$A$64,0)),""))</f>
        <v/>
      </c>
      <c r="I343" s="48">
        <f>IF($F343="","",IFERROR(INDEX(사건마스터!$H$5:$H$64,MATCH($F343,사건마스터!$A$5:$A$64,0)),""))</f>
        <v/>
      </c>
      <c r="J343" s="48">
        <f>IF($F343="","",IFERROR(INDEX(사건마스터!$AH$5:$AH$64,MATCH($F343,사건마스터!$A$5:$A$64,0)),""))</f>
        <v/>
      </c>
      <c r="K343" s="48">
        <f>IF($F343="","",IFERROR(INDEX(사건마스터!$AI$5:$AI$64,MATCH($F343,사건마스터!$A$5:$A$64,0)),""))</f>
        <v/>
      </c>
      <c r="L343" s="48">
        <f>IF($F343="","",IFERROR(INDEX(사건마스터!$AJ$5:$AJ$64,MATCH($F343,사건마스터!$A$5:$A$64,0)),""))</f>
        <v/>
      </c>
      <c r="M343" s="48">
        <f>IF($F343="","",IFERROR(INDEX(사건마스터!$AK$5:$AK$64,MATCH($F343,사건마스터!$A$5:$A$64,0)),""))</f>
        <v/>
      </c>
      <c r="N343" s="48">
        <f>IF($F343="","",IFERROR(INDEX(사건마스터!$AL$5:$AL$64,MATCH($F343,사건마스터!$A$5:$A$64,0)),""))</f>
        <v/>
      </c>
      <c r="O343" s="43">
        <f>IF($I343="","",COUNTIF($I343:$N343,"?*"))</f>
        <v/>
      </c>
      <c r="P343" s="46">
        <f>IF($I343="","",_xlfn.TEXTJOIN(", ",TRUE,$I343:$N343))</f>
        <v/>
      </c>
      <c r="Q343" s="47">
        <f>IF($I343="","",IFERROR(INDEX(코드설정!$D$5:$D$24,MATCH($I343,코드설정!$C$5:$C$24,0)),""))</f>
        <v/>
      </c>
      <c r="R343" s="49" t="n"/>
      <c r="S343" s="50" t="n"/>
      <c r="T343" s="51" t="n"/>
      <c r="U343" s="43">
        <f>IF(OR($B343="",$C343=""),"",$C343-$B343+1)</f>
        <v/>
      </c>
      <c r="V343" s="52" t="n"/>
      <c r="W343" s="53">
        <f>IF(OR($V343="",$O343=""),"",$V343*$O343)</f>
        <v/>
      </c>
      <c r="X343" s="45" t="n"/>
      <c r="Y343" s="49" t="n"/>
    </row>
    <row r="344">
      <c r="A344" s="43">
        <f>IF($B344="","",COUNT($B$5:$B344))</f>
        <v/>
      </c>
      <c r="B344" s="44" t="n"/>
      <c r="C344" s="44" t="n"/>
      <c r="D344" s="45" t="n"/>
      <c r="E344" s="45" t="n"/>
      <c r="F344" s="45" t="n"/>
      <c r="G344" s="46">
        <f>IF($F344="","",IFERROR(INDEX(사건마스터!$B$5:$B$64,MATCH($F344,사건마스터!$A$5:$A$64,0)),""))</f>
        <v/>
      </c>
      <c r="H344" s="47">
        <f>IF($F344="","",IFERROR(INDEX(사건마스터!$C$5:$C$64,MATCH($F344,사건마스터!$A$5:$A$64,0)),""))</f>
        <v/>
      </c>
      <c r="I344" s="48">
        <f>IF($F344="","",IFERROR(INDEX(사건마스터!$H$5:$H$64,MATCH($F344,사건마스터!$A$5:$A$64,0)),""))</f>
        <v/>
      </c>
      <c r="J344" s="48">
        <f>IF($F344="","",IFERROR(INDEX(사건마스터!$AH$5:$AH$64,MATCH($F344,사건마스터!$A$5:$A$64,0)),""))</f>
        <v/>
      </c>
      <c r="K344" s="48">
        <f>IF($F344="","",IFERROR(INDEX(사건마스터!$AI$5:$AI$64,MATCH($F344,사건마스터!$A$5:$A$64,0)),""))</f>
        <v/>
      </c>
      <c r="L344" s="48">
        <f>IF($F344="","",IFERROR(INDEX(사건마스터!$AJ$5:$AJ$64,MATCH($F344,사건마스터!$A$5:$A$64,0)),""))</f>
        <v/>
      </c>
      <c r="M344" s="48">
        <f>IF($F344="","",IFERROR(INDEX(사건마스터!$AK$5:$AK$64,MATCH($F344,사건마스터!$A$5:$A$64,0)),""))</f>
        <v/>
      </c>
      <c r="N344" s="48">
        <f>IF($F344="","",IFERROR(INDEX(사건마스터!$AL$5:$AL$64,MATCH($F344,사건마스터!$A$5:$A$64,0)),""))</f>
        <v/>
      </c>
      <c r="O344" s="43">
        <f>IF($I344="","",COUNTIF($I344:$N344,"?*"))</f>
        <v/>
      </c>
      <c r="P344" s="46">
        <f>IF($I344="","",_xlfn.TEXTJOIN(", ",TRUE,$I344:$N344))</f>
        <v/>
      </c>
      <c r="Q344" s="47">
        <f>IF($I344="","",IFERROR(INDEX(코드설정!$D$5:$D$24,MATCH($I344,코드설정!$C$5:$C$24,0)),""))</f>
        <v/>
      </c>
      <c r="R344" s="49" t="n"/>
      <c r="S344" s="50" t="n"/>
      <c r="T344" s="51" t="n"/>
      <c r="U344" s="43">
        <f>IF(OR($B344="",$C344=""),"",$C344-$B344+1)</f>
        <v/>
      </c>
      <c r="V344" s="52" t="n"/>
      <c r="W344" s="53">
        <f>IF(OR($V344="",$O344=""),"",$V344*$O344)</f>
        <v/>
      </c>
      <c r="X344" s="45" t="n"/>
      <c r="Y344" s="49" t="n"/>
    </row>
    <row r="345">
      <c r="A345" s="43">
        <f>IF($B345="","",COUNT($B$5:$B345))</f>
        <v/>
      </c>
      <c r="B345" s="44" t="n"/>
      <c r="C345" s="44" t="n"/>
      <c r="D345" s="45" t="n"/>
      <c r="E345" s="45" t="n"/>
      <c r="F345" s="45" t="n"/>
      <c r="G345" s="46">
        <f>IF($F345="","",IFERROR(INDEX(사건마스터!$B$5:$B$64,MATCH($F345,사건마스터!$A$5:$A$64,0)),""))</f>
        <v/>
      </c>
      <c r="H345" s="47">
        <f>IF($F345="","",IFERROR(INDEX(사건마스터!$C$5:$C$64,MATCH($F345,사건마스터!$A$5:$A$64,0)),""))</f>
        <v/>
      </c>
      <c r="I345" s="48">
        <f>IF($F345="","",IFERROR(INDEX(사건마스터!$H$5:$H$64,MATCH($F345,사건마스터!$A$5:$A$64,0)),""))</f>
        <v/>
      </c>
      <c r="J345" s="48">
        <f>IF($F345="","",IFERROR(INDEX(사건마스터!$AH$5:$AH$64,MATCH($F345,사건마스터!$A$5:$A$64,0)),""))</f>
        <v/>
      </c>
      <c r="K345" s="48">
        <f>IF($F345="","",IFERROR(INDEX(사건마스터!$AI$5:$AI$64,MATCH($F345,사건마스터!$A$5:$A$64,0)),""))</f>
        <v/>
      </c>
      <c r="L345" s="48">
        <f>IF($F345="","",IFERROR(INDEX(사건마스터!$AJ$5:$AJ$64,MATCH($F345,사건마스터!$A$5:$A$64,0)),""))</f>
        <v/>
      </c>
      <c r="M345" s="48">
        <f>IF($F345="","",IFERROR(INDEX(사건마스터!$AK$5:$AK$64,MATCH($F345,사건마스터!$A$5:$A$64,0)),""))</f>
        <v/>
      </c>
      <c r="N345" s="48">
        <f>IF($F345="","",IFERROR(INDEX(사건마스터!$AL$5:$AL$64,MATCH($F345,사건마스터!$A$5:$A$64,0)),""))</f>
        <v/>
      </c>
      <c r="O345" s="43">
        <f>IF($I345="","",COUNTIF($I345:$N345,"?*"))</f>
        <v/>
      </c>
      <c r="P345" s="46">
        <f>IF($I345="","",_xlfn.TEXTJOIN(", ",TRUE,$I345:$N345))</f>
        <v/>
      </c>
      <c r="Q345" s="47">
        <f>IF($I345="","",IFERROR(INDEX(코드설정!$D$5:$D$24,MATCH($I345,코드설정!$C$5:$C$24,0)),""))</f>
        <v/>
      </c>
      <c r="R345" s="49" t="n"/>
      <c r="S345" s="50" t="n"/>
      <c r="T345" s="51" t="n"/>
      <c r="U345" s="43">
        <f>IF(OR($B345="",$C345=""),"",$C345-$B345+1)</f>
        <v/>
      </c>
      <c r="V345" s="52" t="n"/>
      <c r="W345" s="53">
        <f>IF(OR($V345="",$O345=""),"",$V345*$O345)</f>
        <v/>
      </c>
      <c r="X345" s="45" t="n"/>
      <c r="Y345" s="49" t="n"/>
    </row>
    <row r="346">
      <c r="A346" s="43">
        <f>IF($B346="","",COUNT($B$5:$B346))</f>
        <v/>
      </c>
      <c r="B346" s="44" t="n"/>
      <c r="C346" s="44" t="n"/>
      <c r="D346" s="45" t="n"/>
      <c r="E346" s="45" t="n"/>
      <c r="F346" s="45" t="n"/>
      <c r="G346" s="46">
        <f>IF($F346="","",IFERROR(INDEX(사건마스터!$B$5:$B$64,MATCH($F346,사건마스터!$A$5:$A$64,0)),""))</f>
        <v/>
      </c>
      <c r="H346" s="47">
        <f>IF($F346="","",IFERROR(INDEX(사건마스터!$C$5:$C$64,MATCH($F346,사건마스터!$A$5:$A$64,0)),""))</f>
        <v/>
      </c>
      <c r="I346" s="48">
        <f>IF($F346="","",IFERROR(INDEX(사건마스터!$H$5:$H$64,MATCH($F346,사건마스터!$A$5:$A$64,0)),""))</f>
        <v/>
      </c>
      <c r="J346" s="48">
        <f>IF($F346="","",IFERROR(INDEX(사건마스터!$AH$5:$AH$64,MATCH($F346,사건마스터!$A$5:$A$64,0)),""))</f>
        <v/>
      </c>
      <c r="K346" s="48">
        <f>IF($F346="","",IFERROR(INDEX(사건마스터!$AI$5:$AI$64,MATCH($F346,사건마스터!$A$5:$A$64,0)),""))</f>
        <v/>
      </c>
      <c r="L346" s="48">
        <f>IF($F346="","",IFERROR(INDEX(사건마스터!$AJ$5:$AJ$64,MATCH($F346,사건마스터!$A$5:$A$64,0)),""))</f>
        <v/>
      </c>
      <c r="M346" s="48">
        <f>IF($F346="","",IFERROR(INDEX(사건마스터!$AK$5:$AK$64,MATCH($F346,사건마스터!$A$5:$A$64,0)),""))</f>
        <v/>
      </c>
      <c r="N346" s="48">
        <f>IF($F346="","",IFERROR(INDEX(사건마스터!$AL$5:$AL$64,MATCH($F346,사건마스터!$A$5:$A$64,0)),""))</f>
        <v/>
      </c>
      <c r="O346" s="43">
        <f>IF($I346="","",COUNTIF($I346:$N346,"?*"))</f>
        <v/>
      </c>
      <c r="P346" s="46">
        <f>IF($I346="","",_xlfn.TEXTJOIN(", ",TRUE,$I346:$N346))</f>
        <v/>
      </c>
      <c r="Q346" s="47">
        <f>IF($I346="","",IFERROR(INDEX(코드설정!$D$5:$D$24,MATCH($I346,코드설정!$C$5:$C$24,0)),""))</f>
        <v/>
      </c>
      <c r="R346" s="49" t="n"/>
      <c r="S346" s="50" t="n"/>
      <c r="T346" s="51" t="n"/>
      <c r="U346" s="43">
        <f>IF(OR($B346="",$C346=""),"",$C346-$B346+1)</f>
        <v/>
      </c>
      <c r="V346" s="52" t="n"/>
      <c r="W346" s="53">
        <f>IF(OR($V346="",$O346=""),"",$V346*$O346)</f>
        <v/>
      </c>
      <c r="X346" s="45" t="n"/>
      <c r="Y346" s="49" t="n"/>
    </row>
    <row r="347">
      <c r="A347" s="43">
        <f>IF($B347="","",COUNT($B$5:$B347))</f>
        <v/>
      </c>
      <c r="B347" s="44" t="n"/>
      <c r="C347" s="44" t="n"/>
      <c r="D347" s="45" t="n"/>
      <c r="E347" s="45" t="n"/>
      <c r="F347" s="45" t="n"/>
      <c r="G347" s="46">
        <f>IF($F347="","",IFERROR(INDEX(사건마스터!$B$5:$B$64,MATCH($F347,사건마스터!$A$5:$A$64,0)),""))</f>
        <v/>
      </c>
      <c r="H347" s="47">
        <f>IF($F347="","",IFERROR(INDEX(사건마스터!$C$5:$C$64,MATCH($F347,사건마스터!$A$5:$A$64,0)),""))</f>
        <v/>
      </c>
      <c r="I347" s="48">
        <f>IF($F347="","",IFERROR(INDEX(사건마스터!$H$5:$H$64,MATCH($F347,사건마스터!$A$5:$A$64,0)),""))</f>
        <v/>
      </c>
      <c r="J347" s="48">
        <f>IF($F347="","",IFERROR(INDEX(사건마스터!$AH$5:$AH$64,MATCH($F347,사건마스터!$A$5:$A$64,0)),""))</f>
        <v/>
      </c>
      <c r="K347" s="48">
        <f>IF($F347="","",IFERROR(INDEX(사건마스터!$AI$5:$AI$64,MATCH($F347,사건마스터!$A$5:$A$64,0)),""))</f>
        <v/>
      </c>
      <c r="L347" s="48">
        <f>IF($F347="","",IFERROR(INDEX(사건마스터!$AJ$5:$AJ$64,MATCH($F347,사건마스터!$A$5:$A$64,0)),""))</f>
        <v/>
      </c>
      <c r="M347" s="48">
        <f>IF($F347="","",IFERROR(INDEX(사건마스터!$AK$5:$AK$64,MATCH($F347,사건마스터!$A$5:$A$64,0)),""))</f>
        <v/>
      </c>
      <c r="N347" s="48">
        <f>IF($F347="","",IFERROR(INDEX(사건마스터!$AL$5:$AL$64,MATCH($F347,사건마스터!$A$5:$A$64,0)),""))</f>
        <v/>
      </c>
      <c r="O347" s="43">
        <f>IF($I347="","",COUNTIF($I347:$N347,"?*"))</f>
        <v/>
      </c>
      <c r="P347" s="46">
        <f>IF($I347="","",_xlfn.TEXTJOIN(", ",TRUE,$I347:$N347))</f>
        <v/>
      </c>
      <c r="Q347" s="47">
        <f>IF($I347="","",IFERROR(INDEX(코드설정!$D$5:$D$24,MATCH($I347,코드설정!$C$5:$C$24,0)),""))</f>
        <v/>
      </c>
      <c r="R347" s="49" t="n"/>
      <c r="S347" s="50" t="n"/>
      <c r="T347" s="51" t="n"/>
      <c r="U347" s="43">
        <f>IF(OR($B347="",$C347=""),"",$C347-$B347+1)</f>
        <v/>
      </c>
      <c r="V347" s="52" t="n"/>
      <c r="W347" s="53">
        <f>IF(OR($V347="",$O347=""),"",$V347*$O347)</f>
        <v/>
      </c>
      <c r="X347" s="45" t="n"/>
      <c r="Y347" s="49" t="n"/>
    </row>
    <row r="348">
      <c r="A348" s="43">
        <f>IF($B348="","",COUNT($B$5:$B348))</f>
        <v/>
      </c>
      <c r="B348" s="44" t="n"/>
      <c r="C348" s="44" t="n"/>
      <c r="D348" s="45" t="n"/>
      <c r="E348" s="45" t="n"/>
      <c r="F348" s="45" t="n"/>
      <c r="G348" s="46">
        <f>IF($F348="","",IFERROR(INDEX(사건마스터!$B$5:$B$64,MATCH($F348,사건마스터!$A$5:$A$64,0)),""))</f>
        <v/>
      </c>
      <c r="H348" s="47">
        <f>IF($F348="","",IFERROR(INDEX(사건마스터!$C$5:$C$64,MATCH($F348,사건마스터!$A$5:$A$64,0)),""))</f>
        <v/>
      </c>
      <c r="I348" s="48">
        <f>IF($F348="","",IFERROR(INDEX(사건마스터!$H$5:$H$64,MATCH($F348,사건마스터!$A$5:$A$64,0)),""))</f>
        <v/>
      </c>
      <c r="J348" s="48">
        <f>IF($F348="","",IFERROR(INDEX(사건마스터!$AH$5:$AH$64,MATCH($F348,사건마스터!$A$5:$A$64,0)),""))</f>
        <v/>
      </c>
      <c r="K348" s="48">
        <f>IF($F348="","",IFERROR(INDEX(사건마스터!$AI$5:$AI$64,MATCH($F348,사건마스터!$A$5:$A$64,0)),""))</f>
        <v/>
      </c>
      <c r="L348" s="48">
        <f>IF($F348="","",IFERROR(INDEX(사건마스터!$AJ$5:$AJ$64,MATCH($F348,사건마스터!$A$5:$A$64,0)),""))</f>
        <v/>
      </c>
      <c r="M348" s="48">
        <f>IF($F348="","",IFERROR(INDEX(사건마스터!$AK$5:$AK$64,MATCH($F348,사건마스터!$A$5:$A$64,0)),""))</f>
        <v/>
      </c>
      <c r="N348" s="48">
        <f>IF($F348="","",IFERROR(INDEX(사건마스터!$AL$5:$AL$64,MATCH($F348,사건마스터!$A$5:$A$64,0)),""))</f>
        <v/>
      </c>
      <c r="O348" s="43">
        <f>IF($I348="","",COUNTIF($I348:$N348,"?*"))</f>
        <v/>
      </c>
      <c r="P348" s="46">
        <f>IF($I348="","",_xlfn.TEXTJOIN(", ",TRUE,$I348:$N348))</f>
        <v/>
      </c>
      <c r="Q348" s="47">
        <f>IF($I348="","",IFERROR(INDEX(코드설정!$D$5:$D$24,MATCH($I348,코드설정!$C$5:$C$24,0)),""))</f>
        <v/>
      </c>
      <c r="R348" s="49" t="n"/>
      <c r="S348" s="50" t="n"/>
      <c r="T348" s="51" t="n"/>
      <c r="U348" s="43">
        <f>IF(OR($B348="",$C348=""),"",$C348-$B348+1)</f>
        <v/>
      </c>
      <c r="V348" s="52" t="n"/>
      <c r="W348" s="53">
        <f>IF(OR($V348="",$O348=""),"",$V348*$O348)</f>
        <v/>
      </c>
      <c r="X348" s="45" t="n"/>
      <c r="Y348" s="49" t="n"/>
    </row>
    <row r="349">
      <c r="A349" s="43">
        <f>IF($B349="","",COUNT($B$5:$B349))</f>
        <v/>
      </c>
      <c r="B349" s="44" t="n"/>
      <c r="C349" s="44" t="n"/>
      <c r="D349" s="45" t="n"/>
      <c r="E349" s="45" t="n"/>
      <c r="F349" s="45" t="n"/>
      <c r="G349" s="46">
        <f>IF($F349="","",IFERROR(INDEX(사건마스터!$B$5:$B$64,MATCH($F349,사건마스터!$A$5:$A$64,0)),""))</f>
        <v/>
      </c>
      <c r="H349" s="47">
        <f>IF($F349="","",IFERROR(INDEX(사건마스터!$C$5:$C$64,MATCH($F349,사건마스터!$A$5:$A$64,0)),""))</f>
        <v/>
      </c>
      <c r="I349" s="48">
        <f>IF($F349="","",IFERROR(INDEX(사건마스터!$H$5:$H$64,MATCH($F349,사건마스터!$A$5:$A$64,0)),""))</f>
        <v/>
      </c>
      <c r="J349" s="48">
        <f>IF($F349="","",IFERROR(INDEX(사건마스터!$AH$5:$AH$64,MATCH($F349,사건마스터!$A$5:$A$64,0)),""))</f>
        <v/>
      </c>
      <c r="K349" s="48">
        <f>IF($F349="","",IFERROR(INDEX(사건마스터!$AI$5:$AI$64,MATCH($F349,사건마스터!$A$5:$A$64,0)),""))</f>
        <v/>
      </c>
      <c r="L349" s="48">
        <f>IF($F349="","",IFERROR(INDEX(사건마스터!$AJ$5:$AJ$64,MATCH($F349,사건마스터!$A$5:$A$64,0)),""))</f>
        <v/>
      </c>
      <c r="M349" s="48">
        <f>IF($F349="","",IFERROR(INDEX(사건마스터!$AK$5:$AK$64,MATCH($F349,사건마스터!$A$5:$A$64,0)),""))</f>
        <v/>
      </c>
      <c r="N349" s="48">
        <f>IF($F349="","",IFERROR(INDEX(사건마스터!$AL$5:$AL$64,MATCH($F349,사건마스터!$A$5:$A$64,0)),""))</f>
        <v/>
      </c>
      <c r="O349" s="43">
        <f>IF($I349="","",COUNTIF($I349:$N349,"?*"))</f>
        <v/>
      </c>
      <c r="P349" s="46">
        <f>IF($I349="","",_xlfn.TEXTJOIN(", ",TRUE,$I349:$N349))</f>
        <v/>
      </c>
      <c r="Q349" s="47">
        <f>IF($I349="","",IFERROR(INDEX(코드설정!$D$5:$D$24,MATCH($I349,코드설정!$C$5:$C$24,0)),""))</f>
        <v/>
      </c>
      <c r="R349" s="49" t="n"/>
      <c r="S349" s="50" t="n"/>
      <c r="T349" s="51" t="n"/>
      <c r="U349" s="43">
        <f>IF(OR($B349="",$C349=""),"",$C349-$B349+1)</f>
        <v/>
      </c>
      <c r="V349" s="52" t="n"/>
      <c r="W349" s="53">
        <f>IF(OR($V349="",$O349=""),"",$V349*$O349)</f>
        <v/>
      </c>
      <c r="X349" s="45" t="n"/>
      <c r="Y349" s="49" t="n"/>
    </row>
    <row r="350">
      <c r="A350" s="43">
        <f>IF($B350="","",COUNT($B$5:$B350))</f>
        <v/>
      </c>
      <c r="B350" s="44" t="n"/>
      <c r="C350" s="44" t="n"/>
      <c r="D350" s="45" t="n"/>
      <c r="E350" s="45" t="n"/>
      <c r="F350" s="45" t="n"/>
      <c r="G350" s="46">
        <f>IF($F350="","",IFERROR(INDEX(사건마스터!$B$5:$B$64,MATCH($F350,사건마스터!$A$5:$A$64,0)),""))</f>
        <v/>
      </c>
      <c r="H350" s="47">
        <f>IF($F350="","",IFERROR(INDEX(사건마스터!$C$5:$C$64,MATCH($F350,사건마스터!$A$5:$A$64,0)),""))</f>
        <v/>
      </c>
      <c r="I350" s="48">
        <f>IF($F350="","",IFERROR(INDEX(사건마스터!$H$5:$H$64,MATCH($F350,사건마스터!$A$5:$A$64,0)),""))</f>
        <v/>
      </c>
      <c r="J350" s="48">
        <f>IF($F350="","",IFERROR(INDEX(사건마스터!$AH$5:$AH$64,MATCH($F350,사건마스터!$A$5:$A$64,0)),""))</f>
        <v/>
      </c>
      <c r="K350" s="48">
        <f>IF($F350="","",IFERROR(INDEX(사건마스터!$AI$5:$AI$64,MATCH($F350,사건마스터!$A$5:$A$64,0)),""))</f>
        <v/>
      </c>
      <c r="L350" s="48">
        <f>IF($F350="","",IFERROR(INDEX(사건마스터!$AJ$5:$AJ$64,MATCH($F350,사건마스터!$A$5:$A$64,0)),""))</f>
        <v/>
      </c>
      <c r="M350" s="48">
        <f>IF($F350="","",IFERROR(INDEX(사건마스터!$AK$5:$AK$64,MATCH($F350,사건마스터!$A$5:$A$64,0)),""))</f>
        <v/>
      </c>
      <c r="N350" s="48">
        <f>IF($F350="","",IFERROR(INDEX(사건마스터!$AL$5:$AL$64,MATCH($F350,사건마스터!$A$5:$A$64,0)),""))</f>
        <v/>
      </c>
      <c r="O350" s="43">
        <f>IF($I350="","",COUNTIF($I350:$N350,"?*"))</f>
        <v/>
      </c>
      <c r="P350" s="46">
        <f>IF($I350="","",_xlfn.TEXTJOIN(", ",TRUE,$I350:$N350))</f>
        <v/>
      </c>
      <c r="Q350" s="47">
        <f>IF($I350="","",IFERROR(INDEX(코드설정!$D$5:$D$24,MATCH($I350,코드설정!$C$5:$C$24,0)),""))</f>
        <v/>
      </c>
      <c r="R350" s="49" t="n"/>
      <c r="S350" s="50" t="n"/>
      <c r="T350" s="51" t="n"/>
      <c r="U350" s="43">
        <f>IF(OR($B350="",$C350=""),"",$C350-$B350+1)</f>
        <v/>
      </c>
      <c r="V350" s="52" t="n"/>
      <c r="W350" s="53">
        <f>IF(OR($V350="",$O350=""),"",$V350*$O350)</f>
        <v/>
      </c>
      <c r="X350" s="45" t="n"/>
      <c r="Y350" s="49" t="n"/>
    </row>
    <row r="351">
      <c r="A351" s="43">
        <f>IF($B351="","",COUNT($B$5:$B351))</f>
        <v/>
      </c>
      <c r="B351" s="44" t="n"/>
      <c r="C351" s="44" t="n"/>
      <c r="D351" s="45" t="n"/>
      <c r="E351" s="45" t="n"/>
      <c r="F351" s="45" t="n"/>
      <c r="G351" s="46">
        <f>IF($F351="","",IFERROR(INDEX(사건마스터!$B$5:$B$64,MATCH($F351,사건마스터!$A$5:$A$64,0)),""))</f>
        <v/>
      </c>
      <c r="H351" s="47">
        <f>IF($F351="","",IFERROR(INDEX(사건마스터!$C$5:$C$64,MATCH($F351,사건마스터!$A$5:$A$64,0)),""))</f>
        <v/>
      </c>
      <c r="I351" s="48">
        <f>IF($F351="","",IFERROR(INDEX(사건마스터!$H$5:$H$64,MATCH($F351,사건마스터!$A$5:$A$64,0)),""))</f>
        <v/>
      </c>
      <c r="J351" s="48">
        <f>IF($F351="","",IFERROR(INDEX(사건마스터!$AH$5:$AH$64,MATCH($F351,사건마스터!$A$5:$A$64,0)),""))</f>
        <v/>
      </c>
      <c r="K351" s="48">
        <f>IF($F351="","",IFERROR(INDEX(사건마스터!$AI$5:$AI$64,MATCH($F351,사건마스터!$A$5:$A$64,0)),""))</f>
        <v/>
      </c>
      <c r="L351" s="48">
        <f>IF($F351="","",IFERROR(INDEX(사건마스터!$AJ$5:$AJ$64,MATCH($F351,사건마스터!$A$5:$A$64,0)),""))</f>
        <v/>
      </c>
      <c r="M351" s="48">
        <f>IF($F351="","",IFERROR(INDEX(사건마스터!$AK$5:$AK$64,MATCH($F351,사건마스터!$A$5:$A$64,0)),""))</f>
        <v/>
      </c>
      <c r="N351" s="48">
        <f>IF($F351="","",IFERROR(INDEX(사건마스터!$AL$5:$AL$64,MATCH($F351,사건마스터!$A$5:$A$64,0)),""))</f>
        <v/>
      </c>
      <c r="O351" s="43">
        <f>IF($I351="","",COUNTIF($I351:$N351,"?*"))</f>
        <v/>
      </c>
      <c r="P351" s="46">
        <f>IF($I351="","",_xlfn.TEXTJOIN(", ",TRUE,$I351:$N351))</f>
        <v/>
      </c>
      <c r="Q351" s="47">
        <f>IF($I351="","",IFERROR(INDEX(코드설정!$D$5:$D$24,MATCH($I351,코드설정!$C$5:$C$24,0)),""))</f>
        <v/>
      </c>
      <c r="R351" s="49" t="n"/>
      <c r="S351" s="50" t="n"/>
      <c r="T351" s="51" t="n"/>
      <c r="U351" s="43">
        <f>IF(OR($B351="",$C351=""),"",$C351-$B351+1)</f>
        <v/>
      </c>
      <c r="V351" s="52" t="n"/>
      <c r="W351" s="53">
        <f>IF(OR($V351="",$O351=""),"",$V351*$O351)</f>
        <v/>
      </c>
      <c r="X351" s="45" t="n"/>
      <c r="Y351" s="49" t="n"/>
    </row>
    <row r="352">
      <c r="A352" s="43">
        <f>IF($B352="","",COUNT($B$5:$B352))</f>
        <v/>
      </c>
      <c r="B352" s="44" t="n"/>
      <c r="C352" s="44" t="n"/>
      <c r="D352" s="45" t="n"/>
      <c r="E352" s="45" t="n"/>
      <c r="F352" s="45" t="n"/>
      <c r="G352" s="46">
        <f>IF($F352="","",IFERROR(INDEX(사건마스터!$B$5:$B$64,MATCH($F352,사건마스터!$A$5:$A$64,0)),""))</f>
        <v/>
      </c>
      <c r="H352" s="47">
        <f>IF($F352="","",IFERROR(INDEX(사건마스터!$C$5:$C$64,MATCH($F352,사건마스터!$A$5:$A$64,0)),""))</f>
        <v/>
      </c>
      <c r="I352" s="48">
        <f>IF($F352="","",IFERROR(INDEX(사건마스터!$H$5:$H$64,MATCH($F352,사건마스터!$A$5:$A$64,0)),""))</f>
        <v/>
      </c>
      <c r="J352" s="48">
        <f>IF($F352="","",IFERROR(INDEX(사건마스터!$AH$5:$AH$64,MATCH($F352,사건마스터!$A$5:$A$64,0)),""))</f>
        <v/>
      </c>
      <c r="K352" s="48">
        <f>IF($F352="","",IFERROR(INDEX(사건마스터!$AI$5:$AI$64,MATCH($F352,사건마스터!$A$5:$A$64,0)),""))</f>
        <v/>
      </c>
      <c r="L352" s="48">
        <f>IF($F352="","",IFERROR(INDEX(사건마스터!$AJ$5:$AJ$64,MATCH($F352,사건마스터!$A$5:$A$64,0)),""))</f>
        <v/>
      </c>
      <c r="M352" s="48">
        <f>IF($F352="","",IFERROR(INDEX(사건마스터!$AK$5:$AK$64,MATCH($F352,사건마스터!$A$5:$A$64,0)),""))</f>
        <v/>
      </c>
      <c r="N352" s="48">
        <f>IF($F352="","",IFERROR(INDEX(사건마스터!$AL$5:$AL$64,MATCH($F352,사건마스터!$A$5:$A$64,0)),""))</f>
        <v/>
      </c>
      <c r="O352" s="43">
        <f>IF($I352="","",COUNTIF($I352:$N352,"?*"))</f>
        <v/>
      </c>
      <c r="P352" s="46">
        <f>IF($I352="","",_xlfn.TEXTJOIN(", ",TRUE,$I352:$N352))</f>
        <v/>
      </c>
      <c r="Q352" s="47">
        <f>IF($I352="","",IFERROR(INDEX(코드설정!$D$5:$D$24,MATCH($I352,코드설정!$C$5:$C$24,0)),""))</f>
        <v/>
      </c>
      <c r="R352" s="49" t="n"/>
      <c r="S352" s="50" t="n"/>
      <c r="T352" s="51" t="n"/>
      <c r="U352" s="43">
        <f>IF(OR($B352="",$C352=""),"",$C352-$B352+1)</f>
        <v/>
      </c>
      <c r="V352" s="52" t="n"/>
      <c r="W352" s="53">
        <f>IF(OR($V352="",$O352=""),"",$V352*$O352)</f>
        <v/>
      </c>
      <c r="X352" s="45" t="n"/>
      <c r="Y352" s="49" t="n"/>
    </row>
    <row r="353">
      <c r="A353" s="43">
        <f>IF($B353="","",COUNT($B$5:$B353))</f>
        <v/>
      </c>
      <c r="B353" s="44" t="n"/>
      <c r="C353" s="44" t="n"/>
      <c r="D353" s="45" t="n"/>
      <c r="E353" s="45" t="n"/>
      <c r="F353" s="45" t="n"/>
      <c r="G353" s="46">
        <f>IF($F353="","",IFERROR(INDEX(사건마스터!$B$5:$B$64,MATCH($F353,사건마스터!$A$5:$A$64,0)),""))</f>
        <v/>
      </c>
      <c r="H353" s="47">
        <f>IF($F353="","",IFERROR(INDEX(사건마스터!$C$5:$C$64,MATCH($F353,사건마스터!$A$5:$A$64,0)),""))</f>
        <v/>
      </c>
      <c r="I353" s="48">
        <f>IF($F353="","",IFERROR(INDEX(사건마스터!$H$5:$H$64,MATCH($F353,사건마스터!$A$5:$A$64,0)),""))</f>
        <v/>
      </c>
      <c r="J353" s="48">
        <f>IF($F353="","",IFERROR(INDEX(사건마스터!$AH$5:$AH$64,MATCH($F353,사건마스터!$A$5:$A$64,0)),""))</f>
        <v/>
      </c>
      <c r="K353" s="48">
        <f>IF($F353="","",IFERROR(INDEX(사건마스터!$AI$5:$AI$64,MATCH($F353,사건마스터!$A$5:$A$64,0)),""))</f>
        <v/>
      </c>
      <c r="L353" s="48">
        <f>IF($F353="","",IFERROR(INDEX(사건마스터!$AJ$5:$AJ$64,MATCH($F353,사건마스터!$A$5:$A$64,0)),""))</f>
        <v/>
      </c>
      <c r="M353" s="48">
        <f>IF($F353="","",IFERROR(INDEX(사건마스터!$AK$5:$AK$64,MATCH($F353,사건마스터!$A$5:$A$64,0)),""))</f>
        <v/>
      </c>
      <c r="N353" s="48">
        <f>IF($F353="","",IFERROR(INDEX(사건마스터!$AL$5:$AL$64,MATCH($F353,사건마스터!$A$5:$A$64,0)),""))</f>
        <v/>
      </c>
      <c r="O353" s="43">
        <f>IF($I353="","",COUNTIF($I353:$N353,"?*"))</f>
        <v/>
      </c>
      <c r="P353" s="46">
        <f>IF($I353="","",_xlfn.TEXTJOIN(", ",TRUE,$I353:$N353))</f>
        <v/>
      </c>
      <c r="Q353" s="47">
        <f>IF($I353="","",IFERROR(INDEX(코드설정!$D$5:$D$24,MATCH($I353,코드설정!$C$5:$C$24,0)),""))</f>
        <v/>
      </c>
      <c r="R353" s="49" t="n"/>
      <c r="S353" s="50" t="n"/>
      <c r="T353" s="51" t="n"/>
      <c r="U353" s="43">
        <f>IF(OR($B353="",$C353=""),"",$C353-$B353+1)</f>
        <v/>
      </c>
      <c r="V353" s="52" t="n"/>
      <c r="W353" s="53">
        <f>IF(OR($V353="",$O353=""),"",$V353*$O353)</f>
        <v/>
      </c>
      <c r="X353" s="45" t="n"/>
      <c r="Y353" s="49" t="n"/>
    </row>
    <row r="354">
      <c r="A354" s="43">
        <f>IF($B354="","",COUNT($B$5:$B354))</f>
        <v/>
      </c>
      <c r="B354" s="44" t="n"/>
      <c r="C354" s="44" t="n"/>
      <c r="D354" s="45" t="n"/>
      <c r="E354" s="45" t="n"/>
      <c r="F354" s="45" t="n"/>
      <c r="G354" s="46">
        <f>IF($F354="","",IFERROR(INDEX(사건마스터!$B$5:$B$64,MATCH($F354,사건마스터!$A$5:$A$64,0)),""))</f>
        <v/>
      </c>
      <c r="H354" s="47">
        <f>IF($F354="","",IFERROR(INDEX(사건마스터!$C$5:$C$64,MATCH($F354,사건마스터!$A$5:$A$64,0)),""))</f>
        <v/>
      </c>
      <c r="I354" s="48">
        <f>IF($F354="","",IFERROR(INDEX(사건마스터!$H$5:$H$64,MATCH($F354,사건마스터!$A$5:$A$64,0)),""))</f>
        <v/>
      </c>
      <c r="J354" s="48">
        <f>IF($F354="","",IFERROR(INDEX(사건마스터!$AH$5:$AH$64,MATCH($F354,사건마스터!$A$5:$A$64,0)),""))</f>
        <v/>
      </c>
      <c r="K354" s="48">
        <f>IF($F354="","",IFERROR(INDEX(사건마스터!$AI$5:$AI$64,MATCH($F354,사건마스터!$A$5:$A$64,0)),""))</f>
        <v/>
      </c>
      <c r="L354" s="48">
        <f>IF($F354="","",IFERROR(INDEX(사건마스터!$AJ$5:$AJ$64,MATCH($F354,사건마스터!$A$5:$A$64,0)),""))</f>
        <v/>
      </c>
      <c r="M354" s="48">
        <f>IF($F354="","",IFERROR(INDEX(사건마스터!$AK$5:$AK$64,MATCH($F354,사건마스터!$A$5:$A$64,0)),""))</f>
        <v/>
      </c>
      <c r="N354" s="48">
        <f>IF($F354="","",IFERROR(INDEX(사건마스터!$AL$5:$AL$64,MATCH($F354,사건마스터!$A$5:$A$64,0)),""))</f>
        <v/>
      </c>
      <c r="O354" s="43">
        <f>IF($I354="","",COUNTIF($I354:$N354,"?*"))</f>
        <v/>
      </c>
      <c r="P354" s="46">
        <f>IF($I354="","",_xlfn.TEXTJOIN(", ",TRUE,$I354:$N354))</f>
        <v/>
      </c>
      <c r="Q354" s="47">
        <f>IF($I354="","",IFERROR(INDEX(코드설정!$D$5:$D$24,MATCH($I354,코드설정!$C$5:$C$24,0)),""))</f>
        <v/>
      </c>
      <c r="R354" s="49" t="n"/>
      <c r="S354" s="50" t="n"/>
      <c r="T354" s="51" t="n"/>
      <c r="U354" s="43">
        <f>IF(OR($B354="",$C354=""),"",$C354-$B354+1)</f>
        <v/>
      </c>
      <c r="V354" s="52" t="n"/>
      <c r="W354" s="53">
        <f>IF(OR($V354="",$O354=""),"",$V354*$O354)</f>
        <v/>
      </c>
      <c r="X354" s="45" t="n"/>
      <c r="Y354" s="49" t="n"/>
    </row>
    <row r="355">
      <c r="A355" s="43">
        <f>IF($B355="","",COUNT($B$5:$B355))</f>
        <v/>
      </c>
      <c r="B355" s="44" t="n"/>
      <c r="C355" s="44" t="n"/>
      <c r="D355" s="45" t="n"/>
      <c r="E355" s="45" t="n"/>
      <c r="F355" s="45" t="n"/>
      <c r="G355" s="46">
        <f>IF($F355="","",IFERROR(INDEX(사건마스터!$B$5:$B$64,MATCH($F355,사건마스터!$A$5:$A$64,0)),""))</f>
        <v/>
      </c>
      <c r="H355" s="47">
        <f>IF($F355="","",IFERROR(INDEX(사건마스터!$C$5:$C$64,MATCH($F355,사건마스터!$A$5:$A$64,0)),""))</f>
        <v/>
      </c>
      <c r="I355" s="48">
        <f>IF($F355="","",IFERROR(INDEX(사건마스터!$H$5:$H$64,MATCH($F355,사건마스터!$A$5:$A$64,0)),""))</f>
        <v/>
      </c>
      <c r="J355" s="48">
        <f>IF($F355="","",IFERROR(INDEX(사건마스터!$AH$5:$AH$64,MATCH($F355,사건마스터!$A$5:$A$64,0)),""))</f>
        <v/>
      </c>
      <c r="K355" s="48">
        <f>IF($F355="","",IFERROR(INDEX(사건마스터!$AI$5:$AI$64,MATCH($F355,사건마스터!$A$5:$A$64,0)),""))</f>
        <v/>
      </c>
      <c r="L355" s="48">
        <f>IF($F355="","",IFERROR(INDEX(사건마스터!$AJ$5:$AJ$64,MATCH($F355,사건마스터!$A$5:$A$64,0)),""))</f>
        <v/>
      </c>
      <c r="M355" s="48">
        <f>IF($F355="","",IFERROR(INDEX(사건마스터!$AK$5:$AK$64,MATCH($F355,사건마스터!$A$5:$A$64,0)),""))</f>
        <v/>
      </c>
      <c r="N355" s="48">
        <f>IF($F355="","",IFERROR(INDEX(사건마스터!$AL$5:$AL$64,MATCH($F355,사건마스터!$A$5:$A$64,0)),""))</f>
        <v/>
      </c>
      <c r="O355" s="43">
        <f>IF($I355="","",COUNTIF($I355:$N355,"?*"))</f>
        <v/>
      </c>
      <c r="P355" s="46">
        <f>IF($I355="","",_xlfn.TEXTJOIN(", ",TRUE,$I355:$N355))</f>
        <v/>
      </c>
      <c r="Q355" s="47">
        <f>IF($I355="","",IFERROR(INDEX(코드설정!$D$5:$D$24,MATCH($I355,코드설정!$C$5:$C$24,0)),""))</f>
        <v/>
      </c>
      <c r="R355" s="49" t="n"/>
      <c r="S355" s="50" t="n"/>
      <c r="T355" s="51" t="n"/>
      <c r="U355" s="43">
        <f>IF(OR($B355="",$C355=""),"",$C355-$B355+1)</f>
        <v/>
      </c>
      <c r="V355" s="52" t="n"/>
      <c r="W355" s="53">
        <f>IF(OR($V355="",$O355=""),"",$V355*$O355)</f>
        <v/>
      </c>
      <c r="X355" s="45" t="n"/>
      <c r="Y355" s="49" t="n"/>
    </row>
    <row r="356">
      <c r="A356" s="43">
        <f>IF($B356="","",COUNT($B$5:$B356))</f>
        <v/>
      </c>
      <c r="B356" s="44" t="n"/>
      <c r="C356" s="44" t="n"/>
      <c r="D356" s="45" t="n"/>
      <c r="E356" s="45" t="n"/>
      <c r="F356" s="45" t="n"/>
      <c r="G356" s="46">
        <f>IF($F356="","",IFERROR(INDEX(사건마스터!$B$5:$B$64,MATCH($F356,사건마스터!$A$5:$A$64,0)),""))</f>
        <v/>
      </c>
      <c r="H356" s="47">
        <f>IF($F356="","",IFERROR(INDEX(사건마스터!$C$5:$C$64,MATCH($F356,사건마스터!$A$5:$A$64,0)),""))</f>
        <v/>
      </c>
      <c r="I356" s="48">
        <f>IF($F356="","",IFERROR(INDEX(사건마스터!$H$5:$H$64,MATCH($F356,사건마스터!$A$5:$A$64,0)),""))</f>
        <v/>
      </c>
      <c r="J356" s="48">
        <f>IF($F356="","",IFERROR(INDEX(사건마스터!$AH$5:$AH$64,MATCH($F356,사건마스터!$A$5:$A$64,0)),""))</f>
        <v/>
      </c>
      <c r="K356" s="48">
        <f>IF($F356="","",IFERROR(INDEX(사건마스터!$AI$5:$AI$64,MATCH($F356,사건마스터!$A$5:$A$64,0)),""))</f>
        <v/>
      </c>
      <c r="L356" s="48">
        <f>IF($F356="","",IFERROR(INDEX(사건마스터!$AJ$5:$AJ$64,MATCH($F356,사건마스터!$A$5:$A$64,0)),""))</f>
        <v/>
      </c>
      <c r="M356" s="48">
        <f>IF($F356="","",IFERROR(INDEX(사건마스터!$AK$5:$AK$64,MATCH($F356,사건마스터!$A$5:$A$64,0)),""))</f>
        <v/>
      </c>
      <c r="N356" s="48">
        <f>IF($F356="","",IFERROR(INDEX(사건마스터!$AL$5:$AL$64,MATCH($F356,사건마스터!$A$5:$A$64,0)),""))</f>
        <v/>
      </c>
      <c r="O356" s="43">
        <f>IF($I356="","",COUNTIF($I356:$N356,"?*"))</f>
        <v/>
      </c>
      <c r="P356" s="46">
        <f>IF($I356="","",_xlfn.TEXTJOIN(", ",TRUE,$I356:$N356))</f>
        <v/>
      </c>
      <c r="Q356" s="47">
        <f>IF($I356="","",IFERROR(INDEX(코드설정!$D$5:$D$24,MATCH($I356,코드설정!$C$5:$C$24,0)),""))</f>
        <v/>
      </c>
      <c r="R356" s="49" t="n"/>
      <c r="S356" s="50" t="n"/>
      <c r="T356" s="51" t="n"/>
      <c r="U356" s="43">
        <f>IF(OR($B356="",$C356=""),"",$C356-$B356+1)</f>
        <v/>
      </c>
      <c r="V356" s="52" t="n"/>
      <c r="W356" s="53">
        <f>IF(OR($V356="",$O356=""),"",$V356*$O356)</f>
        <v/>
      </c>
      <c r="X356" s="45" t="n"/>
      <c r="Y356" s="49" t="n"/>
    </row>
    <row r="357">
      <c r="A357" s="43">
        <f>IF($B357="","",COUNT($B$5:$B357))</f>
        <v/>
      </c>
      <c r="B357" s="44" t="n"/>
      <c r="C357" s="44" t="n"/>
      <c r="D357" s="45" t="n"/>
      <c r="E357" s="45" t="n"/>
      <c r="F357" s="45" t="n"/>
      <c r="G357" s="46">
        <f>IF($F357="","",IFERROR(INDEX(사건마스터!$B$5:$B$64,MATCH($F357,사건마스터!$A$5:$A$64,0)),""))</f>
        <v/>
      </c>
      <c r="H357" s="47">
        <f>IF($F357="","",IFERROR(INDEX(사건마스터!$C$5:$C$64,MATCH($F357,사건마스터!$A$5:$A$64,0)),""))</f>
        <v/>
      </c>
      <c r="I357" s="48">
        <f>IF($F357="","",IFERROR(INDEX(사건마스터!$H$5:$H$64,MATCH($F357,사건마스터!$A$5:$A$64,0)),""))</f>
        <v/>
      </c>
      <c r="J357" s="48">
        <f>IF($F357="","",IFERROR(INDEX(사건마스터!$AH$5:$AH$64,MATCH($F357,사건마스터!$A$5:$A$64,0)),""))</f>
        <v/>
      </c>
      <c r="K357" s="48">
        <f>IF($F357="","",IFERROR(INDEX(사건마스터!$AI$5:$AI$64,MATCH($F357,사건마스터!$A$5:$A$64,0)),""))</f>
        <v/>
      </c>
      <c r="L357" s="48">
        <f>IF($F357="","",IFERROR(INDEX(사건마스터!$AJ$5:$AJ$64,MATCH($F357,사건마스터!$A$5:$A$64,0)),""))</f>
        <v/>
      </c>
      <c r="M357" s="48">
        <f>IF($F357="","",IFERROR(INDEX(사건마스터!$AK$5:$AK$64,MATCH($F357,사건마스터!$A$5:$A$64,0)),""))</f>
        <v/>
      </c>
      <c r="N357" s="48">
        <f>IF($F357="","",IFERROR(INDEX(사건마스터!$AL$5:$AL$64,MATCH($F357,사건마스터!$A$5:$A$64,0)),""))</f>
        <v/>
      </c>
      <c r="O357" s="43">
        <f>IF($I357="","",COUNTIF($I357:$N357,"?*"))</f>
        <v/>
      </c>
      <c r="P357" s="46">
        <f>IF($I357="","",_xlfn.TEXTJOIN(", ",TRUE,$I357:$N357))</f>
        <v/>
      </c>
      <c r="Q357" s="47">
        <f>IF($I357="","",IFERROR(INDEX(코드설정!$D$5:$D$24,MATCH($I357,코드설정!$C$5:$C$24,0)),""))</f>
        <v/>
      </c>
      <c r="R357" s="49" t="n"/>
      <c r="S357" s="50" t="n"/>
      <c r="T357" s="51" t="n"/>
      <c r="U357" s="43">
        <f>IF(OR($B357="",$C357=""),"",$C357-$B357+1)</f>
        <v/>
      </c>
      <c r="V357" s="52" t="n"/>
      <c r="W357" s="53">
        <f>IF(OR($V357="",$O357=""),"",$V357*$O357)</f>
        <v/>
      </c>
      <c r="X357" s="45" t="n"/>
      <c r="Y357" s="49" t="n"/>
    </row>
    <row r="358">
      <c r="A358" s="43">
        <f>IF($B358="","",COUNT($B$5:$B358))</f>
        <v/>
      </c>
      <c r="B358" s="44" t="n"/>
      <c r="C358" s="44" t="n"/>
      <c r="D358" s="45" t="n"/>
      <c r="E358" s="45" t="n"/>
      <c r="F358" s="45" t="n"/>
      <c r="G358" s="46">
        <f>IF($F358="","",IFERROR(INDEX(사건마스터!$B$5:$B$64,MATCH($F358,사건마스터!$A$5:$A$64,0)),""))</f>
        <v/>
      </c>
      <c r="H358" s="47">
        <f>IF($F358="","",IFERROR(INDEX(사건마스터!$C$5:$C$64,MATCH($F358,사건마스터!$A$5:$A$64,0)),""))</f>
        <v/>
      </c>
      <c r="I358" s="48">
        <f>IF($F358="","",IFERROR(INDEX(사건마스터!$H$5:$H$64,MATCH($F358,사건마스터!$A$5:$A$64,0)),""))</f>
        <v/>
      </c>
      <c r="J358" s="48">
        <f>IF($F358="","",IFERROR(INDEX(사건마스터!$AH$5:$AH$64,MATCH($F358,사건마스터!$A$5:$A$64,0)),""))</f>
        <v/>
      </c>
      <c r="K358" s="48">
        <f>IF($F358="","",IFERROR(INDEX(사건마스터!$AI$5:$AI$64,MATCH($F358,사건마스터!$A$5:$A$64,0)),""))</f>
        <v/>
      </c>
      <c r="L358" s="48">
        <f>IF($F358="","",IFERROR(INDEX(사건마스터!$AJ$5:$AJ$64,MATCH($F358,사건마스터!$A$5:$A$64,0)),""))</f>
        <v/>
      </c>
      <c r="M358" s="48">
        <f>IF($F358="","",IFERROR(INDEX(사건마스터!$AK$5:$AK$64,MATCH($F358,사건마스터!$A$5:$A$64,0)),""))</f>
        <v/>
      </c>
      <c r="N358" s="48">
        <f>IF($F358="","",IFERROR(INDEX(사건마스터!$AL$5:$AL$64,MATCH($F358,사건마스터!$A$5:$A$64,0)),""))</f>
        <v/>
      </c>
      <c r="O358" s="43">
        <f>IF($I358="","",COUNTIF($I358:$N358,"?*"))</f>
        <v/>
      </c>
      <c r="P358" s="46">
        <f>IF($I358="","",_xlfn.TEXTJOIN(", ",TRUE,$I358:$N358))</f>
        <v/>
      </c>
      <c r="Q358" s="47">
        <f>IF($I358="","",IFERROR(INDEX(코드설정!$D$5:$D$24,MATCH($I358,코드설정!$C$5:$C$24,0)),""))</f>
        <v/>
      </c>
      <c r="R358" s="49" t="n"/>
      <c r="S358" s="50" t="n"/>
      <c r="T358" s="51" t="n"/>
      <c r="U358" s="43">
        <f>IF(OR($B358="",$C358=""),"",$C358-$B358+1)</f>
        <v/>
      </c>
      <c r="V358" s="52" t="n"/>
      <c r="W358" s="53">
        <f>IF(OR($V358="",$O358=""),"",$V358*$O358)</f>
        <v/>
      </c>
      <c r="X358" s="45" t="n"/>
      <c r="Y358" s="49" t="n"/>
    </row>
    <row r="359">
      <c r="A359" s="43">
        <f>IF($B359="","",COUNT($B$5:$B359))</f>
        <v/>
      </c>
      <c r="B359" s="44" t="n"/>
      <c r="C359" s="44" t="n"/>
      <c r="D359" s="45" t="n"/>
      <c r="E359" s="45" t="n"/>
      <c r="F359" s="45" t="n"/>
      <c r="G359" s="46">
        <f>IF($F359="","",IFERROR(INDEX(사건마스터!$B$5:$B$64,MATCH($F359,사건마스터!$A$5:$A$64,0)),""))</f>
        <v/>
      </c>
      <c r="H359" s="47">
        <f>IF($F359="","",IFERROR(INDEX(사건마스터!$C$5:$C$64,MATCH($F359,사건마스터!$A$5:$A$64,0)),""))</f>
        <v/>
      </c>
      <c r="I359" s="48">
        <f>IF($F359="","",IFERROR(INDEX(사건마스터!$H$5:$H$64,MATCH($F359,사건마스터!$A$5:$A$64,0)),""))</f>
        <v/>
      </c>
      <c r="J359" s="48">
        <f>IF($F359="","",IFERROR(INDEX(사건마스터!$AH$5:$AH$64,MATCH($F359,사건마스터!$A$5:$A$64,0)),""))</f>
        <v/>
      </c>
      <c r="K359" s="48">
        <f>IF($F359="","",IFERROR(INDEX(사건마스터!$AI$5:$AI$64,MATCH($F359,사건마스터!$A$5:$A$64,0)),""))</f>
        <v/>
      </c>
      <c r="L359" s="48">
        <f>IF($F359="","",IFERROR(INDEX(사건마스터!$AJ$5:$AJ$64,MATCH($F359,사건마스터!$A$5:$A$64,0)),""))</f>
        <v/>
      </c>
      <c r="M359" s="48">
        <f>IF($F359="","",IFERROR(INDEX(사건마스터!$AK$5:$AK$64,MATCH($F359,사건마스터!$A$5:$A$64,0)),""))</f>
        <v/>
      </c>
      <c r="N359" s="48">
        <f>IF($F359="","",IFERROR(INDEX(사건마스터!$AL$5:$AL$64,MATCH($F359,사건마스터!$A$5:$A$64,0)),""))</f>
        <v/>
      </c>
      <c r="O359" s="43">
        <f>IF($I359="","",COUNTIF($I359:$N359,"?*"))</f>
        <v/>
      </c>
      <c r="P359" s="46">
        <f>IF($I359="","",_xlfn.TEXTJOIN(", ",TRUE,$I359:$N359))</f>
        <v/>
      </c>
      <c r="Q359" s="47">
        <f>IF($I359="","",IFERROR(INDEX(코드설정!$D$5:$D$24,MATCH($I359,코드설정!$C$5:$C$24,0)),""))</f>
        <v/>
      </c>
      <c r="R359" s="49" t="n"/>
      <c r="S359" s="50" t="n"/>
      <c r="T359" s="51" t="n"/>
      <c r="U359" s="43">
        <f>IF(OR($B359="",$C359=""),"",$C359-$B359+1)</f>
        <v/>
      </c>
      <c r="V359" s="52" t="n"/>
      <c r="W359" s="53">
        <f>IF(OR($V359="",$O359=""),"",$V359*$O359)</f>
        <v/>
      </c>
      <c r="X359" s="45" t="n"/>
      <c r="Y359" s="49" t="n"/>
    </row>
    <row r="360">
      <c r="A360" s="43">
        <f>IF($B360="","",COUNT($B$5:$B360))</f>
        <v/>
      </c>
      <c r="B360" s="44" t="n"/>
      <c r="C360" s="44" t="n"/>
      <c r="D360" s="45" t="n"/>
      <c r="E360" s="45" t="n"/>
      <c r="F360" s="45" t="n"/>
      <c r="G360" s="46">
        <f>IF($F360="","",IFERROR(INDEX(사건마스터!$B$5:$B$64,MATCH($F360,사건마스터!$A$5:$A$64,0)),""))</f>
        <v/>
      </c>
      <c r="H360" s="47">
        <f>IF($F360="","",IFERROR(INDEX(사건마스터!$C$5:$C$64,MATCH($F360,사건마스터!$A$5:$A$64,0)),""))</f>
        <v/>
      </c>
      <c r="I360" s="48">
        <f>IF($F360="","",IFERROR(INDEX(사건마스터!$H$5:$H$64,MATCH($F360,사건마스터!$A$5:$A$64,0)),""))</f>
        <v/>
      </c>
      <c r="J360" s="48">
        <f>IF($F360="","",IFERROR(INDEX(사건마스터!$AH$5:$AH$64,MATCH($F360,사건마스터!$A$5:$A$64,0)),""))</f>
        <v/>
      </c>
      <c r="K360" s="48">
        <f>IF($F360="","",IFERROR(INDEX(사건마스터!$AI$5:$AI$64,MATCH($F360,사건마스터!$A$5:$A$64,0)),""))</f>
        <v/>
      </c>
      <c r="L360" s="48">
        <f>IF($F360="","",IFERROR(INDEX(사건마스터!$AJ$5:$AJ$64,MATCH($F360,사건마스터!$A$5:$A$64,0)),""))</f>
        <v/>
      </c>
      <c r="M360" s="48">
        <f>IF($F360="","",IFERROR(INDEX(사건마스터!$AK$5:$AK$64,MATCH($F360,사건마스터!$A$5:$A$64,0)),""))</f>
        <v/>
      </c>
      <c r="N360" s="48">
        <f>IF($F360="","",IFERROR(INDEX(사건마스터!$AL$5:$AL$64,MATCH($F360,사건마스터!$A$5:$A$64,0)),""))</f>
        <v/>
      </c>
      <c r="O360" s="43">
        <f>IF($I360="","",COUNTIF($I360:$N360,"?*"))</f>
        <v/>
      </c>
      <c r="P360" s="46">
        <f>IF($I360="","",_xlfn.TEXTJOIN(", ",TRUE,$I360:$N360))</f>
        <v/>
      </c>
      <c r="Q360" s="47">
        <f>IF($I360="","",IFERROR(INDEX(코드설정!$D$5:$D$24,MATCH($I360,코드설정!$C$5:$C$24,0)),""))</f>
        <v/>
      </c>
      <c r="R360" s="49" t="n"/>
      <c r="S360" s="50" t="n"/>
      <c r="T360" s="51" t="n"/>
      <c r="U360" s="43">
        <f>IF(OR($B360="",$C360=""),"",$C360-$B360+1)</f>
        <v/>
      </c>
      <c r="V360" s="52" t="n"/>
      <c r="W360" s="53">
        <f>IF(OR($V360="",$O360=""),"",$V360*$O360)</f>
        <v/>
      </c>
      <c r="X360" s="45" t="n"/>
      <c r="Y360" s="49" t="n"/>
    </row>
    <row r="361">
      <c r="A361" s="43">
        <f>IF($B361="","",COUNT($B$5:$B361))</f>
        <v/>
      </c>
      <c r="B361" s="44" t="n"/>
      <c r="C361" s="44" t="n"/>
      <c r="D361" s="45" t="n"/>
      <c r="E361" s="45" t="n"/>
      <c r="F361" s="45" t="n"/>
      <c r="G361" s="46">
        <f>IF($F361="","",IFERROR(INDEX(사건마스터!$B$5:$B$64,MATCH($F361,사건마스터!$A$5:$A$64,0)),""))</f>
        <v/>
      </c>
      <c r="H361" s="47">
        <f>IF($F361="","",IFERROR(INDEX(사건마스터!$C$5:$C$64,MATCH($F361,사건마스터!$A$5:$A$64,0)),""))</f>
        <v/>
      </c>
      <c r="I361" s="48">
        <f>IF($F361="","",IFERROR(INDEX(사건마스터!$H$5:$H$64,MATCH($F361,사건마스터!$A$5:$A$64,0)),""))</f>
        <v/>
      </c>
      <c r="J361" s="48">
        <f>IF($F361="","",IFERROR(INDEX(사건마스터!$AH$5:$AH$64,MATCH($F361,사건마스터!$A$5:$A$64,0)),""))</f>
        <v/>
      </c>
      <c r="K361" s="48">
        <f>IF($F361="","",IFERROR(INDEX(사건마스터!$AI$5:$AI$64,MATCH($F361,사건마스터!$A$5:$A$64,0)),""))</f>
        <v/>
      </c>
      <c r="L361" s="48">
        <f>IF($F361="","",IFERROR(INDEX(사건마스터!$AJ$5:$AJ$64,MATCH($F361,사건마스터!$A$5:$A$64,0)),""))</f>
        <v/>
      </c>
      <c r="M361" s="48">
        <f>IF($F361="","",IFERROR(INDEX(사건마스터!$AK$5:$AK$64,MATCH($F361,사건마스터!$A$5:$A$64,0)),""))</f>
        <v/>
      </c>
      <c r="N361" s="48">
        <f>IF($F361="","",IFERROR(INDEX(사건마스터!$AL$5:$AL$64,MATCH($F361,사건마스터!$A$5:$A$64,0)),""))</f>
        <v/>
      </c>
      <c r="O361" s="43">
        <f>IF($I361="","",COUNTIF($I361:$N361,"?*"))</f>
        <v/>
      </c>
      <c r="P361" s="46">
        <f>IF($I361="","",_xlfn.TEXTJOIN(", ",TRUE,$I361:$N361))</f>
        <v/>
      </c>
      <c r="Q361" s="47">
        <f>IF($I361="","",IFERROR(INDEX(코드설정!$D$5:$D$24,MATCH($I361,코드설정!$C$5:$C$24,0)),""))</f>
        <v/>
      </c>
      <c r="R361" s="49" t="n"/>
      <c r="S361" s="50" t="n"/>
      <c r="T361" s="51" t="n"/>
      <c r="U361" s="43">
        <f>IF(OR($B361="",$C361=""),"",$C361-$B361+1)</f>
        <v/>
      </c>
      <c r="V361" s="52" t="n"/>
      <c r="W361" s="53">
        <f>IF(OR($V361="",$O361=""),"",$V361*$O361)</f>
        <v/>
      </c>
      <c r="X361" s="45" t="n"/>
      <c r="Y361" s="49" t="n"/>
    </row>
    <row r="362">
      <c r="A362" s="43">
        <f>IF($B362="","",COUNT($B$5:$B362))</f>
        <v/>
      </c>
      <c r="B362" s="44" t="n"/>
      <c r="C362" s="44" t="n"/>
      <c r="D362" s="45" t="n"/>
      <c r="E362" s="45" t="n"/>
      <c r="F362" s="45" t="n"/>
      <c r="G362" s="46">
        <f>IF($F362="","",IFERROR(INDEX(사건마스터!$B$5:$B$64,MATCH($F362,사건마스터!$A$5:$A$64,0)),""))</f>
        <v/>
      </c>
      <c r="H362" s="47">
        <f>IF($F362="","",IFERROR(INDEX(사건마스터!$C$5:$C$64,MATCH($F362,사건마스터!$A$5:$A$64,0)),""))</f>
        <v/>
      </c>
      <c r="I362" s="48">
        <f>IF($F362="","",IFERROR(INDEX(사건마스터!$H$5:$H$64,MATCH($F362,사건마스터!$A$5:$A$64,0)),""))</f>
        <v/>
      </c>
      <c r="J362" s="48">
        <f>IF($F362="","",IFERROR(INDEX(사건마스터!$AH$5:$AH$64,MATCH($F362,사건마스터!$A$5:$A$64,0)),""))</f>
        <v/>
      </c>
      <c r="K362" s="48">
        <f>IF($F362="","",IFERROR(INDEX(사건마스터!$AI$5:$AI$64,MATCH($F362,사건마스터!$A$5:$A$64,0)),""))</f>
        <v/>
      </c>
      <c r="L362" s="48">
        <f>IF($F362="","",IFERROR(INDEX(사건마스터!$AJ$5:$AJ$64,MATCH($F362,사건마스터!$A$5:$A$64,0)),""))</f>
        <v/>
      </c>
      <c r="M362" s="48">
        <f>IF($F362="","",IFERROR(INDEX(사건마스터!$AK$5:$AK$64,MATCH($F362,사건마스터!$A$5:$A$64,0)),""))</f>
        <v/>
      </c>
      <c r="N362" s="48">
        <f>IF($F362="","",IFERROR(INDEX(사건마스터!$AL$5:$AL$64,MATCH($F362,사건마스터!$A$5:$A$64,0)),""))</f>
        <v/>
      </c>
      <c r="O362" s="43">
        <f>IF($I362="","",COUNTIF($I362:$N362,"?*"))</f>
        <v/>
      </c>
      <c r="P362" s="46">
        <f>IF($I362="","",_xlfn.TEXTJOIN(", ",TRUE,$I362:$N362))</f>
        <v/>
      </c>
      <c r="Q362" s="47">
        <f>IF($I362="","",IFERROR(INDEX(코드설정!$D$5:$D$24,MATCH($I362,코드설정!$C$5:$C$24,0)),""))</f>
        <v/>
      </c>
      <c r="R362" s="49" t="n"/>
      <c r="S362" s="50" t="n"/>
      <c r="T362" s="51" t="n"/>
      <c r="U362" s="43">
        <f>IF(OR($B362="",$C362=""),"",$C362-$B362+1)</f>
        <v/>
      </c>
      <c r="V362" s="52" t="n"/>
      <c r="W362" s="53">
        <f>IF(OR($V362="",$O362=""),"",$V362*$O362)</f>
        <v/>
      </c>
      <c r="X362" s="45" t="n"/>
      <c r="Y362" s="49" t="n"/>
    </row>
    <row r="363">
      <c r="A363" s="43">
        <f>IF($B363="","",COUNT($B$5:$B363))</f>
        <v/>
      </c>
      <c r="B363" s="44" t="n"/>
      <c r="C363" s="44" t="n"/>
      <c r="D363" s="45" t="n"/>
      <c r="E363" s="45" t="n"/>
      <c r="F363" s="45" t="n"/>
      <c r="G363" s="46">
        <f>IF($F363="","",IFERROR(INDEX(사건마스터!$B$5:$B$64,MATCH($F363,사건마스터!$A$5:$A$64,0)),""))</f>
        <v/>
      </c>
      <c r="H363" s="47">
        <f>IF($F363="","",IFERROR(INDEX(사건마스터!$C$5:$C$64,MATCH($F363,사건마스터!$A$5:$A$64,0)),""))</f>
        <v/>
      </c>
      <c r="I363" s="48">
        <f>IF($F363="","",IFERROR(INDEX(사건마스터!$H$5:$H$64,MATCH($F363,사건마스터!$A$5:$A$64,0)),""))</f>
        <v/>
      </c>
      <c r="J363" s="48">
        <f>IF($F363="","",IFERROR(INDEX(사건마스터!$AH$5:$AH$64,MATCH($F363,사건마스터!$A$5:$A$64,0)),""))</f>
        <v/>
      </c>
      <c r="K363" s="48">
        <f>IF($F363="","",IFERROR(INDEX(사건마스터!$AI$5:$AI$64,MATCH($F363,사건마스터!$A$5:$A$64,0)),""))</f>
        <v/>
      </c>
      <c r="L363" s="48">
        <f>IF($F363="","",IFERROR(INDEX(사건마스터!$AJ$5:$AJ$64,MATCH($F363,사건마스터!$A$5:$A$64,0)),""))</f>
        <v/>
      </c>
      <c r="M363" s="48">
        <f>IF($F363="","",IFERROR(INDEX(사건마스터!$AK$5:$AK$64,MATCH($F363,사건마스터!$A$5:$A$64,0)),""))</f>
        <v/>
      </c>
      <c r="N363" s="48">
        <f>IF($F363="","",IFERROR(INDEX(사건마스터!$AL$5:$AL$64,MATCH($F363,사건마스터!$A$5:$A$64,0)),""))</f>
        <v/>
      </c>
      <c r="O363" s="43">
        <f>IF($I363="","",COUNTIF($I363:$N363,"?*"))</f>
        <v/>
      </c>
      <c r="P363" s="46">
        <f>IF($I363="","",_xlfn.TEXTJOIN(", ",TRUE,$I363:$N363))</f>
        <v/>
      </c>
      <c r="Q363" s="47">
        <f>IF($I363="","",IFERROR(INDEX(코드설정!$D$5:$D$24,MATCH($I363,코드설정!$C$5:$C$24,0)),""))</f>
        <v/>
      </c>
      <c r="R363" s="49" t="n"/>
      <c r="S363" s="50" t="n"/>
      <c r="T363" s="51" t="n"/>
      <c r="U363" s="43">
        <f>IF(OR($B363="",$C363=""),"",$C363-$B363+1)</f>
        <v/>
      </c>
      <c r="V363" s="52" t="n"/>
      <c r="W363" s="53">
        <f>IF(OR($V363="",$O363=""),"",$V363*$O363)</f>
        <v/>
      </c>
      <c r="X363" s="45" t="n"/>
      <c r="Y363" s="49" t="n"/>
    </row>
    <row r="364">
      <c r="A364" s="43">
        <f>IF($B364="","",COUNT($B$5:$B364))</f>
        <v/>
      </c>
      <c r="B364" s="44" t="n"/>
      <c r="C364" s="44" t="n"/>
      <c r="D364" s="45" t="n"/>
      <c r="E364" s="45" t="n"/>
      <c r="F364" s="45" t="n"/>
      <c r="G364" s="46">
        <f>IF($F364="","",IFERROR(INDEX(사건마스터!$B$5:$B$64,MATCH($F364,사건마스터!$A$5:$A$64,0)),""))</f>
        <v/>
      </c>
      <c r="H364" s="47">
        <f>IF($F364="","",IFERROR(INDEX(사건마스터!$C$5:$C$64,MATCH($F364,사건마스터!$A$5:$A$64,0)),""))</f>
        <v/>
      </c>
      <c r="I364" s="48">
        <f>IF($F364="","",IFERROR(INDEX(사건마스터!$H$5:$H$64,MATCH($F364,사건마스터!$A$5:$A$64,0)),""))</f>
        <v/>
      </c>
      <c r="J364" s="48">
        <f>IF($F364="","",IFERROR(INDEX(사건마스터!$AH$5:$AH$64,MATCH($F364,사건마스터!$A$5:$A$64,0)),""))</f>
        <v/>
      </c>
      <c r="K364" s="48">
        <f>IF($F364="","",IFERROR(INDEX(사건마스터!$AI$5:$AI$64,MATCH($F364,사건마스터!$A$5:$A$64,0)),""))</f>
        <v/>
      </c>
      <c r="L364" s="48">
        <f>IF($F364="","",IFERROR(INDEX(사건마스터!$AJ$5:$AJ$64,MATCH($F364,사건마스터!$A$5:$A$64,0)),""))</f>
        <v/>
      </c>
      <c r="M364" s="48">
        <f>IF($F364="","",IFERROR(INDEX(사건마스터!$AK$5:$AK$64,MATCH($F364,사건마스터!$A$5:$A$64,0)),""))</f>
        <v/>
      </c>
      <c r="N364" s="48">
        <f>IF($F364="","",IFERROR(INDEX(사건마스터!$AL$5:$AL$64,MATCH($F364,사건마스터!$A$5:$A$64,0)),""))</f>
        <v/>
      </c>
      <c r="O364" s="43">
        <f>IF($I364="","",COUNTIF($I364:$N364,"?*"))</f>
        <v/>
      </c>
      <c r="P364" s="46">
        <f>IF($I364="","",_xlfn.TEXTJOIN(", ",TRUE,$I364:$N364))</f>
        <v/>
      </c>
      <c r="Q364" s="47">
        <f>IF($I364="","",IFERROR(INDEX(코드설정!$D$5:$D$24,MATCH($I364,코드설정!$C$5:$C$24,0)),""))</f>
        <v/>
      </c>
      <c r="R364" s="49" t="n"/>
      <c r="S364" s="50" t="n"/>
      <c r="T364" s="51" t="n"/>
      <c r="U364" s="43">
        <f>IF(OR($B364="",$C364=""),"",$C364-$B364+1)</f>
        <v/>
      </c>
      <c r="V364" s="52" t="n"/>
      <c r="W364" s="53">
        <f>IF(OR($V364="",$O364=""),"",$V364*$O364)</f>
        <v/>
      </c>
      <c r="X364" s="45" t="n"/>
      <c r="Y364" s="49" t="n"/>
    </row>
    <row r="365">
      <c r="A365" s="43">
        <f>IF($B365="","",COUNT($B$5:$B365))</f>
        <v/>
      </c>
      <c r="B365" s="44" t="n"/>
      <c r="C365" s="44" t="n"/>
      <c r="D365" s="45" t="n"/>
      <c r="E365" s="45" t="n"/>
      <c r="F365" s="45" t="n"/>
      <c r="G365" s="46">
        <f>IF($F365="","",IFERROR(INDEX(사건마스터!$B$5:$B$64,MATCH($F365,사건마스터!$A$5:$A$64,0)),""))</f>
        <v/>
      </c>
      <c r="H365" s="47">
        <f>IF($F365="","",IFERROR(INDEX(사건마스터!$C$5:$C$64,MATCH($F365,사건마스터!$A$5:$A$64,0)),""))</f>
        <v/>
      </c>
      <c r="I365" s="48">
        <f>IF($F365="","",IFERROR(INDEX(사건마스터!$H$5:$H$64,MATCH($F365,사건마스터!$A$5:$A$64,0)),""))</f>
        <v/>
      </c>
      <c r="J365" s="48">
        <f>IF($F365="","",IFERROR(INDEX(사건마스터!$AH$5:$AH$64,MATCH($F365,사건마스터!$A$5:$A$64,0)),""))</f>
        <v/>
      </c>
      <c r="K365" s="48">
        <f>IF($F365="","",IFERROR(INDEX(사건마스터!$AI$5:$AI$64,MATCH($F365,사건마스터!$A$5:$A$64,0)),""))</f>
        <v/>
      </c>
      <c r="L365" s="48">
        <f>IF($F365="","",IFERROR(INDEX(사건마스터!$AJ$5:$AJ$64,MATCH($F365,사건마스터!$A$5:$A$64,0)),""))</f>
        <v/>
      </c>
      <c r="M365" s="48">
        <f>IF($F365="","",IFERROR(INDEX(사건마스터!$AK$5:$AK$64,MATCH($F365,사건마스터!$A$5:$A$64,0)),""))</f>
        <v/>
      </c>
      <c r="N365" s="48">
        <f>IF($F365="","",IFERROR(INDEX(사건마스터!$AL$5:$AL$64,MATCH($F365,사건마스터!$A$5:$A$64,0)),""))</f>
        <v/>
      </c>
      <c r="O365" s="43">
        <f>IF($I365="","",COUNTIF($I365:$N365,"?*"))</f>
        <v/>
      </c>
      <c r="P365" s="46">
        <f>IF($I365="","",_xlfn.TEXTJOIN(", ",TRUE,$I365:$N365))</f>
        <v/>
      </c>
      <c r="Q365" s="47">
        <f>IF($I365="","",IFERROR(INDEX(코드설정!$D$5:$D$24,MATCH($I365,코드설정!$C$5:$C$24,0)),""))</f>
        <v/>
      </c>
      <c r="R365" s="49" t="n"/>
      <c r="S365" s="50" t="n"/>
      <c r="T365" s="51" t="n"/>
      <c r="U365" s="43">
        <f>IF(OR($B365="",$C365=""),"",$C365-$B365+1)</f>
        <v/>
      </c>
      <c r="V365" s="52" t="n"/>
      <c r="W365" s="53">
        <f>IF(OR($V365="",$O365=""),"",$V365*$O365)</f>
        <v/>
      </c>
      <c r="X365" s="45" t="n"/>
      <c r="Y365" s="49" t="n"/>
    </row>
    <row r="366">
      <c r="A366" s="43">
        <f>IF($B366="","",COUNT($B$5:$B366))</f>
        <v/>
      </c>
      <c r="B366" s="44" t="n"/>
      <c r="C366" s="44" t="n"/>
      <c r="D366" s="45" t="n"/>
      <c r="E366" s="45" t="n"/>
      <c r="F366" s="45" t="n"/>
      <c r="G366" s="46">
        <f>IF($F366="","",IFERROR(INDEX(사건마스터!$B$5:$B$64,MATCH($F366,사건마스터!$A$5:$A$64,0)),""))</f>
        <v/>
      </c>
      <c r="H366" s="47">
        <f>IF($F366="","",IFERROR(INDEX(사건마스터!$C$5:$C$64,MATCH($F366,사건마스터!$A$5:$A$64,0)),""))</f>
        <v/>
      </c>
      <c r="I366" s="48">
        <f>IF($F366="","",IFERROR(INDEX(사건마스터!$H$5:$H$64,MATCH($F366,사건마스터!$A$5:$A$64,0)),""))</f>
        <v/>
      </c>
      <c r="J366" s="48">
        <f>IF($F366="","",IFERROR(INDEX(사건마스터!$AH$5:$AH$64,MATCH($F366,사건마스터!$A$5:$A$64,0)),""))</f>
        <v/>
      </c>
      <c r="K366" s="48">
        <f>IF($F366="","",IFERROR(INDEX(사건마스터!$AI$5:$AI$64,MATCH($F366,사건마스터!$A$5:$A$64,0)),""))</f>
        <v/>
      </c>
      <c r="L366" s="48">
        <f>IF($F366="","",IFERROR(INDEX(사건마스터!$AJ$5:$AJ$64,MATCH($F366,사건마스터!$A$5:$A$64,0)),""))</f>
        <v/>
      </c>
      <c r="M366" s="48">
        <f>IF($F366="","",IFERROR(INDEX(사건마스터!$AK$5:$AK$64,MATCH($F366,사건마스터!$A$5:$A$64,0)),""))</f>
        <v/>
      </c>
      <c r="N366" s="48">
        <f>IF($F366="","",IFERROR(INDEX(사건마스터!$AL$5:$AL$64,MATCH($F366,사건마스터!$A$5:$A$64,0)),""))</f>
        <v/>
      </c>
      <c r="O366" s="43">
        <f>IF($I366="","",COUNTIF($I366:$N366,"?*"))</f>
        <v/>
      </c>
      <c r="P366" s="46">
        <f>IF($I366="","",_xlfn.TEXTJOIN(", ",TRUE,$I366:$N366))</f>
        <v/>
      </c>
      <c r="Q366" s="47">
        <f>IF($I366="","",IFERROR(INDEX(코드설정!$D$5:$D$24,MATCH($I366,코드설정!$C$5:$C$24,0)),""))</f>
        <v/>
      </c>
      <c r="R366" s="49" t="n"/>
      <c r="S366" s="50" t="n"/>
      <c r="T366" s="51" t="n"/>
      <c r="U366" s="43">
        <f>IF(OR($B366="",$C366=""),"",$C366-$B366+1)</f>
        <v/>
      </c>
      <c r="V366" s="52" t="n"/>
      <c r="W366" s="53">
        <f>IF(OR($V366="",$O366=""),"",$V366*$O366)</f>
        <v/>
      </c>
      <c r="X366" s="45" t="n"/>
      <c r="Y366" s="49" t="n"/>
    </row>
    <row r="367">
      <c r="A367" s="43">
        <f>IF($B367="","",COUNT($B$5:$B367))</f>
        <v/>
      </c>
      <c r="B367" s="44" t="n"/>
      <c r="C367" s="44" t="n"/>
      <c r="D367" s="45" t="n"/>
      <c r="E367" s="45" t="n"/>
      <c r="F367" s="45" t="n"/>
      <c r="G367" s="46">
        <f>IF($F367="","",IFERROR(INDEX(사건마스터!$B$5:$B$64,MATCH($F367,사건마스터!$A$5:$A$64,0)),""))</f>
        <v/>
      </c>
      <c r="H367" s="47">
        <f>IF($F367="","",IFERROR(INDEX(사건마스터!$C$5:$C$64,MATCH($F367,사건마스터!$A$5:$A$64,0)),""))</f>
        <v/>
      </c>
      <c r="I367" s="48">
        <f>IF($F367="","",IFERROR(INDEX(사건마스터!$H$5:$H$64,MATCH($F367,사건마스터!$A$5:$A$64,0)),""))</f>
        <v/>
      </c>
      <c r="J367" s="48">
        <f>IF($F367="","",IFERROR(INDEX(사건마스터!$AH$5:$AH$64,MATCH($F367,사건마스터!$A$5:$A$64,0)),""))</f>
        <v/>
      </c>
      <c r="K367" s="48">
        <f>IF($F367="","",IFERROR(INDEX(사건마스터!$AI$5:$AI$64,MATCH($F367,사건마스터!$A$5:$A$64,0)),""))</f>
        <v/>
      </c>
      <c r="L367" s="48">
        <f>IF($F367="","",IFERROR(INDEX(사건마스터!$AJ$5:$AJ$64,MATCH($F367,사건마스터!$A$5:$A$64,0)),""))</f>
        <v/>
      </c>
      <c r="M367" s="48">
        <f>IF($F367="","",IFERROR(INDEX(사건마스터!$AK$5:$AK$64,MATCH($F367,사건마스터!$A$5:$A$64,0)),""))</f>
        <v/>
      </c>
      <c r="N367" s="48">
        <f>IF($F367="","",IFERROR(INDEX(사건마스터!$AL$5:$AL$64,MATCH($F367,사건마스터!$A$5:$A$64,0)),""))</f>
        <v/>
      </c>
      <c r="O367" s="43">
        <f>IF($I367="","",COUNTIF($I367:$N367,"?*"))</f>
        <v/>
      </c>
      <c r="P367" s="46">
        <f>IF($I367="","",_xlfn.TEXTJOIN(", ",TRUE,$I367:$N367))</f>
        <v/>
      </c>
      <c r="Q367" s="47">
        <f>IF($I367="","",IFERROR(INDEX(코드설정!$D$5:$D$24,MATCH($I367,코드설정!$C$5:$C$24,0)),""))</f>
        <v/>
      </c>
      <c r="R367" s="49" t="n"/>
      <c r="S367" s="50" t="n"/>
      <c r="T367" s="51" t="n"/>
      <c r="U367" s="43">
        <f>IF(OR($B367="",$C367=""),"",$C367-$B367+1)</f>
        <v/>
      </c>
      <c r="V367" s="52" t="n"/>
      <c r="W367" s="53">
        <f>IF(OR($V367="",$O367=""),"",$V367*$O367)</f>
        <v/>
      </c>
      <c r="X367" s="45" t="n"/>
      <c r="Y367" s="49" t="n"/>
    </row>
    <row r="368">
      <c r="A368" s="43">
        <f>IF($B368="","",COUNT($B$5:$B368))</f>
        <v/>
      </c>
      <c r="B368" s="44" t="n"/>
      <c r="C368" s="44" t="n"/>
      <c r="D368" s="45" t="n"/>
      <c r="E368" s="45" t="n"/>
      <c r="F368" s="45" t="n"/>
      <c r="G368" s="46">
        <f>IF($F368="","",IFERROR(INDEX(사건마스터!$B$5:$B$64,MATCH($F368,사건마스터!$A$5:$A$64,0)),""))</f>
        <v/>
      </c>
      <c r="H368" s="47">
        <f>IF($F368="","",IFERROR(INDEX(사건마스터!$C$5:$C$64,MATCH($F368,사건마스터!$A$5:$A$64,0)),""))</f>
        <v/>
      </c>
      <c r="I368" s="48">
        <f>IF($F368="","",IFERROR(INDEX(사건마스터!$H$5:$H$64,MATCH($F368,사건마스터!$A$5:$A$64,0)),""))</f>
        <v/>
      </c>
      <c r="J368" s="48">
        <f>IF($F368="","",IFERROR(INDEX(사건마스터!$AH$5:$AH$64,MATCH($F368,사건마스터!$A$5:$A$64,0)),""))</f>
        <v/>
      </c>
      <c r="K368" s="48">
        <f>IF($F368="","",IFERROR(INDEX(사건마스터!$AI$5:$AI$64,MATCH($F368,사건마스터!$A$5:$A$64,0)),""))</f>
        <v/>
      </c>
      <c r="L368" s="48">
        <f>IF($F368="","",IFERROR(INDEX(사건마스터!$AJ$5:$AJ$64,MATCH($F368,사건마스터!$A$5:$A$64,0)),""))</f>
        <v/>
      </c>
      <c r="M368" s="48">
        <f>IF($F368="","",IFERROR(INDEX(사건마스터!$AK$5:$AK$64,MATCH($F368,사건마스터!$A$5:$A$64,0)),""))</f>
        <v/>
      </c>
      <c r="N368" s="48">
        <f>IF($F368="","",IFERROR(INDEX(사건마스터!$AL$5:$AL$64,MATCH($F368,사건마스터!$A$5:$A$64,0)),""))</f>
        <v/>
      </c>
      <c r="O368" s="43">
        <f>IF($I368="","",COUNTIF($I368:$N368,"?*"))</f>
        <v/>
      </c>
      <c r="P368" s="46">
        <f>IF($I368="","",_xlfn.TEXTJOIN(", ",TRUE,$I368:$N368))</f>
        <v/>
      </c>
      <c r="Q368" s="47">
        <f>IF($I368="","",IFERROR(INDEX(코드설정!$D$5:$D$24,MATCH($I368,코드설정!$C$5:$C$24,0)),""))</f>
        <v/>
      </c>
      <c r="R368" s="49" t="n"/>
      <c r="S368" s="50" t="n"/>
      <c r="T368" s="51" t="n"/>
      <c r="U368" s="43">
        <f>IF(OR($B368="",$C368=""),"",$C368-$B368+1)</f>
        <v/>
      </c>
      <c r="V368" s="52" t="n"/>
      <c r="W368" s="53">
        <f>IF(OR($V368="",$O368=""),"",$V368*$O368)</f>
        <v/>
      </c>
      <c r="X368" s="45" t="n"/>
      <c r="Y368" s="49" t="n"/>
    </row>
    <row r="369">
      <c r="A369" s="43">
        <f>IF($B369="","",COUNT($B$5:$B369))</f>
        <v/>
      </c>
      <c r="B369" s="44" t="n"/>
      <c r="C369" s="44" t="n"/>
      <c r="D369" s="45" t="n"/>
      <c r="E369" s="45" t="n"/>
      <c r="F369" s="45" t="n"/>
      <c r="G369" s="46">
        <f>IF($F369="","",IFERROR(INDEX(사건마스터!$B$5:$B$64,MATCH($F369,사건마스터!$A$5:$A$64,0)),""))</f>
        <v/>
      </c>
      <c r="H369" s="47">
        <f>IF($F369="","",IFERROR(INDEX(사건마스터!$C$5:$C$64,MATCH($F369,사건마스터!$A$5:$A$64,0)),""))</f>
        <v/>
      </c>
      <c r="I369" s="48">
        <f>IF($F369="","",IFERROR(INDEX(사건마스터!$H$5:$H$64,MATCH($F369,사건마스터!$A$5:$A$64,0)),""))</f>
        <v/>
      </c>
      <c r="J369" s="48">
        <f>IF($F369="","",IFERROR(INDEX(사건마스터!$AH$5:$AH$64,MATCH($F369,사건마스터!$A$5:$A$64,0)),""))</f>
        <v/>
      </c>
      <c r="K369" s="48">
        <f>IF($F369="","",IFERROR(INDEX(사건마스터!$AI$5:$AI$64,MATCH($F369,사건마스터!$A$5:$A$64,0)),""))</f>
        <v/>
      </c>
      <c r="L369" s="48">
        <f>IF($F369="","",IFERROR(INDEX(사건마스터!$AJ$5:$AJ$64,MATCH($F369,사건마스터!$A$5:$A$64,0)),""))</f>
        <v/>
      </c>
      <c r="M369" s="48">
        <f>IF($F369="","",IFERROR(INDEX(사건마스터!$AK$5:$AK$64,MATCH($F369,사건마스터!$A$5:$A$64,0)),""))</f>
        <v/>
      </c>
      <c r="N369" s="48">
        <f>IF($F369="","",IFERROR(INDEX(사건마스터!$AL$5:$AL$64,MATCH($F369,사건마스터!$A$5:$A$64,0)),""))</f>
        <v/>
      </c>
      <c r="O369" s="43">
        <f>IF($I369="","",COUNTIF($I369:$N369,"?*"))</f>
        <v/>
      </c>
      <c r="P369" s="46">
        <f>IF($I369="","",_xlfn.TEXTJOIN(", ",TRUE,$I369:$N369))</f>
        <v/>
      </c>
      <c r="Q369" s="47">
        <f>IF($I369="","",IFERROR(INDEX(코드설정!$D$5:$D$24,MATCH($I369,코드설정!$C$5:$C$24,0)),""))</f>
        <v/>
      </c>
      <c r="R369" s="49" t="n"/>
      <c r="S369" s="50" t="n"/>
      <c r="T369" s="51" t="n"/>
      <c r="U369" s="43">
        <f>IF(OR($B369="",$C369=""),"",$C369-$B369+1)</f>
        <v/>
      </c>
      <c r="V369" s="52" t="n"/>
      <c r="W369" s="53">
        <f>IF(OR($V369="",$O369=""),"",$V369*$O369)</f>
        <v/>
      </c>
      <c r="X369" s="45" t="n"/>
      <c r="Y369" s="49" t="n"/>
    </row>
    <row r="370">
      <c r="A370" s="43">
        <f>IF($B370="","",COUNT($B$5:$B370))</f>
        <v/>
      </c>
      <c r="B370" s="44" t="n"/>
      <c r="C370" s="44" t="n"/>
      <c r="D370" s="45" t="n"/>
      <c r="E370" s="45" t="n"/>
      <c r="F370" s="45" t="n"/>
      <c r="G370" s="46">
        <f>IF($F370="","",IFERROR(INDEX(사건마스터!$B$5:$B$64,MATCH($F370,사건마스터!$A$5:$A$64,0)),""))</f>
        <v/>
      </c>
      <c r="H370" s="47">
        <f>IF($F370="","",IFERROR(INDEX(사건마스터!$C$5:$C$64,MATCH($F370,사건마스터!$A$5:$A$64,0)),""))</f>
        <v/>
      </c>
      <c r="I370" s="48">
        <f>IF($F370="","",IFERROR(INDEX(사건마스터!$H$5:$H$64,MATCH($F370,사건마스터!$A$5:$A$64,0)),""))</f>
        <v/>
      </c>
      <c r="J370" s="48">
        <f>IF($F370="","",IFERROR(INDEX(사건마스터!$AH$5:$AH$64,MATCH($F370,사건마스터!$A$5:$A$64,0)),""))</f>
        <v/>
      </c>
      <c r="K370" s="48">
        <f>IF($F370="","",IFERROR(INDEX(사건마스터!$AI$5:$AI$64,MATCH($F370,사건마스터!$A$5:$A$64,0)),""))</f>
        <v/>
      </c>
      <c r="L370" s="48">
        <f>IF($F370="","",IFERROR(INDEX(사건마스터!$AJ$5:$AJ$64,MATCH($F370,사건마스터!$A$5:$A$64,0)),""))</f>
        <v/>
      </c>
      <c r="M370" s="48">
        <f>IF($F370="","",IFERROR(INDEX(사건마스터!$AK$5:$AK$64,MATCH($F370,사건마스터!$A$5:$A$64,0)),""))</f>
        <v/>
      </c>
      <c r="N370" s="48">
        <f>IF($F370="","",IFERROR(INDEX(사건마스터!$AL$5:$AL$64,MATCH($F370,사건마스터!$A$5:$A$64,0)),""))</f>
        <v/>
      </c>
      <c r="O370" s="43">
        <f>IF($I370="","",COUNTIF($I370:$N370,"?*"))</f>
        <v/>
      </c>
      <c r="P370" s="46">
        <f>IF($I370="","",_xlfn.TEXTJOIN(", ",TRUE,$I370:$N370))</f>
        <v/>
      </c>
      <c r="Q370" s="47">
        <f>IF($I370="","",IFERROR(INDEX(코드설정!$D$5:$D$24,MATCH($I370,코드설정!$C$5:$C$24,0)),""))</f>
        <v/>
      </c>
      <c r="R370" s="49" t="n"/>
      <c r="S370" s="50" t="n"/>
      <c r="T370" s="51" t="n"/>
      <c r="U370" s="43">
        <f>IF(OR($B370="",$C370=""),"",$C370-$B370+1)</f>
        <v/>
      </c>
      <c r="V370" s="52" t="n"/>
      <c r="W370" s="53">
        <f>IF(OR($V370="",$O370=""),"",$V370*$O370)</f>
        <v/>
      </c>
      <c r="X370" s="45" t="n"/>
      <c r="Y370" s="49" t="n"/>
    </row>
    <row r="371">
      <c r="A371" s="43">
        <f>IF($B371="","",COUNT($B$5:$B371))</f>
        <v/>
      </c>
      <c r="B371" s="44" t="n"/>
      <c r="C371" s="44" t="n"/>
      <c r="D371" s="45" t="n"/>
      <c r="E371" s="45" t="n"/>
      <c r="F371" s="45" t="n"/>
      <c r="G371" s="46">
        <f>IF($F371="","",IFERROR(INDEX(사건마스터!$B$5:$B$64,MATCH($F371,사건마스터!$A$5:$A$64,0)),""))</f>
        <v/>
      </c>
      <c r="H371" s="47">
        <f>IF($F371="","",IFERROR(INDEX(사건마스터!$C$5:$C$64,MATCH($F371,사건마스터!$A$5:$A$64,0)),""))</f>
        <v/>
      </c>
      <c r="I371" s="48">
        <f>IF($F371="","",IFERROR(INDEX(사건마스터!$H$5:$H$64,MATCH($F371,사건마스터!$A$5:$A$64,0)),""))</f>
        <v/>
      </c>
      <c r="J371" s="48">
        <f>IF($F371="","",IFERROR(INDEX(사건마스터!$AH$5:$AH$64,MATCH($F371,사건마스터!$A$5:$A$64,0)),""))</f>
        <v/>
      </c>
      <c r="K371" s="48">
        <f>IF($F371="","",IFERROR(INDEX(사건마스터!$AI$5:$AI$64,MATCH($F371,사건마스터!$A$5:$A$64,0)),""))</f>
        <v/>
      </c>
      <c r="L371" s="48">
        <f>IF($F371="","",IFERROR(INDEX(사건마스터!$AJ$5:$AJ$64,MATCH($F371,사건마스터!$A$5:$A$64,0)),""))</f>
        <v/>
      </c>
      <c r="M371" s="48">
        <f>IF($F371="","",IFERROR(INDEX(사건마스터!$AK$5:$AK$64,MATCH($F371,사건마스터!$A$5:$A$64,0)),""))</f>
        <v/>
      </c>
      <c r="N371" s="48">
        <f>IF($F371="","",IFERROR(INDEX(사건마스터!$AL$5:$AL$64,MATCH($F371,사건마스터!$A$5:$A$64,0)),""))</f>
        <v/>
      </c>
      <c r="O371" s="43">
        <f>IF($I371="","",COUNTIF($I371:$N371,"?*"))</f>
        <v/>
      </c>
      <c r="P371" s="46">
        <f>IF($I371="","",_xlfn.TEXTJOIN(", ",TRUE,$I371:$N371))</f>
        <v/>
      </c>
      <c r="Q371" s="47">
        <f>IF($I371="","",IFERROR(INDEX(코드설정!$D$5:$D$24,MATCH($I371,코드설정!$C$5:$C$24,0)),""))</f>
        <v/>
      </c>
      <c r="R371" s="49" t="n"/>
      <c r="S371" s="50" t="n"/>
      <c r="T371" s="51" t="n"/>
      <c r="U371" s="43">
        <f>IF(OR($B371="",$C371=""),"",$C371-$B371+1)</f>
        <v/>
      </c>
      <c r="V371" s="52" t="n"/>
      <c r="W371" s="53">
        <f>IF(OR($V371="",$O371=""),"",$V371*$O371)</f>
        <v/>
      </c>
      <c r="X371" s="45" t="n"/>
      <c r="Y371" s="49" t="n"/>
    </row>
    <row r="372">
      <c r="A372" s="43">
        <f>IF($B372="","",COUNT($B$5:$B372))</f>
        <v/>
      </c>
      <c r="B372" s="44" t="n"/>
      <c r="C372" s="44" t="n"/>
      <c r="D372" s="45" t="n"/>
      <c r="E372" s="45" t="n"/>
      <c r="F372" s="45" t="n"/>
      <c r="G372" s="46">
        <f>IF($F372="","",IFERROR(INDEX(사건마스터!$B$5:$B$64,MATCH($F372,사건마스터!$A$5:$A$64,0)),""))</f>
        <v/>
      </c>
      <c r="H372" s="47">
        <f>IF($F372="","",IFERROR(INDEX(사건마스터!$C$5:$C$64,MATCH($F372,사건마스터!$A$5:$A$64,0)),""))</f>
        <v/>
      </c>
      <c r="I372" s="48">
        <f>IF($F372="","",IFERROR(INDEX(사건마스터!$H$5:$H$64,MATCH($F372,사건마스터!$A$5:$A$64,0)),""))</f>
        <v/>
      </c>
      <c r="J372" s="48">
        <f>IF($F372="","",IFERROR(INDEX(사건마스터!$AH$5:$AH$64,MATCH($F372,사건마스터!$A$5:$A$64,0)),""))</f>
        <v/>
      </c>
      <c r="K372" s="48">
        <f>IF($F372="","",IFERROR(INDEX(사건마스터!$AI$5:$AI$64,MATCH($F372,사건마스터!$A$5:$A$64,0)),""))</f>
        <v/>
      </c>
      <c r="L372" s="48">
        <f>IF($F372="","",IFERROR(INDEX(사건마스터!$AJ$5:$AJ$64,MATCH($F372,사건마스터!$A$5:$A$64,0)),""))</f>
        <v/>
      </c>
      <c r="M372" s="48">
        <f>IF($F372="","",IFERROR(INDEX(사건마스터!$AK$5:$AK$64,MATCH($F372,사건마스터!$A$5:$A$64,0)),""))</f>
        <v/>
      </c>
      <c r="N372" s="48">
        <f>IF($F372="","",IFERROR(INDEX(사건마스터!$AL$5:$AL$64,MATCH($F372,사건마스터!$A$5:$A$64,0)),""))</f>
        <v/>
      </c>
      <c r="O372" s="43">
        <f>IF($I372="","",COUNTIF($I372:$N372,"?*"))</f>
        <v/>
      </c>
      <c r="P372" s="46">
        <f>IF($I372="","",_xlfn.TEXTJOIN(", ",TRUE,$I372:$N372))</f>
        <v/>
      </c>
      <c r="Q372" s="47">
        <f>IF($I372="","",IFERROR(INDEX(코드설정!$D$5:$D$24,MATCH($I372,코드설정!$C$5:$C$24,0)),""))</f>
        <v/>
      </c>
      <c r="R372" s="49" t="n"/>
      <c r="S372" s="50" t="n"/>
      <c r="T372" s="51" t="n"/>
      <c r="U372" s="43">
        <f>IF(OR($B372="",$C372=""),"",$C372-$B372+1)</f>
        <v/>
      </c>
      <c r="V372" s="52" t="n"/>
      <c r="W372" s="53">
        <f>IF(OR($V372="",$O372=""),"",$V372*$O372)</f>
        <v/>
      </c>
      <c r="X372" s="45" t="n"/>
      <c r="Y372" s="49" t="n"/>
    </row>
    <row r="373">
      <c r="A373" s="43">
        <f>IF($B373="","",COUNT($B$5:$B373))</f>
        <v/>
      </c>
      <c r="B373" s="44" t="n"/>
      <c r="C373" s="44" t="n"/>
      <c r="D373" s="45" t="n"/>
      <c r="E373" s="45" t="n"/>
      <c r="F373" s="45" t="n"/>
      <c r="G373" s="46">
        <f>IF($F373="","",IFERROR(INDEX(사건마스터!$B$5:$B$64,MATCH($F373,사건마스터!$A$5:$A$64,0)),""))</f>
        <v/>
      </c>
      <c r="H373" s="47">
        <f>IF($F373="","",IFERROR(INDEX(사건마스터!$C$5:$C$64,MATCH($F373,사건마스터!$A$5:$A$64,0)),""))</f>
        <v/>
      </c>
      <c r="I373" s="48">
        <f>IF($F373="","",IFERROR(INDEX(사건마스터!$H$5:$H$64,MATCH($F373,사건마스터!$A$5:$A$64,0)),""))</f>
        <v/>
      </c>
      <c r="J373" s="48">
        <f>IF($F373="","",IFERROR(INDEX(사건마스터!$AH$5:$AH$64,MATCH($F373,사건마스터!$A$5:$A$64,0)),""))</f>
        <v/>
      </c>
      <c r="K373" s="48">
        <f>IF($F373="","",IFERROR(INDEX(사건마스터!$AI$5:$AI$64,MATCH($F373,사건마스터!$A$5:$A$64,0)),""))</f>
        <v/>
      </c>
      <c r="L373" s="48">
        <f>IF($F373="","",IFERROR(INDEX(사건마스터!$AJ$5:$AJ$64,MATCH($F373,사건마스터!$A$5:$A$64,0)),""))</f>
        <v/>
      </c>
      <c r="M373" s="48">
        <f>IF($F373="","",IFERROR(INDEX(사건마스터!$AK$5:$AK$64,MATCH($F373,사건마스터!$A$5:$A$64,0)),""))</f>
        <v/>
      </c>
      <c r="N373" s="48">
        <f>IF($F373="","",IFERROR(INDEX(사건마스터!$AL$5:$AL$64,MATCH($F373,사건마스터!$A$5:$A$64,0)),""))</f>
        <v/>
      </c>
      <c r="O373" s="43">
        <f>IF($I373="","",COUNTIF($I373:$N373,"?*"))</f>
        <v/>
      </c>
      <c r="P373" s="46">
        <f>IF($I373="","",_xlfn.TEXTJOIN(", ",TRUE,$I373:$N373))</f>
        <v/>
      </c>
      <c r="Q373" s="47">
        <f>IF($I373="","",IFERROR(INDEX(코드설정!$D$5:$D$24,MATCH($I373,코드설정!$C$5:$C$24,0)),""))</f>
        <v/>
      </c>
      <c r="R373" s="49" t="n"/>
      <c r="S373" s="50" t="n"/>
      <c r="T373" s="51" t="n"/>
      <c r="U373" s="43">
        <f>IF(OR($B373="",$C373=""),"",$C373-$B373+1)</f>
        <v/>
      </c>
      <c r="V373" s="52" t="n"/>
      <c r="W373" s="53">
        <f>IF(OR($V373="",$O373=""),"",$V373*$O373)</f>
        <v/>
      </c>
      <c r="X373" s="45" t="n"/>
      <c r="Y373" s="49" t="n"/>
    </row>
    <row r="374">
      <c r="A374" s="43">
        <f>IF($B374="","",COUNT($B$5:$B374))</f>
        <v/>
      </c>
      <c r="B374" s="44" t="n"/>
      <c r="C374" s="44" t="n"/>
      <c r="D374" s="45" t="n"/>
      <c r="E374" s="45" t="n"/>
      <c r="F374" s="45" t="n"/>
      <c r="G374" s="46">
        <f>IF($F374="","",IFERROR(INDEX(사건마스터!$B$5:$B$64,MATCH($F374,사건마스터!$A$5:$A$64,0)),""))</f>
        <v/>
      </c>
      <c r="H374" s="47">
        <f>IF($F374="","",IFERROR(INDEX(사건마스터!$C$5:$C$64,MATCH($F374,사건마스터!$A$5:$A$64,0)),""))</f>
        <v/>
      </c>
      <c r="I374" s="48">
        <f>IF($F374="","",IFERROR(INDEX(사건마스터!$H$5:$H$64,MATCH($F374,사건마스터!$A$5:$A$64,0)),""))</f>
        <v/>
      </c>
      <c r="J374" s="48">
        <f>IF($F374="","",IFERROR(INDEX(사건마스터!$AH$5:$AH$64,MATCH($F374,사건마스터!$A$5:$A$64,0)),""))</f>
        <v/>
      </c>
      <c r="K374" s="48">
        <f>IF($F374="","",IFERROR(INDEX(사건마스터!$AI$5:$AI$64,MATCH($F374,사건마스터!$A$5:$A$64,0)),""))</f>
        <v/>
      </c>
      <c r="L374" s="48">
        <f>IF($F374="","",IFERROR(INDEX(사건마스터!$AJ$5:$AJ$64,MATCH($F374,사건마스터!$A$5:$A$64,0)),""))</f>
        <v/>
      </c>
      <c r="M374" s="48">
        <f>IF($F374="","",IFERROR(INDEX(사건마스터!$AK$5:$AK$64,MATCH($F374,사건마스터!$A$5:$A$64,0)),""))</f>
        <v/>
      </c>
      <c r="N374" s="48">
        <f>IF($F374="","",IFERROR(INDEX(사건마스터!$AL$5:$AL$64,MATCH($F374,사건마스터!$A$5:$A$64,0)),""))</f>
        <v/>
      </c>
      <c r="O374" s="43">
        <f>IF($I374="","",COUNTIF($I374:$N374,"?*"))</f>
        <v/>
      </c>
      <c r="P374" s="46">
        <f>IF($I374="","",_xlfn.TEXTJOIN(", ",TRUE,$I374:$N374))</f>
        <v/>
      </c>
      <c r="Q374" s="47">
        <f>IF($I374="","",IFERROR(INDEX(코드설정!$D$5:$D$24,MATCH($I374,코드설정!$C$5:$C$24,0)),""))</f>
        <v/>
      </c>
      <c r="R374" s="49" t="n"/>
      <c r="S374" s="50" t="n"/>
      <c r="T374" s="51" t="n"/>
      <c r="U374" s="43">
        <f>IF(OR($B374="",$C374=""),"",$C374-$B374+1)</f>
        <v/>
      </c>
      <c r="V374" s="52" t="n"/>
      <c r="W374" s="53">
        <f>IF(OR($V374="",$O374=""),"",$V374*$O374)</f>
        <v/>
      </c>
      <c r="X374" s="45" t="n"/>
      <c r="Y374" s="49" t="n"/>
    </row>
    <row r="375">
      <c r="A375" s="43">
        <f>IF($B375="","",COUNT($B$5:$B375))</f>
        <v/>
      </c>
      <c r="B375" s="44" t="n"/>
      <c r="C375" s="44" t="n"/>
      <c r="D375" s="45" t="n"/>
      <c r="E375" s="45" t="n"/>
      <c r="F375" s="45" t="n"/>
      <c r="G375" s="46">
        <f>IF($F375="","",IFERROR(INDEX(사건마스터!$B$5:$B$64,MATCH($F375,사건마스터!$A$5:$A$64,0)),""))</f>
        <v/>
      </c>
      <c r="H375" s="47">
        <f>IF($F375="","",IFERROR(INDEX(사건마스터!$C$5:$C$64,MATCH($F375,사건마스터!$A$5:$A$64,0)),""))</f>
        <v/>
      </c>
      <c r="I375" s="48">
        <f>IF($F375="","",IFERROR(INDEX(사건마스터!$H$5:$H$64,MATCH($F375,사건마스터!$A$5:$A$64,0)),""))</f>
        <v/>
      </c>
      <c r="J375" s="48">
        <f>IF($F375="","",IFERROR(INDEX(사건마스터!$AH$5:$AH$64,MATCH($F375,사건마스터!$A$5:$A$64,0)),""))</f>
        <v/>
      </c>
      <c r="K375" s="48">
        <f>IF($F375="","",IFERROR(INDEX(사건마스터!$AI$5:$AI$64,MATCH($F375,사건마스터!$A$5:$A$64,0)),""))</f>
        <v/>
      </c>
      <c r="L375" s="48">
        <f>IF($F375="","",IFERROR(INDEX(사건마스터!$AJ$5:$AJ$64,MATCH($F375,사건마스터!$A$5:$A$64,0)),""))</f>
        <v/>
      </c>
      <c r="M375" s="48">
        <f>IF($F375="","",IFERROR(INDEX(사건마스터!$AK$5:$AK$64,MATCH($F375,사건마스터!$A$5:$A$64,0)),""))</f>
        <v/>
      </c>
      <c r="N375" s="48">
        <f>IF($F375="","",IFERROR(INDEX(사건마스터!$AL$5:$AL$64,MATCH($F375,사건마스터!$A$5:$A$64,0)),""))</f>
        <v/>
      </c>
      <c r="O375" s="43">
        <f>IF($I375="","",COUNTIF($I375:$N375,"?*"))</f>
        <v/>
      </c>
      <c r="P375" s="46">
        <f>IF($I375="","",_xlfn.TEXTJOIN(", ",TRUE,$I375:$N375))</f>
        <v/>
      </c>
      <c r="Q375" s="47">
        <f>IF($I375="","",IFERROR(INDEX(코드설정!$D$5:$D$24,MATCH($I375,코드설정!$C$5:$C$24,0)),""))</f>
        <v/>
      </c>
      <c r="R375" s="49" t="n"/>
      <c r="S375" s="50" t="n"/>
      <c r="T375" s="51" t="n"/>
      <c r="U375" s="43">
        <f>IF(OR($B375="",$C375=""),"",$C375-$B375+1)</f>
        <v/>
      </c>
      <c r="V375" s="52" t="n"/>
      <c r="W375" s="53">
        <f>IF(OR($V375="",$O375=""),"",$V375*$O375)</f>
        <v/>
      </c>
      <c r="X375" s="45" t="n"/>
      <c r="Y375" s="49" t="n"/>
    </row>
    <row r="376">
      <c r="A376" s="43">
        <f>IF($B376="","",COUNT($B$5:$B376))</f>
        <v/>
      </c>
      <c r="B376" s="44" t="n"/>
      <c r="C376" s="44" t="n"/>
      <c r="D376" s="45" t="n"/>
      <c r="E376" s="45" t="n"/>
      <c r="F376" s="45" t="n"/>
      <c r="G376" s="46">
        <f>IF($F376="","",IFERROR(INDEX(사건마스터!$B$5:$B$64,MATCH($F376,사건마스터!$A$5:$A$64,0)),""))</f>
        <v/>
      </c>
      <c r="H376" s="47">
        <f>IF($F376="","",IFERROR(INDEX(사건마스터!$C$5:$C$64,MATCH($F376,사건마스터!$A$5:$A$64,0)),""))</f>
        <v/>
      </c>
      <c r="I376" s="48">
        <f>IF($F376="","",IFERROR(INDEX(사건마스터!$H$5:$H$64,MATCH($F376,사건마스터!$A$5:$A$64,0)),""))</f>
        <v/>
      </c>
      <c r="J376" s="48">
        <f>IF($F376="","",IFERROR(INDEX(사건마스터!$AH$5:$AH$64,MATCH($F376,사건마스터!$A$5:$A$64,0)),""))</f>
        <v/>
      </c>
      <c r="K376" s="48">
        <f>IF($F376="","",IFERROR(INDEX(사건마스터!$AI$5:$AI$64,MATCH($F376,사건마스터!$A$5:$A$64,0)),""))</f>
        <v/>
      </c>
      <c r="L376" s="48">
        <f>IF($F376="","",IFERROR(INDEX(사건마스터!$AJ$5:$AJ$64,MATCH($F376,사건마스터!$A$5:$A$64,0)),""))</f>
        <v/>
      </c>
      <c r="M376" s="48">
        <f>IF($F376="","",IFERROR(INDEX(사건마스터!$AK$5:$AK$64,MATCH($F376,사건마스터!$A$5:$A$64,0)),""))</f>
        <v/>
      </c>
      <c r="N376" s="48">
        <f>IF($F376="","",IFERROR(INDEX(사건마스터!$AL$5:$AL$64,MATCH($F376,사건마스터!$A$5:$A$64,0)),""))</f>
        <v/>
      </c>
      <c r="O376" s="43">
        <f>IF($I376="","",COUNTIF($I376:$N376,"?*"))</f>
        <v/>
      </c>
      <c r="P376" s="46">
        <f>IF($I376="","",_xlfn.TEXTJOIN(", ",TRUE,$I376:$N376))</f>
        <v/>
      </c>
      <c r="Q376" s="47">
        <f>IF($I376="","",IFERROR(INDEX(코드설정!$D$5:$D$24,MATCH($I376,코드설정!$C$5:$C$24,0)),""))</f>
        <v/>
      </c>
      <c r="R376" s="49" t="n"/>
      <c r="S376" s="50" t="n"/>
      <c r="T376" s="51" t="n"/>
      <c r="U376" s="43">
        <f>IF(OR($B376="",$C376=""),"",$C376-$B376+1)</f>
        <v/>
      </c>
      <c r="V376" s="52" t="n"/>
      <c r="W376" s="53">
        <f>IF(OR($V376="",$O376=""),"",$V376*$O376)</f>
        <v/>
      </c>
      <c r="X376" s="45" t="n"/>
      <c r="Y376" s="49" t="n"/>
    </row>
    <row r="377">
      <c r="A377" s="43">
        <f>IF($B377="","",COUNT($B$5:$B377))</f>
        <v/>
      </c>
      <c r="B377" s="44" t="n"/>
      <c r="C377" s="44" t="n"/>
      <c r="D377" s="45" t="n"/>
      <c r="E377" s="45" t="n"/>
      <c r="F377" s="45" t="n"/>
      <c r="G377" s="46">
        <f>IF($F377="","",IFERROR(INDEX(사건마스터!$B$5:$B$64,MATCH($F377,사건마스터!$A$5:$A$64,0)),""))</f>
        <v/>
      </c>
      <c r="H377" s="47">
        <f>IF($F377="","",IFERROR(INDEX(사건마스터!$C$5:$C$64,MATCH($F377,사건마스터!$A$5:$A$64,0)),""))</f>
        <v/>
      </c>
      <c r="I377" s="48">
        <f>IF($F377="","",IFERROR(INDEX(사건마스터!$H$5:$H$64,MATCH($F377,사건마스터!$A$5:$A$64,0)),""))</f>
        <v/>
      </c>
      <c r="J377" s="48">
        <f>IF($F377="","",IFERROR(INDEX(사건마스터!$AH$5:$AH$64,MATCH($F377,사건마스터!$A$5:$A$64,0)),""))</f>
        <v/>
      </c>
      <c r="K377" s="48">
        <f>IF($F377="","",IFERROR(INDEX(사건마스터!$AI$5:$AI$64,MATCH($F377,사건마스터!$A$5:$A$64,0)),""))</f>
        <v/>
      </c>
      <c r="L377" s="48">
        <f>IF($F377="","",IFERROR(INDEX(사건마스터!$AJ$5:$AJ$64,MATCH($F377,사건마스터!$A$5:$A$64,0)),""))</f>
        <v/>
      </c>
      <c r="M377" s="48">
        <f>IF($F377="","",IFERROR(INDEX(사건마스터!$AK$5:$AK$64,MATCH($F377,사건마스터!$A$5:$A$64,0)),""))</f>
        <v/>
      </c>
      <c r="N377" s="48">
        <f>IF($F377="","",IFERROR(INDEX(사건마스터!$AL$5:$AL$64,MATCH($F377,사건마스터!$A$5:$A$64,0)),""))</f>
        <v/>
      </c>
      <c r="O377" s="43">
        <f>IF($I377="","",COUNTIF($I377:$N377,"?*"))</f>
        <v/>
      </c>
      <c r="P377" s="46">
        <f>IF($I377="","",_xlfn.TEXTJOIN(", ",TRUE,$I377:$N377))</f>
        <v/>
      </c>
      <c r="Q377" s="47">
        <f>IF($I377="","",IFERROR(INDEX(코드설정!$D$5:$D$24,MATCH($I377,코드설정!$C$5:$C$24,0)),""))</f>
        <v/>
      </c>
      <c r="R377" s="49" t="n"/>
      <c r="S377" s="50" t="n"/>
      <c r="T377" s="51" t="n"/>
      <c r="U377" s="43">
        <f>IF(OR($B377="",$C377=""),"",$C377-$B377+1)</f>
        <v/>
      </c>
      <c r="V377" s="52" t="n"/>
      <c r="W377" s="53">
        <f>IF(OR($V377="",$O377=""),"",$V377*$O377)</f>
        <v/>
      </c>
      <c r="X377" s="45" t="n"/>
      <c r="Y377" s="49" t="n"/>
    </row>
    <row r="378">
      <c r="A378" s="43">
        <f>IF($B378="","",COUNT($B$5:$B378))</f>
        <v/>
      </c>
      <c r="B378" s="44" t="n"/>
      <c r="C378" s="44" t="n"/>
      <c r="D378" s="45" t="n"/>
      <c r="E378" s="45" t="n"/>
      <c r="F378" s="45" t="n"/>
      <c r="G378" s="46">
        <f>IF($F378="","",IFERROR(INDEX(사건마스터!$B$5:$B$64,MATCH($F378,사건마스터!$A$5:$A$64,0)),""))</f>
        <v/>
      </c>
      <c r="H378" s="47">
        <f>IF($F378="","",IFERROR(INDEX(사건마스터!$C$5:$C$64,MATCH($F378,사건마스터!$A$5:$A$64,0)),""))</f>
        <v/>
      </c>
      <c r="I378" s="48">
        <f>IF($F378="","",IFERROR(INDEX(사건마스터!$H$5:$H$64,MATCH($F378,사건마스터!$A$5:$A$64,0)),""))</f>
        <v/>
      </c>
      <c r="J378" s="48">
        <f>IF($F378="","",IFERROR(INDEX(사건마스터!$AH$5:$AH$64,MATCH($F378,사건마스터!$A$5:$A$64,0)),""))</f>
        <v/>
      </c>
      <c r="K378" s="48">
        <f>IF($F378="","",IFERROR(INDEX(사건마스터!$AI$5:$AI$64,MATCH($F378,사건마스터!$A$5:$A$64,0)),""))</f>
        <v/>
      </c>
      <c r="L378" s="48">
        <f>IF($F378="","",IFERROR(INDEX(사건마스터!$AJ$5:$AJ$64,MATCH($F378,사건마스터!$A$5:$A$64,0)),""))</f>
        <v/>
      </c>
      <c r="M378" s="48">
        <f>IF($F378="","",IFERROR(INDEX(사건마스터!$AK$5:$AK$64,MATCH($F378,사건마스터!$A$5:$A$64,0)),""))</f>
        <v/>
      </c>
      <c r="N378" s="48">
        <f>IF($F378="","",IFERROR(INDEX(사건마스터!$AL$5:$AL$64,MATCH($F378,사건마스터!$A$5:$A$64,0)),""))</f>
        <v/>
      </c>
      <c r="O378" s="43">
        <f>IF($I378="","",COUNTIF($I378:$N378,"?*"))</f>
        <v/>
      </c>
      <c r="P378" s="46">
        <f>IF($I378="","",_xlfn.TEXTJOIN(", ",TRUE,$I378:$N378))</f>
        <v/>
      </c>
      <c r="Q378" s="47">
        <f>IF($I378="","",IFERROR(INDEX(코드설정!$D$5:$D$24,MATCH($I378,코드설정!$C$5:$C$24,0)),""))</f>
        <v/>
      </c>
      <c r="R378" s="49" t="n"/>
      <c r="S378" s="50" t="n"/>
      <c r="T378" s="51" t="n"/>
      <c r="U378" s="43">
        <f>IF(OR($B378="",$C378=""),"",$C378-$B378+1)</f>
        <v/>
      </c>
      <c r="V378" s="52" t="n"/>
      <c r="W378" s="53">
        <f>IF(OR($V378="",$O378=""),"",$V378*$O378)</f>
        <v/>
      </c>
      <c r="X378" s="45" t="n"/>
      <c r="Y378" s="49" t="n"/>
    </row>
    <row r="379">
      <c r="A379" s="43">
        <f>IF($B379="","",COUNT($B$5:$B379))</f>
        <v/>
      </c>
      <c r="B379" s="44" t="n"/>
      <c r="C379" s="44" t="n"/>
      <c r="D379" s="45" t="n"/>
      <c r="E379" s="45" t="n"/>
      <c r="F379" s="45" t="n"/>
      <c r="G379" s="46">
        <f>IF($F379="","",IFERROR(INDEX(사건마스터!$B$5:$B$64,MATCH($F379,사건마스터!$A$5:$A$64,0)),""))</f>
        <v/>
      </c>
      <c r="H379" s="47">
        <f>IF($F379="","",IFERROR(INDEX(사건마스터!$C$5:$C$64,MATCH($F379,사건마스터!$A$5:$A$64,0)),""))</f>
        <v/>
      </c>
      <c r="I379" s="48">
        <f>IF($F379="","",IFERROR(INDEX(사건마스터!$H$5:$H$64,MATCH($F379,사건마스터!$A$5:$A$64,0)),""))</f>
        <v/>
      </c>
      <c r="J379" s="48">
        <f>IF($F379="","",IFERROR(INDEX(사건마스터!$AH$5:$AH$64,MATCH($F379,사건마스터!$A$5:$A$64,0)),""))</f>
        <v/>
      </c>
      <c r="K379" s="48">
        <f>IF($F379="","",IFERROR(INDEX(사건마스터!$AI$5:$AI$64,MATCH($F379,사건마스터!$A$5:$A$64,0)),""))</f>
        <v/>
      </c>
      <c r="L379" s="48">
        <f>IF($F379="","",IFERROR(INDEX(사건마스터!$AJ$5:$AJ$64,MATCH($F379,사건마스터!$A$5:$A$64,0)),""))</f>
        <v/>
      </c>
      <c r="M379" s="48">
        <f>IF($F379="","",IFERROR(INDEX(사건마스터!$AK$5:$AK$64,MATCH($F379,사건마스터!$A$5:$A$64,0)),""))</f>
        <v/>
      </c>
      <c r="N379" s="48">
        <f>IF($F379="","",IFERROR(INDEX(사건마스터!$AL$5:$AL$64,MATCH($F379,사건마스터!$A$5:$A$64,0)),""))</f>
        <v/>
      </c>
      <c r="O379" s="43">
        <f>IF($I379="","",COUNTIF($I379:$N379,"?*"))</f>
        <v/>
      </c>
      <c r="P379" s="46">
        <f>IF($I379="","",_xlfn.TEXTJOIN(", ",TRUE,$I379:$N379))</f>
        <v/>
      </c>
      <c r="Q379" s="47">
        <f>IF($I379="","",IFERROR(INDEX(코드설정!$D$5:$D$24,MATCH($I379,코드설정!$C$5:$C$24,0)),""))</f>
        <v/>
      </c>
      <c r="R379" s="49" t="n"/>
      <c r="S379" s="50" t="n"/>
      <c r="T379" s="51" t="n"/>
      <c r="U379" s="43">
        <f>IF(OR($B379="",$C379=""),"",$C379-$B379+1)</f>
        <v/>
      </c>
      <c r="V379" s="52" t="n"/>
      <c r="W379" s="53">
        <f>IF(OR($V379="",$O379=""),"",$V379*$O379)</f>
        <v/>
      </c>
      <c r="X379" s="45" t="n"/>
      <c r="Y379" s="49" t="n"/>
    </row>
    <row r="380">
      <c r="A380" s="43">
        <f>IF($B380="","",COUNT($B$5:$B380))</f>
        <v/>
      </c>
      <c r="B380" s="44" t="n"/>
      <c r="C380" s="44" t="n"/>
      <c r="D380" s="45" t="n"/>
      <c r="E380" s="45" t="n"/>
      <c r="F380" s="45" t="n"/>
      <c r="G380" s="46">
        <f>IF($F380="","",IFERROR(INDEX(사건마스터!$B$5:$B$64,MATCH($F380,사건마스터!$A$5:$A$64,0)),""))</f>
        <v/>
      </c>
      <c r="H380" s="47">
        <f>IF($F380="","",IFERROR(INDEX(사건마스터!$C$5:$C$64,MATCH($F380,사건마스터!$A$5:$A$64,0)),""))</f>
        <v/>
      </c>
      <c r="I380" s="48">
        <f>IF($F380="","",IFERROR(INDEX(사건마스터!$H$5:$H$64,MATCH($F380,사건마스터!$A$5:$A$64,0)),""))</f>
        <v/>
      </c>
      <c r="J380" s="48">
        <f>IF($F380="","",IFERROR(INDEX(사건마스터!$AH$5:$AH$64,MATCH($F380,사건마스터!$A$5:$A$64,0)),""))</f>
        <v/>
      </c>
      <c r="K380" s="48">
        <f>IF($F380="","",IFERROR(INDEX(사건마스터!$AI$5:$AI$64,MATCH($F380,사건마스터!$A$5:$A$64,0)),""))</f>
        <v/>
      </c>
      <c r="L380" s="48">
        <f>IF($F380="","",IFERROR(INDEX(사건마스터!$AJ$5:$AJ$64,MATCH($F380,사건마스터!$A$5:$A$64,0)),""))</f>
        <v/>
      </c>
      <c r="M380" s="48">
        <f>IF($F380="","",IFERROR(INDEX(사건마스터!$AK$5:$AK$64,MATCH($F380,사건마스터!$A$5:$A$64,0)),""))</f>
        <v/>
      </c>
      <c r="N380" s="48">
        <f>IF($F380="","",IFERROR(INDEX(사건마스터!$AL$5:$AL$64,MATCH($F380,사건마스터!$A$5:$A$64,0)),""))</f>
        <v/>
      </c>
      <c r="O380" s="43">
        <f>IF($I380="","",COUNTIF($I380:$N380,"?*"))</f>
        <v/>
      </c>
      <c r="P380" s="46">
        <f>IF($I380="","",_xlfn.TEXTJOIN(", ",TRUE,$I380:$N380))</f>
        <v/>
      </c>
      <c r="Q380" s="47">
        <f>IF($I380="","",IFERROR(INDEX(코드설정!$D$5:$D$24,MATCH($I380,코드설정!$C$5:$C$24,0)),""))</f>
        <v/>
      </c>
      <c r="R380" s="49" t="n"/>
      <c r="S380" s="50" t="n"/>
      <c r="T380" s="51" t="n"/>
      <c r="U380" s="43">
        <f>IF(OR($B380="",$C380=""),"",$C380-$B380+1)</f>
        <v/>
      </c>
      <c r="V380" s="52" t="n"/>
      <c r="W380" s="53">
        <f>IF(OR($V380="",$O380=""),"",$V380*$O380)</f>
        <v/>
      </c>
      <c r="X380" s="45" t="n"/>
      <c r="Y380" s="49" t="n"/>
    </row>
    <row r="381">
      <c r="A381" s="43">
        <f>IF($B381="","",COUNT($B$5:$B381))</f>
        <v/>
      </c>
      <c r="B381" s="44" t="n"/>
      <c r="C381" s="44" t="n"/>
      <c r="D381" s="45" t="n"/>
      <c r="E381" s="45" t="n"/>
      <c r="F381" s="45" t="n"/>
      <c r="G381" s="46">
        <f>IF($F381="","",IFERROR(INDEX(사건마스터!$B$5:$B$64,MATCH($F381,사건마스터!$A$5:$A$64,0)),""))</f>
        <v/>
      </c>
      <c r="H381" s="47">
        <f>IF($F381="","",IFERROR(INDEX(사건마스터!$C$5:$C$64,MATCH($F381,사건마스터!$A$5:$A$64,0)),""))</f>
        <v/>
      </c>
      <c r="I381" s="48">
        <f>IF($F381="","",IFERROR(INDEX(사건마스터!$H$5:$H$64,MATCH($F381,사건마스터!$A$5:$A$64,0)),""))</f>
        <v/>
      </c>
      <c r="J381" s="48">
        <f>IF($F381="","",IFERROR(INDEX(사건마스터!$AH$5:$AH$64,MATCH($F381,사건마스터!$A$5:$A$64,0)),""))</f>
        <v/>
      </c>
      <c r="K381" s="48">
        <f>IF($F381="","",IFERROR(INDEX(사건마스터!$AI$5:$AI$64,MATCH($F381,사건마스터!$A$5:$A$64,0)),""))</f>
        <v/>
      </c>
      <c r="L381" s="48">
        <f>IF($F381="","",IFERROR(INDEX(사건마스터!$AJ$5:$AJ$64,MATCH($F381,사건마스터!$A$5:$A$64,0)),""))</f>
        <v/>
      </c>
      <c r="M381" s="48">
        <f>IF($F381="","",IFERROR(INDEX(사건마스터!$AK$5:$AK$64,MATCH($F381,사건마스터!$A$5:$A$64,0)),""))</f>
        <v/>
      </c>
      <c r="N381" s="48">
        <f>IF($F381="","",IFERROR(INDEX(사건마스터!$AL$5:$AL$64,MATCH($F381,사건마스터!$A$5:$A$64,0)),""))</f>
        <v/>
      </c>
      <c r="O381" s="43">
        <f>IF($I381="","",COUNTIF($I381:$N381,"?*"))</f>
        <v/>
      </c>
      <c r="P381" s="46">
        <f>IF($I381="","",_xlfn.TEXTJOIN(", ",TRUE,$I381:$N381))</f>
        <v/>
      </c>
      <c r="Q381" s="47">
        <f>IF($I381="","",IFERROR(INDEX(코드설정!$D$5:$D$24,MATCH($I381,코드설정!$C$5:$C$24,0)),""))</f>
        <v/>
      </c>
      <c r="R381" s="49" t="n"/>
      <c r="S381" s="50" t="n"/>
      <c r="T381" s="51" t="n"/>
      <c r="U381" s="43">
        <f>IF(OR($B381="",$C381=""),"",$C381-$B381+1)</f>
        <v/>
      </c>
      <c r="V381" s="52" t="n"/>
      <c r="W381" s="53">
        <f>IF(OR($V381="",$O381=""),"",$V381*$O381)</f>
        <v/>
      </c>
      <c r="X381" s="45" t="n"/>
      <c r="Y381" s="49" t="n"/>
    </row>
    <row r="382">
      <c r="A382" s="43">
        <f>IF($B382="","",COUNT($B$5:$B382))</f>
        <v/>
      </c>
      <c r="B382" s="44" t="n"/>
      <c r="C382" s="44" t="n"/>
      <c r="D382" s="45" t="n"/>
      <c r="E382" s="45" t="n"/>
      <c r="F382" s="45" t="n"/>
      <c r="G382" s="46">
        <f>IF($F382="","",IFERROR(INDEX(사건마스터!$B$5:$B$64,MATCH($F382,사건마스터!$A$5:$A$64,0)),""))</f>
        <v/>
      </c>
      <c r="H382" s="47">
        <f>IF($F382="","",IFERROR(INDEX(사건마스터!$C$5:$C$64,MATCH($F382,사건마스터!$A$5:$A$64,0)),""))</f>
        <v/>
      </c>
      <c r="I382" s="48">
        <f>IF($F382="","",IFERROR(INDEX(사건마스터!$H$5:$H$64,MATCH($F382,사건마스터!$A$5:$A$64,0)),""))</f>
        <v/>
      </c>
      <c r="J382" s="48">
        <f>IF($F382="","",IFERROR(INDEX(사건마스터!$AH$5:$AH$64,MATCH($F382,사건마스터!$A$5:$A$64,0)),""))</f>
        <v/>
      </c>
      <c r="K382" s="48">
        <f>IF($F382="","",IFERROR(INDEX(사건마스터!$AI$5:$AI$64,MATCH($F382,사건마스터!$A$5:$A$64,0)),""))</f>
        <v/>
      </c>
      <c r="L382" s="48">
        <f>IF($F382="","",IFERROR(INDEX(사건마스터!$AJ$5:$AJ$64,MATCH($F382,사건마스터!$A$5:$A$64,0)),""))</f>
        <v/>
      </c>
      <c r="M382" s="48">
        <f>IF($F382="","",IFERROR(INDEX(사건마스터!$AK$5:$AK$64,MATCH($F382,사건마스터!$A$5:$A$64,0)),""))</f>
        <v/>
      </c>
      <c r="N382" s="48">
        <f>IF($F382="","",IFERROR(INDEX(사건마스터!$AL$5:$AL$64,MATCH($F382,사건마스터!$A$5:$A$64,0)),""))</f>
        <v/>
      </c>
      <c r="O382" s="43">
        <f>IF($I382="","",COUNTIF($I382:$N382,"?*"))</f>
        <v/>
      </c>
      <c r="P382" s="46">
        <f>IF($I382="","",_xlfn.TEXTJOIN(", ",TRUE,$I382:$N382))</f>
        <v/>
      </c>
      <c r="Q382" s="47">
        <f>IF($I382="","",IFERROR(INDEX(코드설정!$D$5:$D$24,MATCH($I382,코드설정!$C$5:$C$24,0)),""))</f>
        <v/>
      </c>
      <c r="R382" s="49" t="n"/>
      <c r="S382" s="50" t="n"/>
      <c r="T382" s="51" t="n"/>
      <c r="U382" s="43">
        <f>IF(OR($B382="",$C382=""),"",$C382-$B382+1)</f>
        <v/>
      </c>
      <c r="V382" s="52" t="n"/>
      <c r="W382" s="53">
        <f>IF(OR($V382="",$O382=""),"",$V382*$O382)</f>
        <v/>
      </c>
      <c r="X382" s="45" t="n"/>
      <c r="Y382" s="49" t="n"/>
    </row>
    <row r="383">
      <c r="A383" s="43">
        <f>IF($B383="","",COUNT($B$5:$B383))</f>
        <v/>
      </c>
      <c r="B383" s="44" t="n"/>
      <c r="C383" s="44" t="n"/>
      <c r="D383" s="45" t="n"/>
      <c r="E383" s="45" t="n"/>
      <c r="F383" s="45" t="n"/>
      <c r="G383" s="46">
        <f>IF($F383="","",IFERROR(INDEX(사건마스터!$B$5:$B$64,MATCH($F383,사건마스터!$A$5:$A$64,0)),""))</f>
        <v/>
      </c>
      <c r="H383" s="47">
        <f>IF($F383="","",IFERROR(INDEX(사건마스터!$C$5:$C$64,MATCH($F383,사건마스터!$A$5:$A$64,0)),""))</f>
        <v/>
      </c>
      <c r="I383" s="48">
        <f>IF($F383="","",IFERROR(INDEX(사건마스터!$H$5:$H$64,MATCH($F383,사건마스터!$A$5:$A$64,0)),""))</f>
        <v/>
      </c>
      <c r="J383" s="48">
        <f>IF($F383="","",IFERROR(INDEX(사건마스터!$AH$5:$AH$64,MATCH($F383,사건마스터!$A$5:$A$64,0)),""))</f>
        <v/>
      </c>
      <c r="K383" s="48">
        <f>IF($F383="","",IFERROR(INDEX(사건마스터!$AI$5:$AI$64,MATCH($F383,사건마스터!$A$5:$A$64,0)),""))</f>
        <v/>
      </c>
      <c r="L383" s="48">
        <f>IF($F383="","",IFERROR(INDEX(사건마스터!$AJ$5:$AJ$64,MATCH($F383,사건마스터!$A$5:$A$64,0)),""))</f>
        <v/>
      </c>
      <c r="M383" s="48">
        <f>IF($F383="","",IFERROR(INDEX(사건마스터!$AK$5:$AK$64,MATCH($F383,사건마스터!$A$5:$A$64,0)),""))</f>
        <v/>
      </c>
      <c r="N383" s="48">
        <f>IF($F383="","",IFERROR(INDEX(사건마스터!$AL$5:$AL$64,MATCH($F383,사건마스터!$A$5:$A$64,0)),""))</f>
        <v/>
      </c>
      <c r="O383" s="43">
        <f>IF($I383="","",COUNTIF($I383:$N383,"?*"))</f>
        <v/>
      </c>
      <c r="P383" s="46">
        <f>IF($I383="","",_xlfn.TEXTJOIN(", ",TRUE,$I383:$N383))</f>
        <v/>
      </c>
      <c r="Q383" s="47">
        <f>IF($I383="","",IFERROR(INDEX(코드설정!$D$5:$D$24,MATCH($I383,코드설정!$C$5:$C$24,0)),""))</f>
        <v/>
      </c>
      <c r="R383" s="49" t="n"/>
      <c r="S383" s="50" t="n"/>
      <c r="T383" s="51" t="n"/>
      <c r="U383" s="43">
        <f>IF(OR($B383="",$C383=""),"",$C383-$B383+1)</f>
        <v/>
      </c>
      <c r="V383" s="52" t="n"/>
      <c r="W383" s="53">
        <f>IF(OR($V383="",$O383=""),"",$V383*$O383)</f>
        <v/>
      </c>
      <c r="X383" s="45" t="n"/>
      <c r="Y383" s="49" t="n"/>
    </row>
    <row r="384">
      <c r="A384" s="43">
        <f>IF($B384="","",COUNT($B$5:$B384))</f>
        <v/>
      </c>
      <c r="B384" s="44" t="n"/>
      <c r="C384" s="44" t="n"/>
      <c r="D384" s="45" t="n"/>
      <c r="E384" s="45" t="n"/>
      <c r="F384" s="45" t="n"/>
      <c r="G384" s="46">
        <f>IF($F384="","",IFERROR(INDEX(사건마스터!$B$5:$B$64,MATCH($F384,사건마스터!$A$5:$A$64,0)),""))</f>
        <v/>
      </c>
      <c r="H384" s="47">
        <f>IF($F384="","",IFERROR(INDEX(사건마스터!$C$5:$C$64,MATCH($F384,사건마스터!$A$5:$A$64,0)),""))</f>
        <v/>
      </c>
      <c r="I384" s="48">
        <f>IF($F384="","",IFERROR(INDEX(사건마스터!$H$5:$H$64,MATCH($F384,사건마스터!$A$5:$A$64,0)),""))</f>
        <v/>
      </c>
      <c r="J384" s="48">
        <f>IF($F384="","",IFERROR(INDEX(사건마스터!$AH$5:$AH$64,MATCH($F384,사건마스터!$A$5:$A$64,0)),""))</f>
        <v/>
      </c>
      <c r="K384" s="48">
        <f>IF($F384="","",IFERROR(INDEX(사건마스터!$AI$5:$AI$64,MATCH($F384,사건마스터!$A$5:$A$64,0)),""))</f>
        <v/>
      </c>
      <c r="L384" s="48">
        <f>IF($F384="","",IFERROR(INDEX(사건마스터!$AJ$5:$AJ$64,MATCH($F384,사건마스터!$A$5:$A$64,0)),""))</f>
        <v/>
      </c>
      <c r="M384" s="48">
        <f>IF($F384="","",IFERROR(INDEX(사건마스터!$AK$5:$AK$64,MATCH($F384,사건마스터!$A$5:$A$64,0)),""))</f>
        <v/>
      </c>
      <c r="N384" s="48">
        <f>IF($F384="","",IFERROR(INDEX(사건마스터!$AL$5:$AL$64,MATCH($F384,사건마스터!$A$5:$A$64,0)),""))</f>
        <v/>
      </c>
      <c r="O384" s="43">
        <f>IF($I384="","",COUNTIF($I384:$N384,"?*"))</f>
        <v/>
      </c>
      <c r="P384" s="46">
        <f>IF($I384="","",_xlfn.TEXTJOIN(", ",TRUE,$I384:$N384))</f>
        <v/>
      </c>
      <c r="Q384" s="47">
        <f>IF($I384="","",IFERROR(INDEX(코드설정!$D$5:$D$24,MATCH($I384,코드설정!$C$5:$C$24,0)),""))</f>
        <v/>
      </c>
      <c r="R384" s="49" t="n"/>
      <c r="S384" s="50" t="n"/>
      <c r="T384" s="51" t="n"/>
      <c r="U384" s="43">
        <f>IF(OR($B384="",$C384=""),"",$C384-$B384+1)</f>
        <v/>
      </c>
      <c r="V384" s="52" t="n"/>
      <c r="W384" s="53">
        <f>IF(OR($V384="",$O384=""),"",$V384*$O384)</f>
        <v/>
      </c>
      <c r="X384" s="45" t="n"/>
      <c r="Y384" s="49" t="n"/>
    </row>
    <row r="385">
      <c r="A385" s="43">
        <f>IF($B385="","",COUNT($B$5:$B385))</f>
        <v/>
      </c>
      <c r="B385" s="44" t="n"/>
      <c r="C385" s="44" t="n"/>
      <c r="D385" s="45" t="n"/>
      <c r="E385" s="45" t="n"/>
      <c r="F385" s="45" t="n"/>
      <c r="G385" s="46">
        <f>IF($F385="","",IFERROR(INDEX(사건마스터!$B$5:$B$64,MATCH($F385,사건마스터!$A$5:$A$64,0)),""))</f>
        <v/>
      </c>
      <c r="H385" s="47">
        <f>IF($F385="","",IFERROR(INDEX(사건마스터!$C$5:$C$64,MATCH($F385,사건마스터!$A$5:$A$64,0)),""))</f>
        <v/>
      </c>
      <c r="I385" s="48">
        <f>IF($F385="","",IFERROR(INDEX(사건마스터!$H$5:$H$64,MATCH($F385,사건마스터!$A$5:$A$64,0)),""))</f>
        <v/>
      </c>
      <c r="J385" s="48">
        <f>IF($F385="","",IFERROR(INDEX(사건마스터!$AH$5:$AH$64,MATCH($F385,사건마스터!$A$5:$A$64,0)),""))</f>
        <v/>
      </c>
      <c r="K385" s="48">
        <f>IF($F385="","",IFERROR(INDEX(사건마스터!$AI$5:$AI$64,MATCH($F385,사건마스터!$A$5:$A$64,0)),""))</f>
        <v/>
      </c>
      <c r="L385" s="48">
        <f>IF($F385="","",IFERROR(INDEX(사건마스터!$AJ$5:$AJ$64,MATCH($F385,사건마스터!$A$5:$A$64,0)),""))</f>
        <v/>
      </c>
      <c r="M385" s="48">
        <f>IF($F385="","",IFERROR(INDEX(사건마스터!$AK$5:$AK$64,MATCH($F385,사건마스터!$A$5:$A$64,0)),""))</f>
        <v/>
      </c>
      <c r="N385" s="48">
        <f>IF($F385="","",IFERROR(INDEX(사건마스터!$AL$5:$AL$64,MATCH($F385,사건마스터!$A$5:$A$64,0)),""))</f>
        <v/>
      </c>
      <c r="O385" s="43">
        <f>IF($I385="","",COUNTIF($I385:$N385,"?*"))</f>
        <v/>
      </c>
      <c r="P385" s="46">
        <f>IF($I385="","",_xlfn.TEXTJOIN(", ",TRUE,$I385:$N385))</f>
        <v/>
      </c>
      <c r="Q385" s="47">
        <f>IF($I385="","",IFERROR(INDEX(코드설정!$D$5:$D$24,MATCH($I385,코드설정!$C$5:$C$24,0)),""))</f>
        <v/>
      </c>
      <c r="R385" s="49" t="n"/>
      <c r="S385" s="50" t="n"/>
      <c r="T385" s="51" t="n"/>
      <c r="U385" s="43">
        <f>IF(OR($B385="",$C385=""),"",$C385-$B385+1)</f>
        <v/>
      </c>
      <c r="V385" s="52" t="n"/>
      <c r="W385" s="53">
        <f>IF(OR($V385="",$O385=""),"",$V385*$O385)</f>
        <v/>
      </c>
      <c r="X385" s="45" t="n"/>
      <c r="Y385" s="49" t="n"/>
    </row>
    <row r="386">
      <c r="A386" s="43">
        <f>IF($B386="","",COUNT($B$5:$B386))</f>
        <v/>
      </c>
      <c r="B386" s="44" t="n"/>
      <c r="C386" s="44" t="n"/>
      <c r="D386" s="45" t="n"/>
      <c r="E386" s="45" t="n"/>
      <c r="F386" s="45" t="n"/>
      <c r="G386" s="46">
        <f>IF($F386="","",IFERROR(INDEX(사건마스터!$B$5:$B$64,MATCH($F386,사건마스터!$A$5:$A$64,0)),""))</f>
        <v/>
      </c>
      <c r="H386" s="47">
        <f>IF($F386="","",IFERROR(INDEX(사건마스터!$C$5:$C$64,MATCH($F386,사건마스터!$A$5:$A$64,0)),""))</f>
        <v/>
      </c>
      <c r="I386" s="48">
        <f>IF($F386="","",IFERROR(INDEX(사건마스터!$H$5:$H$64,MATCH($F386,사건마스터!$A$5:$A$64,0)),""))</f>
        <v/>
      </c>
      <c r="J386" s="48">
        <f>IF($F386="","",IFERROR(INDEX(사건마스터!$AH$5:$AH$64,MATCH($F386,사건마스터!$A$5:$A$64,0)),""))</f>
        <v/>
      </c>
      <c r="K386" s="48">
        <f>IF($F386="","",IFERROR(INDEX(사건마스터!$AI$5:$AI$64,MATCH($F386,사건마스터!$A$5:$A$64,0)),""))</f>
        <v/>
      </c>
      <c r="L386" s="48">
        <f>IF($F386="","",IFERROR(INDEX(사건마스터!$AJ$5:$AJ$64,MATCH($F386,사건마스터!$A$5:$A$64,0)),""))</f>
        <v/>
      </c>
      <c r="M386" s="48">
        <f>IF($F386="","",IFERROR(INDEX(사건마스터!$AK$5:$AK$64,MATCH($F386,사건마스터!$A$5:$A$64,0)),""))</f>
        <v/>
      </c>
      <c r="N386" s="48">
        <f>IF($F386="","",IFERROR(INDEX(사건마스터!$AL$5:$AL$64,MATCH($F386,사건마스터!$A$5:$A$64,0)),""))</f>
        <v/>
      </c>
      <c r="O386" s="43">
        <f>IF($I386="","",COUNTIF($I386:$N386,"?*"))</f>
        <v/>
      </c>
      <c r="P386" s="46">
        <f>IF($I386="","",_xlfn.TEXTJOIN(", ",TRUE,$I386:$N386))</f>
        <v/>
      </c>
      <c r="Q386" s="47">
        <f>IF($I386="","",IFERROR(INDEX(코드설정!$D$5:$D$24,MATCH($I386,코드설정!$C$5:$C$24,0)),""))</f>
        <v/>
      </c>
      <c r="R386" s="49" t="n"/>
      <c r="S386" s="50" t="n"/>
      <c r="T386" s="51" t="n"/>
      <c r="U386" s="43">
        <f>IF(OR($B386="",$C386=""),"",$C386-$B386+1)</f>
        <v/>
      </c>
      <c r="V386" s="52" t="n"/>
      <c r="W386" s="53">
        <f>IF(OR($V386="",$O386=""),"",$V386*$O386)</f>
        <v/>
      </c>
      <c r="X386" s="45" t="n"/>
      <c r="Y386" s="49" t="n"/>
    </row>
    <row r="387">
      <c r="A387" s="43">
        <f>IF($B387="","",COUNT($B$5:$B387))</f>
        <v/>
      </c>
      <c r="B387" s="44" t="n"/>
      <c r="C387" s="44" t="n"/>
      <c r="D387" s="45" t="n"/>
      <c r="E387" s="45" t="n"/>
      <c r="F387" s="45" t="n"/>
      <c r="G387" s="46">
        <f>IF($F387="","",IFERROR(INDEX(사건마스터!$B$5:$B$64,MATCH($F387,사건마스터!$A$5:$A$64,0)),""))</f>
        <v/>
      </c>
      <c r="H387" s="47">
        <f>IF($F387="","",IFERROR(INDEX(사건마스터!$C$5:$C$64,MATCH($F387,사건마스터!$A$5:$A$64,0)),""))</f>
        <v/>
      </c>
      <c r="I387" s="48">
        <f>IF($F387="","",IFERROR(INDEX(사건마스터!$H$5:$H$64,MATCH($F387,사건마스터!$A$5:$A$64,0)),""))</f>
        <v/>
      </c>
      <c r="J387" s="48">
        <f>IF($F387="","",IFERROR(INDEX(사건마스터!$AH$5:$AH$64,MATCH($F387,사건마스터!$A$5:$A$64,0)),""))</f>
        <v/>
      </c>
      <c r="K387" s="48">
        <f>IF($F387="","",IFERROR(INDEX(사건마스터!$AI$5:$AI$64,MATCH($F387,사건마스터!$A$5:$A$64,0)),""))</f>
        <v/>
      </c>
      <c r="L387" s="48">
        <f>IF($F387="","",IFERROR(INDEX(사건마스터!$AJ$5:$AJ$64,MATCH($F387,사건마스터!$A$5:$A$64,0)),""))</f>
        <v/>
      </c>
      <c r="M387" s="48">
        <f>IF($F387="","",IFERROR(INDEX(사건마스터!$AK$5:$AK$64,MATCH($F387,사건마스터!$A$5:$A$64,0)),""))</f>
        <v/>
      </c>
      <c r="N387" s="48">
        <f>IF($F387="","",IFERROR(INDEX(사건마스터!$AL$5:$AL$64,MATCH($F387,사건마스터!$A$5:$A$64,0)),""))</f>
        <v/>
      </c>
      <c r="O387" s="43">
        <f>IF($I387="","",COUNTIF($I387:$N387,"?*"))</f>
        <v/>
      </c>
      <c r="P387" s="46">
        <f>IF($I387="","",_xlfn.TEXTJOIN(", ",TRUE,$I387:$N387))</f>
        <v/>
      </c>
      <c r="Q387" s="47">
        <f>IF($I387="","",IFERROR(INDEX(코드설정!$D$5:$D$24,MATCH($I387,코드설정!$C$5:$C$24,0)),""))</f>
        <v/>
      </c>
      <c r="R387" s="49" t="n"/>
      <c r="S387" s="50" t="n"/>
      <c r="T387" s="51" t="n"/>
      <c r="U387" s="43">
        <f>IF(OR($B387="",$C387=""),"",$C387-$B387+1)</f>
        <v/>
      </c>
      <c r="V387" s="52" t="n"/>
      <c r="W387" s="53">
        <f>IF(OR($V387="",$O387=""),"",$V387*$O387)</f>
        <v/>
      </c>
      <c r="X387" s="45" t="n"/>
      <c r="Y387" s="49" t="n"/>
    </row>
    <row r="388">
      <c r="A388" s="43">
        <f>IF($B388="","",COUNT($B$5:$B388))</f>
        <v/>
      </c>
      <c r="B388" s="44" t="n"/>
      <c r="C388" s="44" t="n"/>
      <c r="D388" s="45" t="n"/>
      <c r="E388" s="45" t="n"/>
      <c r="F388" s="45" t="n"/>
      <c r="G388" s="46">
        <f>IF($F388="","",IFERROR(INDEX(사건마스터!$B$5:$B$64,MATCH($F388,사건마스터!$A$5:$A$64,0)),""))</f>
        <v/>
      </c>
      <c r="H388" s="47">
        <f>IF($F388="","",IFERROR(INDEX(사건마스터!$C$5:$C$64,MATCH($F388,사건마스터!$A$5:$A$64,0)),""))</f>
        <v/>
      </c>
      <c r="I388" s="48">
        <f>IF($F388="","",IFERROR(INDEX(사건마스터!$H$5:$H$64,MATCH($F388,사건마스터!$A$5:$A$64,0)),""))</f>
        <v/>
      </c>
      <c r="J388" s="48">
        <f>IF($F388="","",IFERROR(INDEX(사건마스터!$AH$5:$AH$64,MATCH($F388,사건마스터!$A$5:$A$64,0)),""))</f>
        <v/>
      </c>
      <c r="K388" s="48">
        <f>IF($F388="","",IFERROR(INDEX(사건마스터!$AI$5:$AI$64,MATCH($F388,사건마스터!$A$5:$A$64,0)),""))</f>
        <v/>
      </c>
      <c r="L388" s="48">
        <f>IF($F388="","",IFERROR(INDEX(사건마스터!$AJ$5:$AJ$64,MATCH($F388,사건마스터!$A$5:$A$64,0)),""))</f>
        <v/>
      </c>
      <c r="M388" s="48">
        <f>IF($F388="","",IFERROR(INDEX(사건마스터!$AK$5:$AK$64,MATCH($F388,사건마스터!$A$5:$A$64,0)),""))</f>
        <v/>
      </c>
      <c r="N388" s="48">
        <f>IF($F388="","",IFERROR(INDEX(사건마스터!$AL$5:$AL$64,MATCH($F388,사건마스터!$A$5:$A$64,0)),""))</f>
        <v/>
      </c>
      <c r="O388" s="43">
        <f>IF($I388="","",COUNTIF($I388:$N388,"?*"))</f>
        <v/>
      </c>
      <c r="P388" s="46">
        <f>IF($I388="","",_xlfn.TEXTJOIN(", ",TRUE,$I388:$N388))</f>
        <v/>
      </c>
      <c r="Q388" s="47">
        <f>IF($I388="","",IFERROR(INDEX(코드설정!$D$5:$D$24,MATCH($I388,코드설정!$C$5:$C$24,0)),""))</f>
        <v/>
      </c>
      <c r="R388" s="49" t="n"/>
      <c r="S388" s="50" t="n"/>
      <c r="T388" s="51" t="n"/>
      <c r="U388" s="43">
        <f>IF(OR($B388="",$C388=""),"",$C388-$B388+1)</f>
        <v/>
      </c>
      <c r="V388" s="52" t="n"/>
      <c r="W388" s="53">
        <f>IF(OR($V388="",$O388=""),"",$V388*$O388)</f>
        <v/>
      </c>
      <c r="X388" s="45" t="n"/>
      <c r="Y388" s="49" t="n"/>
    </row>
    <row r="389">
      <c r="A389" s="43">
        <f>IF($B389="","",COUNT($B$5:$B389))</f>
        <v/>
      </c>
      <c r="B389" s="44" t="n"/>
      <c r="C389" s="44" t="n"/>
      <c r="D389" s="45" t="n"/>
      <c r="E389" s="45" t="n"/>
      <c r="F389" s="45" t="n"/>
      <c r="G389" s="46">
        <f>IF($F389="","",IFERROR(INDEX(사건마스터!$B$5:$B$64,MATCH($F389,사건마스터!$A$5:$A$64,0)),""))</f>
        <v/>
      </c>
      <c r="H389" s="47">
        <f>IF($F389="","",IFERROR(INDEX(사건마스터!$C$5:$C$64,MATCH($F389,사건마스터!$A$5:$A$64,0)),""))</f>
        <v/>
      </c>
      <c r="I389" s="48">
        <f>IF($F389="","",IFERROR(INDEX(사건마스터!$H$5:$H$64,MATCH($F389,사건마스터!$A$5:$A$64,0)),""))</f>
        <v/>
      </c>
      <c r="J389" s="48">
        <f>IF($F389="","",IFERROR(INDEX(사건마스터!$AH$5:$AH$64,MATCH($F389,사건마스터!$A$5:$A$64,0)),""))</f>
        <v/>
      </c>
      <c r="K389" s="48">
        <f>IF($F389="","",IFERROR(INDEX(사건마스터!$AI$5:$AI$64,MATCH($F389,사건마스터!$A$5:$A$64,0)),""))</f>
        <v/>
      </c>
      <c r="L389" s="48">
        <f>IF($F389="","",IFERROR(INDEX(사건마스터!$AJ$5:$AJ$64,MATCH($F389,사건마스터!$A$5:$A$64,0)),""))</f>
        <v/>
      </c>
      <c r="M389" s="48">
        <f>IF($F389="","",IFERROR(INDEX(사건마스터!$AK$5:$AK$64,MATCH($F389,사건마스터!$A$5:$A$64,0)),""))</f>
        <v/>
      </c>
      <c r="N389" s="48">
        <f>IF($F389="","",IFERROR(INDEX(사건마스터!$AL$5:$AL$64,MATCH($F389,사건마스터!$A$5:$A$64,0)),""))</f>
        <v/>
      </c>
      <c r="O389" s="43">
        <f>IF($I389="","",COUNTIF($I389:$N389,"?*"))</f>
        <v/>
      </c>
      <c r="P389" s="46">
        <f>IF($I389="","",_xlfn.TEXTJOIN(", ",TRUE,$I389:$N389))</f>
        <v/>
      </c>
      <c r="Q389" s="47">
        <f>IF($I389="","",IFERROR(INDEX(코드설정!$D$5:$D$24,MATCH($I389,코드설정!$C$5:$C$24,0)),""))</f>
        <v/>
      </c>
      <c r="R389" s="49" t="n"/>
      <c r="S389" s="50" t="n"/>
      <c r="T389" s="51" t="n"/>
      <c r="U389" s="43">
        <f>IF(OR($B389="",$C389=""),"",$C389-$B389+1)</f>
        <v/>
      </c>
      <c r="V389" s="52" t="n"/>
      <c r="W389" s="53">
        <f>IF(OR($V389="",$O389=""),"",$V389*$O389)</f>
        <v/>
      </c>
      <c r="X389" s="45" t="n"/>
      <c r="Y389" s="49" t="n"/>
    </row>
    <row r="390">
      <c r="A390" s="43">
        <f>IF($B390="","",COUNT($B$5:$B390))</f>
        <v/>
      </c>
      <c r="B390" s="44" t="n"/>
      <c r="C390" s="44" t="n"/>
      <c r="D390" s="45" t="n"/>
      <c r="E390" s="45" t="n"/>
      <c r="F390" s="45" t="n"/>
      <c r="G390" s="46">
        <f>IF($F390="","",IFERROR(INDEX(사건마스터!$B$5:$B$64,MATCH($F390,사건마스터!$A$5:$A$64,0)),""))</f>
        <v/>
      </c>
      <c r="H390" s="47">
        <f>IF($F390="","",IFERROR(INDEX(사건마스터!$C$5:$C$64,MATCH($F390,사건마스터!$A$5:$A$64,0)),""))</f>
        <v/>
      </c>
      <c r="I390" s="48">
        <f>IF($F390="","",IFERROR(INDEX(사건마스터!$H$5:$H$64,MATCH($F390,사건마스터!$A$5:$A$64,0)),""))</f>
        <v/>
      </c>
      <c r="J390" s="48">
        <f>IF($F390="","",IFERROR(INDEX(사건마스터!$AH$5:$AH$64,MATCH($F390,사건마스터!$A$5:$A$64,0)),""))</f>
        <v/>
      </c>
      <c r="K390" s="48">
        <f>IF($F390="","",IFERROR(INDEX(사건마스터!$AI$5:$AI$64,MATCH($F390,사건마스터!$A$5:$A$64,0)),""))</f>
        <v/>
      </c>
      <c r="L390" s="48">
        <f>IF($F390="","",IFERROR(INDEX(사건마스터!$AJ$5:$AJ$64,MATCH($F390,사건마스터!$A$5:$A$64,0)),""))</f>
        <v/>
      </c>
      <c r="M390" s="48">
        <f>IF($F390="","",IFERROR(INDEX(사건마스터!$AK$5:$AK$64,MATCH($F390,사건마스터!$A$5:$A$64,0)),""))</f>
        <v/>
      </c>
      <c r="N390" s="48">
        <f>IF($F390="","",IFERROR(INDEX(사건마스터!$AL$5:$AL$64,MATCH($F390,사건마스터!$A$5:$A$64,0)),""))</f>
        <v/>
      </c>
      <c r="O390" s="43">
        <f>IF($I390="","",COUNTIF($I390:$N390,"?*"))</f>
        <v/>
      </c>
      <c r="P390" s="46">
        <f>IF($I390="","",_xlfn.TEXTJOIN(", ",TRUE,$I390:$N390))</f>
        <v/>
      </c>
      <c r="Q390" s="47">
        <f>IF($I390="","",IFERROR(INDEX(코드설정!$D$5:$D$24,MATCH($I390,코드설정!$C$5:$C$24,0)),""))</f>
        <v/>
      </c>
      <c r="R390" s="49" t="n"/>
      <c r="S390" s="50" t="n"/>
      <c r="T390" s="51" t="n"/>
      <c r="U390" s="43">
        <f>IF(OR($B390="",$C390=""),"",$C390-$B390+1)</f>
        <v/>
      </c>
      <c r="V390" s="52" t="n"/>
      <c r="W390" s="53">
        <f>IF(OR($V390="",$O390=""),"",$V390*$O390)</f>
        <v/>
      </c>
      <c r="X390" s="45" t="n"/>
      <c r="Y390" s="49" t="n"/>
    </row>
    <row r="391">
      <c r="A391" s="43">
        <f>IF($B391="","",COUNT($B$5:$B391))</f>
        <v/>
      </c>
      <c r="B391" s="44" t="n"/>
      <c r="C391" s="44" t="n"/>
      <c r="D391" s="45" t="n"/>
      <c r="E391" s="45" t="n"/>
      <c r="F391" s="45" t="n"/>
      <c r="G391" s="46">
        <f>IF($F391="","",IFERROR(INDEX(사건마스터!$B$5:$B$64,MATCH($F391,사건마스터!$A$5:$A$64,0)),""))</f>
        <v/>
      </c>
      <c r="H391" s="47">
        <f>IF($F391="","",IFERROR(INDEX(사건마스터!$C$5:$C$64,MATCH($F391,사건마스터!$A$5:$A$64,0)),""))</f>
        <v/>
      </c>
      <c r="I391" s="48">
        <f>IF($F391="","",IFERROR(INDEX(사건마스터!$H$5:$H$64,MATCH($F391,사건마스터!$A$5:$A$64,0)),""))</f>
        <v/>
      </c>
      <c r="J391" s="48">
        <f>IF($F391="","",IFERROR(INDEX(사건마스터!$AH$5:$AH$64,MATCH($F391,사건마스터!$A$5:$A$64,0)),""))</f>
        <v/>
      </c>
      <c r="K391" s="48">
        <f>IF($F391="","",IFERROR(INDEX(사건마스터!$AI$5:$AI$64,MATCH($F391,사건마스터!$A$5:$A$64,0)),""))</f>
        <v/>
      </c>
      <c r="L391" s="48">
        <f>IF($F391="","",IFERROR(INDEX(사건마스터!$AJ$5:$AJ$64,MATCH($F391,사건마스터!$A$5:$A$64,0)),""))</f>
        <v/>
      </c>
      <c r="M391" s="48">
        <f>IF($F391="","",IFERROR(INDEX(사건마스터!$AK$5:$AK$64,MATCH($F391,사건마스터!$A$5:$A$64,0)),""))</f>
        <v/>
      </c>
      <c r="N391" s="48">
        <f>IF($F391="","",IFERROR(INDEX(사건마스터!$AL$5:$AL$64,MATCH($F391,사건마스터!$A$5:$A$64,0)),""))</f>
        <v/>
      </c>
      <c r="O391" s="43">
        <f>IF($I391="","",COUNTIF($I391:$N391,"?*"))</f>
        <v/>
      </c>
      <c r="P391" s="46">
        <f>IF($I391="","",_xlfn.TEXTJOIN(", ",TRUE,$I391:$N391))</f>
        <v/>
      </c>
      <c r="Q391" s="47">
        <f>IF($I391="","",IFERROR(INDEX(코드설정!$D$5:$D$24,MATCH($I391,코드설정!$C$5:$C$24,0)),""))</f>
        <v/>
      </c>
      <c r="R391" s="49" t="n"/>
      <c r="S391" s="50" t="n"/>
      <c r="T391" s="51" t="n"/>
      <c r="U391" s="43">
        <f>IF(OR($B391="",$C391=""),"",$C391-$B391+1)</f>
        <v/>
      </c>
      <c r="V391" s="52" t="n"/>
      <c r="W391" s="53">
        <f>IF(OR($V391="",$O391=""),"",$V391*$O391)</f>
        <v/>
      </c>
      <c r="X391" s="45" t="n"/>
      <c r="Y391" s="49" t="n"/>
    </row>
    <row r="392">
      <c r="A392" s="43">
        <f>IF($B392="","",COUNT($B$5:$B392))</f>
        <v/>
      </c>
      <c r="B392" s="44" t="n"/>
      <c r="C392" s="44" t="n"/>
      <c r="D392" s="45" t="n"/>
      <c r="E392" s="45" t="n"/>
      <c r="F392" s="45" t="n"/>
      <c r="G392" s="46">
        <f>IF($F392="","",IFERROR(INDEX(사건마스터!$B$5:$B$64,MATCH($F392,사건마스터!$A$5:$A$64,0)),""))</f>
        <v/>
      </c>
      <c r="H392" s="47">
        <f>IF($F392="","",IFERROR(INDEX(사건마스터!$C$5:$C$64,MATCH($F392,사건마스터!$A$5:$A$64,0)),""))</f>
        <v/>
      </c>
      <c r="I392" s="48">
        <f>IF($F392="","",IFERROR(INDEX(사건마스터!$H$5:$H$64,MATCH($F392,사건마스터!$A$5:$A$64,0)),""))</f>
        <v/>
      </c>
      <c r="J392" s="48">
        <f>IF($F392="","",IFERROR(INDEX(사건마스터!$AH$5:$AH$64,MATCH($F392,사건마스터!$A$5:$A$64,0)),""))</f>
        <v/>
      </c>
      <c r="K392" s="48">
        <f>IF($F392="","",IFERROR(INDEX(사건마스터!$AI$5:$AI$64,MATCH($F392,사건마스터!$A$5:$A$64,0)),""))</f>
        <v/>
      </c>
      <c r="L392" s="48">
        <f>IF($F392="","",IFERROR(INDEX(사건마스터!$AJ$5:$AJ$64,MATCH($F392,사건마스터!$A$5:$A$64,0)),""))</f>
        <v/>
      </c>
      <c r="M392" s="48">
        <f>IF($F392="","",IFERROR(INDEX(사건마스터!$AK$5:$AK$64,MATCH($F392,사건마스터!$A$5:$A$64,0)),""))</f>
        <v/>
      </c>
      <c r="N392" s="48">
        <f>IF($F392="","",IFERROR(INDEX(사건마스터!$AL$5:$AL$64,MATCH($F392,사건마스터!$A$5:$A$64,0)),""))</f>
        <v/>
      </c>
      <c r="O392" s="43">
        <f>IF($I392="","",COUNTIF($I392:$N392,"?*"))</f>
        <v/>
      </c>
      <c r="P392" s="46">
        <f>IF($I392="","",_xlfn.TEXTJOIN(", ",TRUE,$I392:$N392))</f>
        <v/>
      </c>
      <c r="Q392" s="47">
        <f>IF($I392="","",IFERROR(INDEX(코드설정!$D$5:$D$24,MATCH($I392,코드설정!$C$5:$C$24,0)),""))</f>
        <v/>
      </c>
      <c r="R392" s="49" t="n"/>
      <c r="S392" s="50" t="n"/>
      <c r="T392" s="51" t="n"/>
      <c r="U392" s="43">
        <f>IF(OR($B392="",$C392=""),"",$C392-$B392+1)</f>
        <v/>
      </c>
      <c r="V392" s="52" t="n"/>
      <c r="W392" s="53">
        <f>IF(OR($V392="",$O392=""),"",$V392*$O392)</f>
        <v/>
      </c>
      <c r="X392" s="45" t="n"/>
      <c r="Y392" s="49" t="n"/>
    </row>
    <row r="393">
      <c r="A393" s="43">
        <f>IF($B393="","",COUNT($B$5:$B393))</f>
        <v/>
      </c>
      <c r="B393" s="44" t="n"/>
      <c r="C393" s="44" t="n"/>
      <c r="D393" s="45" t="n"/>
      <c r="E393" s="45" t="n"/>
      <c r="F393" s="45" t="n"/>
      <c r="G393" s="46">
        <f>IF($F393="","",IFERROR(INDEX(사건마스터!$B$5:$B$64,MATCH($F393,사건마스터!$A$5:$A$64,0)),""))</f>
        <v/>
      </c>
      <c r="H393" s="47">
        <f>IF($F393="","",IFERROR(INDEX(사건마스터!$C$5:$C$64,MATCH($F393,사건마스터!$A$5:$A$64,0)),""))</f>
        <v/>
      </c>
      <c r="I393" s="48">
        <f>IF($F393="","",IFERROR(INDEX(사건마스터!$H$5:$H$64,MATCH($F393,사건마스터!$A$5:$A$64,0)),""))</f>
        <v/>
      </c>
      <c r="J393" s="48">
        <f>IF($F393="","",IFERROR(INDEX(사건마스터!$AH$5:$AH$64,MATCH($F393,사건마스터!$A$5:$A$64,0)),""))</f>
        <v/>
      </c>
      <c r="K393" s="48">
        <f>IF($F393="","",IFERROR(INDEX(사건마스터!$AI$5:$AI$64,MATCH($F393,사건마스터!$A$5:$A$64,0)),""))</f>
        <v/>
      </c>
      <c r="L393" s="48">
        <f>IF($F393="","",IFERROR(INDEX(사건마스터!$AJ$5:$AJ$64,MATCH($F393,사건마스터!$A$5:$A$64,0)),""))</f>
        <v/>
      </c>
      <c r="M393" s="48">
        <f>IF($F393="","",IFERROR(INDEX(사건마스터!$AK$5:$AK$64,MATCH($F393,사건마스터!$A$5:$A$64,0)),""))</f>
        <v/>
      </c>
      <c r="N393" s="48">
        <f>IF($F393="","",IFERROR(INDEX(사건마스터!$AL$5:$AL$64,MATCH($F393,사건마스터!$A$5:$A$64,0)),""))</f>
        <v/>
      </c>
      <c r="O393" s="43">
        <f>IF($I393="","",COUNTIF($I393:$N393,"?*"))</f>
        <v/>
      </c>
      <c r="P393" s="46">
        <f>IF($I393="","",_xlfn.TEXTJOIN(", ",TRUE,$I393:$N393))</f>
        <v/>
      </c>
      <c r="Q393" s="47">
        <f>IF($I393="","",IFERROR(INDEX(코드설정!$D$5:$D$24,MATCH($I393,코드설정!$C$5:$C$24,0)),""))</f>
        <v/>
      </c>
      <c r="R393" s="49" t="n"/>
      <c r="S393" s="50" t="n"/>
      <c r="T393" s="51" t="n"/>
      <c r="U393" s="43">
        <f>IF(OR($B393="",$C393=""),"",$C393-$B393+1)</f>
        <v/>
      </c>
      <c r="V393" s="52" t="n"/>
      <c r="W393" s="53">
        <f>IF(OR($V393="",$O393=""),"",$V393*$O393)</f>
        <v/>
      </c>
      <c r="X393" s="45" t="n"/>
      <c r="Y393" s="49" t="n"/>
    </row>
    <row r="394">
      <c r="A394" s="43">
        <f>IF($B394="","",COUNT($B$5:$B394))</f>
        <v/>
      </c>
      <c r="B394" s="44" t="n"/>
      <c r="C394" s="44" t="n"/>
      <c r="D394" s="45" t="n"/>
      <c r="E394" s="45" t="n"/>
      <c r="F394" s="45" t="n"/>
      <c r="G394" s="46">
        <f>IF($F394="","",IFERROR(INDEX(사건마스터!$B$5:$B$64,MATCH($F394,사건마스터!$A$5:$A$64,0)),""))</f>
        <v/>
      </c>
      <c r="H394" s="47">
        <f>IF($F394="","",IFERROR(INDEX(사건마스터!$C$5:$C$64,MATCH($F394,사건마스터!$A$5:$A$64,0)),""))</f>
        <v/>
      </c>
      <c r="I394" s="48">
        <f>IF($F394="","",IFERROR(INDEX(사건마스터!$H$5:$H$64,MATCH($F394,사건마스터!$A$5:$A$64,0)),""))</f>
        <v/>
      </c>
      <c r="J394" s="48">
        <f>IF($F394="","",IFERROR(INDEX(사건마스터!$AH$5:$AH$64,MATCH($F394,사건마스터!$A$5:$A$64,0)),""))</f>
        <v/>
      </c>
      <c r="K394" s="48">
        <f>IF($F394="","",IFERROR(INDEX(사건마스터!$AI$5:$AI$64,MATCH($F394,사건마스터!$A$5:$A$64,0)),""))</f>
        <v/>
      </c>
      <c r="L394" s="48">
        <f>IF($F394="","",IFERROR(INDEX(사건마스터!$AJ$5:$AJ$64,MATCH($F394,사건마스터!$A$5:$A$64,0)),""))</f>
        <v/>
      </c>
      <c r="M394" s="48">
        <f>IF($F394="","",IFERROR(INDEX(사건마스터!$AK$5:$AK$64,MATCH($F394,사건마스터!$A$5:$A$64,0)),""))</f>
        <v/>
      </c>
      <c r="N394" s="48">
        <f>IF($F394="","",IFERROR(INDEX(사건마스터!$AL$5:$AL$64,MATCH($F394,사건마스터!$A$5:$A$64,0)),""))</f>
        <v/>
      </c>
      <c r="O394" s="43">
        <f>IF($I394="","",COUNTIF($I394:$N394,"?*"))</f>
        <v/>
      </c>
      <c r="P394" s="46">
        <f>IF($I394="","",_xlfn.TEXTJOIN(", ",TRUE,$I394:$N394))</f>
        <v/>
      </c>
      <c r="Q394" s="47">
        <f>IF($I394="","",IFERROR(INDEX(코드설정!$D$5:$D$24,MATCH($I394,코드설정!$C$5:$C$24,0)),""))</f>
        <v/>
      </c>
      <c r="R394" s="49" t="n"/>
      <c r="S394" s="50" t="n"/>
      <c r="T394" s="51" t="n"/>
      <c r="U394" s="43">
        <f>IF(OR($B394="",$C394=""),"",$C394-$B394+1)</f>
        <v/>
      </c>
      <c r="V394" s="52" t="n"/>
      <c r="W394" s="53">
        <f>IF(OR($V394="",$O394=""),"",$V394*$O394)</f>
        <v/>
      </c>
      <c r="X394" s="45" t="n"/>
      <c r="Y394" s="49" t="n"/>
    </row>
    <row r="395">
      <c r="A395" s="43">
        <f>IF($B395="","",COUNT($B$5:$B395))</f>
        <v/>
      </c>
      <c r="B395" s="44" t="n"/>
      <c r="C395" s="44" t="n"/>
      <c r="D395" s="45" t="n"/>
      <c r="E395" s="45" t="n"/>
      <c r="F395" s="45" t="n"/>
      <c r="G395" s="46">
        <f>IF($F395="","",IFERROR(INDEX(사건마스터!$B$5:$B$64,MATCH($F395,사건마스터!$A$5:$A$64,0)),""))</f>
        <v/>
      </c>
      <c r="H395" s="47">
        <f>IF($F395="","",IFERROR(INDEX(사건마스터!$C$5:$C$64,MATCH($F395,사건마스터!$A$5:$A$64,0)),""))</f>
        <v/>
      </c>
      <c r="I395" s="48">
        <f>IF($F395="","",IFERROR(INDEX(사건마스터!$H$5:$H$64,MATCH($F395,사건마스터!$A$5:$A$64,0)),""))</f>
        <v/>
      </c>
      <c r="J395" s="48">
        <f>IF($F395="","",IFERROR(INDEX(사건마스터!$AH$5:$AH$64,MATCH($F395,사건마스터!$A$5:$A$64,0)),""))</f>
        <v/>
      </c>
      <c r="K395" s="48">
        <f>IF($F395="","",IFERROR(INDEX(사건마스터!$AI$5:$AI$64,MATCH($F395,사건마스터!$A$5:$A$64,0)),""))</f>
        <v/>
      </c>
      <c r="L395" s="48">
        <f>IF($F395="","",IFERROR(INDEX(사건마스터!$AJ$5:$AJ$64,MATCH($F395,사건마스터!$A$5:$A$64,0)),""))</f>
        <v/>
      </c>
      <c r="M395" s="48">
        <f>IF($F395="","",IFERROR(INDEX(사건마스터!$AK$5:$AK$64,MATCH($F395,사건마스터!$A$5:$A$64,0)),""))</f>
        <v/>
      </c>
      <c r="N395" s="48">
        <f>IF($F395="","",IFERROR(INDEX(사건마스터!$AL$5:$AL$64,MATCH($F395,사건마스터!$A$5:$A$64,0)),""))</f>
        <v/>
      </c>
      <c r="O395" s="43">
        <f>IF($I395="","",COUNTIF($I395:$N395,"?*"))</f>
        <v/>
      </c>
      <c r="P395" s="46">
        <f>IF($I395="","",_xlfn.TEXTJOIN(", ",TRUE,$I395:$N395))</f>
        <v/>
      </c>
      <c r="Q395" s="47">
        <f>IF($I395="","",IFERROR(INDEX(코드설정!$D$5:$D$24,MATCH($I395,코드설정!$C$5:$C$24,0)),""))</f>
        <v/>
      </c>
      <c r="R395" s="49" t="n"/>
      <c r="S395" s="50" t="n"/>
      <c r="T395" s="51" t="n"/>
      <c r="U395" s="43">
        <f>IF(OR($B395="",$C395=""),"",$C395-$B395+1)</f>
        <v/>
      </c>
      <c r="V395" s="52" t="n"/>
      <c r="W395" s="53">
        <f>IF(OR($V395="",$O395=""),"",$V395*$O395)</f>
        <v/>
      </c>
      <c r="X395" s="45" t="n"/>
      <c r="Y395" s="49" t="n"/>
    </row>
    <row r="396">
      <c r="A396" s="43">
        <f>IF($B396="","",COUNT($B$5:$B396))</f>
        <v/>
      </c>
      <c r="B396" s="44" t="n"/>
      <c r="C396" s="44" t="n"/>
      <c r="D396" s="45" t="n"/>
      <c r="E396" s="45" t="n"/>
      <c r="F396" s="45" t="n"/>
      <c r="G396" s="46">
        <f>IF($F396="","",IFERROR(INDEX(사건마스터!$B$5:$B$64,MATCH($F396,사건마스터!$A$5:$A$64,0)),""))</f>
        <v/>
      </c>
      <c r="H396" s="47">
        <f>IF($F396="","",IFERROR(INDEX(사건마스터!$C$5:$C$64,MATCH($F396,사건마스터!$A$5:$A$64,0)),""))</f>
        <v/>
      </c>
      <c r="I396" s="48">
        <f>IF($F396="","",IFERROR(INDEX(사건마스터!$H$5:$H$64,MATCH($F396,사건마스터!$A$5:$A$64,0)),""))</f>
        <v/>
      </c>
      <c r="J396" s="48">
        <f>IF($F396="","",IFERROR(INDEX(사건마스터!$AH$5:$AH$64,MATCH($F396,사건마스터!$A$5:$A$64,0)),""))</f>
        <v/>
      </c>
      <c r="K396" s="48">
        <f>IF($F396="","",IFERROR(INDEX(사건마스터!$AI$5:$AI$64,MATCH($F396,사건마스터!$A$5:$A$64,0)),""))</f>
        <v/>
      </c>
      <c r="L396" s="48">
        <f>IF($F396="","",IFERROR(INDEX(사건마스터!$AJ$5:$AJ$64,MATCH($F396,사건마스터!$A$5:$A$64,0)),""))</f>
        <v/>
      </c>
      <c r="M396" s="48">
        <f>IF($F396="","",IFERROR(INDEX(사건마스터!$AK$5:$AK$64,MATCH($F396,사건마스터!$A$5:$A$64,0)),""))</f>
        <v/>
      </c>
      <c r="N396" s="48">
        <f>IF($F396="","",IFERROR(INDEX(사건마스터!$AL$5:$AL$64,MATCH($F396,사건마스터!$A$5:$A$64,0)),""))</f>
        <v/>
      </c>
      <c r="O396" s="43">
        <f>IF($I396="","",COUNTIF($I396:$N396,"?*"))</f>
        <v/>
      </c>
      <c r="P396" s="46">
        <f>IF($I396="","",_xlfn.TEXTJOIN(", ",TRUE,$I396:$N396))</f>
        <v/>
      </c>
      <c r="Q396" s="47">
        <f>IF($I396="","",IFERROR(INDEX(코드설정!$D$5:$D$24,MATCH($I396,코드설정!$C$5:$C$24,0)),""))</f>
        <v/>
      </c>
      <c r="R396" s="49" t="n"/>
      <c r="S396" s="50" t="n"/>
      <c r="T396" s="51" t="n"/>
      <c r="U396" s="43">
        <f>IF(OR($B396="",$C396=""),"",$C396-$B396+1)</f>
        <v/>
      </c>
      <c r="V396" s="52" t="n"/>
      <c r="W396" s="53">
        <f>IF(OR($V396="",$O396=""),"",$V396*$O396)</f>
        <v/>
      </c>
      <c r="X396" s="45" t="n"/>
      <c r="Y396" s="49" t="n"/>
    </row>
    <row r="397">
      <c r="A397" s="43">
        <f>IF($B397="","",COUNT($B$5:$B397))</f>
        <v/>
      </c>
      <c r="B397" s="44" t="n"/>
      <c r="C397" s="44" t="n"/>
      <c r="D397" s="45" t="n"/>
      <c r="E397" s="45" t="n"/>
      <c r="F397" s="45" t="n"/>
      <c r="G397" s="46">
        <f>IF($F397="","",IFERROR(INDEX(사건마스터!$B$5:$B$64,MATCH($F397,사건마스터!$A$5:$A$64,0)),""))</f>
        <v/>
      </c>
      <c r="H397" s="47">
        <f>IF($F397="","",IFERROR(INDEX(사건마스터!$C$5:$C$64,MATCH($F397,사건마스터!$A$5:$A$64,0)),""))</f>
        <v/>
      </c>
      <c r="I397" s="48">
        <f>IF($F397="","",IFERROR(INDEX(사건마스터!$H$5:$H$64,MATCH($F397,사건마스터!$A$5:$A$64,0)),""))</f>
        <v/>
      </c>
      <c r="J397" s="48">
        <f>IF($F397="","",IFERROR(INDEX(사건마스터!$AH$5:$AH$64,MATCH($F397,사건마스터!$A$5:$A$64,0)),""))</f>
        <v/>
      </c>
      <c r="K397" s="48">
        <f>IF($F397="","",IFERROR(INDEX(사건마스터!$AI$5:$AI$64,MATCH($F397,사건마스터!$A$5:$A$64,0)),""))</f>
        <v/>
      </c>
      <c r="L397" s="48">
        <f>IF($F397="","",IFERROR(INDEX(사건마스터!$AJ$5:$AJ$64,MATCH($F397,사건마스터!$A$5:$A$64,0)),""))</f>
        <v/>
      </c>
      <c r="M397" s="48">
        <f>IF($F397="","",IFERROR(INDEX(사건마스터!$AK$5:$AK$64,MATCH($F397,사건마스터!$A$5:$A$64,0)),""))</f>
        <v/>
      </c>
      <c r="N397" s="48">
        <f>IF($F397="","",IFERROR(INDEX(사건마스터!$AL$5:$AL$64,MATCH($F397,사건마스터!$A$5:$A$64,0)),""))</f>
        <v/>
      </c>
      <c r="O397" s="43">
        <f>IF($I397="","",COUNTIF($I397:$N397,"?*"))</f>
        <v/>
      </c>
      <c r="P397" s="46">
        <f>IF($I397="","",_xlfn.TEXTJOIN(", ",TRUE,$I397:$N397))</f>
        <v/>
      </c>
      <c r="Q397" s="47">
        <f>IF($I397="","",IFERROR(INDEX(코드설정!$D$5:$D$24,MATCH($I397,코드설정!$C$5:$C$24,0)),""))</f>
        <v/>
      </c>
      <c r="R397" s="49" t="n"/>
      <c r="S397" s="50" t="n"/>
      <c r="T397" s="51" t="n"/>
      <c r="U397" s="43">
        <f>IF(OR($B397="",$C397=""),"",$C397-$B397+1)</f>
        <v/>
      </c>
      <c r="V397" s="52" t="n"/>
      <c r="W397" s="53">
        <f>IF(OR($V397="",$O397=""),"",$V397*$O397)</f>
        <v/>
      </c>
      <c r="X397" s="45" t="n"/>
      <c r="Y397" s="49" t="n"/>
    </row>
    <row r="398">
      <c r="A398" s="43">
        <f>IF($B398="","",COUNT($B$5:$B398))</f>
        <v/>
      </c>
      <c r="B398" s="44" t="n"/>
      <c r="C398" s="44" t="n"/>
      <c r="D398" s="45" t="n"/>
      <c r="E398" s="45" t="n"/>
      <c r="F398" s="45" t="n"/>
      <c r="G398" s="46">
        <f>IF($F398="","",IFERROR(INDEX(사건마스터!$B$5:$B$64,MATCH($F398,사건마스터!$A$5:$A$64,0)),""))</f>
        <v/>
      </c>
      <c r="H398" s="47">
        <f>IF($F398="","",IFERROR(INDEX(사건마스터!$C$5:$C$64,MATCH($F398,사건마스터!$A$5:$A$64,0)),""))</f>
        <v/>
      </c>
      <c r="I398" s="48">
        <f>IF($F398="","",IFERROR(INDEX(사건마스터!$H$5:$H$64,MATCH($F398,사건마스터!$A$5:$A$64,0)),""))</f>
        <v/>
      </c>
      <c r="J398" s="48">
        <f>IF($F398="","",IFERROR(INDEX(사건마스터!$AH$5:$AH$64,MATCH($F398,사건마스터!$A$5:$A$64,0)),""))</f>
        <v/>
      </c>
      <c r="K398" s="48">
        <f>IF($F398="","",IFERROR(INDEX(사건마스터!$AI$5:$AI$64,MATCH($F398,사건마스터!$A$5:$A$64,0)),""))</f>
        <v/>
      </c>
      <c r="L398" s="48">
        <f>IF($F398="","",IFERROR(INDEX(사건마스터!$AJ$5:$AJ$64,MATCH($F398,사건마스터!$A$5:$A$64,0)),""))</f>
        <v/>
      </c>
      <c r="M398" s="48">
        <f>IF($F398="","",IFERROR(INDEX(사건마스터!$AK$5:$AK$64,MATCH($F398,사건마스터!$A$5:$A$64,0)),""))</f>
        <v/>
      </c>
      <c r="N398" s="48">
        <f>IF($F398="","",IFERROR(INDEX(사건마스터!$AL$5:$AL$64,MATCH($F398,사건마스터!$A$5:$A$64,0)),""))</f>
        <v/>
      </c>
      <c r="O398" s="43">
        <f>IF($I398="","",COUNTIF($I398:$N398,"?*"))</f>
        <v/>
      </c>
      <c r="P398" s="46">
        <f>IF($I398="","",_xlfn.TEXTJOIN(", ",TRUE,$I398:$N398))</f>
        <v/>
      </c>
      <c r="Q398" s="47">
        <f>IF($I398="","",IFERROR(INDEX(코드설정!$D$5:$D$24,MATCH($I398,코드설정!$C$5:$C$24,0)),""))</f>
        <v/>
      </c>
      <c r="R398" s="49" t="n"/>
      <c r="S398" s="50" t="n"/>
      <c r="T398" s="51" t="n"/>
      <c r="U398" s="43">
        <f>IF(OR($B398="",$C398=""),"",$C398-$B398+1)</f>
        <v/>
      </c>
      <c r="V398" s="52" t="n"/>
      <c r="W398" s="53">
        <f>IF(OR($V398="",$O398=""),"",$V398*$O398)</f>
        <v/>
      </c>
      <c r="X398" s="45" t="n"/>
      <c r="Y398" s="49" t="n"/>
    </row>
    <row r="399">
      <c r="A399" s="43">
        <f>IF($B399="","",COUNT($B$5:$B399))</f>
        <v/>
      </c>
      <c r="B399" s="44" t="n"/>
      <c r="C399" s="44" t="n"/>
      <c r="D399" s="45" t="n"/>
      <c r="E399" s="45" t="n"/>
      <c r="F399" s="45" t="n"/>
      <c r="G399" s="46">
        <f>IF($F399="","",IFERROR(INDEX(사건마스터!$B$5:$B$64,MATCH($F399,사건마스터!$A$5:$A$64,0)),""))</f>
        <v/>
      </c>
      <c r="H399" s="47">
        <f>IF($F399="","",IFERROR(INDEX(사건마스터!$C$5:$C$64,MATCH($F399,사건마스터!$A$5:$A$64,0)),""))</f>
        <v/>
      </c>
      <c r="I399" s="48">
        <f>IF($F399="","",IFERROR(INDEX(사건마스터!$H$5:$H$64,MATCH($F399,사건마스터!$A$5:$A$64,0)),""))</f>
        <v/>
      </c>
      <c r="J399" s="48">
        <f>IF($F399="","",IFERROR(INDEX(사건마스터!$AH$5:$AH$64,MATCH($F399,사건마스터!$A$5:$A$64,0)),""))</f>
        <v/>
      </c>
      <c r="K399" s="48">
        <f>IF($F399="","",IFERROR(INDEX(사건마스터!$AI$5:$AI$64,MATCH($F399,사건마스터!$A$5:$A$64,0)),""))</f>
        <v/>
      </c>
      <c r="L399" s="48">
        <f>IF($F399="","",IFERROR(INDEX(사건마스터!$AJ$5:$AJ$64,MATCH($F399,사건마스터!$A$5:$A$64,0)),""))</f>
        <v/>
      </c>
      <c r="M399" s="48">
        <f>IF($F399="","",IFERROR(INDEX(사건마스터!$AK$5:$AK$64,MATCH($F399,사건마스터!$A$5:$A$64,0)),""))</f>
        <v/>
      </c>
      <c r="N399" s="48">
        <f>IF($F399="","",IFERROR(INDEX(사건마스터!$AL$5:$AL$64,MATCH($F399,사건마스터!$A$5:$A$64,0)),""))</f>
        <v/>
      </c>
      <c r="O399" s="43">
        <f>IF($I399="","",COUNTIF($I399:$N399,"?*"))</f>
        <v/>
      </c>
      <c r="P399" s="46">
        <f>IF($I399="","",_xlfn.TEXTJOIN(", ",TRUE,$I399:$N399))</f>
        <v/>
      </c>
      <c r="Q399" s="47">
        <f>IF($I399="","",IFERROR(INDEX(코드설정!$D$5:$D$24,MATCH($I399,코드설정!$C$5:$C$24,0)),""))</f>
        <v/>
      </c>
      <c r="R399" s="49" t="n"/>
      <c r="S399" s="50" t="n"/>
      <c r="T399" s="51" t="n"/>
      <c r="U399" s="43">
        <f>IF(OR($B399="",$C399=""),"",$C399-$B399+1)</f>
        <v/>
      </c>
      <c r="V399" s="52" t="n"/>
      <c r="W399" s="53">
        <f>IF(OR($V399="",$O399=""),"",$V399*$O399)</f>
        <v/>
      </c>
      <c r="X399" s="45" t="n"/>
      <c r="Y399" s="49" t="n"/>
    </row>
    <row r="400">
      <c r="A400" s="43">
        <f>IF($B400="","",COUNT($B$5:$B400))</f>
        <v/>
      </c>
      <c r="B400" s="44" t="n"/>
      <c r="C400" s="44" t="n"/>
      <c r="D400" s="45" t="n"/>
      <c r="E400" s="45" t="n"/>
      <c r="F400" s="45" t="n"/>
      <c r="G400" s="46">
        <f>IF($F400="","",IFERROR(INDEX(사건마스터!$B$5:$B$64,MATCH($F400,사건마스터!$A$5:$A$64,0)),""))</f>
        <v/>
      </c>
      <c r="H400" s="47">
        <f>IF($F400="","",IFERROR(INDEX(사건마스터!$C$5:$C$64,MATCH($F400,사건마스터!$A$5:$A$64,0)),""))</f>
        <v/>
      </c>
      <c r="I400" s="48">
        <f>IF($F400="","",IFERROR(INDEX(사건마스터!$H$5:$H$64,MATCH($F400,사건마스터!$A$5:$A$64,0)),""))</f>
        <v/>
      </c>
      <c r="J400" s="48">
        <f>IF($F400="","",IFERROR(INDEX(사건마스터!$AH$5:$AH$64,MATCH($F400,사건마스터!$A$5:$A$64,0)),""))</f>
        <v/>
      </c>
      <c r="K400" s="48">
        <f>IF($F400="","",IFERROR(INDEX(사건마스터!$AI$5:$AI$64,MATCH($F400,사건마스터!$A$5:$A$64,0)),""))</f>
        <v/>
      </c>
      <c r="L400" s="48">
        <f>IF($F400="","",IFERROR(INDEX(사건마스터!$AJ$5:$AJ$64,MATCH($F400,사건마스터!$A$5:$A$64,0)),""))</f>
        <v/>
      </c>
      <c r="M400" s="48">
        <f>IF($F400="","",IFERROR(INDEX(사건마스터!$AK$5:$AK$64,MATCH($F400,사건마스터!$A$5:$A$64,0)),""))</f>
        <v/>
      </c>
      <c r="N400" s="48">
        <f>IF($F400="","",IFERROR(INDEX(사건마스터!$AL$5:$AL$64,MATCH($F400,사건마스터!$A$5:$A$64,0)),""))</f>
        <v/>
      </c>
      <c r="O400" s="43">
        <f>IF($I400="","",COUNTIF($I400:$N400,"?*"))</f>
        <v/>
      </c>
      <c r="P400" s="46">
        <f>IF($I400="","",_xlfn.TEXTJOIN(", ",TRUE,$I400:$N400))</f>
        <v/>
      </c>
      <c r="Q400" s="47">
        <f>IF($I400="","",IFERROR(INDEX(코드설정!$D$5:$D$24,MATCH($I400,코드설정!$C$5:$C$24,0)),""))</f>
        <v/>
      </c>
      <c r="R400" s="49" t="n"/>
      <c r="S400" s="50" t="n"/>
      <c r="T400" s="51" t="n"/>
      <c r="U400" s="43">
        <f>IF(OR($B400="",$C400=""),"",$C400-$B400+1)</f>
        <v/>
      </c>
      <c r="V400" s="52" t="n"/>
      <c r="W400" s="53">
        <f>IF(OR($V400="",$O400=""),"",$V400*$O400)</f>
        <v/>
      </c>
      <c r="X400" s="45" t="n"/>
      <c r="Y400" s="49" t="n"/>
    </row>
    <row r="401">
      <c r="A401" s="43">
        <f>IF($B401="","",COUNT($B$5:$B401))</f>
        <v/>
      </c>
      <c r="B401" s="44" t="n"/>
      <c r="C401" s="44" t="n"/>
      <c r="D401" s="45" t="n"/>
      <c r="E401" s="45" t="n"/>
      <c r="F401" s="45" t="n"/>
      <c r="G401" s="46">
        <f>IF($F401="","",IFERROR(INDEX(사건마스터!$B$5:$B$64,MATCH($F401,사건마스터!$A$5:$A$64,0)),""))</f>
        <v/>
      </c>
      <c r="H401" s="47">
        <f>IF($F401="","",IFERROR(INDEX(사건마스터!$C$5:$C$64,MATCH($F401,사건마스터!$A$5:$A$64,0)),""))</f>
        <v/>
      </c>
      <c r="I401" s="48">
        <f>IF($F401="","",IFERROR(INDEX(사건마스터!$H$5:$H$64,MATCH($F401,사건마스터!$A$5:$A$64,0)),""))</f>
        <v/>
      </c>
      <c r="J401" s="48">
        <f>IF($F401="","",IFERROR(INDEX(사건마스터!$AH$5:$AH$64,MATCH($F401,사건마스터!$A$5:$A$64,0)),""))</f>
        <v/>
      </c>
      <c r="K401" s="48">
        <f>IF($F401="","",IFERROR(INDEX(사건마스터!$AI$5:$AI$64,MATCH($F401,사건마스터!$A$5:$A$64,0)),""))</f>
        <v/>
      </c>
      <c r="L401" s="48">
        <f>IF($F401="","",IFERROR(INDEX(사건마스터!$AJ$5:$AJ$64,MATCH($F401,사건마스터!$A$5:$A$64,0)),""))</f>
        <v/>
      </c>
      <c r="M401" s="48">
        <f>IF($F401="","",IFERROR(INDEX(사건마스터!$AK$5:$AK$64,MATCH($F401,사건마스터!$A$5:$A$64,0)),""))</f>
        <v/>
      </c>
      <c r="N401" s="48">
        <f>IF($F401="","",IFERROR(INDEX(사건마스터!$AL$5:$AL$64,MATCH($F401,사건마스터!$A$5:$A$64,0)),""))</f>
        <v/>
      </c>
      <c r="O401" s="43">
        <f>IF($I401="","",COUNTIF($I401:$N401,"?*"))</f>
        <v/>
      </c>
      <c r="P401" s="46">
        <f>IF($I401="","",_xlfn.TEXTJOIN(", ",TRUE,$I401:$N401))</f>
        <v/>
      </c>
      <c r="Q401" s="47">
        <f>IF($I401="","",IFERROR(INDEX(코드설정!$D$5:$D$24,MATCH($I401,코드설정!$C$5:$C$24,0)),""))</f>
        <v/>
      </c>
      <c r="R401" s="49" t="n"/>
      <c r="S401" s="50" t="n"/>
      <c r="T401" s="51" t="n"/>
      <c r="U401" s="43">
        <f>IF(OR($B401="",$C401=""),"",$C401-$B401+1)</f>
        <v/>
      </c>
      <c r="V401" s="52" t="n"/>
      <c r="W401" s="53">
        <f>IF(OR($V401="",$O401=""),"",$V401*$O401)</f>
        <v/>
      </c>
      <c r="X401" s="45" t="n"/>
      <c r="Y401" s="49" t="n"/>
    </row>
    <row r="402">
      <c r="A402" s="43">
        <f>IF($B402="","",COUNT($B$5:$B402))</f>
        <v/>
      </c>
      <c r="B402" s="44" t="n"/>
      <c r="C402" s="44" t="n"/>
      <c r="D402" s="45" t="n"/>
      <c r="E402" s="45" t="n"/>
      <c r="F402" s="45" t="n"/>
      <c r="G402" s="46">
        <f>IF($F402="","",IFERROR(INDEX(사건마스터!$B$5:$B$64,MATCH($F402,사건마스터!$A$5:$A$64,0)),""))</f>
        <v/>
      </c>
      <c r="H402" s="47">
        <f>IF($F402="","",IFERROR(INDEX(사건마스터!$C$5:$C$64,MATCH($F402,사건마스터!$A$5:$A$64,0)),""))</f>
        <v/>
      </c>
      <c r="I402" s="48">
        <f>IF($F402="","",IFERROR(INDEX(사건마스터!$H$5:$H$64,MATCH($F402,사건마스터!$A$5:$A$64,0)),""))</f>
        <v/>
      </c>
      <c r="J402" s="48">
        <f>IF($F402="","",IFERROR(INDEX(사건마스터!$AH$5:$AH$64,MATCH($F402,사건마스터!$A$5:$A$64,0)),""))</f>
        <v/>
      </c>
      <c r="K402" s="48">
        <f>IF($F402="","",IFERROR(INDEX(사건마스터!$AI$5:$AI$64,MATCH($F402,사건마스터!$A$5:$A$64,0)),""))</f>
        <v/>
      </c>
      <c r="L402" s="48">
        <f>IF($F402="","",IFERROR(INDEX(사건마스터!$AJ$5:$AJ$64,MATCH($F402,사건마스터!$A$5:$A$64,0)),""))</f>
        <v/>
      </c>
      <c r="M402" s="48">
        <f>IF($F402="","",IFERROR(INDEX(사건마스터!$AK$5:$AK$64,MATCH($F402,사건마스터!$A$5:$A$64,0)),""))</f>
        <v/>
      </c>
      <c r="N402" s="48">
        <f>IF($F402="","",IFERROR(INDEX(사건마스터!$AL$5:$AL$64,MATCH($F402,사건마스터!$A$5:$A$64,0)),""))</f>
        <v/>
      </c>
      <c r="O402" s="43">
        <f>IF($I402="","",COUNTIF($I402:$N402,"?*"))</f>
        <v/>
      </c>
      <c r="P402" s="46">
        <f>IF($I402="","",_xlfn.TEXTJOIN(", ",TRUE,$I402:$N402))</f>
        <v/>
      </c>
      <c r="Q402" s="47">
        <f>IF($I402="","",IFERROR(INDEX(코드설정!$D$5:$D$24,MATCH($I402,코드설정!$C$5:$C$24,0)),""))</f>
        <v/>
      </c>
      <c r="R402" s="49" t="n"/>
      <c r="S402" s="50" t="n"/>
      <c r="T402" s="51" t="n"/>
      <c r="U402" s="43">
        <f>IF(OR($B402="",$C402=""),"",$C402-$B402+1)</f>
        <v/>
      </c>
      <c r="V402" s="52" t="n"/>
      <c r="W402" s="53">
        <f>IF(OR($V402="",$O402=""),"",$V402*$O402)</f>
        <v/>
      </c>
      <c r="X402" s="45" t="n"/>
      <c r="Y402" s="49" t="n"/>
    </row>
    <row r="403">
      <c r="A403" s="43">
        <f>IF($B403="","",COUNT($B$5:$B403))</f>
        <v/>
      </c>
      <c r="B403" s="44" t="n"/>
      <c r="C403" s="44" t="n"/>
      <c r="D403" s="45" t="n"/>
      <c r="E403" s="45" t="n"/>
      <c r="F403" s="45" t="n"/>
      <c r="G403" s="46">
        <f>IF($F403="","",IFERROR(INDEX(사건마스터!$B$5:$B$64,MATCH($F403,사건마스터!$A$5:$A$64,0)),""))</f>
        <v/>
      </c>
      <c r="H403" s="47">
        <f>IF($F403="","",IFERROR(INDEX(사건마스터!$C$5:$C$64,MATCH($F403,사건마스터!$A$5:$A$64,0)),""))</f>
        <v/>
      </c>
      <c r="I403" s="48">
        <f>IF($F403="","",IFERROR(INDEX(사건마스터!$H$5:$H$64,MATCH($F403,사건마스터!$A$5:$A$64,0)),""))</f>
        <v/>
      </c>
      <c r="J403" s="48">
        <f>IF($F403="","",IFERROR(INDEX(사건마스터!$AH$5:$AH$64,MATCH($F403,사건마스터!$A$5:$A$64,0)),""))</f>
        <v/>
      </c>
      <c r="K403" s="48">
        <f>IF($F403="","",IFERROR(INDEX(사건마스터!$AI$5:$AI$64,MATCH($F403,사건마스터!$A$5:$A$64,0)),""))</f>
        <v/>
      </c>
      <c r="L403" s="48">
        <f>IF($F403="","",IFERROR(INDEX(사건마스터!$AJ$5:$AJ$64,MATCH($F403,사건마스터!$A$5:$A$64,0)),""))</f>
        <v/>
      </c>
      <c r="M403" s="48">
        <f>IF($F403="","",IFERROR(INDEX(사건마스터!$AK$5:$AK$64,MATCH($F403,사건마스터!$A$5:$A$64,0)),""))</f>
        <v/>
      </c>
      <c r="N403" s="48">
        <f>IF($F403="","",IFERROR(INDEX(사건마스터!$AL$5:$AL$64,MATCH($F403,사건마스터!$A$5:$A$64,0)),""))</f>
        <v/>
      </c>
      <c r="O403" s="43">
        <f>IF($I403="","",COUNTIF($I403:$N403,"?*"))</f>
        <v/>
      </c>
      <c r="P403" s="46">
        <f>IF($I403="","",_xlfn.TEXTJOIN(", ",TRUE,$I403:$N403))</f>
        <v/>
      </c>
      <c r="Q403" s="47">
        <f>IF($I403="","",IFERROR(INDEX(코드설정!$D$5:$D$24,MATCH($I403,코드설정!$C$5:$C$24,0)),""))</f>
        <v/>
      </c>
      <c r="R403" s="49" t="n"/>
      <c r="S403" s="50" t="n"/>
      <c r="T403" s="51" t="n"/>
      <c r="U403" s="43">
        <f>IF(OR($B403="",$C403=""),"",$C403-$B403+1)</f>
        <v/>
      </c>
      <c r="V403" s="52" t="n"/>
      <c r="W403" s="53">
        <f>IF(OR($V403="",$O403=""),"",$V403*$O403)</f>
        <v/>
      </c>
      <c r="X403" s="45" t="n"/>
      <c r="Y403" s="49" t="n"/>
    </row>
    <row r="404">
      <c r="A404" s="43">
        <f>IF($B404="","",COUNT($B$5:$B404))</f>
        <v/>
      </c>
      <c r="B404" s="44" t="n"/>
      <c r="C404" s="44" t="n"/>
      <c r="D404" s="45" t="n"/>
      <c r="E404" s="45" t="n"/>
      <c r="F404" s="45" t="n"/>
      <c r="G404" s="46">
        <f>IF($F404="","",IFERROR(INDEX(사건마스터!$B$5:$B$64,MATCH($F404,사건마스터!$A$5:$A$64,0)),""))</f>
        <v/>
      </c>
      <c r="H404" s="47">
        <f>IF($F404="","",IFERROR(INDEX(사건마스터!$C$5:$C$64,MATCH($F404,사건마스터!$A$5:$A$64,0)),""))</f>
        <v/>
      </c>
      <c r="I404" s="48">
        <f>IF($F404="","",IFERROR(INDEX(사건마스터!$H$5:$H$64,MATCH($F404,사건마스터!$A$5:$A$64,0)),""))</f>
        <v/>
      </c>
      <c r="J404" s="48">
        <f>IF($F404="","",IFERROR(INDEX(사건마스터!$AH$5:$AH$64,MATCH($F404,사건마스터!$A$5:$A$64,0)),""))</f>
        <v/>
      </c>
      <c r="K404" s="48">
        <f>IF($F404="","",IFERROR(INDEX(사건마스터!$AI$5:$AI$64,MATCH($F404,사건마스터!$A$5:$A$64,0)),""))</f>
        <v/>
      </c>
      <c r="L404" s="48">
        <f>IF($F404="","",IFERROR(INDEX(사건마스터!$AJ$5:$AJ$64,MATCH($F404,사건마스터!$A$5:$A$64,0)),""))</f>
        <v/>
      </c>
      <c r="M404" s="48">
        <f>IF($F404="","",IFERROR(INDEX(사건마스터!$AK$5:$AK$64,MATCH($F404,사건마스터!$A$5:$A$64,0)),""))</f>
        <v/>
      </c>
      <c r="N404" s="48">
        <f>IF($F404="","",IFERROR(INDEX(사건마스터!$AL$5:$AL$64,MATCH($F404,사건마스터!$A$5:$A$64,0)),""))</f>
        <v/>
      </c>
      <c r="O404" s="43">
        <f>IF($I404="","",COUNTIF($I404:$N404,"?*"))</f>
        <v/>
      </c>
      <c r="P404" s="46">
        <f>IF($I404="","",_xlfn.TEXTJOIN(", ",TRUE,$I404:$N404))</f>
        <v/>
      </c>
      <c r="Q404" s="47">
        <f>IF($I404="","",IFERROR(INDEX(코드설정!$D$5:$D$24,MATCH($I404,코드설정!$C$5:$C$24,0)),""))</f>
        <v/>
      </c>
      <c r="R404" s="49" t="n"/>
      <c r="S404" s="50" t="n"/>
      <c r="T404" s="51" t="n"/>
      <c r="U404" s="43">
        <f>IF(OR($B404="",$C404=""),"",$C404-$B404+1)</f>
        <v/>
      </c>
      <c r="V404" s="52" t="n"/>
      <c r="W404" s="53">
        <f>IF(OR($V404="",$O404=""),"",$V404*$O404)</f>
        <v/>
      </c>
      <c r="X404" s="45" t="n"/>
      <c r="Y404" s="49" t="n"/>
    </row>
    <row r="405">
      <c r="A405" s="43">
        <f>IF($B405="","",COUNT($B$5:$B405))</f>
        <v/>
      </c>
      <c r="B405" s="44" t="n"/>
      <c r="C405" s="44" t="n"/>
      <c r="D405" s="45" t="n"/>
      <c r="E405" s="45" t="n"/>
      <c r="F405" s="45" t="n"/>
      <c r="G405" s="46">
        <f>IF($F405="","",IFERROR(INDEX(사건마스터!$B$5:$B$64,MATCH($F405,사건마스터!$A$5:$A$64,0)),""))</f>
        <v/>
      </c>
      <c r="H405" s="47">
        <f>IF($F405="","",IFERROR(INDEX(사건마스터!$C$5:$C$64,MATCH($F405,사건마스터!$A$5:$A$64,0)),""))</f>
        <v/>
      </c>
      <c r="I405" s="48">
        <f>IF($F405="","",IFERROR(INDEX(사건마스터!$H$5:$H$64,MATCH($F405,사건마스터!$A$5:$A$64,0)),""))</f>
        <v/>
      </c>
      <c r="J405" s="48">
        <f>IF($F405="","",IFERROR(INDEX(사건마스터!$AH$5:$AH$64,MATCH($F405,사건마스터!$A$5:$A$64,0)),""))</f>
        <v/>
      </c>
      <c r="K405" s="48">
        <f>IF($F405="","",IFERROR(INDEX(사건마스터!$AI$5:$AI$64,MATCH($F405,사건마스터!$A$5:$A$64,0)),""))</f>
        <v/>
      </c>
      <c r="L405" s="48">
        <f>IF($F405="","",IFERROR(INDEX(사건마스터!$AJ$5:$AJ$64,MATCH($F405,사건마스터!$A$5:$A$64,0)),""))</f>
        <v/>
      </c>
      <c r="M405" s="48">
        <f>IF($F405="","",IFERROR(INDEX(사건마스터!$AK$5:$AK$64,MATCH($F405,사건마스터!$A$5:$A$64,0)),""))</f>
        <v/>
      </c>
      <c r="N405" s="48">
        <f>IF($F405="","",IFERROR(INDEX(사건마스터!$AL$5:$AL$64,MATCH($F405,사건마스터!$A$5:$A$64,0)),""))</f>
        <v/>
      </c>
      <c r="O405" s="43">
        <f>IF($I405="","",COUNTIF($I405:$N405,"?*"))</f>
        <v/>
      </c>
      <c r="P405" s="46">
        <f>IF($I405="","",_xlfn.TEXTJOIN(", ",TRUE,$I405:$N405))</f>
        <v/>
      </c>
      <c r="Q405" s="47">
        <f>IF($I405="","",IFERROR(INDEX(코드설정!$D$5:$D$24,MATCH($I405,코드설정!$C$5:$C$24,0)),""))</f>
        <v/>
      </c>
      <c r="R405" s="49" t="n"/>
      <c r="S405" s="50" t="n"/>
      <c r="T405" s="51" t="n"/>
      <c r="U405" s="43">
        <f>IF(OR($B405="",$C405=""),"",$C405-$B405+1)</f>
        <v/>
      </c>
      <c r="V405" s="52" t="n"/>
      <c r="W405" s="53">
        <f>IF(OR($V405="",$O405=""),"",$V405*$O405)</f>
        <v/>
      </c>
      <c r="X405" s="45" t="n"/>
      <c r="Y405" s="49" t="n"/>
    </row>
    <row r="406">
      <c r="A406" s="43">
        <f>IF($B406="","",COUNT($B$5:$B406))</f>
        <v/>
      </c>
      <c r="B406" s="44" t="n"/>
      <c r="C406" s="44" t="n"/>
      <c r="D406" s="45" t="n"/>
      <c r="E406" s="45" t="n"/>
      <c r="F406" s="45" t="n"/>
      <c r="G406" s="46">
        <f>IF($F406="","",IFERROR(INDEX(사건마스터!$B$5:$B$64,MATCH($F406,사건마스터!$A$5:$A$64,0)),""))</f>
        <v/>
      </c>
      <c r="H406" s="47">
        <f>IF($F406="","",IFERROR(INDEX(사건마스터!$C$5:$C$64,MATCH($F406,사건마스터!$A$5:$A$64,0)),""))</f>
        <v/>
      </c>
      <c r="I406" s="48">
        <f>IF($F406="","",IFERROR(INDEX(사건마스터!$H$5:$H$64,MATCH($F406,사건마스터!$A$5:$A$64,0)),""))</f>
        <v/>
      </c>
      <c r="J406" s="48">
        <f>IF($F406="","",IFERROR(INDEX(사건마스터!$AH$5:$AH$64,MATCH($F406,사건마스터!$A$5:$A$64,0)),""))</f>
        <v/>
      </c>
      <c r="K406" s="48">
        <f>IF($F406="","",IFERROR(INDEX(사건마스터!$AI$5:$AI$64,MATCH($F406,사건마스터!$A$5:$A$64,0)),""))</f>
        <v/>
      </c>
      <c r="L406" s="48">
        <f>IF($F406="","",IFERROR(INDEX(사건마스터!$AJ$5:$AJ$64,MATCH($F406,사건마스터!$A$5:$A$64,0)),""))</f>
        <v/>
      </c>
      <c r="M406" s="48">
        <f>IF($F406="","",IFERROR(INDEX(사건마스터!$AK$5:$AK$64,MATCH($F406,사건마스터!$A$5:$A$64,0)),""))</f>
        <v/>
      </c>
      <c r="N406" s="48">
        <f>IF($F406="","",IFERROR(INDEX(사건마스터!$AL$5:$AL$64,MATCH($F406,사건마스터!$A$5:$A$64,0)),""))</f>
        <v/>
      </c>
      <c r="O406" s="43">
        <f>IF($I406="","",COUNTIF($I406:$N406,"?*"))</f>
        <v/>
      </c>
      <c r="P406" s="46">
        <f>IF($I406="","",_xlfn.TEXTJOIN(", ",TRUE,$I406:$N406))</f>
        <v/>
      </c>
      <c r="Q406" s="47">
        <f>IF($I406="","",IFERROR(INDEX(코드설정!$D$5:$D$24,MATCH($I406,코드설정!$C$5:$C$24,0)),""))</f>
        <v/>
      </c>
      <c r="R406" s="49" t="n"/>
      <c r="S406" s="50" t="n"/>
      <c r="T406" s="51" t="n"/>
      <c r="U406" s="43">
        <f>IF(OR($B406="",$C406=""),"",$C406-$B406+1)</f>
        <v/>
      </c>
      <c r="V406" s="52" t="n"/>
      <c r="W406" s="53">
        <f>IF(OR($V406="",$O406=""),"",$V406*$O406)</f>
        <v/>
      </c>
      <c r="X406" s="45" t="n"/>
      <c r="Y406" s="49" t="n"/>
    </row>
    <row r="407">
      <c r="A407" s="43">
        <f>IF($B407="","",COUNT($B$5:$B407))</f>
        <v/>
      </c>
      <c r="B407" s="44" t="n"/>
      <c r="C407" s="44" t="n"/>
      <c r="D407" s="45" t="n"/>
      <c r="E407" s="45" t="n"/>
      <c r="F407" s="45" t="n"/>
      <c r="G407" s="46">
        <f>IF($F407="","",IFERROR(INDEX(사건마스터!$B$5:$B$64,MATCH($F407,사건마스터!$A$5:$A$64,0)),""))</f>
        <v/>
      </c>
      <c r="H407" s="47">
        <f>IF($F407="","",IFERROR(INDEX(사건마스터!$C$5:$C$64,MATCH($F407,사건마스터!$A$5:$A$64,0)),""))</f>
        <v/>
      </c>
      <c r="I407" s="48">
        <f>IF($F407="","",IFERROR(INDEX(사건마스터!$H$5:$H$64,MATCH($F407,사건마스터!$A$5:$A$64,0)),""))</f>
        <v/>
      </c>
      <c r="J407" s="48">
        <f>IF($F407="","",IFERROR(INDEX(사건마스터!$AH$5:$AH$64,MATCH($F407,사건마스터!$A$5:$A$64,0)),""))</f>
        <v/>
      </c>
      <c r="K407" s="48">
        <f>IF($F407="","",IFERROR(INDEX(사건마스터!$AI$5:$AI$64,MATCH($F407,사건마스터!$A$5:$A$64,0)),""))</f>
        <v/>
      </c>
      <c r="L407" s="48">
        <f>IF($F407="","",IFERROR(INDEX(사건마스터!$AJ$5:$AJ$64,MATCH($F407,사건마스터!$A$5:$A$64,0)),""))</f>
        <v/>
      </c>
      <c r="M407" s="48">
        <f>IF($F407="","",IFERROR(INDEX(사건마스터!$AK$5:$AK$64,MATCH($F407,사건마스터!$A$5:$A$64,0)),""))</f>
        <v/>
      </c>
      <c r="N407" s="48">
        <f>IF($F407="","",IFERROR(INDEX(사건마스터!$AL$5:$AL$64,MATCH($F407,사건마스터!$A$5:$A$64,0)),""))</f>
        <v/>
      </c>
      <c r="O407" s="43">
        <f>IF($I407="","",COUNTIF($I407:$N407,"?*"))</f>
        <v/>
      </c>
      <c r="P407" s="46">
        <f>IF($I407="","",_xlfn.TEXTJOIN(", ",TRUE,$I407:$N407))</f>
        <v/>
      </c>
      <c r="Q407" s="47">
        <f>IF($I407="","",IFERROR(INDEX(코드설정!$D$5:$D$24,MATCH($I407,코드설정!$C$5:$C$24,0)),""))</f>
        <v/>
      </c>
      <c r="R407" s="49" t="n"/>
      <c r="S407" s="50" t="n"/>
      <c r="T407" s="51" t="n"/>
      <c r="U407" s="43">
        <f>IF(OR($B407="",$C407=""),"",$C407-$B407+1)</f>
        <v/>
      </c>
      <c r="V407" s="52" t="n"/>
      <c r="W407" s="53">
        <f>IF(OR($V407="",$O407=""),"",$V407*$O407)</f>
        <v/>
      </c>
      <c r="X407" s="45" t="n"/>
      <c r="Y407" s="49" t="n"/>
    </row>
    <row r="408">
      <c r="A408" s="43">
        <f>IF($B408="","",COUNT($B$5:$B408))</f>
        <v/>
      </c>
      <c r="B408" s="44" t="n"/>
      <c r="C408" s="44" t="n"/>
      <c r="D408" s="45" t="n"/>
      <c r="E408" s="45" t="n"/>
      <c r="F408" s="45" t="n"/>
      <c r="G408" s="46">
        <f>IF($F408="","",IFERROR(INDEX(사건마스터!$B$5:$B$64,MATCH($F408,사건마스터!$A$5:$A$64,0)),""))</f>
        <v/>
      </c>
      <c r="H408" s="47">
        <f>IF($F408="","",IFERROR(INDEX(사건마스터!$C$5:$C$64,MATCH($F408,사건마스터!$A$5:$A$64,0)),""))</f>
        <v/>
      </c>
      <c r="I408" s="48">
        <f>IF($F408="","",IFERROR(INDEX(사건마스터!$H$5:$H$64,MATCH($F408,사건마스터!$A$5:$A$64,0)),""))</f>
        <v/>
      </c>
      <c r="J408" s="48">
        <f>IF($F408="","",IFERROR(INDEX(사건마스터!$AH$5:$AH$64,MATCH($F408,사건마스터!$A$5:$A$64,0)),""))</f>
        <v/>
      </c>
      <c r="K408" s="48">
        <f>IF($F408="","",IFERROR(INDEX(사건마스터!$AI$5:$AI$64,MATCH($F408,사건마스터!$A$5:$A$64,0)),""))</f>
        <v/>
      </c>
      <c r="L408" s="48">
        <f>IF($F408="","",IFERROR(INDEX(사건마스터!$AJ$5:$AJ$64,MATCH($F408,사건마스터!$A$5:$A$64,0)),""))</f>
        <v/>
      </c>
      <c r="M408" s="48">
        <f>IF($F408="","",IFERROR(INDEX(사건마스터!$AK$5:$AK$64,MATCH($F408,사건마스터!$A$5:$A$64,0)),""))</f>
        <v/>
      </c>
      <c r="N408" s="48">
        <f>IF($F408="","",IFERROR(INDEX(사건마스터!$AL$5:$AL$64,MATCH($F408,사건마스터!$A$5:$A$64,0)),""))</f>
        <v/>
      </c>
      <c r="O408" s="43">
        <f>IF($I408="","",COUNTIF($I408:$N408,"?*"))</f>
        <v/>
      </c>
      <c r="P408" s="46">
        <f>IF($I408="","",_xlfn.TEXTJOIN(", ",TRUE,$I408:$N408))</f>
        <v/>
      </c>
      <c r="Q408" s="47">
        <f>IF($I408="","",IFERROR(INDEX(코드설정!$D$5:$D$24,MATCH($I408,코드설정!$C$5:$C$24,0)),""))</f>
        <v/>
      </c>
      <c r="R408" s="49" t="n"/>
      <c r="S408" s="50" t="n"/>
      <c r="T408" s="51" t="n"/>
      <c r="U408" s="43">
        <f>IF(OR($B408="",$C408=""),"",$C408-$B408+1)</f>
        <v/>
      </c>
      <c r="V408" s="52" t="n"/>
      <c r="W408" s="53">
        <f>IF(OR($V408="",$O408=""),"",$V408*$O408)</f>
        <v/>
      </c>
      <c r="X408" s="45" t="n"/>
      <c r="Y408" s="49" t="n"/>
    </row>
    <row r="409">
      <c r="A409" s="43">
        <f>IF($B409="","",COUNT($B$5:$B409))</f>
        <v/>
      </c>
      <c r="B409" s="44" t="n"/>
      <c r="C409" s="44" t="n"/>
      <c r="D409" s="45" t="n"/>
      <c r="E409" s="45" t="n"/>
      <c r="F409" s="45" t="n"/>
      <c r="G409" s="46">
        <f>IF($F409="","",IFERROR(INDEX(사건마스터!$B$5:$B$64,MATCH($F409,사건마스터!$A$5:$A$64,0)),""))</f>
        <v/>
      </c>
      <c r="H409" s="47">
        <f>IF($F409="","",IFERROR(INDEX(사건마스터!$C$5:$C$64,MATCH($F409,사건마스터!$A$5:$A$64,0)),""))</f>
        <v/>
      </c>
      <c r="I409" s="48">
        <f>IF($F409="","",IFERROR(INDEX(사건마스터!$H$5:$H$64,MATCH($F409,사건마스터!$A$5:$A$64,0)),""))</f>
        <v/>
      </c>
      <c r="J409" s="48">
        <f>IF($F409="","",IFERROR(INDEX(사건마스터!$AH$5:$AH$64,MATCH($F409,사건마스터!$A$5:$A$64,0)),""))</f>
        <v/>
      </c>
      <c r="K409" s="48">
        <f>IF($F409="","",IFERROR(INDEX(사건마스터!$AI$5:$AI$64,MATCH($F409,사건마스터!$A$5:$A$64,0)),""))</f>
        <v/>
      </c>
      <c r="L409" s="48">
        <f>IF($F409="","",IFERROR(INDEX(사건마스터!$AJ$5:$AJ$64,MATCH($F409,사건마스터!$A$5:$A$64,0)),""))</f>
        <v/>
      </c>
      <c r="M409" s="48">
        <f>IF($F409="","",IFERROR(INDEX(사건마스터!$AK$5:$AK$64,MATCH($F409,사건마스터!$A$5:$A$64,0)),""))</f>
        <v/>
      </c>
      <c r="N409" s="48">
        <f>IF($F409="","",IFERROR(INDEX(사건마스터!$AL$5:$AL$64,MATCH($F409,사건마스터!$A$5:$A$64,0)),""))</f>
        <v/>
      </c>
      <c r="O409" s="43">
        <f>IF($I409="","",COUNTIF($I409:$N409,"?*"))</f>
        <v/>
      </c>
      <c r="P409" s="46">
        <f>IF($I409="","",_xlfn.TEXTJOIN(", ",TRUE,$I409:$N409))</f>
        <v/>
      </c>
      <c r="Q409" s="47">
        <f>IF($I409="","",IFERROR(INDEX(코드설정!$D$5:$D$24,MATCH($I409,코드설정!$C$5:$C$24,0)),""))</f>
        <v/>
      </c>
      <c r="R409" s="49" t="n"/>
      <c r="S409" s="50" t="n"/>
      <c r="T409" s="51" t="n"/>
      <c r="U409" s="43">
        <f>IF(OR($B409="",$C409=""),"",$C409-$B409+1)</f>
        <v/>
      </c>
      <c r="V409" s="52" t="n"/>
      <c r="W409" s="53">
        <f>IF(OR($V409="",$O409=""),"",$V409*$O409)</f>
        <v/>
      </c>
      <c r="X409" s="45" t="n"/>
      <c r="Y409" s="49" t="n"/>
    </row>
    <row r="410">
      <c r="A410" s="43">
        <f>IF($B410="","",COUNT($B$5:$B410))</f>
        <v/>
      </c>
      <c r="B410" s="44" t="n"/>
      <c r="C410" s="44" t="n"/>
      <c r="D410" s="45" t="n"/>
      <c r="E410" s="45" t="n"/>
      <c r="F410" s="45" t="n"/>
      <c r="G410" s="46">
        <f>IF($F410="","",IFERROR(INDEX(사건마스터!$B$5:$B$64,MATCH($F410,사건마스터!$A$5:$A$64,0)),""))</f>
        <v/>
      </c>
      <c r="H410" s="47">
        <f>IF($F410="","",IFERROR(INDEX(사건마스터!$C$5:$C$64,MATCH($F410,사건마스터!$A$5:$A$64,0)),""))</f>
        <v/>
      </c>
      <c r="I410" s="48">
        <f>IF($F410="","",IFERROR(INDEX(사건마스터!$H$5:$H$64,MATCH($F410,사건마스터!$A$5:$A$64,0)),""))</f>
        <v/>
      </c>
      <c r="J410" s="48">
        <f>IF($F410="","",IFERROR(INDEX(사건마스터!$AH$5:$AH$64,MATCH($F410,사건마스터!$A$5:$A$64,0)),""))</f>
        <v/>
      </c>
      <c r="K410" s="48">
        <f>IF($F410="","",IFERROR(INDEX(사건마스터!$AI$5:$AI$64,MATCH($F410,사건마스터!$A$5:$A$64,0)),""))</f>
        <v/>
      </c>
      <c r="L410" s="48">
        <f>IF($F410="","",IFERROR(INDEX(사건마스터!$AJ$5:$AJ$64,MATCH($F410,사건마스터!$A$5:$A$64,0)),""))</f>
        <v/>
      </c>
      <c r="M410" s="48">
        <f>IF($F410="","",IFERROR(INDEX(사건마스터!$AK$5:$AK$64,MATCH($F410,사건마스터!$A$5:$A$64,0)),""))</f>
        <v/>
      </c>
      <c r="N410" s="48">
        <f>IF($F410="","",IFERROR(INDEX(사건마스터!$AL$5:$AL$64,MATCH($F410,사건마스터!$A$5:$A$64,0)),""))</f>
        <v/>
      </c>
      <c r="O410" s="43">
        <f>IF($I410="","",COUNTIF($I410:$N410,"?*"))</f>
        <v/>
      </c>
      <c r="P410" s="46">
        <f>IF($I410="","",_xlfn.TEXTJOIN(", ",TRUE,$I410:$N410))</f>
        <v/>
      </c>
      <c r="Q410" s="47">
        <f>IF($I410="","",IFERROR(INDEX(코드설정!$D$5:$D$24,MATCH($I410,코드설정!$C$5:$C$24,0)),""))</f>
        <v/>
      </c>
      <c r="R410" s="49" t="n"/>
      <c r="S410" s="50" t="n"/>
      <c r="T410" s="51" t="n"/>
      <c r="U410" s="43">
        <f>IF(OR($B410="",$C410=""),"",$C410-$B410+1)</f>
        <v/>
      </c>
      <c r="V410" s="52" t="n"/>
      <c r="W410" s="53">
        <f>IF(OR($V410="",$O410=""),"",$V410*$O410)</f>
        <v/>
      </c>
      <c r="X410" s="45" t="n"/>
      <c r="Y410" s="49" t="n"/>
    </row>
    <row r="411">
      <c r="A411" s="43">
        <f>IF($B411="","",COUNT($B$5:$B411))</f>
        <v/>
      </c>
      <c r="B411" s="44" t="n"/>
      <c r="C411" s="44" t="n"/>
      <c r="D411" s="45" t="n"/>
      <c r="E411" s="45" t="n"/>
      <c r="F411" s="45" t="n"/>
      <c r="G411" s="46">
        <f>IF($F411="","",IFERROR(INDEX(사건마스터!$B$5:$B$64,MATCH($F411,사건마스터!$A$5:$A$64,0)),""))</f>
        <v/>
      </c>
      <c r="H411" s="47">
        <f>IF($F411="","",IFERROR(INDEX(사건마스터!$C$5:$C$64,MATCH($F411,사건마스터!$A$5:$A$64,0)),""))</f>
        <v/>
      </c>
      <c r="I411" s="48">
        <f>IF($F411="","",IFERROR(INDEX(사건마스터!$H$5:$H$64,MATCH($F411,사건마스터!$A$5:$A$64,0)),""))</f>
        <v/>
      </c>
      <c r="J411" s="48">
        <f>IF($F411="","",IFERROR(INDEX(사건마스터!$AH$5:$AH$64,MATCH($F411,사건마스터!$A$5:$A$64,0)),""))</f>
        <v/>
      </c>
      <c r="K411" s="48">
        <f>IF($F411="","",IFERROR(INDEX(사건마스터!$AI$5:$AI$64,MATCH($F411,사건마스터!$A$5:$A$64,0)),""))</f>
        <v/>
      </c>
      <c r="L411" s="48">
        <f>IF($F411="","",IFERROR(INDEX(사건마스터!$AJ$5:$AJ$64,MATCH($F411,사건마스터!$A$5:$A$64,0)),""))</f>
        <v/>
      </c>
      <c r="M411" s="48">
        <f>IF($F411="","",IFERROR(INDEX(사건마스터!$AK$5:$AK$64,MATCH($F411,사건마스터!$A$5:$A$64,0)),""))</f>
        <v/>
      </c>
      <c r="N411" s="48">
        <f>IF($F411="","",IFERROR(INDEX(사건마스터!$AL$5:$AL$64,MATCH($F411,사건마스터!$A$5:$A$64,0)),""))</f>
        <v/>
      </c>
      <c r="O411" s="43">
        <f>IF($I411="","",COUNTIF($I411:$N411,"?*"))</f>
        <v/>
      </c>
      <c r="P411" s="46">
        <f>IF($I411="","",_xlfn.TEXTJOIN(", ",TRUE,$I411:$N411))</f>
        <v/>
      </c>
      <c r="Q411" s="47">
        <f>IF($I411="","",IFERROR(INDEX(코드설정!$D$5:$D$24,MATCH($I411,코드설정!$C$5:$C$24,0)),""))</f>
        <v/>
      </c>
      <c r="R411" s="49" t="n"/>
      <c r="S411" s="50" t="n"/>
      <c r="T411" s="51" t="n"/>
      <c r="U411" s="43">
        <f>IF(OR($B411="",$C411=""),"",$C411-$B411+1)</f>
        <v/>
      </c>
      <c r="V411" s="52" t="n"/>
      <c r="W411" s="53">
        <f>IF(OR($V411="",$O411=""),"",$V411*$O411)</f>
        <v/>
      </c>
      <c r="X411" s="45" t="n"/>
      <c r="Y411" s="49" t="n"/>
    </row>
    <row r="412">
      <c r="A412" s="43">
        <f>IF($B412="","",COUNT($B$5:$B412))</f>
        <v/>
      </c>
      <c r="B412" s="44" t="n"/>
      <c r="C412" s="44" t="n"/>
      <c r="D412" s="45" t="n"/>
      <c r="E412" s="45" t="n"/>
      <c r="F412" s="45" t="n"/>
      <c r="G412" s="46">
        <f>IF($F412="","",IFERROR(INDEX(사건마스터!$B$5:$B$64,MATCH($F412,사건마스터!$A$5:$A$64,0)),""))</f>
        <v/>
      </c>
      <c r="H412" s="47">
        <f>IF($F412="","",IFERROR(INDEX(사건마스터!$C$5:$C$64,MATCH($F412,사건마스터!$A$5:$A$64,0)),""))</f>
        <v/>
      </c>
      <c r="I412" s="48">
        <f>IF($F412="","",IFERROR(INDEX(사건마스터!$H$5:$H$64,MATCH($F412,사건마스터!$A$5:$A$64,0)),""))</f>
        <v/>
      </c>
      <c r="J412" s="48">
        <f>IF($F412="","",IFERROR(INDEX(사건마스터!$AH$5:$AH$64,MATCH($F412,사건마스터!$A$5:$A$64,0)),""))</f>
        <v/>
      </c>
      <c r="K412" s="48">
        <f>IF($F412="","",IFERROR(INDEX(사건마스터!$AI$5:$AI$64,MATCH($F412,사건마스터!$A$5:$A$64,0)),""))</f>
        <v/>
      </c>
      <c r="L412" s="48">
        <f>IF($F412="","",IFERROR(INDEX(사건마스터!$AJ$5:$AJ$64,MATCH($F412,사건마스터!$A$5:$A$64,0)),""))</f>
        <v/>
      </c>
      <c r="M412" s="48">
        <f>IF($F412="","",IFERROR(INDEX(사건마스터!$AK$5:$AK$64,MATCH($F412,사건마스터!$A$5:$A$64,0)),""))</f>
        <v/>
      </c>
      <c r="N412" s="48">
        <f>IF($F412="","",IFERROR(INDEX(사건마스터!$AL$5:$AL$64,MATCH($F412,사건마스터!$A$5:$A$64,0)),""))</f>
        <v/>
      </c>
      <c r="O412" s="43">
        <f>IF($I412="","",COUNTIF($I412:$N412,"?*"))</f>
        <v/>
      </c>
      <c r="P412" s="46">
        <f>IF($I412="","",_xlfn.TEXTJOIN(", ",TRUE,$I412:$N412))</f>
        <v/>
      </c>
      <c r="Q412" s="47">
        <f>IF($I412="","",IFERROR(INDEX(코드설정!$D$5:$D$24,MATCH($I412,코드설정!$C$5:$C$24,0)),""))</f>
        <v/>
      </c>
      <c r="R412" s="49" t="n"/>
      <c r="S412" s="50" t="n"/>
      <c r="T412" s="51" t="n"/>
      <c r="U412" s="43">
        <f>IF(OR($B412="",$C412=""),"",$C412-$B412+1)</f>
        <v/>
      </c>
      <c r="V412" s="52" t="n"/>
      <c r="W412" s="53">
        <f>IF(OR($V412="",$O412=""),"",$V412*$O412)</f>
        <v/>
      </c>
      <c r="X412" s="45" t="n"/>
      <c r="Y412" s="49" t="n"/>
    </row>
    <row r="413">
      <c r="A413" s="43">
        <f>IF($B413="","",COUNT($B$5:$B413))</f>
        <v/>
      </c>
      <c r="B413" s="44" t="n"/>
      <c r="C413" s="44" t="n"/>
      <c r="D413" s="45" t="n"/>
      <c r="E413" s="45" t="n"/>
      <c r="F413" s="45" t="n"/>
      <c r="G413" s="46">
        <f>IF($F413="","",IFERROR(INDEX(사건마스터!$B$5:$B$64,MATCH($F413,사건마스터!$A$5:$A$64,0)),""))</f>
        <v/>
      </c>
      <c r="H413" s="47">
        <f>IF($F413="","",IFERROR(INDEX(사건마스터!$C$5:$C$64,MATCH($F413,사건마스터!$A$5:$A$64,0)),""))</f>
        <v/>
      </c>
      <c r="I413" s="48">
        <f>IF($F413="","",IFERROR(INDEX(사건마스터!$H$5:$H$64,MATCH($F413,사건마스터!$A$5:$A$64,0)),""))</f>
        <v/>
      </c>
      <c r="J413" s="48">
        <f>IF($F413="","",IFERROR(INDEX(사건마스터!$AH$5:$AH$64,MATCH($F413,사건마스터!$A$5:$A$64,0)),""))</f>
        <v/>
      </c>
      <c r="K413" s="48">
        <f>IF($F413="","",IFERROR(INDEX(사건마스터!$AI$5:$AI$64,MATCH($F413,사건마스터!$A$5:$A$64,0)),""))</f>
        <v/>
      </c>
      <c r="L413" s="48">
        <f>IF($F413="","",IFERROR(INDEX(사건마스터!$AJ$5:$AJ$64,MATCH($F413,사건마스터!$A$5:$A$64,0)),""))</f>
        <v/>
      </c>
      <c r="M413" s="48">
        <f>IF($F413="","",IFERROR(INDEX(사건마스터!$AK$5:$AK$64,MATCH($F413,사건마스터!$A$5:$A$64,0)),""))</f>
        <v/>
      </c>
      <c r="N413" s="48">
        <f>IF($F413="","",IFERROR(INDEX(사건마스터!$AL$5:$AL$64,MATCH($F413,사건마스터!$A$5:$A$64,0)),""))</f>
        <v/>
      </c>
      <c r="O413" s="43">
        <f>IF($I413="","",COUNTIF($I413:$N413,"?*"))</f>
        <v/>
      </c>
      <c r="P413" s="46">
        <f>IF($I413="","",_xlfn.TEXTJOIN(", ",TRUE,$I413:$N413))</f>
        <v/>
      </c>
      <c r="Q413" s="47">
        <f>IF($I413="","",IFERROR(INDEX(코드설정!$D$5:$D$24,MATCH($I413,코드설정!$C$5:$C$24,0)),""))</f>
        <v/>
      </c>
      <c r="R413" s="49" t="n"/>
      <c r="S413" s="50" t="n"/>
      <c r="T413" s="51" t="n"/>
      <c r="U413" s="43">
        <f>IF(OR($B413="",$C413=""),"",$C413-$B413+1)</f>
        <v/>
      </c>
      <c r="V413" s="52" t="n"/>
      <c r="W413" s="53">
        <f>IF(OR($V413="",$O413=""),"",$V413*$O413)</f>
        <v/>
      </c>
      <c r="X413" s="45" t="n"/>
      <c r="Y413" s="49" t="n"/>
    </row>
    <row r="414">
      <c r="A414" s="43">
        <f>IF($B414="","",COUNT($B$5:$B414))</f>
        <v/>
      </c>
      <c r="B414" s="44" t="n"/>
      <c r="C414" s="44" t="n"/>
      <c r="D414" s="45" t="n"/>
      <c r="E414" s="45" t="n"/>
      <c r="F414" s="45" t="n"/>
      <c r="G414" s="46">
        <f>IF($F414="","",IFERROR(INDEX(사건마스터!$B$5:$B$64,MATCH($F414,사건마스터!$A$5:$A$64,0)),""))</f>
        <v/>
      </c>
      <c r="H414" s="47">
        <f>IF($F414="","",IFERROR(INDEX(사건마스터!$C$5:$C$64,MATCH($F414,사건마스터!$A$5:$A$64,0)),""))</f>
        <v/>
      </c>
      <c r="I414" s="48">
        <f>IF($F414="","",IFERROR(INDEX(사건마스터!$H$5:$H$64,MATCH($F414,사건마스터!$A$5:$A$64,0)),""))</f>
        <v/>
      </c>
      <c r="J414" s="48">
        <f>IF($F414="","",IFERROR(INDEX(사건마스터!$AH$5:$AH$64,MATCH($F414,사건마스터!$A$5:$A$64,0)),""))</f>
        <v/>
      </c>
      <c r="K414" s="48">
        <f>IF($F414="","",IFERROR(INDEX(사건마스터!$AI$5:$AI$64,MATCH($F414,사건마스터!$A$5:$A$64,0)),""))</f>
        <v/>
      </c>
      <c r="L414" s="48">
        <f>IF($F414="","",IFERROR(INDEX(사건마스터!$AJ$5:$AJ$64,MATCH($F414,사건마스터!$A$5:$A$64,0)),""))</f>
        <v/>
      </c>
      <c r="M414" s="48">
        <f>IF($F414="","",IFERROR(INDEX(사건마스터!$AK$5:$AK$64,MATCH($F414,사건마스터!$A$5:$A$64,0)),""))</f>
        <v/>
      </c>
      <c r="N414" s="48">
        <f>IF($F414="","",IFERROR(INDEX(사건마스터!$AL$5:$AL$64,MATCH($F414,사건마스터!$A$5:$A$64,0)),""))</f>
        <v/>
      </c>
      <c r="O414" s="43">
        <f>IF($I414="","",COUNTIF($I414:$N414,"?*"))</f>
        <v/>
      </c>
      <c r="P414" s="46">
        <f>IF($I414="","",_xlfn.TEXTJOIN(", ",TRUE,$I414:$N414))</f>
        <v/>
      </c>
      <c r="Q414" s="47">
        <f>IF($I414="","",IFERROR(INDEX(코드설정!$D$5:$D$24,MATCH($I414,코드설정!$C$5:$C$24,0)),""))</f>
        <v/>
      </c>
      <c r="R414" s="49" t="n"/>
      <c r="S414" s="50" t="n"/>
      <c r="T414" s="51" t="n"/>
      <c r="U414" s="43">
        <f>IF(OR($B414="",$C414=""),"",$C414-$B414+1)</f>
        <v/>
      </c>
      <c r="V414" s="52" t="n"/>
      <c r="W414" s="53">
        <f>IF(OR($V414="",$O414=""),"",$V414*$O414)</f>
        <v/>
      </c>
      <c r="X414" s="45" t="n"/>
      <c r="Y414" s="49" t="n"/>
    </row>
    <row r="415">
      <c r="A415" s="43">
        <f>IF($B415="","",COUNT($B$5:$B415))</f>
        <v/>
      </c>
      <c r="B415" s="44" t="n"/>
      <c r="C415" s="44" t="n"/>
      <c r="D415" s="45" t="n"/>
      <c r="E415" s="45" t="n"/>
      <c r="F415" s="45" t="n"/>
      <c r="G415" s="46">
        <f>IF($F415="","",IFERROR(INDEX(사건마스터!$B$5:$B$64,MATCH($F415,사건마스터!$A$5:$A$64,0)),""))</f>
        <v/>
      </c>
      <c r="H415" s="47">
        <f>IF($F415="","",IFERROR(INDEX(사건마스터!$C$5:$C$64,MATCH($F415,사건마스터!$A$5:$A$64,0)),""))</f>
        <v/>
      </c>
      <c r="I415" s="48">
        <f>IF($F415="","",IFERROR(INDEX(사건마스터!$H$5:$H$64,MATCH($F415,사건마스터!$A$5:$A$64,0)),""))</f>
        <v/>
      </c>
      <c r="J415" s="48">
        <f>IF($F415="","",IFERROR(INDEX(사건마스터!$AH$5:$AH$64,MATCH($F415,사건마스터!$A$5:$A$64,0)),""))</f>
        <v/>
      </c>
      <c r="K415" s="48">
        <f>IF($F415="","",IFERROR(INDEX(사건마스터!$AI$5:$AI$64,MATCH($F415,사건마스터!$A$5:$A$64,0)),""))</f>
        <v/>
      </c>
      <c r="L415" s="48">
        <f>IF($F415="","",IFERROR(INDEX(사건마스터!$AJ$5:$AJ$64,MATCH($F415,사건마스터!$A$5:$A$64,0)),""))</f>
        <v/>
      </c>
      <c r="M415" s="48">
        <f>IF($F415="","",IFERROR(INDEX(사건마스터!$AK$5:$AK$64,MATCH($F415,사건마스터!$A$5:$A$64,0)),""))</f>
        <v/>
      </c>
      <c r="N415" s="48">
        <f>IF($F415="","",IFERROR(INDEX(사건마스터!$AL$5:$AL$64,MATCH($F415,사건마스터!$A$5:$A$64,0)),""))</f>
        <v/>
      </c>
      <c r="O415" s="43">
        <f>IF($I415="","",COUNTIF($I415:$N415,"?*"))</f>
        <v/>
      </c>
      <c r="P415" s="46">
        <f>IF($I415="","",_xlfn.TEXTJOIN(", ",TRUE,$I415:$N415))</f>
        <v/>
      </c>
      <c r="Q415" s="47">
        <f>IF($I415="","",IFERROR(INDEX(코드설정!$D$5:$D$24,MATCH($I415,코드설정!$C$5:$C$24,0)),""))</f>
        <v/>
      </c>
      <c r="R415" s="49" t="n"/>
      <c r="S415" s="50" t="n"/>
      <c r="T415" s="51" t="n"/>
      <c r="U415" s="43">
        <f>IF(OR($B415="",$C415=""),"",$C415-$B415+1)</f>
        <v/>
      </c>
      <c r="V415" s="52" t="n"/>
      <c r="W415" s="53">
        <f>IF(OR($V415="",$O415=""),"",$V415*$O415)</f>
        <v/>
      </c>
      <c r="X415" s="45" t="n"/>
      <c r="Y415" s="49" t="n"/>
    </row>
    <row r="416">
      <c r="A416" s="43">
        <f>IF($B416="","",COUNT($B$5:$B416))</f>
        <v/>
      </c>
      <c r="B416" s="44" t="n"/>
      <c r="C416" s="44" t="n"/>
      <c r="D416" s="45" t="n"/>
      <c r="E416" s="45" t="n"/>
      <c r="F416" s="45" t="n"/>
      <c r="G416" s="46">
        <f>IF($F416="","",IFERROR(INDEX(사건마스터!$B$5:$B$64,MATCH($F416,사건마스터!$A$5:$A$64,0)),""))</f>
        <v/>
      </c>
      <c r="H416" s="47">
        <f>IF($F416="","",IFERROR(INDEX(사건마스터!$C$5:$C$64,MATCH($F416,사건마스터!$A$5:$A$64,0)),""))</f>
        <v/>
      </c>
      <c r="I416" s="48">
        <f>IF($F416="","",IFERROR(INDEX(사건마스터!$H$5:$H$64,MATCH($F416,사건마스터!$A$5:$A$64,0)),""))</f>
        <v/>
      </c>
      <c r="J416" s="48">
        <f>IF($F416="","",IFERROR(INDEX(사건마스터!$AH$5:$AH$64,MATCH($F416,사건마스터!$A$5:$A$64,0)),""))</f>
        <v/>
      </c>
      <c r="K416" s="48">
        <f>IF($F416="","",IFERROR(INDEX(사건마스터!$AI$5:$AI$64,MATCH($F416,사건마스터!$A$5:$A$64,0)),""))</f>
        <v/>
      </c>
      <c r="L416" s="48">
        <f>IF($F416="","",IFERROR(INDEX(사건마스터!$AJ$5:$AJ$64,MATCH($F416,사건마스터!$A$5:$A$64,0)),""))</f>
        <v/>
      </c>
      <c r="M416" s="48">
        <f>IF($F416="","",IFERROR(INDEX(사건마스터!$AK$5:$AK$64,MATCH($F416,사건마스터!$A$5:$A$64,0)),""))</f>
        <v/>
      </c>
      <c r="N416" s="48">
        <f>IF($F416="","",IFERROR(INDEX(사건마스터!$AL$5:$AL$64,MATCH($F416,사건마스터!$A$5:$A$64,0)),""))</f>
        <v/>
      </c>
      <c r="O416" s="43">
        <f>IF($I416="","",COUNTIF($I416:$N416,"?*"))</f>
        <v/>
      </c>
      <c r="P416" s="46">
        <f>IF($I416="","",_xlfn.TEXTJOIN(", ",TRUE,$I416:$N416))</f>
        <v/>
      </c>
      <c r="Q416" s="47">
        <f>IF($I416="","",IFERROR(INDEX(코드설정!$D$5:$D$24,MATCH($I416,코드설정!$C$5:$C$24,0)),""))</f>
        <v/>
      </c>
      <c r="R416" s="49" t="n"/>
      <c r="S416" s="50" t="n"/>
      <c r="T416" s="51" t="n"/>
      <c r="U416" s="43">
        <f>IF(OR($B416="",$C416=""),"",$C416-$B416+1)</f>
        <v/>
      </c>
      <c r="V416" s="52" t="n"/>
      <c r="W416" s="53">
        <f>IF(OR($V416="",$O416=""),"",$V416*$O416)</f>
        <v/>
      </c>
      <c r="X416" s="45" t="n"/>
      <c r="Y416" s="49" t="n"/>
    </row>
    <row r="417">
      <c r="A417" s="43">
        <f>IF($B417="","",COUNT($B$5:$B417))</f>
        <v/>
      </c>
      <c r="B417" s="44" t="n"/>
      <c r="C417" s="44" t="n"/>
      <c r="D417" s="45" t="n"/>
      <c r="E417" s="45" t="n"/>
      <c r="F417" s="45" t="n"/>
      <c r="G417" s="46">
        <f>IF($F417="","",IFERROR(INDEX(사건마스터!$B$5:$B$64,MATCH($F417,사건마스터!$A$5:$A$64,0)),""))</f>
        <v/>
      </c>
      <c r="H417" s="47">
        <f>IF($F417="","",IFERROR(INDEX(사건마스터!$C$5:$C$64,MATCH($F417,사건마스터!$A$5:$A$64,0)),""))</f>
        <v/>
      </c>
      <c r="I417" s="48">
        <f>IF($F417="","",IFERROR(INDEX(사건마스터!$H$5:$H$64,MATCH($F417,사건마스터!$A$5:$A$64,0)),""))</f>
        <v/>
      </c>
      <c r="J417" s="48">
        <f>IF($F417="","",IFERROR(INDEX(사건마스터!$AH$5:$AH$64,MATCH($F417,사건마스터!$A$5:$A$64,0)),""))</f>
        <v/>
      </c>
      <c r="K417" s="48">
        <f>IF($F417="","",IFERROR(INDEX(사건마스터!$AI$5:$AI$64,MATCH($F417,사건마스터!$A$5:$A$64,0)),""))</f>
        <v/>
      </c>
      <c r="L417" s="48">
        <f>IF($F417="","",IFERROR(INDEX(사건마스터!$AJ$5:$AJ$64,MATCH($F417,사건마스터!$A$5:$A$64,0)),""))</f>
        <v/>
      </c>
      <c r="M417" s="48">
        <f>IF($F417="","",IFERROR(INDEX(사건마스터!$AK$5:$AK$64,MATCH($F417,사건마스터!$A$5:$A$64,0)),""))</f>
        <v/>
      </c>
      <c r="N417" s="48">
        <f>IF($F417="","",IFERROR(INDEX(사건마스터!$AL$5:$AL$64,MATCH($F417,사건마스터!$A$5:$A$64,0)),""))</f>
        <v/>
      </c>
      <c r="O417" s="43">
        <f>IF($I417="","",COUNTIF($I417:$N417,"?*"))</f>
        <v/>
      </c>
      <c r="P417" s="46">
        <f>IF($I417="","",_xlfn.TEXTJOIN(", ",TRUE,$I417:$N417))</f>
        <v/>
      </c>
      <c r="Q417" s="47">
        <f>IF($I417="","",IFERROR(INDEX(코드설정!$D$5:$D$24,MATCH($I417,코드설정!$C$5:$C$24,0)),""))</f>
        <v/>
      </c>
      <c r="R417" s="49" t="n"/>
      <c r="S417" s="50" t="n"/>
      <c r="T417" s="51" t="n"/>
      <c r="U417" s="43">
        <f>IF(OR($B417="",$C417=""),"",$C417-$B417+1)</f>
        <v/>
      </c>
      <c r="V417" s="52" t="n"/>
      <c r="W417" s="53">
        <f>IF(OR($V417="",$O417=""),"",$V417*$O417)</f>
        <v/>
      </c>
      <c r="X417" s="45" t="n"/>
      <c r="Y417" s="49" t="n"/>
    </row>
    <row r="418">
      <c r="A418" s="43">
        <f>IF($B418="","",COUNT($B$5:$B418))</f>
        <v/>
      </c>
      <c r="B418" s="44" t="n"/>
      <c r="C418" s="44" t="n"/>
      <c r="D418" s="45" t="n"/>
      <c r="E418" s="45" t="n"/>
      <c r="F418" s="45" t="n"/>
      <c r="G418" s="46">
        <f>IF($F418="","",IFERROR(INDEX(사건마스터!$B$5:$B$64,MATCH($F418,사건마스터!$A$5:$A$64,0)),""))</f>
        <v/>
      </c>
      <c r="H418" s="47">
        <f>IF($F418="","",IFERROR(INDEX(사건마스터!$C$5:$C$64,MATCH($F418,사건마스터!$A$5:$A$64,0)),""))</f>
        <v/>
      </c>
      <c r="I418" s="48">
        <f>IF($F418="","",IFERROR(INDEX(사건마스터!$H$5:$H$64,MATCH($F418,사건마스터!$A$5:$A$64,0)),""))</f>
        <v/>
      </c>
      <c r="J418" s="48">
        <f>IF($F418="","",IFERROR(INDEX(사건마스터!$AH$5:$AH$64,MATCH($F418,사건마스터!$A$5:$A$64,0)),""))</f>
        <v/>
      </c>
      <c r="K418" s="48">
        <f>IF($F418="","",IFERROR(INDEX(사건마스터!$AI$5:$AI$64,MATCH($F418,사건마스터!$A$5:$A$64,0)),""))</f>
        <v/>
      </c>
      <c r="L418" s="48">
        <f>IF($F418="","",IFERROR(INDEX(사건마스터!$AJ$5:$AJ$64,MATCH($F418,사건마스터!$A$5:$A$64,0)),""))</f>
        <v/>
      </c>
      <c r="M418" s="48">
        <f>IF($F418="","",IFERROR(INDEX(사건마스터!$AK$5:$AK$64,MATCH($F418,사건마스터!$A$5:$A$64,0)),""))</f>
        <v/>
      </c>
      <c r="N418" s="48">
        <f>IF($F418="","",IFERROR(INDEX(사건마스터!$AL$5:$AL$64,MATCH($F418,사건마스터!$A$5:$A$64,0)),""))</f>
        <v/>
      </c>
      <c r="O418" s="43">
        <f>IF($I418="","",COUNTIF($I418:$N418,"?*"))</f>
        <v/>
      </c>
      <c r="P418" s="46">
        <f>IF($I418="","",_xlfn.TEXTJOIN(", ",TRUE,$I418:$N418))</f>
        <v/>
      </c>
      <c r="Q418" s="47">
        <f>IF($I418="","",IFERROR(INDEX(코드설정!$D$5:$D$24,MATCH($I418,코드설정!$C$5:$C$24,0)),""))</f>
        <v/>
      </c>
      <c r="R418" s="49" t="n"/>
      <c r="S418" s="50" t="n"/>
      <c r="T418" s="51" t="n"/>
      <c r="U418" s="43">
        <f>IF(OR($B418="",$C418=""),"",$C418-$B418+1)</f>
        <v/>
      </c>
      <c r="V418" s="52" t="n"/>
      <c r="W418" s="53">
        <f>IF(OR($V418="",$O418=""),"",$V418*$O418)</f>
        <v/>
      </c>
      <c r="X418" s="45" t="n"/>
      <c r="Y418" s="49" t="n"/>
    </row>
    <row r="419">
      <c r="A419" s="43">
        <f>IF($B419="","",COUNT($B$5:$B419))</f>
        <v/>
      </c>
      <c r="B419" s="44" t="n"/>
      <c r="C419" s="44" t="n"/>
      <c r="D419" s="45" t="n"/>
      <c r="E419" s="45" t="n"/>
      <c r="F419" s="45" t="n"/>
      <c r="G419" s="46">
        <f>IF($F419="","",IFERROR(INDEX(사건마스터!$B$5:$B$64,MATCH($F419,사건마스터!$A$5:$A$64,0)),""))</f>
        <v/>
      </c>
      <c r="H419" s="47">
        <f>IF($F419="","",IFERROR(INDEX(사건마스터!$C$5:$C$64,MATCH($F419,사건마스터!$A$5:$A$64,0)),""))</f>
        <v/>
      </c>
      <c r="I419" s="48">
        <f>IF($F419="","",IFERROR(INDEX(사건마스터!$H$5:$H$64,MATCH($F419,사건마스터!$A$5:$A$64,0)),""))</f>
        <v/>
      </c>
      <c r="J419" s="48">
        <f>IF($F419="","",IFERROR(INDEX(사건마스터!$AH$5:$AH$64,MATCH($F419,사건마스터!$A$5:$A$64,0)),""))</f>
        <v/>
      </c>
      <c r="K419" s="48">
        <f>IF($F419="","",IFERROR(INDEX(사건마스터!$AI$5:$AI$64,MATCH($F419,사건마스터!$A$5:$A$64,0)),""))</f>
        <v/>
      </c>
      <c r="L419" s="48">
        <f>IF($F419="","",IFERROR(INDEX(사건마스터!$AJ$5:$AJ$64,MATCH($F419,사건마스터!$A$5:$A$64,0)),""))</f>
        <v/>
      </c>
      <c r="M419" s="48">
        <f>IF($F419="","",IFERROR(INDEX(사건마스터!$AK$5:$AK$64,MATCH($F419,사건마스터!$A$5:$A$64,0)),""))</f>
        <v/>
      </c>
      <c r="N419" s="48">
        <f>IF($F419="","",IFERROR(INDEX(사건마스터!$AL$5:$AL$64,MATCH($F419,사건마스터!$A$5:$A$64,0)),""))</f>
        <v/>
      </c>
      <c r="O419" s="43">
        <f>IF($I419="","",COUNTIF($I419:$N419,"?*"))</f>
        <v/>
      </c>
      <c r="P419" s="46">
        <f>IF($I419="","",_xlfn.TEXTJOIN(", ",TRUE,$I419:$N419))</f>
        <v/>
      </c>
      <c r="Q419" s="47">
        <f>IF($I419="","",IFERROR(INDEX(코드설정!$D$5:$D$24,MATCH($I419,코드설정!$C$5:$C$24,0)),""))</f>
        <v/>
      </c>
      <c r="R419" s="49" t="n"/>
      <c r="S419" s="50" t="n"/>
      <c r="T419" s="51" t="n"/>
      <c r="U419" s="43">
        <f>IF(OR($B419="",$C419=""),"",$C419-$B419+1)</f>
        <v/>
      </c>
      <c r="V419" s="52" t="n"/>
      <c r="W419" s="53">
        <f>IF(OR($V419="",$O419=""),"",$V419*$O419)</f>
        <v/>
      </c>
      <c r="X419" s="45" t="n"/>
      <c r="Y419" s="49" t="n"/>
    </row>
    <row r="420">
      <c r="A420" s="43">
        <f>IF($B420="","",COUNT($B$5:$B420))</f>
        <v/>
      </c>
      <c r="B420" s="44" t="n"/>
      <c r="C420" s="44" t="n"/>
      <c r="D420" s="45" t="n"/>
      <c r="E420" s="45" t="n"/>
      <c r="F420" s="45" t="n"/>
      <c r="G420" s="46">
        <f>IF($F420="","",IFERROR(INDEX(사건마스터!$B$5:$B$64,MATCH($F420,사건마스터!$A$5:$A$64,0)),""))</f>
        <v/>
      </c>
      <c r="H420" s="47">
        <f>IF($F420="","",IFERROR(INDEX(사건마스터!$C$5:$C$64,MATCH($F420,사건마스터!$A$5:$A$64,0)),""))</f>
        <v/>
      </c>
      <c r="I420" s="48">
        <f>IF($F420="","",IFERROR(INDEX(사건마스터!$H$5:$H$64,MATCH($F420,사건마스터!$A$5:$A$64,0)),""))</f>
        <v/>
      </c>
      <c r="J420" s="48">
        <f>IF($F420="","",IFERROR(INDEX(사건마스터!$AH$5:$AH$64,MATCH($F420,사건마스터!$A$5:$A$64,0)),""))</f>
        <v/>
      </c>
      <c r="K420" s="48">
        <f>IF($F420="","",IFERROR(INDEX(사건마스터!$AI$5:$AI$64,MATCH($F420,사건마스터!$A$5:$A$64,0)),""))</f>
        <v/>
      </c>
      <c r="L420" s="48">
        <f>IF($F420="","",IFERROR(INDEX(사건마스터!$AJ$5:$AJ$64,MATCH($F420,사건마스터!$A$5:$A$64,0)),""))</f>
        <v/>
      </c>
      <c r="M420" s="48">
        <f>IF($F420="","",IFERROR(INDEX(사건마스터!$AK$5:$AK$64,MATCH($F420,사건마스터!$A$5:$A$64,0)),""))</f>
        <v/>
      </c>
      <c r="N420" s="48">
        <f>IF($F420="","",IFERROR(INDEX(사건마스터!$AL$5:$AL$64,MATCH($F420,사건마스터!$A$5:$A$64,0)),""))</f>
        <v/>
      </c>
      <c r="O420" s="43">
        <f>IF($I420="","",COUNTIF($I420:$N420,"?*"))</f>
        <v/>
      </c>
      <c r="P420" s="46">
        <f>IF($I420="","",_xlfn.TEXTJOIN(", ",TRUE,$I420:$N420))</f>
        <v/>
      </c>
      <c r="Q420" s="47">
        <f>IF($I420="","",IFERROR(INDEX(코드설정!$D$5:$D$24,MATCH($I420,코드설정!$C$5:$C$24,0)),""))</f>
        <v/>
      </c>
      <c r="R420" s="49" t="n"/>
      <c r="S420" s="50" t="n"/>
      <c r="T420" s="51" t="n"/>
      <c r="U420" s="43">
        <f>IF(OR($B420="",$C420=""),"",$C420-$B420+1)</f>
        <v/>
      </c>
      <c r="V420" s="52" t="n"/>
      <c r="W420" s="53">
        <f>IF(OR($V420="",$O420=""),"",$V420*$O420)</f>
        <v/>
      </c>
      <c r="X420" s="45" t="n"/>
      <c r="Y420" s="49" t="n"/>
    </row>
    <row r="421">
      <c r="A421" s="43">
        <f>IF($B421="","",COUNT($B$5:$B421))</f>
        <v/>
      </c>
      <c r="B421" s="44" t="n"/>
      <c r="C421" s="44" t="n"/>
      <c r="D421" s="45" t="n"/>
      <c r="E421" s="45" t="n"/>
      <c r="F421" s="45" t="n"/>
      <c r="G421" s="46">
        <f>IF($F421="","",IFERROR(INDEX(사건마스터!$B$5:$B$64,MATCH($F421,사건마스터!$A$5:$A$64,0)),""))</f>
        <v/>
      </c>
      <c r="H421" s="47">
        <f>IF($F421="","",IFERROR(INDEX(사건마스터!$C$5:$C$64,MATCH($F421,사건마스터!$A$5:$A$64,0)),""))</f>
        <v/>
      </c>
      <c r="I421" s="48">
        <f>IF($F421="","",IFERROR(INDEX(사건마스터!$H$5:$H$64,MATCH($F421,사건마스터!$A$5:$A$64,0)),""))</f>
        <v/>
      </c>
      <c r="J421" s="48">
        <f>IF($F421="","",IFERROR(INDEX(사건마스터!$AH$5:$AH$64,MATCH($F421,사건마스터!$A$5:$A$64,0)),""))</f>
        <v/>
      </c>
      <c r="K421" s="48">
        <f>IF($F421="","",IFERROR(INDEX(사건마스터!$AI$5:$AI$64,MATCH($F421,사건마스터!$A$5:$A$64,0)),""))</f>
        <v/>
      </c>
      <c r="L421" s="48">
        <f>IF($F421="","",IFERROR(INDEX(사건마스터!$AJ$5:$AJ$64,MATCH($F421,사건마스터!$A$5:$A$64,0)),""))</f>
        <v/>
      </c>
      <c r="M421" s="48">
        <f>IF($F421="","",IFERROR(INDEX(사건마스터!$AK$5:$AK$64,MATCH($F421,사건마스터!$A$5:$A$64,0)),""))</f>
        <v/>
      </c>
      <c r="N421" s="48">
        <f>IF($F421="","",IFERROR(INDEX(사건마스터!$AL$5:$AL$64,MATCH($F421,사건마스터!$A$5:$A$64,0)),""))</f>
        <v/>
      </c>
      <c r="O421" s="43">
        <f>IF($I421="","",COUNTIF($I421:$N421,"?*"))</f>
        <v/>
      </c>
      <c r="P421" s="46">
        <f>IF($I421="","",_xlfn.TEXTJOIN(", ",TRUE,$I421:$N421))</f>
        <v/>
      </c>
      <c r="Q421" s="47">
        <f>IF($I421="","",IFERROR(INDEX(코드설정!$D$5:$D$24,MATCH($I421,코드설정!$C$5:$C$24,0)),""))</f>
        <v/>
      </c>
      <c r="R421" s="49" t="n"/>
      <c r="S421" s="50" t="n"/>
      <c r="T421" s="51" t="n"/>
      <c r="U421" s="43">
        <f>IF(OR($B421="",$C421=""),"",$C421-$B421+1)</f>
        <v/>
      </c>
      <c r="V421" s="52" t="n"/>
      <c r="W421" s="53">
        <f>IF(OR($V421="",$O421=""),"",$V421*$O421)</f>
        <v/>
      </c>
      <c r="X421" s="45" t="n"/>
      <c r="Y421" s="49" t="n"/>
    </row>
    <row r="422">
      <c r="A422" s="43">
        <f>IF($B422="","",COUNT($B$5:$B422))</f>
        <v/>
      </c>
      <c r="B422" s="44" t="n"/>
      <c r="C422" s="44" t="n"/>
      <c r="D422" s="45" t="n"/>
      <c r="E422" s="45" t="n"/>
      <c r="F422" s="45" t="n"/>
      <c r="G422" s="46">
        <f>IF($F422="","",IFERROR(INDEX(사건마스터!$B$5:$B$64,MATCH($F422,사건마스터!$A$5:$A$64,0)),""))</f>
        <v/>
      </c>
      <c r="H422" s="47">
        <f>IF($F422="","",IFERROR(INDEX(사건마스터!$C$5:$C$64,MATCH($F422,사건마스터!$A$5:$A$64,0)),""))</f>
        <v/>
      </c>
      <c r="I422" s="48">
        <f>IF($F422="","",IFERROR(INDEX(사건마스터!$H$5:$H$64,MATCH($F422,사건마스터!$A$5:$A$64,0)),""))</f>
        <v/>
      </c>
      <c r="J422" s="48">
        <f>IF($F422="","",IFERROR(INDEX(사건마스터!$AH$5:$AH$64,MATCH($F422,사건마스터!$A$5:$A$64,0)),""))</f>
        <v/>
      </c>
      <c r="K422" s="48">
        <f>IF($F422="","",IFERROR(INDEX(사건마스터!$AI$5:$AI$64,MATCH($F422,사건마스터!$A$5:$A$64,0)),""))</f>
        <v/>
      </c>
      <c r="L422" s="48">
        <f>IF($F422="","",IFERROR(INDEX(사건마스터!$AJ$5:$AJ$64,MATCH($F422,사건마스터!$A$5:$A$64,0)),""))</f>
        <v/>
      </c>
      <c r="M422" s="48">
        <f>IF($F422="","",IFERROR(INDEX(사건마스터!$AK$5:$AK$64,MATCH($F422,사건마스터!$A$5:$A$64,0)),""))</f>
        <v/>
      </c>
      <c r="N422" s="48">
        <f>IF($F422="","",IFERROR(INDEX(사건마스터!$AL$5:$AL$64,MATCH($F422,사건마스터!$A$5:$A$64,0)),""))</f>
        <v/>
      </c>
      <c r="O422" s="43">
        <f>IF($I422="","",COUNTIF($I422:$N422,"?*"))</f>
        <v/>
      </c>
      <c r="P422" s="46">
        <f>IF($I422="","",_xlfn.TEXTJOIN(", ",TRUE,$I422:$N422))</f>
        <v/>
      </c>
      <c r="Q422" s="47">
        <f>IF($I422="","",IFERROR(INDEX(코드설정!$D$5:$D$24,MATCH($I422,코드설정!$C$5:$C$24,0)),""))</f>
        <v/>
      </c>
      <c r="R422" s="49" t="n"/>
      <c r="S422" s="50" t="n"/>
      <c r="T422" s="51" t="n"/>
      <c r="U422" s="43">
        <f>IF(OR($B422="",$C422=""),"",$C422-$B422+1)</f>
        <v/>
      </c>
      <c r="V422" s="52" t="n"/>
      <c r="W422" s="53">
        <f>IF(OR($V422="",$O422=""),"",$V422*$O422)</f>
        <v/>
      </c>
      <c r="X422" s="45" t="n"/>
      <c r="Y422" s="49" t="n"/>
    </row>
    <row r="423">
      <c r="A423" s="43">
        <f>IF($B423="","",COUNT($B$5:$B423))</f>
        <v/>
      </c>
      <c r="B423" s="44" t="n"/>
      <c r="C423" s="44" t="n"/>
      <c r="D423" s="45" t="n"/>
      <c r="E423" s="45" t="n"/>
      <c r="F423" s="45" t="n"/>
      <c r="G423" s="46">
        <f>IF($F423="","",IFERROR(INDEX(사건마스터!$B$5:$B$64,MATCH($F423,사건마스터!$A$5:$A$64,0)),""))</f>
        <v/>
      </c>
      <c r="H423" s="47">
        <f>IF($F423="","",IFERROR(INDEX(사건마스터!$C$5:$C$64,MATCH($F423,사건마스터!$A$5:$A$64,0)),""))</f>
        <v/>
      </c>
      <c r="I423" s="48">
        <f>IF($F423="","",IFERROR(INDEX(사건마스터!$H$5:$H$64,MATCH($F423,사건마스터!$A$5:$A$64,0)),""))</f>
        <v/>
      </c>
      <c r="J423" s="48">
        <f>IF($F423="","",IFERROR(INDEX(사건마스터!$AH$5:$AH$64,MATCH($F423,사건마스터!$A$5:$A$64,0)),""))</f>
        <v/>
      </c>
      <c r="K423" s="48">
        <f>IF($F423="","",IFERROR(INDEX(사건마스터!$AI$5:$AI$64,MATCH($F423,사건마스터!$A$5:$A$64,0)),""))</f>
        <v/>
      </c>
      <c r="L423" s="48">
        <f>IF($F423="","",IFERROR(INDEX(사건마스터!$AJ$5:$AJ$64,MATCH($F423,사건마스터!$A$5:$A$64,0)),""))</f>
        <v/>
      </c>
      <c r="M423" s="48">
        <f>IF($F423="","",IFERROR(INDEX(사건마스터!$AK$5:$AK$64,MATCH($F423,사건마스터!$A$5:$A$64,0)),""))</f>
        <v/>
      </c>
      <c r="N423" s="48">
        <f>IF($F423="","",IFERROR(INDEX(사건마스터!$AL$5:$AL$64,MATCH($F423,사건마스터!$A$5:$A$64,0)),""))</f>
        <v/>
      </c>
      <c r="O423" s="43">
        <f>IF($I423="","",COUNTIF($I423:$N423,"?*"))</f>
        <v/>
      </c>
      <c r="P423" s="46">
        <f>IF($I423="","",_xlfn.TEXTJOIN(", ",TRUE,$I423:$N423))</f>
        <v/>
      </c>
      <c r="Q423" s="47">
        <f>IF($I423="","",IFERROR(INDEX(코드설정!$D$5:$D$24,MATCH($I423,코드설정!$C$5:$C$24,0)),""))</f>
        <v/>
      </c>
      <c r="R423" s="49" t="n"/>
      <c r="S423" s="50" t="n"/>
      <c r="T423" s="51" t="n"/>
      <c r="U423" s="43">
        <f>IF(OR($B423="",$C423=""),"",$C423-$B423+1)</f>
        <v/>
      </c>
      <c r="V423" s="52" t="n"/>
      <c r="W423" s="53">
        <f>IF(OR($V423="",$O423=""),"",$V423*$O423)</f>
        <v/>
      </c>
      <c r="X423" s="45" t="n"/>
      <c r="Y423" s="49" t="n"/>
    </row>
    <row r="424">
      <c r="A424" s="43">
        <f>IF($B424="","",COUNT($B$5:$B424))</f>
        <v/>
      </c>
      <c r="B424" s="44" t="n"/>
      <c r="C424" s="44" t="n"/>
      <c r="D424" s="45" t="n"/>
      <c r="E424" s="45" t="n"/>
      <c r="F424" s="45" t="n"/>
      <c r="G424" s="46">
        <f>IF($F424="","",IFERROR(INDEX(사건마스터!$B$5:$B$64,MATCH($F424,사건마스터!$A$5:$A$64,0)),""))</f>
        <v/>
      </c>
      <c r="H424" s="47">
        <f>IF($F424="","",IFERROR(INDEX(사건마스터!$C$5:$C$64,MATCH($F424,사건마스터!$A$5:$A$64,0)),""))</f>
        <v/>
      </c>
      <c r="I424" s="48">
        <f>IF($F424="","",IFERROR(INDEX(사건마스터!$H$5:$H$64,MATCH($F424,사건마스터!$A$5:$A$64,0)),""))</f>
        <v/>
      </c>
      <c r="J424" s="48">
        <f>IF($F424="","",IFERROR(INDEX(사건마스터!$AH$5:$AH$64,MATCH($F424,사건마스터!$A$5:$A$64,0)),""))</f>
        <v/>
      </c>
      <c r="K424" s="48">
        <f>IF($F424="","",IFERROR(INDEX(사건마스터!$AI$5:$AI$64,MATCH($F424,사건마스터!$A$5:$A$64,0)),""))</f>
        <v/>
      </c>
      <c r="L424" s="48">
        <f>IF($F424="","",IFERROR(INDEX(사건마스터!$AJ$5:$AJ$64,MATCH($F424,사건마스터!$A$5:$A$64,0)),""))</f>
        <v/>
      </c>
      <c r="M424" s="48">
        <f>IF($F424="","",IFERROR(INDEX(사건마스터!$AK$5:$AK$64,MATCH($F424,사건마스터!$A$5:$A$64,0)),""))</f>
        <v/>
      </c>
      <c r="N424" s="48">
        <f>IF($F424="","",IFERROR(INDEX(사건마스터!$AL$5:$AL$64,MATCH($F424,사건마스터!$A$5:$A$64,0)),""))</f>
        <v/>
      </c>
      <c r="O424" s="43">
        <f>IF($I424="","",COUNTIF($I424:$N424,"?*"))</f>
        <v/>
      </c>
      <c r="P424" s="46">
        <f>IF($I424="","",_xlfn.TEXTJOIN(", ",TRUE,$I424:$N424))</f>
        <v/>
      </c>
      <c r="Q424" s="47">
        <f>IF($I424="","",IFERROR(INDEX(코드설정!$D$5:$D$24,MATCH($I424,코드설정!$C$5:$C$24,0)),""))</f>
        <v/>
      </c>
      <c r="R424" s="49" t="n"/>
      <c r="S424" s="50" t="n"/>
      <c r="T424" s="51" t="n"/>
      <c r="U424" s="43">
        <f>IF(OR($B424="",$C424=""),"",$C424-$B424+1)</f>
        <v/>
      </c>
      <c r="V424" s="52" t="n"/>
      <c r="W424" s="53">
        <f>IF(OR($V424="",$O424=""),"",$V424*$O424)</f>
        <v/>
      </c>
      <c r="X424" s="45" t="n"/>
      <c r="Y424" s="49" t="n"/>
    </row>
    <row r="425">
      <c r="A425" s="43">
        <f>IF($B425="","",COUNT($B$5:$B425))</f>
        <v/>
      </c>
      <c r="B425" s="44" t="n"/>
      <c r="C425" s="44" t="n"/>
      <c r="D425" s="45" t="n"/>
      <c r="E425" s="45" t="n"/>
      <c r="F425" s="45" t="n"/>
      <c r="G425" s="46">
        <f>IF($F425="","",IFERROR(INDEX(사건마스터!$B$5:$B$64,MATCH($F425,사건마스터!$A$5:$A$64,0)),""))</f>
        <v/>
      </c>
      <c r="H425" s="47">
        <f>IF($F425="","",IFERROR(INDEX(사건마스터!$C$5:$C$64,MATCH($F425,사건마스터!$A$5:$A$64,0)),""))</f>
        <v/>
      </c>
      <c r="I425" s="48">
        <f>IF($F425="","",IFERROR(INDEX(사건마스터!$H$5:$H$64,MATCH($F425,사건마스터!$A$5:$A$64,0)),""))</f>
        <v/>
      </c>
      <c r="J425" s="48">
        <f>IF($F425="","",IFERROR(INDEX(사건마스터!$AH$5:$AH$64,MATCH($F425,사건마스터!$A$5:$A$64,0)),""))</f>
        <v/>
      </c>
      <c r="K425" s="48">
        <f>IF($F425="","",IFERROR(INDEX(사건마스터!$AI$5:$AI$64,MATCH($F425,사건마스터!$A$5:$A$64,0)),""))</f>
        <v/>
      </c>
      <c r="L425" s="48">
        <f>IF($F425="","",IFERROR(INDEX(사건마스터!$AJ$5:$AJ$64,MATCH($F425,사건마스터!$A$5:$A$64,0)),""))</f>
        <v/>
      </c>
      <c r="M425" s="48">
        <f>IF($F425="","",IFERROR(INDEX(사건마스터!$AK$5:$AK$64,MATCH($F425,사건마스터!$A$5:$A$64,0)),""))</f>
        <v/>
      </c>
      <c r="N425" s="48">
        <f>IF($F425="","",IFERROR(INDEX(사건마스터!$AL$5:$AL$64,MATCH($F425,사건마스터!$A$5:$A$64,0)),""))</f>
        <v/>
      </c>
      <c r="O425" s="43">
        <f>IF($I425="","",COUNTIF($I425:$N425,"?*"))</f>
        <v/>
      </c>
      <c r="P425" s="46">
        <f>IF($I425="","",_xlfn.TEXTJOIN(", ",TRUE,$I425:$N425))</f>
        <v/>
      </c>
      <c r="Q425" s="47">
        <f>IF($I425="","",IFERROR(INDEX(코드설정!$D$5:$D$24,MATCH($I425,코드설정!$C$5:$C$24,0)),""))</f>
        <v/>
      </c>
      <c r="R425" s="49" t="n"/>
      <c r="S425" s="50" t="n"/>
      <c r="T425" s="51" t="n"/>
      <c r="U425" s="43">
        <f>IF(OR($B425="",$C425=""),"",$C425-$B425+1)</f>
        <v/>
      </c>
      <c r="V425" s="52" t="n"/>
      <c r="W425" s="53">
        <f>IF(OR($V425="",$O425=""),"",$V425*$O425)</f>
        <v/>
      </c>
      <c r="X425" s="45" t="n"/>
      <c r="Y425" s="49" t="n"/>
    </row>
    <row r="426">
      <c r="A426" s="43">
        <f>IF($B426="","",COUNT($B$5:$B426))</f>
        <v/>
      </c>
      <c r="B426" s="44" t="n"/>
      <c r="C426" s="44" t="n"/>
      <c r="D426" s="45" t="n"/>
      <c r="E426" s="45" t="n"/>
      <c r="F426" s="45" t="n"/>
      <c r="G426" s="46">
        <f>IF($F426="","",IFERROR(INDEX(사건마스터!$B$5:$B$64,MATCH($F426,사건마스터!$A$5:$A$64,0)),""))</f>
        <v/>
      </c>
      <c r="H426" s="47">
        <f>IF($F426="","",IFERROR(INDEX(사건마스터!$C$5:$C$64,MATCH($F426,사건마스터!$A$5:$A$64,0)),""))</f>
        <v/>
      </c>
      <c r="I426" s="48">
        <f>IF($F426="","",IFERROR(INDEX(사건마스터!$H$5:$H$64,MATCH($F426,사건마스터!$A$5:$A$64,0)),""))</f>
        <v/>
      </c>
      <c r="J426" s="48">
        <f>IF($F426="","",IFERROR(INDEX(사건마스터!$AH$5:$AH$64,MATCH($F426,사건마스터!$A$5:$A$64,0)),""))</f>
        <v/>
      </c>
      <c r="K426" s="48">
        <f>IF($F426="","",IFERROR(INDEX(사건마스터!$AI$5:$AI$64,MATCH($F426,사건마스터!$A$5:$A$64,0)),""))</f>
        <v/>
      </c>
      <c r="L426" s="48">
        <f>IF($F426="","",IFERROR(INDEX(사건마스터!$AJ$5:$AJ$64,MATCH($F426,사건마스터!$A$5:$A$64,0)),""))</f>
        <v/>
      </c>
      <c r="M426" s="48">
        <f>IF($F426="","",IFERROR(INDEX(사건마스터!$AK$5:$AK$64,MATCH($F426,사건마스터!$A$5:$A$64,0)),""))</f>
        <v/>
      </c>
      <c r="N426" s="48">
        <f>IF($F426="","",IFERROR(INDEX(사건마스터!$AL$5:$AL$64,MATCH($F426,사건마스터!$A$5:$A$64,0)),""))</f>
        <v/>
      </c>
      <c r="O426" s="43">
        <f>IF($I426="","",COUNTIF($I426:$N426,"?*"))</f>
        <v/>
      </c>
      <c r="P426" s="46">
        <f>IF($I426="","",_xlfn.TEXTJOIN(", ",TRUE,$I426:$N426))</f>
        <v/>
      </c>
      <c r="Q426" s="47">
        <f>IF($I426="","",IFERROR(INDEX(코드설정!$D$5:$D$24,MATCH($I426,코드설정!$C$5:$C$24,0)),""))</f>
        <v/>
      </c>
      <c r="R426" s="49" t="n"/>
      <c r="S426" s="50" t="n"/>
      <c r="T426" s="51" t="n"/>
      <c r="U426" s="43">
        <f>IF(OR($B426="",$C426=""),"",$C426-$B426+1)</f>
        <v/>
      </c>
      <c r="V426" s="52" t="n"/>
      <c r="W426" s="53">
        <f>IF(OR($V426="",$O426=""),"",$V426*$O426)</f>
        <v/>
      </c>
      <c r="X426" s="45" t="n"/>
      <c r="Y426" s="49" t="n"/>
    </row>
    <row r="427">
      <c r="A427" s="43">
        <f>IF($B427="","",COUNT($B$5:$B427))</f>
        <v/>
      </c>
      <c r="B427" s="44" t="n"/>
      <c r="C427" s="44" t="n"/>
      <c r="D427" s="45" t="n"/>
      <c r="E427" s="45" t="n"/>
      <c r="F427" s="45" t="n"/>
      <c r="G427" s="46">
        <f>IF($F427="","",IFERROR(INDEX(사건마스터!$B$5:$B$64,MATCH($F427,사건마스터!$A$5:$A$64,0)),""))</f>
        <v/>
      </c>
      <c r="H427" s="47">
        <f>IF($F427="","",IFERROR(INDEX(사건마스터!$C$5:$C$64,MATCH($F427,사건마스터!$A$5:$A$64,0)),""))</f>
        <v/>
      </c>
      <c r="I427" s="48">
        <f>IF($F427="","",IFERROR(INDEX(사건마스터!$H$5:$H$64,MATCH($F427,사건마스터!$A$5:$A$64,0)),""))</f>
        <v/>
      </c>
      <c r="J427" s="48">
        <f>IF($F427="","",IFERROR(INDEX(사건마스터!$AH$5:$AH$64,MATCH($F427,사건마스터!$A$5:$A$64,0)),""))</f>
        <v/>
      </c>
      <c r="K427" s="48">
        <f>IF($F427="","",IFERROR(INDEX(사건마스터!$AI$5:$AI$64,MATCH($F427,사건마스터!$A$5:$A$64,0)),""))</f>
        <v/>
      </c>
      <c r="L427" s="48">
        <f>IF($F427="","",IFERROR(INDEX(사건마스터!$AJ$5:$AJ$64,MATCH($F427,사건마스터!$A$5:$A$64,0)),""))</f>
        <v/>
      </c>
      <c r="M427" s="48">
        <f>IF($F427="","",IFERROR(INDEX(사건마스터!$AK$5:$AK$64,MATCH($F427,사건마스터!$A$5:$A$64,0)),""))</f>
        <v/>
      </c>
      <c r="N427" s="48">
        <f>IF($F427="","",IFERROR(INDEX(사건마스터!$AL$5:$AL$64,MATCH($F427,사건마스터!$A$5:$A$64,0)),""))</f>
        <v/>
      </c>
      <c r="O427" s="43">
        <f>IF($I427="","",COUNTIF($I427:$N427,"?*"))</f>
        <v/>
      </c>
      <c r="P427" s="46">
        <f>IF($I427="","",_xlfn.TEXTJOIN(", ",TRUE,$I427:$N427))</f>
        <v/>
      </c>
      <c r="Q427" s="47">
        <f>IF($I427="","",IFERROR(INDEX(코드설정!$D$5:$D$24,MATCH($I427,코드설정!$C$5:$C$24,0)),""))</f>
        <v/>
      </c>
      <c r="R427" s="49" t="n"/>
      <c r="S427" s="50" t="n"/>
      <c r="T427" s="51" t="n"/>
      <c r="U427" s="43">
        <f>IF(OR($B427="",$C427=""),"",$C427-$B427+1)</f>
        <v/>
      </c>
      <c r="V427" s="52" t="n"/>
      <c r="W427" s="53">
        <f>IF(OR($V427="",$O427=""),"",$V427*$O427)</f>
        <v/>
      </c>
      <c r="X427" s="45" t="n"/>
      <c r="Y427" s="49" t="n"/>
    </row>
    <row r="428">
      <c r="A428" s="43">
        <f>IF($B428="","",COUNT($B$5:$B428))</f>
        <v/>
      </c>
      <c r="B428" s="44" t="n"/>
      <c r="C428" s="44" t="n"/>
      <c r="D428" s="45" t="n"/>
      <c r="E428" s="45" t="n"/>
      <c r="F428" s="45" t="n"/>
      <c r="G428" s="46">
        <f>IF($F428="","",IFERROR(INDEX(사건마스터!$B$5:$B$64,MATCH($F428,사건마스터!$A$5:$A$64,0)),""))</f>
        <v/>
      </c>
      <c r="H428" s="47">
        <f>IF($F428="","",IFERROR(INDEX(사건마스터!$C$5:$C$64,MATCH($F428,사건마스터!$A$5:$A$64,0)),""))</f>
        <v/>
      </c>
      <c r="I428" s="48">
        <f>IF($F428="","",IFERROR(INDEX(사건마스터!$H$5:$H$64,MATCH($F428,사건마스터!$A$5:$A$64,0)),""))</f>
        <v/>
      </c>
      <c r="J428" s="48">
        <f>IF($F428="","",IFERROR(INDEX(사건마스터!$AH$5:$AH$64,MATCH($F428,사건마스터!$A$5:$A$64,0)),""))</f>
        <v/>
      </c>
      <c r="K428" s="48">
        <f>IF($F428="","",IFERROR(INDEX(사건마스터!$AI$5:$AI$64,MATCH($F428,사건마스터!$A$5:$A$64,0)),""))</f>
        <v/>
      </c>
      <c r="L428" s="48">
        <f>IF($F428="","",IFERROR(INDEX(사건마스터!$AJ$5:$AJ$64,MATCH($F428,사건마스터!$A$5:$A$64,0)),""))</f>
        <v/>
      </c>
      <c r="M428" s="48">
        <f>IF($F428="","",IFERROR(INDEX(사건마스터!$AK$5:$AK$64,MATCH($F428,사건마스터!$A$5:$A$64,0)),""))</f>
        <v/>
      </c>
      <c r="N428" s="48">
        <f>IF($F428="","",IFERROR(INDEX(사건마스터!$AL$5:$AL$64,MATCH($F428,사건마스터!$A$5:$A$64,0)),""))</f>
        <v/>
      </c>
      <c r="O428" s="43">
        <f>IF($I428="","",COUNTIF($I428:$N428,"?*"))</f>
        <v/>
      </c>
      <c r="P428" s="46">
        <f>IF($I428="","",_xlfn.TEXTJOIN(", ",TRUE,$I428:$N428))</f>
        <v/>
      </c>
      <c r="Q428" s="47">
        <f>IF($I428="","",IFERROR(INDEX(코드설정!$D$5:$D$24,MATCH($I428,코드설정!$C$5:$C$24,0)),""))</f>
        <v/>
      </c>
      <c r="R428" s="49" t="n"/>
      <c r="S428" s="50" t="n"/>
      <c r="T428" s="51" t="n"/>
      <c r="U428" s="43">
        <f>IF(OR($B428="",$C428=""),"",$C428-$B428+1)</f>
        <v/>
      </c>
      <c r="V428" s="52" t="n"/>
      <c r="W428" s="53">
        <f>IF(OR($V428="",$O428=""),"",$V428*$O428)</f>
        <v/>
      </c>
      <c r="X428" s="45" t="n"/>
      <c r="Y428" s="49" t="n"/>
    </row>
    <row r="429">
      <c r="A429" s="43">
        <f>IF($B429="","",COUNT($B$5:$B429))</f>
        <v/>
      </c>
      <c r="B429" s="44" t="n"/>
      <c r="C429" s="44" t="n"/>
      <c r="D429" s="45" t="n"/>
      <c r="E429" s="45" t="n"/>
      <c r="F429" s="45" t="n"/>
      <c r="G429" s="46">
        <f>IF($F429="","",IFERROR(INDEX(사건마스터!$B$5:$B$64,MATCH($F429,사건마스터!$A$5:$A$64,0)),""))</f>
        <v/>
      </c>
      <c r="H429" s="47">
        <f>IF($F429="","",IFERROR(INDEX(사건마스터!$C$5:$C$64,MATCH($F429,사건마스터!$A$5:$A$64,0)),""))</f>
        <v/>
      </c>
      <c r="I429" s="48">
        <f>IF($F429="","",IFERROR(INDEX(사건마스터!$H$5:$H$64,MATCH($F429,사건마스터!$A$5:$A$64,0)),""))</f>
        <v/>
      </c>
      <c r="J429" s="48">
        <f>IF($F429="","",IFERROR(INDEX(사건마스터!$AH$5:$AH$64,MATCH($F429,사건마스터!$A$5:$A$64,0)),""))</f>
        <v/>
      </c>
      <c r="K429" s="48">
        <f>IF($F429="","",IFERROR(INDEX(사건마스터!$AI$5:$AI$64,MATCH($F429,사건마스터!$A$5:$A$64,0)),""))</f>
        <v/>
      </c>
      <c r="L429" s="48">
        <f>IF($F429="","",IFERROR(INDEX(사건마스터!$AJ$5:$AJ$64,MATCH($F429,사건마스터!$A$5:$A$64,0)),""))</f>
        <v/>
      </c>
      <c r="M429" s="48">
        <f>IF($F429="","",IFERROR(INDEX(사건마스터!$AK$5:$AK$64,MATCH($F429,사건마스터!$A$5:$A$64,0)),""))</f>
        <v/>
      </c>
      <c r="N429" s="48">
        <f>IF($F429="","",IFERROR(INDEX(사건마스터!$AL$5:$AL$64,MATCH($F429,사건마스터!$A$5:$A$64,0)),""))</f>
        <v/>
      </c>
      <c r="O429" s="43">
        <f>IF($I429="","",COUNTIF($I429:$N429,"?*"))</f>
        <v/>
      </c>
      <c r="P429" s="46">
        <f>IF($I429="","",_xlfn.TEXTJOIN(", ",TRUE,$I429:$N429))</f>
        <v/>
      </c>
      <c r="Q429" s="47">
        <f>IF($I429="","",IFERROR(INDEX(코드설정!$D$5:$D$24,MATCH($I429,코드설정!$C$5:$C$24,0)),""))</f>
        <v/>
      </c>
      <c r="R429" s="49" t="n"/>
      <c r="S429" s="50" t="n"/>
      <c r="T429" s="51" t="n"/>
      <c r="U429" s="43">
        <f>IF(OR($B429="",$C429=""),"",$C429-$B429+1)</f>
        <v/>
      </c>
      <c r="V429" s="52" t="n"/>
      <c r="W429" s="53">
        <f>IF(OR($V429="",$O429=""),"",$V429*$O429)</f>
        <v/>
      </c>
      <c r="X429" s="45" t="n"/>
      <c r="Y429" s="49" t="n"/>
    </row>
    <row r="430">
      <c r="A430" s="43">
        <f>IF($B430="","",COUNT($B$5:$B430))</f>
        <v/>
      </c>
      <c r="B430" s="44" t="n"/>
      <c r="C430" s="44" t="n"/>
      <c r="D430" s="45" t="n"/>
      <c r="E430" s="45" t="n"/>
      <c r="F430" s="45" t="n"/>
      <c r="G430" s="46">
        <f>IF($F430="","",IFERROR(INDEX(사건마스터!$B$5:$B$64,MATCH($F430,사건마스터!$A$5:$A$64,0)),""))</f>
        <v/>
      </c>
      <c r="H430" s="47">
        <f>IF($F430="","",IFERROR(INDEX(사건마스터!$C$5:$C$64,MATCH($F430,사건마스터!$A$5:$A$64,0)),""))</f>
        <v/>
      </c>
      <c r="I430" s="48">
        <f>IF($F430="","",IFERROR(INDEX(사건마스터!$H$5:$H$64,MATCH($F430,사건마스터!$A$5:$A$64,0)),""))</f>
        <v/>
      </c>
      <c r="J430" s="48">
        <f>IF($F430="","",IFERROR(INDEX(사건마스터!$AH$5:$AH$64,MATCH($F430,사건마스터!$A$5:$A$64,0)),""))</f>
        <v/>
      </c>
      <c r="K430" s="48">
        <f>IF($F430="","",IFERROR(INDEX(사건마스터!$AI$5:$AI$64,MATCH($F430,사건마스터!$A$5:$A$64,0)),""))</f>
        <v/>
      </c>
      <c r="L430" s="48">
        <f>IF($F430="","",IFERROR(INDEX(사건마스터!$AJ$5:$AJ$64,MATCH($F430,사건마스터!$A$5:$A$64,0)),""))</f>
        <v/>
      </c>
      <c r="M430" s="48">
        <f>IF($F430="","",IFERROR(INDEX(사건마스터!$AK$5:$AK$64,MATCH($F430,사건마스터!$A$5:$A$64,0)),""))</f>
        <v/>
      </c>
      <c r="N430" s="48">
        <f>IF($F430="","",IFERROR(INDEX(사건마스터!$AL$5:$AL$64,MATCH($F430,사건마스터!$A$5:$A$64,0)),""))</f>
        <v/>
      </c>
      <c r="O430" s="43">
        <f>IF($I430="","",COUNTIF($I430:$N430,"?*"))</f>
        <v/>
      </c>
      <c r="P430" s="46">
        <f>IF($I430="","",_xlfn.TEXTJOIN(", ",TRUE,$I430:$N430))</f>
        <v/>
      </c>
      <c r="Q430" s="47">
        <f>IF($I430="","",IFERROR(INDEX(코드설정!$D$5:$D$24,MATCH($I430,코드설정!$C$5:$C$24,0)),""))</f>
        <v/>
      </c>
      <c r="R430" s="49" t="n"/>
      <c r="S430" s="50" t="n"/>
      <c r="T430" s="51" t="n"/>
      <c r="U430" s="43">
        <f>IF(OR($B430="",$C430=""),"",$C430-$B430+1)</f>
        <v/>
      </c>
      <c r="V430" s="52" t="n"/>
      <c r="W430" s="53">
        <f>IF(OR($V430="",$O430=""),"",$V430*$O430)</f>
        <v/>
      </c>
      <c r="X430" s="45" t="n"/>
      <c r="Y430" s="49" t="n"/>
    </row>
    <row r="431">
      <c r="A431" s="43">
        <f>IF($B431="","",COUNT($B$5:$B431))</f>
        <v/>
      </c>
      <c r="B431" s="44" t="n"/>
      <c r="C431" s="44" t="n"/>
      <c r="D431" s="45" t="n"/>
      <c r="E431" s="45" t="n"/>
      <c r="F431" s="45" t="n"/>
      <c r="G431" s="46">
        <f>IF($F431="","",IFERROR(INDEX(사건마스터!$B$5:$B$64,MATCH($F431,사건마스터!$A$5:$A$64,0)),""))</f>
        <v/>
      </c>
      <c r="H431" s="47">
        <f>IF($F431="","",IFERROR(INDEX(사건마스터!$C$5:$C$64,MATCH($F431,사건마스터!$A$5:$A$64,0)),""))</f>
        <v/>
      </c>
      <c r="I431" s="48">
        <f>IF($F431="","",IFERROR(INDEX(사건마스터!$H$5:$H$64,MATCH($F431,사건마스터!$A$5:$A$64,0)),""))</f>
        <v/>
      </c>
      <c r="J431" s="48">
        <f>IF($F431="","",IFERROR(INDEX(사건마스터!$AH$5:$AH$64,MATCH($F431,사건마스터!$A$5:$A$64,0)),""))</f>
        <v/>
      </c>
      <c r="K431" s="48">
        <f>IF($F431="","",IFERROR(INDEX(사건마스터!$AI$5:$AI$64,MATCH($F431,사건마스터!$A$5:$A$64,0)),""))</f>
        <v/>
      </c>
      <c r="L431" s="48">
        <f>IF($F431="","",IFERROR(INDEX(사건마스터!$AJ$5:$AJ$64,MATCH($F431,사건마스터!$A$5:$A$64,0)),""))</f>
        <v/>
      </c>
      <c r="M431" s="48">
        <f>IF($F431="","",IFERROR(INDEX(사건마스터!$AK$5:$AK$64,MATCH($F431,사건마스터!$A$5:$A$64,0)),""))</f>
        <v/>
      </c>
      <c r="N431" s="48">
        <f>IF($F431="","",IFERROR(INDEX(사건마스터!$AL$5:$AL$64,MATCH($F431,사건마스터!$A$5:$A$64,0)),""))</f>
        <v/>
      </c>
      <c r="O431" s="43">
        <f>IF($I431="","",COUNTIF($I431:$N431,"?*"))</f>
        <v/>
      </c>
      <c r="P431" s="46">
        <f>IF($I431="","",_xlfn.TEXTJOIN(", ",TRUE,$I431:$N431))</f>
        <v/>
      </c>
      <c r="Q431" s="47">
        <f>IF($I431="","",IFERROR(INDEX(코드설정!$D$5:$D$24,MATCH($I431,코드설정!$C$5:$C$24,0)),""))</f>
        <v/>
      </c>
      <c r="R431" s="49" t="n"/>
      <c r="S431" s="50" t="n"/>
      <c r="T431" s="51" t="n"/>
      <c r="U431" s="43">
        <f>IF(OR($B431="",$C431=""),"",$C431-$B431+1)</f>
        <v/>
      </c>
      <c r="V431" s="52" t="n"/>
      <c r="W431" s="53">
        <f>IF(OR($V431="",$O431=""),"",$V431*$O431)</f>
        <v/>
      </c>
      <c r="X431" s="45" t="n"/>
      <c r="Y431" s="49" t="n"/>
    </row>
    <row r="432">
      <c r="A432" s="43">
        <f>IF($B432="","",COUNT($B$5:$B432))</f>
        <v/>
      </c>
      <c r="B432" s="44" t="n"/>
      <c r="C432" s="44" t="n"/>
      <c r="D432" s="45" t="n"/>
      <c r="E432" s="45" t="n"/>
      <c r="F432" s="45" t="n"/>
      <c r="G432" s="46">
        <f>IF($F432="","",IFERROR(INDEX(사건마스터!$B$5:$B$64,MATCH($F432,사건마스터!$A$5:$A$64,0)),""))</f>
        <v/>
      </c>
      <c r="H432" s="47">
        <f>IF($F432="","",IFERROR(INDEX(사건마스터!$C$5:$C$64,MATCH($F432,사건마스터!$A$5:$A$64,0)),""))</f>
        <v/>
      </c>
      <c r="I432" s="48">
        <f>IF($F432="","",IFERROR(INDEX(사건마스터!$H$5:$H$64,MATCH($F432,사건마스터!$A$5:$A$64,0)),""))</f>
        <v/>
      </c>
      <c r="J432" s="48">
        <f>IF($F432="","",IFERROR(INDEX(사건마스터!$AH$5:$AH$64,MATCH($F432,사건마스터!$A$5:$A$64,0)),""))</f>
        <v/>
      </c>
      <c r="K432" s="48">
        <f>IF($F432="","",IFERROR(INDEX(사건마스터!$AI$5:$AI$64,MATCH($F432,사건마스터!$A$5:$A$64,0)),""))</f>
        <v/>
      </c>
      <c r="L432" s="48">
        <f>IF($F432="","",IFERROR(INDEX(사건마스터!$AJ$5:$AJ$64,MATCH($F432,사건마스터!$A$5:$A$64,0)),""))</f>
        <v/>
      </c>
      <c r="M432" s="48">
        <f>IF($F432="","",IFERROR(INDEX(사건마스터!$AK$5:$AK$64,MATCH($F432,사건마스터!$A$5:$A$64,0)),""))</f>
        <v/>
      </c>
      <c r="N432" s="48">
        <f>IF($F432="","",IFERROR(INDEX(사건마스터!$AL$5:$AL$64,MATCH($F432,사건마스터!$A$5:$A$64,0)),""))</f>
        <v/>
      </c>
      <c r="O432" s="43">
        <f>IF($I432="","",COUNTIF($I432:$N432,"?*"))</f>
        <v/>
      </c>
      <c r="P432" s="46">
        <f>IF($I432="","",_xlfn.TEXTJOIN(", ",TRUE,$I432:$N432))</f>
        <v/>
      </c>
      <c r="Q432" s="47">
        <f>IF($I432="","",IFERROR(INDEX(코드설정!$D$5:$D$24,MATCH($I432,코드설정!$C$5:$C$24,0)),""))</f>
        <v/>
      </c>
      <c r="R432" s="49" t="n"/>
      <c r="S432" s="50" t="n"/>
      <c r="T432" s="51" t="n"/>
      <c r="U432" s="43">
        <f>IF(OR($B432="",$C432=""),"",$C432-$B432+1)</f>
        <v/>
      </c>
      <c r="V432" s="52" t="n"/>
      <c r="W432" s="53">
        <f>IF(OR($V432="",$O432=""),"",$V432*$O432)</f>
        <v/>
      </c>
      <c r="X432" s="45" t="n"/>
      <c r="Y432" s="49" t="n"/>
    </row>
    <row r="433">
      <c r="A433" s="43">
        <f>IF($B433="","",COUNT($B$5:$B433))</f>
        <v/>
      </c>
      <c r="B433" s="44" t="n"/>
      <c r="C433" s="44" t="n"/>
      <c r="D433" s="45" t="n"/>
      <c r="E433" s="45" t="n"/>
      <c r="F433" s="45" t="n"/>
      <c r="G433" s="46">
        <f>IF($F433="","",IFERROR(INDEX(사건마스터!$B$5:$B$64,MATCH($F433,사건마스터!$A$5:$A$64,0)),""))</f>
        <v/>
      </c>
      <c r="H433" s="47">
        <f>IF($F433="","",IFERROR(INDEX(사건마스터!$C$5:$C$64,MATCH($F433,사건마스터!$A$5:$A$64,0)),""))</f>
        <v/>
      </c>
      <c r="I433" s="48">
        <f>IF($F433="","",IFERROR(INDEX(사건마스터!$H$5:$H$64,MATCH($F433,사건마스터!$A$5:$A$64,0)),""))</f>
        <v/>
      </c>
      <c r="J433" s="48">
        <f>IF($F433="","",IFERROR(INDEX(사건마스터!$AH$5:$AH$64,MATCH($F433,사건마스터!$A$5:$A$64,0)),""))</f>
        <v/>
      </c>
      <c r="K433" s="48">
        <f>IF($F433="","",IFERROR(INDEX(사건마스터!$AI$5:$AI$64,MATCH($F433,사건마스터!$A$5:$A$64,0)),""))</f>
        <v/>
      </c>
      <c r="L433" s="48">
        <f>IF($F433="","",IFERROR(INDEX(사건마스터!$AJ$5:$AJ$64,MATCH($F433,사건마스터!$A$5:$A$64,0)),""))</f>
        <v/>
      </c>
      <c r="M433" s="48">
        <f>IF($F433="","",IFERROR(INDEX(사건마스터!$AK$5:$AK$64,MATCH($F433,사건마스터!$A$5:$A$64,0)),""))</f>
        <v/>
      </c>
      <c r="N433" s="48">
        <f>IF($F433="","",IFERROR(INDEX(사건마스터!$AL$5:$AL$64,MATCH($F433,사건마스터!$A$5:$A$64,0)),""))</f>
        <v/>
      </c>
      <c r="O433" s="43">
        <f>IF($I433="","",COUNTIF($I433:$N433,"?*"))</f>
        <v/>
      </c>
      <c r="P433" s="46">
        <f>IF($I433="","",_xlfn.TEXTJOIN(", ",TRUE,$I433:$N433))</f>
        <v/>
      </c>
      <c r="Q433" s="47">
        <f>IF($I433="","",IFERROR(INDEX(코드설정!$D$5:$D$24,MATCH($I433,코드설정!$C$5:$C$24,0)),""))</f>
        <v/>
      </c>
      <c r="R433" s="49" t="n"/>
      <c r="S433" s="50" t="n"/>
      <c r="T433" s="51" t="n"/>
      <c r="U433" s="43">
        <f>IF(OR($B433="",$C433=""),"",$C433-$B433+1)</f>
        <v/>
      </c>
      <c r="V433" s="52" t="n"/>
      <c r="W433" s="53">
        <f>IF(OR($V433="",$O433=""),"",$V433*$O433)</f>
        <v/>
      </c>
      <c r="X433" s="45" t="n"/>
      <c r="Y433" s="49" t="n"/>
    </row>
    <row r="434">
      <c r="A434" s="43">
        <f>IF($B434="","",COUNT($B$5:$B434))</f>
        <v/>
      </c>
      <c r="B434" s="44" t="n"/>
      <c r="C434" s="44" t="n"/>
      <c r="D434" s="45" t="n"/>
      <c r="E434" s="45" t="n"/>
      <c r="F434" s="45" t="n"/>
      <c r="G434" s="46">
        <f>IF($F434="","",IFERROR(INDEX(사건마스터!$B$5:$B$64,MATCH($F434,사건마스터!$A$5:$A$64,0)),""))</f>
        <v/>
      </c>
      <c r="H434" s="47">
        <f>IF($F434="","",IFERROR(INDEX(사건마스터!$C$5:$C$64,MATCH($F434,사건마스터!$A$5:$A$64,0)),""))</f>
        <v/>
      </c>
      <c r="I434" s="48">
        <f>IF($F434="","",IFERROR(INDEX(사건마스터!$H$5:$H$64,MATCH($F434,사건마스터!$A$5:$A$64,0)),""))</f>
        <v/>
      </c>
      <c r="J434" s="48">
        <f>IF($F434="","",IFERROR(INDEX(사건마스터!$AH$5:$AH$64,MATCH($F434,사건마스터!$A$5:$A$64,0)),""))</f>
        <v/>
      </c>
      <c r="K434" s="48">
        <f>IF($F434="","",IFERROR(INDEX(사건마스터!$AI$5:$AI$64,MATCH($F434,사건마스터!$A$5:$A$64,0)),""))</f>
        <v/>
      </c>
      <c r="L434" s="48">
        <f>IF($F434="","",IFERROR(INDEX(사건마스터!$AJ$5:$AJ$64,MATCH($F434,사건마스터!$A$5:$A$64,0)),""))</f>
        <v/>
      </c>
      <c r="M434" s="48">
        <f>IF($F434="","",IFERROR(INDEX(사건마스터!$AK$5:$AK$64,MATCH($F434,사건마스터!$A$5:$A$64,0)),""))</f>
        <v/>
      </c>
      <c r="N434" s="48">
        <f>IF($F434="","",IFERROR(INDEX(사건마스터!$AL$5:$AL$64,MATCH($F434,사건마스터!$A$5:$A$64,0)),""))</f>
        <v/>
      </c>
      <c r="O434" s="43">
        <f>IF($I434="","",COUNTIF($I434:$N434,"?*"))</f>
        <v/>
      </c>
      <c r="P434" s="46">
        <f>IF($I434="","",_xlfn.TEXTJOIN(", ",TRUE,$I434:$N434))</f>
        <v/>
      </c>
      <c r="Q434" s="47">
        <f>IF($I434="","",IFERROR(INDEX(코드설정!$D$5:$D$24,MATCH($I434,코드설정!$C$5:$C$24,0)),""))</f>
        <v/>
      </c>
      <c r="R434" s="49" t="n"/>
      <c r="S434" s="50" t="n"/>
      <c r="T434" s="51" t="n"/>
      <c r="U434" s="43">
        <f>IF(OR($B434="",$C434=""),"",$C434-$B434+1)</f>
        <v/>
      </c>
      <c r="V434" s="52" t="n"/>
      <c r="W434" s="53">
        <f>IF(OR($V434="",$O434=""),"",$V434*$O434)</f>
        <v/>
      </c>
      <c r="X434" s="45" t="n"/>
      <c r="Y434" s="49" t="n"/>
    </row>
    <row r="435">
      <c r="A435" s="43">
        <f>IF($B435="","",COUNT($B$5:$B435))</f>
        <v/>
      </c>
      <c r="B435" s="44" t="n"/>
      <c r="C435" s="44" t="n"/>
      <c r="D435" s="45" t="n"/>
      <c r="E435" s="45" t="n"/>
      <c r="F435" s="45" t="n"/>
      <c r="G435" s="46">
        <f>IF($F435="","",IFERROR(INDEX(사건마스터!$B$5:$B$64,MATCH($F435,사건마스터!$A$5:$A$64,0)),""))</f>
        <v/>
      </c>
      <c r="H435" s="47">
        <f>IF($F435="","",IFERROR(INDEX(사건마스터!$C$5:$C$64,MATCH($F435,사건마스터!$A$5:$A$64,0)),""))</f>
        <v/>
      </c>
      <c r="I435" s="48">
        <f>IF($F435="","",IFERROR(INDEX(사건마스터!$H$5:$H$64,MATCH($F435,사건마스터!$A$5:$A$64,0)),""))</f>
        <v/>
      </c>
      <c r="J435" s="48">
        <f>IF($F435="","",IFERROR(INDEX(사건마스터!$AH$5:$AH$64,MATCH($F435,사건마스터!$A$5:$A$64,0)),""))</f>
        <v/>
      </c>
      <c r="K435" s="48">
        <f>IF($F435="","",IFERROR(INDEX(사건마스터!$AI$5:$AI$64,MATCH($F435,사건마스터!$A$5:$A$64,0)),""))</f>
        <v/>
      </c>
      <c r="L435" s="48">
        <f>IF($F435="","",IFERROR(INDEX(사건마스터!$AJ$5:$AJ$64,MATCH($F435,사건마스터!$A$5:$A$64,0)),""))</f>
        <v/>
      </c>
      <c r="M435" s="48">
        <f>IF($F435="","",IFERROR(INDEX(사건마스터!$AK$5:$AK$64,MATCH($F435,사건마스터!$A$5:$A$64,0)),""))</f>
        <v/>
      </c>
      <c r="N435" s="48">
        <f>IF($F435="","",IFERROR(INDEX(사건마스터!$AL$5:$AL$64,MATCH($F435,사건마스터!$A$5:$A$64,0)),""))</f>
        <v/>
      </c>
      <c r="O435" s="43">
        <f>IF($I435="","",COUNTIF($I435:$N435,"?*"))</f>
        <v/>
      </c>
      <c r="P435" s="46">
        <f>IF($I435="","",_xlfn.TEXTJOIN(", ",TRUE,$I435:$N435))</f>
        <v/>
      </c>
      <c r="Q435" s="47">
        <f>IF($I435="","",IFERROR(INDEX(코드설정!$D$5:$D$24,MATCH($I435,코드설정!$C$5:$C$24,0)),""))</f>
        <v/>
      </c>
      <c r="R435" s="49" t="n"/>
      <c r="S435" s="50" t="n"/>
      <c r="T435" s="51" t="n"/>
      <c r="U435" s="43">
        <f>IF(OR($B435="",$C435=""),"",$C435-$B435+1)</f>
        <v/>
      </c>
      <c r="V435" s="52" t="n"/>
      <c r="W435" s="53">
        <f>IF(OR($V435="",$O435=""),"",$V435*$O435)</f>
        <v/>
      </c>
      <c r="X435" s="45" t="n"/>
      <c r="Y435" s="49" t="n"/>
    </row>
    <row r="436">
      <c r="A436" s="43">
        <f>IF($B436="","",COUNT($B$5:$B436))</f>
        <v/>
      </c>
      <c r="B436" s="44" t="n"/>
      <c r="C436" s="44" t="n"/>
      <c r="D436" s="45" t="n"/>
      <c r="E436" s="45" t="n"/>
      <c r="F436" s="45" t="n"/>
      <c r="G436" s="46">
        <f>IF($F436="","",IFERROR(INDEX(사건마스터!$B$5:$B$64,MATCH($F436,사건마스터!$A$5:$A$64,0)),""))</f>
        <v/>
      </c>
      <c r="H436" s="47">
        <f>IF($F436="","",IFERROR(INDEX(사건마스터!$C$5:$C$64,MATCH($F436,사건마스터!$A$5:$A$64,0)),""))</f>
        <v/>
      </c>
      <c r="I436" s="48">
        <f>IF($F436="","",IFERROR(INDEX(사건마스터!$H$5:$H$64,MATCH($F436,사건마스터!$A$5:$A$64,0)),""))</f>
        <v/>
      </c>
      <c r="J436" s="48">
        <f>IF($F436="","",IFERROR(INDEX(사건마스터!$AH$5:$AH$64,MATCH($F436,사건마스터!$A$5:$A$64,0)),""))</f>
        <v/>
      </c>
      <c r="K436" s="48">
        <f>IF($F436="","",IFERROR(INDEX(사건마스터!$AI$5:$AI$64,MATCH($F436,사건마스터!$A$5:$A$64,0)),""))</f>
        <v/>
      </c>
      <c r="L436" s="48">
        <f>IF($F436="","",IFERROR(INDEX(사건마스터!$AJ$5:$AJ$64,MATCH($F436,사건마스터!$A$5:$A$64,0)),""))</f>
        <v/>
      </c>
      <c r="M436" s="48">
        <f>IF($F436="","",IFERROR(INDEX(사건마스터!$AK$5:$AK$64,MATCH($F436,사건마스터!$A$5:$A$64,0)),""))</f>
        <v/>
      </c>
      <c r="N436" s="48">
        <f>IF($F436="","",IFERROR(INDEX(사건마스터!$AL$5:$AL$64,MATCH($F436,사건마스터!$A$5:$A$64,0)),""))</f>
        <v/>
      </c>
      <c r="O436" s="43">
        <f>IF($I436="","",COUNTIF($I436:$N436,"?*"))</f>
        <v/>
      </c>
      <c r="P436" s="46">
        <f>IF($I436="","",_xlfn.TEXTJOIN(", ",TRUE,$I436:$N436))</f>
        <v/>
      </c>
      <c r="Q436" s="47">
        <f>IF($I436="","",IFERROR(INDEX(코드설정!$D$5:$D$24,MATCH($I436,코드설정!$C$5:$C$24,0)),""))</f>
        <v/>
      </c>
      <c r="R436" s="49" t="n"/>
      <c r="S436" s="50" t="n"/>
      <c r="T436" s="51" t="n"/>
      <c r="U436" s="43">
        <f>IF(OR($B436="",$C436=""),"",$C436-$B436+1)</f>
        <v/>
      </c>
      <c r="V436" s="52" t="n"/>
      <c r="W436" s="53">
        <f>IF(OR($V436="",$O436=""),"",$V436*$O436)</f>
        <v/>
      </c>
      <c r="X436" s="45" t="n"/>
      <c r="Y436" s="49" t="n"/>
    </row>
    <row r="437">
      <c r="A437" s="43">
        <f>IF($B437="","",COUNT($B$5:$B437))</f>
        <v/>
      </c>
      <c r="B437" s="44" t="n"/>
      <c r="C437" s="44" t="n"/>
      <c r="D437" s="45" t="n"/>
      <c r="E437" s="45" t="n"/>
      <c r="F437" s="45" t="n"/>
      <c r="G437" s="46">
        <f>IF($F437="","",IFERROR(INDEX(사건마스터!$B$5:$B$64,MATCH($F437,사건마스터!$A$5:$A$64,0)),""))</f>
        <v/>
      </c>
      <c r="H437" s="47">
        <f>IF($F437="","",IFERROR(INDEX(사건마스터!$C$5:$C$64,MATCH($F437,사건마스터!$A$5:$A$64,0)),""))</f>
        <v/>
      </c>
      <c r="I437" s="48">
        <f>IF($F437="","",IFERROR(INDEX(사건마스터!$H$5:$H$64,MATCH($F437,사건마스터!$A$5:$A$64,0)),""))</f>
        <v/>
      </c>
      <c r="J437" s="48">
        <f>IF($F437="","",IFERROR(INDEX(사건마스터!$AH$5:$AH$64,MATCH($F437,사건마스터!$A$5:$A$64,0)),""))</f>
        <v/>
      </c>
      <c r="K437" s="48">
        <f>IF($F437="","",IFERROR(INDEX(사건마스터!$AI$5:$AI$64,MATCH($F437,사건마스터!$A$5:$A$64,0)),""))</f>
        <v/>
      </c>
      <c r="L437" s="48">
        <f>IF($F437="","",IFERROR(INDEX(사건마스터!$AJ$5:$AJ$64,MATCH($F437,사건마스터!$A$5:$A$64,0)),""))</f>
        <v/>
      </c>
      <c r="M437" s="48">
        <f>IF($F437="","",IFERROR(INDEX(사건마스터!$AK$5:$AK$64,MATCH($F437,사건마스터!$A$5:$A$64,0)),""))</f>
        <v/>
      </c>
      <c r="N437" s="48">
        <f>IF($F437="","",IFERROR(INDEX(사건마스터!$AL$5:$AL$64,MATCH($F437,사건마스터!$A$5:$A$64,0)),""))</f>
        <v/>
      </c>
      <c r="O437" s="43">
        <f>IF($I437="","",COUNTIF($I437:$N437,"?*"))</f>
        <v/>
      </c>
      <c r="P437" s="46">
        <f>IF($I437="","",_xlfn.TEXTJOIN(", ",TRUE,$I437:$N437))</f>
        <v/>
      </c>
      <c r="Q437" s="47">
        <f>IF($I437="","",IFERROR(INDEX(코드설정!$D$5:$D$24,MATCH($I437,코드설정!$C$5:$C$24,0)),""))</f>
        <v/>
      </c>
      <c r="R437" s="49" t="n"/>
      <c r="S437" s="50" t="n"/>
      <c r="T437" s="51" t="n"/>
      <c r="U437" s="43">
        <f>IF(OR($B437="",$C437=""),"",$C437-$B437+1)</f>
        <v/>
      </c>
      <c r="V437" s="52" t="n"/>
      <c r="W437" s="53">
        <f>IF(OR($V437="",$O437=""),"",$V437*$O437)</f>
        <v/>
      </c>
      <c r="X437" s="45" t="n"/>
      <c r="Y437" s="49" t="n"/>
    </row>
    <row r="438">
      <c r="A438" s="43">
        <f>IF($B438="","",COUNT($B$5:$B438))</f>
        <v/>
      </c>
      <c r="B438" s="44" t="n"/>
      <c r="C438" s="44" t="n"/>
      <c r="D438" s="45" t="n"/>
      <c r="E438" s="45" t="n"/>
      <c r="F438" s="45" t="n"/>
      <c r="G438" s="46">
        <f>IF($F438="","",IFERROR(INDEX(사건마스터!$B$5:$B$64,MATCH($F438,사건마스터!$A$5:$A$64,0)),""))</f>
        <v/>
      </c>
      <c r="H438" s="47">
        <f>IF($F438="","",IFERROR(INDEX(사건마스터!$C$5:$C$64,MATCH($F438,사건마스터!$A$5:$A$64,0)),""))</f>
        <v/>
      </c>
      <c r="I438" s="48">
        <f>IF($F438="","",IFERROR(INDEX(사건마스터!$H$5:$H$64,MATCH($F438,사건마스터!$A$5:$A$64,0)),""))</f>
        <v/>
      </c>
      <c r="J438" s="48">
        <f>IF($F438="","",IFERROR(INDEX(사건마스터!$AH$5:$AH$64,MATCH($F438,사건마스터!$A$5:$A$64,0)),""))</f>
        <v/>
      </c>
      <c r="K438" s="48">
        <f>IF($F438="","",IFERROR(INDEX(사건마스터!$AI$5:$AI$64,MATCH($F438,사건마스터!$A$5:$A$64,0)),""))</f>
        <v/>
      </c>
      <c r="L438" s="48">
        <f>IF($F438="","",IFERROR(INDEX(사건마스터!$AJ$5:$AJ$64,MATCH($F438,사건마스터!$A$5:$A$64,0)),""))</f>
        <v/>
      </c>
      <c r="M438" s="48">
        <f>IF($F438="","",IFERROR(INDEX(사건마스터!$AK$5:$AK$64,MATCH($F438,사건마스터!$A$5:$A$64,0)),""))</f>
        <v/>
      </c>
      <c r="N438" s="48">
        <f>IF($F438="","",IFERROR(INDEX(사건마스터!$AL$5:$AL$64,MATCH($F438,사건마스터!$A$5:$A$64,0)),""))</f>
        <v/>
      </c>
      <c r="O438" s="43">
        <f>IF($I438="","",COUNTIF($I438:$N438,"?*"))</f>
        <v/>
      </c>
      <c r="P438" s="46">
        <f>IF($I438="","",_xlfn.TEXTJOIN(", ",TRUE,$I438:$N438))</f>
        <v/>
      </c>
      <c r="Q438" s="47">
        <f>IF($I438="","",IFERROR(INDEX(코드설정!$D$5:$D$24,MATCH($I438,코드설정!$C$5:$C$24,0)),""))</f>
        <v/>
      </c>
      <c r="R438" s="49" t="n"/>
      <c r="S438" s="50" t="n"/>
      <c r="T438" s="51" t="n"/>
      <c r="U438" s="43">
        <f>IF(OR($B438="",$C438=""),"",$C438-$B438+1)</f>
        <v/>
      </c>
      <c r="V438" s="52" t="n"/>
      <c r="W438" s="53">
        <f>IF(OR($V438="",$O438=""),"",$V438*$O438)</f>
        <v/>
      </c>
      <c r="X438" s="45" t="n"/>
      <c r="Y438" s="49" t="n"/>
    </row>
    <row r="439">
      <c r="A439" s="43">
        <f>IF($B439="","",COUNT($B$5:$B439))</f>
        <v/>
      </c>
      <c r="B439" s="44" t="n"/>
      <c r="C439" s="44" t="n"/>
      <c r="D439" s="45" t="n"/>
      <c r="E439" s="45" t="n"/>
      <c r="F439" s="45" t="n"/>
      <c r="G439" s="46">
        <f>IF($F439="","",IFERROR(INDEX(사건마스터!$B$5:$B$64,MATCH($F439,사건마스터!$A$5:$A$64,0)),""))</f>
        <v/>
      </c>
      <c r="H439" s="47">
        <f>IF($F439="","",IFERROR(INDEX(사건마스터!$C$5:$C$64,MATCH($F439,사건마스터!$A$5:$A$64,0)),""))</f>
        <v/>
      </c>
      <c r="I439" s="48">
        <f>IF($F439="","",IFERROR(INDEX(사건마스터!$H$5:$H$64,MATCH($F439,사건마스터!$A$5:$A$64,0)),""))</f>
        <v/>
      </c>
      <c r="J439" s="48">
        <f>IF($F439="","",IFERROR(INDEX(사건마스터!$AH$5:$AH$64,MATCH($F439,사건마스터!$A$5:$A$64,0)),""))</f>
        <v/>
      </c>
      <c r="K439" s="48">
        <f>IF($F439="","",IFERROR(INDEX(사건마스터!$AI$5:$AI$64,MATCH($F439,사건마스터!$A$5:$A$64,0)),""))</f>
        <v/>
      </c>
      <c r="L439" s="48">
        <f>IF($F439="","",IFERROR(INDEX(사건마스터!$AJ$5:$AJ$64,MATCH($F439,사건마스터!$A$5:$A$64,0)),""))</f>
        <v/>
      </c>
      <c r="M439" s="48">
        <f>IF($F439="","",IFERROR(INDEX(사건마스터!$AK$5:$AK$64,MATCH($F439,사건마스터!$A$5:$A$64,0)),""))</f>
        <v/>
      </c>
      <c r="N439" s="48">
        <f>IF($F439="","",IFERROR(INDEX(사건마스터!$AL$5:$AL$64,MATCH($F439,사건마스터!$A$5:$A$64,0)),""))</f>
        <v/>
      </c>
      <c r="O439" s="43">
        <f>IF($I439="","",COUNTIF($I439:$N439,"?*"))</f>
        <v/>
      </c>
      <c r="P439" s="46">
        <f>IF($I439="","",_xlfn.TEXTJOIN(", ",TRUE,$I439:$N439))</f>
        <v/>
      </c>
      <c r="Q439" s="47">
        <f>IF($I439="","",IFERROR(INDEX(코드설정!$D$5:$D$24,MATCH($I439,코드설정!$C$5:$C$24,0)),""))</f>
        <v/>
      </c>
      <c r="R439" s="49" t="n"/>
      <c r="S439" s="50" t="n"/>
      <c r="T439" s="51" t="n"/>
      <c r="U439" s="43">
        <f>IF(OR($B439="",$C439=""),"",$C439-$B439+1)</f>
        <v/>
      </c>
      <c r="V439" s="52" t="n"/>
      <c r="W439" s="53">
        <f>IF(OR($V439="",$O439=""),"",$V439*$O439)</f>
        <v/>
      </c>
      <c r="X439" s="45" t="n"/>
      <c r="Y439" s="49" t="n"/>
    </row>
    <row r="440">
      <c r="A440" s="43">
        <f>IF($B440="","",COUNT($B$5:$B440))</f>
        <v/>
      </c>
      <c r="B440" s="44" t="n"/>
      <c r="C440" s="44" t="n"/>
      <c r="D440" s="45" t="n"/>
      <c r="E440" s="45" t="n"/>
      <c r="F440" s="45" t="n"/>
      <c r="G440" s="46">
        <f>IF($F440="","",IFERROR(INDEX(사건마스터!$B$5:$B$64,MATCH($F440,사건마스터!$A$5:$A$64,0)),""))</f>
        <v/>
      </c>
      <c r="H440" s="47">
        <f>IF($F440="","",IFERROR(INDEX(사건마스터!$C$5:$C$64,MATCH($F440,사건마스터!$A$5:$A$64,0)),""))</f>
        <v/>
      </c>
      <c r="I440" s="48">
        <f>IF($F440="","",IFERROR(INDEX(사건마스터!$H$5:$H$64,MATCH($F440,사건마스터!$A$5:$A$64,0)),""))</f>
        <v/>
      </c>
      <c r="J440" s="48">
        <f>IF($F440="","",IFERROR(INDEX(사건마스터!$AH$5:$AH$64,MATCH($F440,사건마스터!$A$5:$A$64,0)),""))</f>
        <v/>
      </c>
      <c r="K440" s="48">
        <f>IF($F440="","",IFERROR(INDEX(사건마스터!$AI$5:$AI$64,MATCH($F440,사건마스터!$A$5:$A$64,0)),""))</f>
        <v/>
      </c>
      <c r="L440" s="48">
        <f>IF($F440="","",IFERROR(INDEX(사건마스터!$AJ$5:$AJ$64,MATCH($F440,사건마스터!$A$5:$A$64,0)),""))</f>
        <v/>
      </c>
      <c r="M440" s="48">
        <f>IF($F440="","",IFERROR(INDEX(사건마스터!$AK$5:$AK$64,MATCH($F440,사건마스터!$A$5:$A$64,0)),""))</f>
        <v/>
      </c>
      <c r="N440" s="48">
        <f>IF($F440="","",IFERROR(INDEX(사건마스터!$AL$5:$AL$64,MATCH($F440,사건마스터!$A$5:$A$64,0)),""))</f>
        <v/>
      </c>
      <c r="O440" s="43">
        <f>IF($I440="","",COUNTIF($I440:$N440,"?*"))</f>
        <v/>
      </c>
      <c r="P440" s="46">
        <f>IF($I440="","",_xlfn.TEXTJOIN(", ",TRUE,$I440:$N440))</f>
        <v/>
      </c>
      <c r="Q440" s="47">
        <f>IF($I440="","",IFERROR(INDEX(코드설정!$D$5:$D$24,MATCH($I440,코드설정!$C$5:$C$24,0)),""))</f>
        <v/>
      </c>
      <c r="R440" s="49" t="n"/>
      <c r="S440" s="50" t="n"/>
      <c r="T440" s="51" t="n"/>
      <c r="U440" s="43">
        <f>IF(OR($B440="",$C440=""),"",$C440-$B440+1)</f>
        <v/>
      </c>
      <c r="V440" s="52" t="n"/>
      <c r="W440" s="53">
        <f>IF(OR($V440="",$O440=""),"",$V440*$O440)</f>
        <v/>
      </c>
      <c r="X440" s="45" t="n"/>
      <c r="Y440" s="49" t="n"/>
    </row>
    <row r="441">
      <c r="A441" s="43">
        <f>IF($B441="","",COUNT($B$5:$B441))</f>
        <v/>
      </c>
      <c r="B441" s="44" t="n"/>
      <c r="C441" s="44" t="n"/>
      <c r="D441" s="45" t="n"/>
      <c r="E441" s="45" t="n"/>
      <c r="F441" s="45" t="n"/>
      <c r="G441" s="46">
        <f>IF($F441="","",IFERROR(INDEX(사건마스터!$B$5:$B$64,MATCH($F441,사건마스터!$A$5:$A$64,0)),""))</f>
        <v/>
      </c>
      <c r="H441" s="47">
        <f>IF($F441="","",IFERROR(INDEX(사건마스터!$C$5:$C$64,MATCH($F441,사건마스터!$A$5:$A$64,0)),""))</f>
        <v/>
      </c>
      <c r="I441" s="48">
        <f>IF($F441="","",IFERROR(INDEX(사건마스터!$H$5:$H$64,MATCH($F441,사건마스터!$A$5:$A$64,0)),""))</f>
        <v/>
      </c>
      <c r="J441" s="48">
        <f>IF($F441="","",IFERROR(INDEX(사건마스터!$AH$5:$AH$64,MATCH($F441,사건마스터!$A$5:$A$64,0)),""))</f>
        <v/>
      </c>
      <c r="K441" s="48">
        <f>IF($F441="","",IFERROR(INDEX(사건마스터!$AI$5:$AI$64,MATCH($F441,사건마스터!$A$5:$A$64,0)),""))</f>
        <v/>
      </c>
      <c r="L441" s="48">
        <f>IF($F441="","",IFERROR(INDEX(사건마스터!$AJ$5:$AJ$64,MATCH($F441,사건마스터!$A$5:$A$64,0)),""))</f>
        <v/>
      </c>
      <c r="M441" s="48">
        <f>IF($F441="","",IFERROR(INDEX(사건마스터!$AK$5:$AK$64,MATCH($F441,사건마스터!$A$5:$A$64,0)),""))</f>
        <v/>
      </c>
      <c r="N441" s="48">
        <f>IF($F441="","",IFERROR(INDEX(사건마스터!$AL$5:$AL$64,MATCH($F441,사건마스터!$A$5:$A$64,0)),""))</f>
        <v/>
      </c>
      <c r="O441" s="43">
        <f>IF($I441="","",COUNTIF($I441:$N441,"?*"))</f>
        <v/>
      </c>
      <c r="P441" s="46">
        <f>IF($I441="","",_xlfn.TEXTJOIN(", ",TRUE,$I441:$N441))</f>
        <v/>
      </c>
      <c r="Q441" s="47">
        <f>IF($I441="","",IFERROR(INDEX(코드설정!$D$5:$D$24,MATCH($I441,코드설정!$C$5:$C$24,0)),""))</f>
        <v/>
      </c>
      <c r="R441" s="49" t="n"/>
      <c r="S441" s="50" t="n"/>
      <c r="T441" s="51" t="n"/>
      <c r="U441" s="43">
        <f>IF(OR($B441="",$C441=""),"",$C441-$B441+1)</f>
        <v/>
      </c>
      <c r="V441" s="52" t="n"/>
      <c r="W441" s="53">
        <f>IF(OR($V441="",$O441=""),"",$V441*$O441)</f>
        <v/>
      </c>
      <c r="X441" s="45" t="n"/>
      <c r="Y441" s="49" t="n"/>
    </row>
    <row r="442">
      <c r="A442" s="43">
        <f>IF($B442="","",COUNT($B$5:$B442))</f>
        <v/>
      </c>
      <c r="B442" s="44" t="n"/>
      <c r="C442" s="44" t="n"/>
      <c r="D442" s="45" t="n"/>
      <c r="E442" s="45" t="n"/>
      <c r="F442" s="45" t="n"/>
      <c r="G442" s="46">
        <f>IF($F442="","",IFERROR(INDEX(사건마스터!$B$5:$B$64,MATCH($F442,사건마스터!$A$5:$A$64,0)),""))</f>
        <v/>
      </c>
      <c r="H442" s="47">
        <f>IF($F442="","",IFERROR(INDEX(사건마스터!$C$5:$C$64,MATCH($F442,사건마스터!$A$5:$A$64,0)),""))</f>
        <v/>
      </c>
      <c r="I442" s="48">
        <f>IF($F442="","",IFERROR(INDEX(사건마스터!$H$5:$H$64,MATCH($F442,사건마스터!$A$5:$A$64,0)),""))</f>
        <v/>
      </c>
      <c r="J442" s="48">
        <f>IF($F442="","",IFERROR(INDEX(사건마스터!$AH$5:$AH$64,MATCH($F442,사건마스터!$A$5:$A$64,0)),""))</f>
        <v/>
      </c>
      <c r="K442" s="48">
        <f>IF($F442="","",IFERROR(INDEX(사건마스터!$AI$5:$AI$64,MATCH($F442,사건마스터!$A$5:$A$64,0)),""))</f>
        <v/>
      </c>
      <c r="L442" s="48">
        <f>IF($F442="","",IFERROR(INDEX(사건마스터!$AJ$5:$AJ$64,MATCH($F442,사건마스터!$A$5:$A$64,0)),""))</f>
        <v/>
      </c>
      <c r="M442" s="48">
        <f>IF($F442="","",IFERROR(INDEX(사건마스터!$AK$5:$AK$64,MATCH($F442,사건마스터!$A$5:$A$64,0)),""))</f>
        <v/>
      </c>
      <c r="N442" s="48">
        <f>IF($F442="","",IFERROR(INDEX(사건마스터!$AL$5:$AL$64,MATCH($F442,사건마스터!$A$5:$A$64,0)),""))</f>
        <v/>
      </c>
      <c r="O442" s="43">
        <f>IF($I442="","",COUNTIF($I442:$N442,"?*"))</f>
        <v/>
      </c>
      <c r="P442" s="46">
        <f>IF($I442="","",_xlfn.TEXTJOIN(", ",TRUE,$I442:$N442))</f>
        <v/>
      </c>
      <c r="Q442" s="47">
        <f>IF($I442="","",IFERROR(INDEX(코드설정!$D$5:$D$24,MATCH($I442,코드설정!$C$5:$C$24,0)),""))</f>
        <v/>
      </c>
      <c r="R442" s="49" t="n"/>
      <c r="S442" s="50" t="n"/>
      <c r="T442" s="51" t="n"/>
      <c r="U442" s="43">
        <f>IF(OR($B442="",$C442=""),"",$C442-$B442+1)</f>
        <v/>
      </c>
      <c r="V442" s="52" t="n"/>
      <c r="W442" s="53">
        <f>IF(OR($V442="",$O442=""),"",$V442*$O442)</f>
        <v/>
      </c>
      <c r="X442" s="45" t="n"/>
      <c r="Y442" s="49" t="n"/>
    </row>
    <row r="443">
      <c r="A443" s="43">
        <f>IF($B443="","",COUNT($B$5:$B443))</f>
        <v/>
      </c>
      <c r="B443" s="44" t="n"/>
      <c r="C443" s="44" t="n"/>
      <c r="D443" s="45" t="n"/>
      <c r="E443" s="45" t="n"/>
      <c r="F443" s="45" t="n"/>
      <c r="G443" s="46">
        <f>IF($F443="","",IFERROR(INDEX(사건마스터!$B$5:$B$64,MATCH($F443,사건마스터!$A$5:$A$64,0)),""))</f>
        <v/>
      </c>
      <c r="H443" s="47">
        <f>IF($F443="","",IFERROR(INDEX(사건마스터!$C$5:$C$64,MATCH($F443,사건마스터!$A$5:$A$64,0)),""))</f>
        <v/>
      </c>
      <c r="I443" s="48">
        <f>IF($F443="","",IFERROR(INDEX(사건마스터!$H$5:$H$64,MATCH($F443,사건마스터!$A$5:$A$64,0)),""))</f>
        <v/>
      </c>
      <c r="J443" s="48">
        <f>IF($F443="","",IFERROR(INDEX(사건마스터!$AH$5:$AH$64,MATCH($F443,사건마스터!$A$5:$A$64,0)),""))</f>
        <v/>
      </c>
      <c r="K443" s="48">
        <f>IF($F443="","",IFERROR(INDEX(사건마스터!$AI$5:$AI$64,MATCH($F443,사건마스터!$A$5:$A$64,0)),""))</f>
        <v/>
      </c>
      <c r="L443" s="48">
        <f>IF($F443="","",IFERROR(INDEX(사건마스터!$AJ$5:$AJ$64,MATCH($F443,사건마스터!$A$5:$A$64,0)),""))</f>
        <v/>
      </c>
      <c r="M443" s="48">
        <f>IF($F443="","",IFERROR(INDEX(사건마스터!$AK$5:$AK$64,MATCH($F443,사건마스터!$A$5:$A$64,0)),""))</f>
        <v/>
      </c>
      <c r="N443" s="48">
        <f>IF($F443="","",IFERROR(INDEX(사건마스터!$AL$5:$AL$64,MATCH($F443,사건마스터!$A$5:$A$64,0)),""))</f>
        <v/>
      </c>
      <c r="O443" s="43">
        <f>IF($I443="","",COUNTIF($I443:$N443,"?*"))</f>
        <v/>
      </c>
      <c r="P443" s="46">
        <f>IF($I443="","",_xlfn.TEXTJOIN(", ",TRUE,$I443:$N443))</f>
        <v/>
      </c>
      <c r="Q443" s="47">
        <f>IF($I443="","",IFERROR(INDEX(코드설정!$D$5:$D$24,MATCH($I443,코드설정!$C$5:$C$24,0)),""))</f>
        <v/>
      </c>
      <c r="R443" s="49" t="n"/>
      <c r="S443" s="50" t="n"/>
      <c r="T443" s="51" t="n"/>
      <c r="U443" s="43">
        <f>IF(OR($B443="",$C443=""),"",$C443-$B443+1)</f>
        <v/>
      </c>
      <c r="V443" s="52" t="n"/>
      <c r="W443" s="53">
        <f>IF(OR($V443="",$O443=""),"",$V443*$O443)</f>
        <v/>
      </c>
      <c r="X443" s="45" t="n"/>
      <c r="Y443" s="49" t="n"/>
    </row>
    <row r="444">
      <c r="A444" s="43">
        <f>IF($B444="","",COUNT($B$5:$B444))</f>
        <v/>
      </c>
      <c r="B444" s="44" t="n"/>
      <c r="C444" s="44" t="n"/>
      <c r="D444" s="45" t="n"/>
      <c r="E444" s="45" t="n"/>
      <c r="F444" s="45" t="n"/>
      <c r="G444" s="46">
        <f>IF($F444="","",IFERROR(INDEX(사건마스터!$B$5:$B$64,MATCH($F444,사건마스터!$A$5:$A$64,0)),""))</f>
        <v/>
      </c>
      <c r="H444" s="47">
        <f>IF($F444="","",IFERROR(INDEX(사건마스터!$C$5:$C$64,MATCH($F444,사건마스터!$A$5:$A$64,0)),""))</f>
        <v/>
      </c>
      <c r="I444" s="48">
        <f>IF($F444="","",IFERROR(INDEX(사건마스터!$H$5:$H$64,MATCH($F444,사건마스터!$A$5:$A$64,0)),""))</f>
        <v/>
      </c>
      <c r="J444" s="48">
        <f>IF($F444="","",IFERROR(INDEX(사건마스터!$AH$5:$AH$64,MATCH($F444,사건마스터!$A$5:$A$64,0)),""))</f>
        <v/>
      </c>
      <c r="K444" s="48">
        <f>IF($F444="","",IFERROR(INDEX(사건마스터!$AI$5:$AI$64,MATCH($F444,사건마스터!$A$5:$A$64,0)),""))</f>
        <v/>
      </c>
      <c r="L444" s="48">
        <f>IF($F444="","",IFERROR(INDEX(사건마스터!$AJ$5:$AJ$64,MATCH($F444,사건마스터!$A$5:$A$64,0)),""))</f>
        <v/>
      </c>
      <c r="M444" s="48">
        <f>IF($F444="","",IFERROR(INDEX(사건마스터!$AK$5:$AK$64,MATCH($F444,사건마스터!$A$5:$A$64,0)),""))</f>
        <v/>
      </c>
      <c r="N444" s="48">
        <f>IF($F444="","",IFERROR(INDEX(사건마스터!$AL$5:$AL$64,MATCH($F444,사건마스터!$A$5:$A$64,0)),""))</f>
        <v/>
      </c>
      <c r="O444" s="43">
        <f>IF($I444="","",COUNTIF($I444:$N444,"?*"))</f>
        <v/>
      </c>
      <c r="P444" s="46">
        <f>IF($I444="","",_xlfn.TEXTJOIN(", ",TRUE,$I444:$N444))</f>
        <v/>
      </c>
      <c r="Q444" s="47">
        <f>IF($I444="","",IFERROR(INDEX(코드설정!$D$5:$D$24,MATCH($I444,코드설정!$C$5:$C$24,0)),""))</f>
        <v/>
      </c>
      <c r="R444" s="49" t="n"/>
      <c r="S444" s="50" t="n"/>
      <c r="T444" s="51" t="n"/>
      <c r="U444" s="43">
        <f>IF(OR($B444="",$C444=""),"",$C444-$B444+1)</f>
        <v/>
      </c>
      <c r="V444" s="52" t="n"/>
      <c r="W444" s="53">
        <f>IF(OR($V444="",$O444=""),"",$V444*$O444)</f>
        <v/>
      </c>
      <c r="X444" s="45" t="n"/>
      <c r="Y444" s="49" t="n"/>
    </row>
    <row r="445">
      <c r="A445" s="43">
        <f>IF($B445="","",COUNT($B$5:$B445))</f>
        <v/>
      </c>
      <c r="B445" s="44" t="n"/>
      <c r="C445" s="44" t="n"/>
      <c r="D445" s="45" t="n"/>
      <c r="E445" s="45" t="n"/>
      <c r="F445" s="45" t="n"/>
      <c r="G445" s="46">
        <f>IF($F445="","",IFERROR(INDEX(사건마스터!$B$5:$B$64,MATCH($F445,사건마스터!$A$5:$A$64,0)),""))</f>
        <v/>
      </c>
      <c r="H445" s="47">
        <f>IF($F445="","",IFERROR(INDEX(사건마스터!$C$5:$C$64,MATCH($F445,사건마스터!$A$5:$A$64,0)),""))</f>
        <v/>
      </c>
      <c r="I445" s="48">
        <f>IF($F445="","",IFERROR(INDEX(사건마스터!$H$5:$H$64,MATCH($F445,사건마스터!$A$5:$A$64,0)),""))</f>
        <v/>
      </c>
      <c r="J445" s="48">
        <f>IF($F445="","",IFERROR(INDEX(사건마스터!$AH$5:$AH$64,MATCH($F445,사건마스터!$A$5:$A$64,0)),""))</f>
        <v/>
      </c>
      <c r="K445" s="48">
        <f>IF($F445="","",IFERROR(INDEX(사건마스터!$AI$5:$AI$64,MATCH($F445,사건마스터!$A$5:$A$64,0)),""))</f>
        <v/>
      </c>
      <c r="L445" s="48">
        <f>IF($F445="","",IFERROR(INDEX(사건마스터!$AJ$5:$AJ$64,MATCH($F445,사건마스터!$A$5:$A$64,0)),""))</f>
        <v/>
      </c>
      <c r="M445" s="48">
        <f>IF($F445="","",IFERROR(INDEX(사건마스터!$AK$5:$AK$64,MATCH($F445,사건마스터!$A$5:$A$64,0)),""))</f>
        <v/>
      </c>
      <c r="N445" s="48">
        <f>IF($F445="","",IFERROR(INDEX(사건마스터!$AL$5:$AL$64,MATCH($F445,사건마스터!$A$5:$A$64,0)),""))</f>
        <v/>
      </c>
      <c r="O445" s="43">
        <f>IF($I445="","",COUNTIF($I445:$N445,"?*"))</f>
        <v/>
      </c>
      <c r="P445" s="46">
        <f>IF($I445="","",_xlfn.TEXTJOIN(", ",TRUE,$I445:$N445))</f>
        <v/>
      </c>
      <c r="Q445" s="47">
        <f>IF($I445="","",IFERROR(INDEX(코드설정!$D$5:$D$24,MATCH($I445,코드설정!$C$5:$C$24,0)),""))</f>
        <v/>
      </c>
      <c r="R445" s="49" t="n"/>
      <c r="S445" s="50" t="n"/>
      <c r="T445" s="51" t="n"/>
      <c r="U445" s="43">
        <f>IF(OR($B445="",$C445=""),"",$C445-$B445+1)</f>
        <v/>
      </c>
      <c r="V445" s="52" t="n"/>
      <c r="W445" s="53">
        <f>IF(OR($V445="",$O445=""),"",$V445*$O445)</f>
        <v/>
      </c>
      <c r="X445" s="45" t="n"/>
      <c r="Y445" s="49" t="n"/>
    </row>
    <row r="446">
      <c r="A446" s="43">
        <f>IF($B446="","",COUNT($B$5:$B446))</f>
        <v/>
      </c>
      <c r="B446" s="44" t="n"/>
      <c r="C446" s="44" t="n"/>
      <c r="D446" s="45" t="n"/>
      <c r="E446" s="45" t="n"/>
      <c r="F446" s="45" t="n"/>
      <c r="G446" s="46">
        <f>IF($F446="","",IFERROR(INDEX(사건마스터!$B$5:$B$64,MATCH($F446,사건마스터!$A$5:$A$64,0)),""))</f>
        <v/>
      </c>
      <c r="H446" s="47">
        <f>IF($F446="","",IFERROR(INDEX(사건마스터!$C$5:$C$64,MATCH($F446,사건마스터!$A$5:$A$64,0)),""))</f>
        <v/>
      </c>
      <c r="I446" s="48">
        <f>IF($F446="","",IFERROR(INDEX(사건마스터!$H$5:$H$64,MATCH($F446,사건마스터!$A$5:$A$64,0)),""))</f>
        <v/>
      </c>
      <c r="J446" s="48">
        <f>IF($F446="","",IFERROR(INDEX(사건마스터!$AH$5:$AH$64,MATCH($F446,사건마스터!$A$5:$A$64,0)),""))</f>
        <v/>
      </c>
      <c r="K446" s="48">
        <f>IF($F446="","",IFERROR(INDEX(사건마스터!$AI$5:$AI$64,MATCH($F446,사건마스터!$A$5:$A$64,0)),""))</f>
        <v/>
      </c>
      <c r="L446" s="48">
        <f>IF($F446="","",IFERROR(INDEX(사건마스터!$AJ$5:$AJ$64,MATCH($F446,사건마스터!$A$5:$A$64,0)),""))</f>
        <v/>
      </c>
      <c r="M446" s="48">
        <f>IF($F446="","",IFERROR(INDEX(사건마스터!$AK$5:$AK$64,MATCH($F446,사건마스터!$A$5:$A$64,0)),""))</f>
        <v/>
      </c>
      <c r="N446" s="48">
        <f>IF($F446="","",IFERROR(INDEX(사건마스터!$AL$5:$AL$64,MATCH($F446,사건마스터!$A$5:$A$64,0)),""))</f>
        <v/>
      </c>
      <c r="O446" s="43">
        <f>IF($I446="","",COUNTIF($I446:$N446,"?*"))</f>
        <v/>
      </c>
      <c r="P446" s="46">
        <f>IF($I446="","",_xlfn.TEXTJOIN(", ",TRUE,$I446:$N446))</f>
        <v/>
      </c>
      <c r="Q446" s="47">
        <f>IF($I446="","",IFERROR(INDEX(코드설정!$D$5:$D$24,MATCH($I446,코드설정!$C$5:$C$24,0)),""))</f>
        <v/>
      </c>
      <c r="R446" s="49" t="n"/>
      <c r="S446" s="50" t="n"/>
      <c r="T446" s="51" t="n"/>
      <c r="U446" s="43">
        <f>IF(OR($B446="",$C446=""),"",$C446-$B446+1)</f>
        <v/>
      </c>
      <c r="V446" s="52" t="n"/>
      <c r="W446" s="53">
        <f>IF(OR($V446="",$O446=""),"",$V446*$O446)</f>
        <v/>
      </c>
      <c r="X446" s="45" t="n"/>
      <c r="Y446" s="49" t="n"/>
    </row>
    <row r="447">
      <c r="A447" s="43">
        <f>IF($B447="","",COUNT($B$5:$B447))</f>
        <v/>
      </c>
      <c r="B447" s="44" t="n"/>
      <c r="C447" s="44" t="n"/>
      <c r="D447" s="45" t="n"/>
      <c r="E447" s="45" t="n"/>
      <c r="F447" s="45" t="n"/>
      <c r="G447" s="46">
        <f>IF($F447="","",IFERROR(INDEX(사건마스터!$B$5:$B$64,MATCH($F447,사건마스터!$A$5:$A$64,0)),""))</f>
        <v/>
      </c>
      <c r="H447" s="47">
        <f>IF($F447="","",IFERROR(INDEX(사건마스터!$C$5:$C$64,MATCH($F447,사건마스터!$A$5:$A$64,0)),""))</f>
        <v/>
      </c>
      <c r="I447" s="48">
        <f>IF($F447="","",IFERROR(INDEX(사건마스터!$H$5:$H$64,MATCH($F447,사건마스터!$A$5:$A$64,0)),""))</f>
        <v/>
      </c>
      <c r="J447" s="48">
        <f>IF($F447="","",IFERROR(INDEX(사건마스터!$AH$5:$AH$64,MATCH($F447,사건마스터!$A$5:$A$64,0)),""))</f>
        <v/>
      </c>
      <c r="K447" s="48">
        <f>IF($F447="","",IFERROR(INDEX(사건마스터!$AI$5:$AI$64,MATCH($F447,사건마스터!$A$5:$A$64,0)),""))</f>
        <v/>
      </c>
      <c r="L447" s="48">
        <f>IF($F447="","",IFERROR(INDEX(사건마스터!$AJ$5:$AJ$64,MATCH($F447,사건마스터!$A$5:$A$64,0)),""))</f>
        <v/>
      </c>
      <c r="M447" s="48">
        <f>IF($F447="","",IFERROR(INDEX(사건마스터!$AK$5:$AK$64,MATCH($F447,사건마스터!$A$5:$A$64,0)),""))</f>
        <v/>
      </c>
      <c r="N447" s="48">
        <f>IF($F447="","",IFERROR(INDEX(사건마스터!$AL$5:$AL$64,MATCH($F447,사건마스터!$A$5:$A$64,0)),""))</f>
        <v/>
      </c>
      <c r="O447" s="43">
        <f>IF($I447="","",COUNTIF($I447:$N447,"?*"))</f>
        <v/>
      </c>
      <c r="P447" s="46">
        <f>IF($I447="","",_xlfn.TEXTJOIN(", ",TRUE,$I447:$N447))</f>
        <v/>
      </c>
      <c r="Q447" s="47">
        <f>IF($I447="","",IFERROR(INDEX(코드설정!$D$5:$D$24,MATCH($I447,코드설정!$C$5:$C$24,0)),""))</f>
        <v/>
      </c>
      <c r="R447" s="49" t="n"/>
      <c r="S447" s="50" t="n"/>
      <c r="T447" s="51" t="n"/>
      <c r="U447" s="43">
        <f>IF(OR($B447="",$C447=""),"",$C447-$B447+1)</f>
        <v/>
      </c>
      <c r="V447" s="52" t="n"/>
      <c r="W447" s="53">
        <f>IF(OR($V447="",$O447=""),"",$V447*$O447)</f>
        <v/>
      </c>
      <c r="X447" s="45" t="n"/>
      <c r="Y447" s="49" t="n"/>
    </row>
    <row r="448">
      <c r="A448" s="43">
        <f>IF($B448="","",COUNT($B$5:$B448))</f>
        <v/>
      </c>
      <c r="B448" s="44" t="n"/>
      <c r="C448" s="44" t="n"/>
      <c r="D448" s="45" t="n"/>
      <c r="E448" s="45" t="n"/>
      <c r="F448" s="45" t="n"/>
      <c r="G448" s="46">
        <f>IF($F448="","",IFERROR(INDEX(사건마스터!$B$5:$B$64,MATCH($F448,사건마스터!$A$5:$A$64,0)),""))</f>
        <v/>
      </c>
      <c r="H448" s="47">
        <f>IF($F448="","",IFERROR(INDEX(사건마스터!$C$5:$C$64,MATCH($F448,사건마스터!$A$5:$A$64,0)),""))</f>
        <v/>
      </c>
      <c r="I448" s="48">
        <f>IF($F448="","",IFERROR(INDEX(사건마스터!$H$5:$H$64,MATCH($F448,사건마스터!$A$5:$A$64,0)),""))</f>
        <v/>
      </c>
      <c r="J448" s="48">
        <f>IF($F448="","",IFERROR(INDEX(사건마스터!$AH$5:$AH$64,MATCH($F448,사건마스터!$A$5:$A$64,0)),""))</f>
        <v/>
      </c>
      <c r="K448" s="48">
        <f>IF($F448="","",IFERROR(INDEX(사건마스터!$AI$5:$AI$64,MATCH($F448,사건마스터!$A$5:$A$64,0)),""))</f>
        <v/>
      </c>
      <c r="L448" s="48">
        <f>IF($F448="","",IFERROR(INDEX(사건마스터!$AJ$5:$AJ$64,MATCH($F448,사건마스터!$A$5:$A$64,0)),""))</f>
        <v/>
      </c>
      <c r="M448" s="48">
        <f>IF($F448="","",IFERROR(INDEX(사건마스터!$AK$5:$AK$64,MATCH($F448,사건마스터!$A$5:$A$64,0)),""))</f>
        <v/>
      </c>
      <c r="N448" s="48">
        <f>IF($F448="","",IFERROR(INDEX(사건마스터!$AL$5:$AL$64,MATCH($F448,사건마스터!$A$5:$A$64,0)),""))</f>
        <v/>
      </c>
      <c r="O448" s="43">
        <f>IF($I448="","",COUNTIF($I448:$N448,"?*"))</f>
        <v/>
      </c>
      <c r="P448" s="46">
        <f>IF($I448="","",_xlfn.TEXTJOIN(", ",TRUE,$I448:$N448))</f>
        <v/>
      </c>
      <c r="Q448" s="47">
        <f>IF($I448="","",IFERROR(INDEX(코드설정!$D$5:$D$24,MATCH($I448,코드설정!$C$5:$C$24,0)),""))</f>
        <v/>
      </c>
      <c r="R448" s="49" t="n"/>
      <c r="S448" s="50" t="n"/>
      <c r="T448" s="51" t="n"/>
      <c r="U448" s="43">
        <f>IF(OR($B448="",$C448=""),"",$C448-$B448+1)</f>
        <v/>
      </c>
      <c r="V448" s="52" t="n"/>
      <c r="W448" s="53">
        <f>IF(OR($V448="",$O448=""),"",$V448*$O448)</f>
        <v/>
      </c>
      <c r="X448" s="45" t="n"/>
      <c r="Y448" s="49" t="n"/>
    </row>
    <row r="449">
      <c r="A449" s="43">
        <f>IF($B449="","",COUNT($B$5:$B449))</f>
        <v/>
      </c>
      <c r="B449" s="44" t="n"/>
      <c r="C449" s="44" t="n"/>
      <c r="D449" s="45" t="n"/>
      <c r="E449" s="45" t="n"/>
      <c r="F449" s="45" t="n"/>
      <c r="G449" s="46">
        <f>IF($F449="","",IFERROR(INDEX(사건마스터!$B$5:$B$64,MATCH($F449,사건마스터!$A$5:$A$64,0)),""))</f>
        <v/>
      </c>
      <c r="H449" s="47">
        <f>IF($F449="","",IFERROR(INDEX(사건마스터!$C$5:$C$64,MATCH($F449,사건마스터!$A$5:$A$64,0)),""))</f>
        <v/>
      </c>
      <c r="I449" s="48">
        <f>IF($F449="","",IFERROR(INDEX(사건마스터!$H$5:$H$64,MATCH($F449,사건마스터!$A$5:$A$64,0)),""))</f>
        <v/>
      </c>
      <c r="J449" s="48">
        <f>IF($F449="","",IFERROR(INDEX(사건마스터!$AH$5:$AH$64,MATCH($F449,사건마스터!$A$5:$A$64,0)),""))</f>
        <v/>
      </c>
      <c r="K449" s="48">
        <f>IF($F449="","",IFERROR(INDEX(사건마스터!$AI$5:$AI$64,MATCH($F449,사건마스터!$A$5:$A$64,0)),""))</f>
        <v/>
      </c>
      <c r="L449" s="48">
        <f>IF($F449="","",IFERROR(INDEX(사건마스터!$AJ$5:$AJ$64,MATCH($F449,사건마스터!$A$5:$A$64,0)),""))</f>
        <v/>
      </c>
      <c r="M449" s="48">
        <f>IF($F449="","",IFERROR(INDEX(사건마스터!$AK$5:$AK$64,MATCH($F449,사건마스터!$A$5:$A$64,0)),""))</f>
        <v/>
      </c>
      <c r="N449" s="48">
        <f>IF($F449="","",IFERROR(INDEX(사건마스터!$AL$5:$AL$64,MATCH($F449,사건마스터!$A$5:$A$64,0)),""))</f>
        <v/>
      </c>
      <c r="O449" s="43">
        <f>IF($I449="","",COUNTIF($I449:$N449,"?*"))</f>
        <v/>
      </c>
      <c r="P449" s="46">
        <f>IF($I449="","",_xlfn.TEXTJOIN(", ",TRUE,$I449:$N449))</f>
        <v/>
      </c>
      <c r="Q449" s="47">
        <f>IF($I449="","",IFERROR(INDEX(코드설정!$D$5:$D$24,MATCH($I449,코드설정!$C$5:$C$24,0)),""))</f>
        <v/>
      </c>
      <c r="R449" s="49" t="n"/>
      <c r="S449" s="50" t="n"/>
      <c r="T449" s="51" t="n"/>
      <c r="U449" s="43">
        <f>IF(OR($B449="",$C449=""),"",$C449-$B449+1)</f>
        <v/>
      </c>
      <c r="V449" s="52" t="n"/>
      <c r="W449" s="53">
        <f>IF(OR($V449="",$O449=""),"",$V449*$O449)</f>
        <v/>
      </c>
      <c r="X449" s="45" t="n"/>
      <c r="Y449" s="49" t="n"/>
    </row>
    <row r="450">
      <c r="A450" s="43">
        <f>IF($B450="","",COUNT($B$5:$B450))</f>
        <v/>
      </c>
      <c r="B450" s="44" t="n"/>
      <c r="C450" s="44" t="n"/>
      <c r="D450" s="45" t="n"/>
      <c r="E450" s="45" t="n"/>
      <c r="F450" s="45" t="n"/>
      <c r="G450" s="46">
        <f>IF($F450="","",IFERROR(INDEX(사건마스터!$B$5:$B$64,MATCH($F450,사건마스터!$A$5:$A$64,0)),""))</f>
        <v/>
      </c>
      <c r="H450" s="47">
        <f>IF($F450="","",IFERROR(INDEX(사건마스터!$C$5:$C$64,MATCH($F450,사건마스터!$A$5:$A$64,0)),""))</f>
        <v/>
      </c>
      <c r="I450" s="48">
        <f>IF($F450="","",IFERROR(INDEX(사건마스터!$H$5:$H$64,MATCH($F450,사건마스터!$A$5:$A$64,0)),""))</f>
        <v/>
      </c>
      <c r="J450" s="48">
        <f>IF($F450="","",IFERROR(INDEX(사건마스터!$AH$5:$AH$64,MATCH($F450,사건마스터!$A$5:$A$64,0)),""))</f>
        <v/>
      </c>
      <c r="K450" s="48">
        <f>IF($F450="","",IFERROR(INDEX(사건마스터!$AI$5:$AI$64,MATCH($F450,사건마스터!$A$5:$A$64,0)),""))</f>
        <v/>
      </c>
      <c r="L450" s="48">
        <f>IF($F450="","",IFERROR(INDEX(사건마스터!$AJ$5:$AJ$64,MATCH($F450,사건마스터!$A$5:$A$64,0)),""))</f>
        <v/>
      </c>
      <c r="M450" s="48">
        <f>IF($F450="","",IFERROR(INDEX(사건마스터!$AK$5:$AK$64,MATCH($F450,사건마스터!$A$5:$A$64,0)),""))</f>
        <v/>
      </c>
      <c r="N450" s="48">
        <f>IF($F450="","",IFERROR(INDEX(사건마스터!$AL$5:$AL$64,MATCH($F450,사건마스터!$A$5:$A$64,0)),""))</f>
        <v/>
      </c>
      <c r="O450" s="43">
        <f>IF($I450="","",COUNTIF($I450:$N450,"?*"))</f>
        <v/>
      </c>
      <c r="P450" s="46">
        <f>IF($I450="","",_xlfn.TEXTJOIN(", ",TRUE,$I450:$N450))</f>
        <v/>
      </c>
      <c r="Q450" s="47">
        <f>IF($I450="","",IFERROR(INDEX(코드설정!$D$5:$D$24,MATCH($I450,코드설정!$C$5:$C$24,0)),""))</f>
        <v/>
      </c>
      <c r="R450" s="49" t="n"/>
      <c r="S450" s="50" t="n"/>
      <c r="T450" s="51" t="n"/>
      <c r="U450" s="43">
        <f>IF(OR($B450="",$C450=""),"",$C450-$B450+1)</f>
        <v/>
      </c>
      <c r="V450" s="52" t="n"/>
      <c r="W450" s="53">
        <f>IF(OR($V450="",$O450=""),"",$V450*$O450)</f>
        <v/>
      </c>
      <c r="X450" s="45" t="n"/>
      <c r="Y450" s="49" t="n"/>
    </row>
    <row r="451">
      <c r="A451" s="43">
        <f>IF($B451="","",COUNT($B$5:$B451))</f>
        <v/>
      </c>
      <c r="B451" s="44" t="n"/>
      <c r="C451" s="44" t="n"/>
      <c r="D451" s="45" t="n"/>
      <c r="E451" s="45" t="n"/>
      <c r="F451" s="45" t="n"/>
      <c r="G451" s="46">
        <f>IF($F451="","",IFERROR(INDEX(사건마스터!$B$5:$B$64,MATCH($F451,사건마스터!$A$5:$A$64,0)),""))</f>
        <v/>
      </c>
      <c r="H451" s="47">
        <f>IF($F451="","",IFERROR(INDEX(사건마스터!$C$5:$C$64,MATCH($F451,사건마스터!$A$5:$A$64,0)),""))</f>
        <v/>
      </c>
      <c r="I451" s="48">
        <f>IF($F451="","",IFERROR(INDEX(사건마스터!$H$5:$H$64,MATCH($F451,사건마스터!$A$5:$A$64,0)),""))</f>
        <v/>
      </c>
      <c r="J451" s="48">
        <f>IF($F451="","",IFERROR(INDEX(사건마스터!$AH$5:$AH$64,MATCH($F451,사건마스터!$A$5:$A$64,0)),""))</f>
        <v/>
      </c>
      <c r="K451" s="48">
        <f>IF($F451="","",IFERROR(INDEX(사건마스터!$AI$5:$AI$64,MATCH($F451,사건마스터!$A$5:$A$64,0)),""))</f>
        <v/>
      </c>
      <c r="L451" s="48">
        <f>IF($F451="","",IFERROR(INDEX(사건마스터!$AJ$5:$AJ$64,MATCH($F451,사건마스터!$A$5:$A$64,0)),""))</f>
        <v/>
      </c>
      <c r="M451" s="48">
        <f>IF($F451="","",IFERROR(INDEX(사건마스터!$AK$5:$AK$64,MATCH($F451,사건마스터!$A$5:$A$64,0)),""))</f>
        <v/>
      </c>
      <c r="N451" s="48">
        <f>IF($F451="","",IFERROR(INDEX(사건마스터!$AL$5:$AL$64,MATCH($F451,사건마스터!$A$5:$A$64,0)),""))</f>
        <v/>
      </c>
      <c r="O451" s="43">
        <f>IF($I451="","",COUNTIF($I451:$N451,"?*"))</f>
        <v/>
      </c>
      <c r="P451" s="46">
        <f>IF($I451="","",_xlfn.TEXTJOIN(", ",TRUE,$I451:$N451))</f>
        <v/>
      </c>
      <c r="Q451" s="47">
        <f>IF($I451="","",IFERROR(INDEX(코드설정!$D$5:$D$24,MATCH($I451,코드설정!$C$5:$C$24,0)),""))</f>
        <v/>
      </c>
      <c r="R451" s="49" t="n"/>
      <c r="S451" s="50" t="n"/>
      <c r="T451" s="51" t="n"/>
      <c r="U451" s="43">
        <f>IF(OR($B451="",$C451=""),"",$C451-$B451+1)</f>
        <v/>
      </c>
      <c r="V451" s="52" t="n"/>
      <c r="W451" s="53">
        <f>IF(OR($V451="",$O451=""),"",$V451*$O451)</f>
        <v/>
      </c>
      <c r="X451" s="45" t="n"/>
      <c r="Y451" s="49" t="n"/>
    </row>
    <row r="452">
      <c r="A452" s="43">
        <f>IF($B452="","",COUNT($B$5:$B452))</f>
        <v/>
      </c>
      <c r="B452" s="44" t="n"/>
      <c r="C452" s="44" t="n"/>
      <c r="D452" s="45" t="n"/>
      <c r="E452" s="45" t="n"/>
      <c r="F452" s="45" t="n"/>
      <c r="G452" s="46">
        <f>IF($F452="","",IFERROR(INDEX(사건마스터!$B$5:$B$64,MATCH($F452,사건마스터!$A$5:$A$64,0)),""))</f>
        <v/>
      </c>
      <c r="H452" s="47">
        <f>IF($F452="","",IFERROR(INDEX(사건마스터!$C$5:$C$64,MATCH($F452,사건마스터!$A$5:$A$64,0)),""))</f>
        <v/>
      </c>
      <c r="I452" s="48">
        <f>IF($F452="","",IFERROR(INDEX(사건마스터!$H$5:$H$64,MATCH($F452,사건마스터!$A$5:$A$64,0)),""))</f>
        <v/>
      </c>
      <c r="J452" s="48">
        <f>IF($F452="","",IFERROR(INDEX(사건마스터!$AH$5:$AH$64,MATCH($F452,사건마스터!$A$5:$A$64,0)),""))</f>
        <v/>
      </c>
      <c r="K452" s="48">
        <f>IF($F452="","",IFERROR(INDEX(사건마스터!$AI$5:$AI$64,MATCH($F452,사건마스터!$A$5:$A$64,0)),""))</f>
        <v/>
      </c>
      <c r="L452" s="48">
        <f>IF($F452="","",IFERROR(INDEX(사건마스터!$AJ$5:$AJ$64,MATCH($F452,사건마스터!$A$5:$A$64,0)),""))</f>
        <v/>
      </c>
      <c r="M452" s="48">
        <f>IF($F452="","",IFERROR(INDEX(사건마스터!$AK$5:$AK$64,MATCH($F452,사건마스터!$A$5:$A$64,0)),""))</f>
        <v/>
      </c>
      <c r="N452" s="48">
        <f>IF($F452="","",IFERROR(INDEX(사건마스터!$AL$5:$AL$64,MATCH($F452,사건마스터!$A$5:$A$64,0)),""))</f>
        <v/>
      </c>
      <c r="O452" s="43">
        <f>IF($I452="","",COUNTIF($I452:$N452,"?*"))</f>
        <v/>
      </c>
      <c r="P452" s="46">
        <f>IF($I452="","",_xlfn.TEXTJOIN(", ",TRUE,$I452:$N452))</f>
        <v/>
      </c>
      <c r="Q452" s="47">
        <f>IF($I452="","",IFERROR(INDEX(코드설정!$D$5:$D$24,MATCH($I452,코드설정!$C$5:$C$24,0)),""))</f>
        <v/>
      </c>
      <c r="R452" s="49" t="n"/>
      <c r="S452" s="50" t="n"/>
      <c r="T452" s="51" t="n"/>
      <c r="U452" s="43">
        <f>IF(OR($B452="",$C452=""),"",$C452-$B452+1)</f>
        <v/>
      </c>
      <c r="V452" s="52" t="n"/>
      <c r="W452" s="53">
        <f>IF(OR($V452="",$O452=""),"",$V452*$O452)</f>
        <v/>
      </c>
      <c r="X452" s="45" t="n"/>
      <c r="Y452" s="49" t="n"/>
    </row>
    <row r="453">
      <c r="A453" s="43">
        <f>IF($B453="","",COUNT($B$5:$B453))</f>
        <v/>
      </c>
      <c r="B453" s="44" t="n"/>
      <c r="C453" s="44" t="n"/>
      <c r="D453" s="45" t="n"/>
      <c r="E453" s="45" t="n"/>
      <c r="F453" s="45" t="n"/>
      <c r="G453" s="46">
        <f>IF($F453="","",IFERROR(INDEX(사건마스터!$B$5:$B$64,MATCH($F453,사건마스터!$A$5:$A$64,0)),""))</f>
        <v/>
      </c>
      <c r="H453" s="47">
        <f>IF($F453="","",IFERROR(INDEX(사건마스터!$C$5:$C$64,MATCH($F453,사건마스터!$A$5:$A$64,0)),""))</f>
        <v/>
      </c>
      <c r="I453" s="48">
        <f>IF($F453="","",IFERROR(INDEX(사건마스터!$H$5:$H$64,MATCH($F453,사건마스터!$A$5:$A$64,0)),""))</f>
        <v/>
      </c>
      <c r="J453" s="48">
        <f>IF($F453="","",IFERROR(INDEX(사건마스터!$AH$5:$AH$64,MATCH($F453,사건마스터!$A$5:$A$64,0)),""))</f>
        <v/>
      </c>
      <c r="K453" s="48">
        <f>IF($F453="","",IFERROR(INDEX(사건마스터!$AI$5:$AI$64,MATCH($F453,사건마스터!$A$5:$A$64,0)),""))</f>
        <v/>
      </c>
      <c r="L453" s="48">
        <f>IF($F453="","",IFERROR(INDEX(사건마스터!$AJ$5:$AJ$64,MATCH($F453,사건마스터!$A$5:$A$64,0)),""))</f>
        <v/>
      </c>
      <c r="M453" s="48">
        <f>IF($F453="","",IFERROR(INDEX(사건마스터!$AK$5:$AK$64,MATCH($F453,사건마스터!$A$5:$A$64,0)),""))</f>
        <v/>
      </c>
      <c r="N453" s="48">
        <f>IF($F453="","",IFERROR(INDEX(사건마스터!$AL$5:$AL$64,MATCH($F453,사건마스터!$A$5:$A$64,0)),""))</f>
        <v/>
      </c>
      <c r="O453" s="43">
        <f>IF($I453="","",COUNTIF($I453:$N453,"?*"))</f>
        <v/>
      </c>
      <c r="P453" s="46">
        <f>IF($I453="","",_xlfn.TEXTJOIN(", ",TRUE,$I453:$N453))</f>
        <v/>
      </c>
      <c r="Q453" s="47">
        <f>IF($I453="","",IFERROR(INDEX(코드설정!$D$5:$D$24,MATCH($I453,코드설정!$C$5:$C$24,0)),""))</f>
        <v/>
      </c>
      <c r="R453" s="49" t="n"/>
      <c r="S453" s="50" t="n"/>
      <c r="T453" s="51" t="n"/>
      <c r="U453" s="43">
        <f>IF(OR($B453="",$C453=""),"",$C453-$B453+1)</f>
        <v/>
      </c>
      <c r="V453" s="52" t="n"/>
      <c r="W453" s="53">
        <f>IF(OR($V453="",$O453=""),"",$V453*$O453)</f>
        <v/>
      </c>
      <c r="X453" s="45" t="n"/>
      <c r="Y453" s="49" t="n"/>
    </row>
    <row r="454">
      <c r="A454" s="43">
        <f>IF($B454="","",COUNT($B$5:$B454))</f>
        <v/>
      </c>
      <c r="B454" s="44" t="n"/>
      <c r="C454" s="44" t="n"/>
      <c r="D454" s="45" t="n"/>
      <c r="E454" s="45" t="n"/>
      <c r="F454" s="45" t="n"/>
      <c r="G454" s="46">
        <f>IF($F454="","",IFERROR(INDEX(사건마스터!$B$5:$B$64,MATCH($F454,사건마스터!$A$5:$A$64,0)),""))</f>
        <v/>
      </c>
      <c r="H454" s="47">
        <f>IF($F454="","",IFERROR(INDEX(사건마스터!$C$5:$C$64,MATCH($F454,사건마스터!$A$5:$A$64,0)),""))</f>
        <v/>
      </c>
      <c r="I454" s="48">
        <f>IF($F454="","",IFERROR(INDEX(사건마스터!$H$5:$H$64,MATCH($F454,사건마스터!$A$5:$A$64,0)),""))</f>
        <v/>
      </c>
      <c r="J454" s="48">
        <f>IF($F454="","",IFERROR(INDEX(사건마스터!$AH$5:$AH$64,MATCH($F454,사건마스터!$A$5:$A$64,0)),""))</f>
        <v/>
      </c>
      <c r="K454" s="48">
        <f>IF($F454="","",IFERROR(INDEX(사건마스터!$AI$5:$AI$64,MATCH($F454,사건마스터!$A$5:$A$64,0)),""))</f>
        <v/>
      </c>
      <c r="L454" s="48">
        <f>IF($F454="","",IFERROR(INDEX(사건마스터!$AJ$5:$AJ$64,MATCH($F454,사건마스터!$A$5:$A$64,0)),""))</f>
        <v/>
      </c>
      <c r="M454" s="48">
        <f>IF($F454="","",IFERROR(INDEX(사건마스터!$AK$5:$AK$64,MATCH($F454,사건마스터!$A$5:$A$64,0)),""))</f>
        <v/>
      </c>
      <c r="N454" s="48">
        <f>IF($F454="","",IFERROR(INDEX(사건마스터!$AL$5:$AL$64,MATCH($F454,사건마스터!$A$5:$A$64,0)),""))</f>
        <v/>
      </c>
      <c r="O454" s="43">
        <f>IF($I454="","",COUNTIF($I454:$N454,"?*"))</f>
        <v/>
      </c>
      <c r="P454" s="46">
        <f>IF($I454="","",_xlfn.TEXTJOIN(", ",TRUE,$I454:$N454))</f>
        <v/>
      </c>
      <c r="Q454" s="47">
        <f>IF($I454="","",IFERROR(INDEX(코드설정!$D$5:$D$24,MATCH($I454,코드설정!$C$5:$C$24,0)),""))</f>
        <v/>
      </c>
      <c r="R454" s="49" t="n"/>
      <c r="S454" s="50" t="n"/>
      <c r="T454" s="51" t="n"/>
      <c r="U454" s="43">
        <f>IF(OR($B454="",$C454=""),"",$C454-$B454+1)</f>
        <v/>
      </c>
      <c r="V454" s="52" t="n"/>
      <c r="W454" s="53">
        <f>IF(OR($V454="",$O454=""),"",$V454*$O454)</f>
        <v/>
      </c>
      <c r="X454" s="45" t="n"/>
      <c r="Y454" s="49" t="n"/>
    </row>
    <row r="455">
      <c r="A455" s="43">
        <f>IF($B455="","",COUNT($B$5:$B455))</f>
        <v/>
      </c>
      <c r="B455" s="44" t="n"/>
      <c r="C455" s="44" t="n"/>
      <c r="D455" s="45" t="n"/>
      <c r="E455" s="45" t="n"/>
      <c r="F455" s="45" t="n"/>
      <c r="G455" s="46">
        <f>IF($F455="","",IFERROR(INDEX(사건마스터!$B$5:$B$64,MATCH($F455,사건마스터!$A$5:$A$64,0)),""))</f>
        <v/>
      </c>
      <c r="H455" s="47">
        <f>IF($F455="","",IFERROR(INDEX(사건마스터!$C$5:$C$64,MATCH($F455,사건마스터!$A$5:$A$64,0)),""))</f>
        <v/>
      </c>
      <c r="I455" s="48">
        <f>IF($F455="","",IFERROR(INDEX(사건마스터!$H$5:$H$64,MATCH($F455,사건마스터!$A$5:$A$64,0)),""))</f>
        <v/>
      </c>
      <c r="J455" s="48">
        <f>IF($F455="","",IFERROR(INDEX(사건마스터!$AH$5:$AH$64,MATCH($F455,사건마스터!$A$5:$A$64,0)),""))</f>
        <v/>
      </c>
      <c r="K455" s="48">
        <f>IF($F455="","",IFERROR(INDEX(사건마스터!$AI$5:$AI$64,MATCH($F455,사건마스터!$A$5:$A$64,0)),""))</f>
        <v/>
      </c>
      <c r="L455" s="48">
        <f>IF($F455="","",IFERROR(INDEX(사건마스터!$AJ$5:$AJ$64,MATCH($F455,사건마스터!$A$5:$A$64,0)),""))</f>
        <v/>
      </c>
      <c r="M455" s="48">
        <f>IF($F455="","",IFERROR(INDEX(사건마스터!$AK$5:$AK$64,MATCH($F455,사건마스터!$A$5:$A$64,0)),""))</f>
        <v/>
      </c>
      <c r="N455" s="48">
        <f>IF($F455="","",IFERROR(INDEX(사건마스터!$AL$5:$AL$64,MATCH($F455,사건마스터!$A$5:$A$64,0)),""))</f>
        <v/>
      </c>
      <c r="O455" s="43">
        <f>IF($I455="","",COUNTIF($I455:$N455,"?*"))</f>
        <v/>
      </c>
      <c r="P455" s="46">
        <f>IF($I455="","",_xlfn.TEXTJOIN(", ",TRUE,$I455:$N455))</f>
        <v/>
      </c>
      <c r="Q455" s="47">
        <f>IF($I455="","",IFERROR(INDEX(코드설정!$D$5:$D$24,MATCH($I455,코드설정!$C$5:$C$24,0)),""))</f>
        <v/>
      </c>
      <c r="R455" s="49" t="n"/>
      <c r="S455" s="50" t="n"/>
      <c r="T455" s="51" t="n"/>
      <c r="U455" s="43">
        <f>IF(OR($B455="",$C455=""),"",$C455-$B455+1)</f>
        <v/>
      </c>
      <c r="V455" s="52" t="n"/>
      <c r="W455" s="53">
        <f>IF(OR($V455="",$O455=""),"",$V455*$O455)</f>
        <v/>
      </c>
      <c r="X455" s="45" t="n"/>
      <c r="Y455" s="49" t="n"/>
    </row>
    <row r="456">
      <c r="A456" s="43">
        <f>IF($B456="","",COUNT($B$5:$B456))</f>
        <v/>
      </c>
      <c r="B456" s="44" t="n"/>
      <c r="C456" s="44" t="n"/>
      <c r="D456" s="45" t="n"/>
      <c r="E456" s="45" t="n"/>
      <c r="F456" s="45" t="n"/>
      <c r="G456" s="46">
        <f>IF($F456="","",IFERROR(INDEX(사건마스터!$B$5:$B$64,MATCH($F456,사건마스터!$A$5:$A$64,0)),""))</f>
        <v/>
      </c>
      <c r="H456" s="47">
        <f>IF($F456="","",IFERROR(INDEX(사건마스터!$C$5:$C$64,MATCH($F456,사건마스터!$A$5:$A$64,0)),""))</f>
        <v/>
      </c>
      <c r="I456" s="48">
        <f>IF($F456="","",IFERROR(INDEX(사건마스터!$H$5:$H$64,MATCH($F456,사건마스터!$A$5:$A$64,0)),""))</f>
        <v/>
      </c>
      <c r="J456" s="48">
        <f>IF($F456="","",IFERROR(INDEX(사건마스터!$AH$5:$AH$64,MATCH($F456,사건마스터!$A$5:$A$64,0)),""))</f>
        <v/>
      </c>
      <c r="K456" s="48">
        <f>IF($F456="","",IFERROR(INDEX(사건마스터!$AI$5:$AI$64,MATCH($F456,사건마스터!$A$5:$A$64,0)),""))</f>
        <v/>
      </c>
      <c r="L456" s="48">
        <f>IF($F456="","",IFERROR(INDEX(사건마스터!$AJ$5:$AJ$64,MATCH($F456,사건마스터!$A$5:$A$64,0)),""))</f>
        <v/>
      </c>
      <c r="M456" s="48">
        <f>IF($F456="","",IFERROR(INDEX(사건마스터!$AK$5:$AK$64,MATCH($F456,사건마스터!$A$5:$A$64,0)),""))</f>
        <v/>
      </c>
      <c r="N456" s="48">
        <f>IF($F456="","",IFERROR(INDEX(사건마스터!$AL$5:$AL$64,MATCH($F456,사건마스터!$A$5:$A$64,0)),""))</f>
        <v/>
      </c>
      <c r="O456" s="43">
        <f>IF($I456="","",COUNTIF($I456:$N456,"?*"))</f>
        <v/>
      </c>
      <c r="P456" s="46">
        <f>IF($I456="","",_xlfn.TEXTJOIN(", ",TRUE,$I456:$N456))</f>
        <v/>
      </c>
      <c r="Q456" s="47">
        <f>IF($I456="","",IFERROR(INDEX(코드설정!$D$5:$D$24,MATCH($I456,코드설정!$C$5:$C$24,0)),""))</f>
        <v/>
      </c>
      <c r="R456" s="49" t="n"/>
      <c r="S456" s="50" t="n"/>
      <c r="T456" s="51" t="n"/>
      <c r="U456" s="43">
        <f>IF(OR($B456="",$C456=""),"",$C456-$B456+1)</f>
        <v/>
      </c>
      <c r="V456" s="52" t="n"/>
      <c r="W456" s="53">
        <f>IF(OR($V456="",$O456=""),"",$V456*$O456)</f>
        <v/>
      </c>
      <c r="X456" s="45" t="n"/>
      <c r="Y456" s="49" t="n"/>
    </row>
    <row r="457">
      <c r="A457" s="43">
        <f>IF($B457="","",COUNT($B$5:$B457))</f>
        <v/>
      </c>
      <c r="B457" s="44" t="n"/>
      <c r="C457" s="44" t="n"/>
      <c r="D457" s="45" t="n"/>
      <c r="E457" s="45" t="n"/>
      <c r="F457" s="45" t="n"/>
      <c r="G457" s="46">
        <f>IF($F457="","",IFERROR(INDEX(사건마스터!$B$5:$B$64,MATCH($F457,사건마스터!$A$5:$A$64,0)),""))</f>
        <v/>
      </c>
      <c r="H457" s="47">
        <f>IF($F457="","",IFERROR(INDEX(사건마스터!$C$5:$C$64,MATCH($F457,사건마스터!$A$5:$A$64,0)),""))</f>
        <v/>
      </c>
      <c r="I457" s="48">
        <f>IF($F457="","",IFERROR(INDEX(사건마스터!$H$5:$H$64,MATCH($F457,사건마스터!$A$5:$A$64,0)),""))</f>
        <v/>
      </c>
      <c r="J457" s="48">
        <f>IF($F457="","",IFERROR(INDEX(사건마스터!$AH$5:$AH$64,MATCH($F457,사건마스터!$A$5:$A$64,0)),""))</f>
        <v/>
      </c>
      <c r="K457" s="48">
        <f>IF($F457="","",IFERROR(INDEX(사건마스터!$AI$5:$AI$64,MATCH($F457,사건마스터!$A$5:$A$64,0)),""))</f>
        <v/>
      </c>
      <c r="L457" s="48">
        <f>IF($F457="","",IFERROR(INDEX(사건마스터!$AJ$5:$AJ$64,MATCH($F457,사건마스터!$A$5:$A$64,0)),""))</f>
        <v/>
      </c>
      <c r="M457" s="48">
        <f>IF($F457="","",IFERROR(INDEX(사건마스터!$AK$5:$AK$64,MATCH($F457,사건마스터!$A$5:$A$64,0)),""))</f>
        <v/>
      </c>
      <c r="N457" s="48">
        <f>IF($F457="","",IFERROR(INDEX(사건마스터!$AL$5:$AL$64,MATCH($F457,사건마스터!$A$5:$A$64,0)),""))</f>
        <v/>
      </c>
      <c r="O457" s="43">
        <f>IF($I457="","",COUNTIF($I457:$N457,"?*"))</f>
        <v/>
      </c>
      <c r="P457" s="46">
        <f>IF($I457="","",_xlfn.TEXTJOIN(", ",TRUE,$I457:$N457))</f>
        <v/>
      </c>
      <c r="Q457" s="47">
        <f>IF($I457="","",IFERROR(INDEX(코드설정!$D$5:$D$24,MATCH($I457,코드설정!$C$5:$C$24,0)),""))</f>
        <v/>
      </c>
      <c r="R457" s="49" t="n"/>
      <c r="S457" s="50" t="n"/>
      <c r="T457" s="51" t="n"/>
      <c r="U457" s="43">
        <f>IF(OR($B457="",$C457=""),"",$C457-$B457+1)</f>
        <v/>
      </c>
      <c r="V457" s="52" t="n"/>
      <c r="W457" s="53">
        <f>IF(OR($V457="",$O457=""),"",$V457*$O457)</f>
        <v/>
      </c>
      <c r="X457" s="45" t="n"/>
      <c r="Y457" s="49" t="n"/>
    </row>
    <row r="458">
      <c r="A458" s="43">
        <f>IF($B458="","",COUNT($B$5:$B458))</f>
        <v/>
      </c>
      <c r="B458" s="44" t="n"/>
      <c r="C458" s="44" t="n"/>
      <c r="D458" s="45" t="n"/>
      <c r="E458" s="45" t="n"/>
      <c r="F458" s="45" t="n"/>
      <c r="G458" s="46">
        <f>IF($F458="","",IFERROR(INDEX(사건마스터!$B$5:$B$64,MATCH($F458,사건마스터!$A$5:$A$64,0)),""))</f>
        <v/>
      </c>
      <c r="H458" s="47">
        <f>IF($F458="","",IFERROR(INDEX(사건마스터!$C$5:$C$64,MATCH($F458,사건마스터!$A$5:$A$64,0)),""))</f>
        <v/>
      </c>
      <c r="I458" s="48">
        <f>IF($F458="","",IFERROR(INDEX(사건마스터!$H$5:$H$64,MATCH($F458,사건마스터!$A$5:$A$64,0)),""))</f>
        <v/>
      </c>
      <c r="J458" s="48">
        <f>IF($F458="","",IFERROR(INDEX(사건마스터!$AH$5:$AH$64,MATCH($F458,사건마스터!$A$5:$A$64,0)),""))</f>
        <v/>
      </c>
      <c r="K458" s="48">
        <f>IF($F458="","",IFERROR(INDEX(사건마스터!$AI$5:$AI$64,MATCH($F458,사건마스터!$A$5:$A$64,0)),""))</f>
        <v/>
      </c>
      <c r="L458" s="48">
        <f>IF($F458="","",IFERROR(INDEX(사건마스터!$AJ$5:$AJ$64,MATCH($F458,사건마스터!$A$5:$A$64,0)),""))</f>
        <v/>
      </c>
      <c r="M458" s="48">
        <f>IF($F458="","",IFERROR(INDEX(사건마스터!$AK$5:$AK$64,MATCH($F458,사건마스터!$A$5:$A$64,0)),""))</f>
        <v/>
      </c>
      <c r="N458" s="48">
        <f>IF($F458="","",IFERROR(INDEX(사건마스터!$AL$5:$AL$64,MATCH($F458,사건마스터!$A$5:$A$64,0)),""))</f>
        <v/>
      </c>
      <c r="O458" s="43">
        <f>IF($I458="","",COUNTIF($I458:$N458,"?*"))</f>
        <v/>
      </c>
      <c r="P458" s="46">
        <f>IF($I458="","",_xlfn.TEXTJOIN(", ",TRUE,$I458:$N458))</f>
        <v/>
      </c>
      <c r="Q458" s="47">
        <f>IF($I458="","",IFERROR(INDEX(코드설정!$D$5:$D$24,MATCH($I458,코드설정!$C$5:$C$24,0)),""))</f>
        <v/>
      </c>
      <c r="R458" s="49" t="n"/>
      <c r="S458" s="50" t="n"/>
      <c r="T458" s="51" t="n"/>
      <c r="U458" s="43">
        <f>IF(OR($B458="",$C458=""),"",$C458-$B458+1)</f>
        <v/>
      </c>
      <c r="V458" s="52" t="n"/>
      <c r="W458" s="53">
        <f>IF(OR($V458="",$O458=""),"",$V458*$O458)</f>
        <v/>
      </c>
      <c r="X458" s="45" t="n"/>
      <c r="Y458" s="49" t="n"/>
    </row>
    <row r="459">
      <c r="A459" s="43">
        <f>IF($B459="","",COUNT($B$5:$B459))</f>
        <v/>
      </c>
      <c r="B459" s="44" t="n"/>
      <c r="C459" s="44" t="n"/>
      <c r="D459" s="45" t="n"/>
      <c r="E459" s="45" t="n"/>
      <c r="F459" s="45" t="n"/>
      <c r="G459" s="46">
        <f>IF($F459="","",IFERROR(INDEX(사건마스터!$B$5:$B$64,MATCH($F459,사건마스터!$A$5:$A$64,0)),""))</f>
        <v/>
      </c>
      <c r="H459" s="47">
        <f>IF($F459="","",IFERROR(INDEX(사건마스터!$C$5:$C$64,MATCH($F459,사건마스터!$A$5:$A$64,0)),""))</f>
        <v/>
      </c>
      <c r="I459" s="48">
        <f>IF($F459="","",IFERROR(INDEX(사건마스터!$H$5:$H$64,MATCH($F459,사건마스터!$A$5:$A$64,0)),""))</f>
        <v/>
      </c>
      <c r="J459" s="48">
        <f>IF($F459="","",IFERROR(INDEX(사건마스터!$AH$5:$AH$64,MATCH($F459,사건마스터!$A$5:$A$64,0)),""))</f>
        <v/>
      </c>
      <c r="K459" s="48">
        <f>IF($F459="","",IFERROR(INDEX(사건마스터!$AI$5:$AI$64,MATCH($F459,사건마스터!$A$5:$A$64,0)),""))</f>
        <v/>
      </c>
      <c r="L459" s="48">
        <f>IF($F459="","",IFERROR(INDEX(사건마스터!$AJ$5:$AJ$64,MATCH($F459,사건마스터!$A$5:$A$64,0)),""))</f>
        <v/>
      </c>
      <c r="M459" s="48">
        <f>IF($F459="","",IFERROR(INDEX(사건마스터!$AK$5:$AK$64,MATCH($F459,사건마스터!$A$5:$A$64,0)),""))</f>
        <v/>
      </c>
      <c r="N459" s="48">
        <f>IF($F459="","",IFERROR(INDEX(사건마스터!$AL$5:$AL$64,MATCH($F459,사건마스터!$A$5:$A$64,0)),""))</f>
        <v/>
      </c>
      <c r="O459" s="43">
        <f>IF($I459="","",COUNTIF($I459:$N459,"?*"))</f>
        <v/>
      </c>
      <c r="P459" s="46">
        <f>IF($I459="","",_xlfn.TEXTJOIN(", ",TRUE,$I459:$N459))</f>
        <v/>
      </c>
      <c r="Q459" s="47">
        <f>IF($I459="","",IFERROR(INDEX(코드설정!$D$5:$D$24,MATCH($I459,코드설정!$C$5:$C$24,0)),""))</f>
        <v/>
      </c>
      <c r="R459" s="49" t="n"/>
      <c r="S459" s="50" t="n"/>
      <c r="T459" s="51" t="n"/>
      <c r="U459" s="43">
        <f>IF(OR($B459="",$C459=""),"",$C459-$B459+1)</f>
        <v/>
      </c>
      <c r="V459" s="52" t="n"/>
      <c r="W459" s="53">
        <f>IF(OR($V459="",$O459=""),"",$V459*$O459)</f>
        <v/>
      </c>
      <c r="X459" s="45" t="n"/>
      <c r="Y459" s="49" t="n"/>
    </row>
    <row r="460">
      <c r="A460" s="43">
        <f>IF($B460="","",COUNT($B$5:$B460))</f>
        <v/>
      </c>
      <c r="B460" s="44" t="n"/>
      <c r="C460" s="44" t="n"/>
      <c r="D460" s="45" t="n"/>
      <c r="E460" s="45" t="n"/>
      <c r="F460" s="45" t="n"/>
      <c r="G460" s="46">
        <f>IF($F460="","",IFERROR(INDEX(사건마스터!$B$5:$B$64,MATCH($F460,사건마스터!$A$5:$A$64,0)),""))</f>
        <v/>
      </c>
      <c r="H460" s="47">
        <f>IF($F460="","",IFERROR(INDEX(사건마스터!$C$5:$C$64,MATCH($F460,사건마스터!$A$5:$A$64,0)),""))</f>
        <v/>
      </c>
      <c r="I460" s="48">
        <f>IF($F460="","",IFERROR(INDEX(사건마스터!$H$5:$H$64,MATCH($F460,사건마스터!$A$5:$A$64,0)),""))</f>
        <v/>
      </c>
      <c r="J460" s="48">
        <f>IF($F460="","",IFERROR(INDEX(사건마스터!$AH$5:$AH$64,MATCH($F460,사건마스터!$A$5:$A$64,0)),""))</f>
        <v/>
      </c>
      <c r="K460" s="48">
        <f>IF($F460="","",IFERROR(INDEX(사건마스터!$AI$5:$AI$64,MATCH($F460,사건마스터!$A$5:$A$64,0)),""))</f>
        <v/>
      </c>
      <c r="L460" s="48">
        <f>IF($F460="","",IFERROR(INDEX(사건마스터!$AJ$5:$AJ$64,MATCH($F460,사건마스터!$A$5:$A$64,0)),""))</f>
        <v/>
      </c>
      <c r="M460" s="48">
        <f>IF($F460="","",IFERROR(INDEX(사건마스터!$AK$5:$AK$64,MATCH($F460,사건마스터!$A$5:$A$64,0)),""))</f>
        <v/>
      </c>
      <c r="N460" s="48">
        <f>IF($F460="","",IFERROR(INDEX(사건마스터!$AL$5:$AL$64,MATCH($F460,사건마스터!$A$5:$A$64,0)),""))</f>
        <v/>
      </c>
      <c r="O460" s="43">
        <f>IF($I460="","",COUNTIF($I460:$N460,"?*"))</f>
        <v/>
      </c>
      <c r="P460" s="46">
        <f>IF($I460="","",_xlfn.TEXTJOIN(", ",TRUE,$I460:$N460))</f>
        <v/>
      </c>
      <c r="Q460" s="47">
        <f>IF($I460="","",IFERROR(INDEX(코드설정!$D$5:$D$24,MATCH($I460,코드설정!$C$5:$C$24,0)),""))</f>
        <v/>
      </c>
      <c r="R460" s="49" t="n"/>
      <c r="S460" s="50" t="n"/>
      <c r="T460" s="51" t="n"/>
      <c r="U460" s="43">
        <f>IF(OR($B460="",$C460=""),"",$C460-$B460+1)</f>
        <v/>
      </c>
      <c r="V460" s="52" t="n"/>
      <c r="W460" s="53">
        <f>IF(OR($V460="",$O460=""),"",$V460*$O460)</f>
        <v/>
      </c>
      <c r="X460" s="45" t="n"/>
      <c r="Y460" s="49" t="n"/>
    </row>
    <row r="461">
      <c r="A461" s="43">
        <f>IF($B461="","",COUNT($B$5:$B461))</f>
        <v/>
      </c>
      <c r="B461" s="44" t="n"/>
      <c r="C461" s="44" t="n"/>
      <c r="D461" s="45" t="n"/>
      <c r="E461" s="45" t="n"/>
      <c r="F461" s="45" t="n"/>
      <c r="G461" s="46">
        <f>IF($F461="","",IFERROR(INDEX(사건마스터!$B$5:$B$64,MATCH($F461,사건마스터!$A$5:$A$64,0)),""))</f>
        <v/>
      </c>
      <c r="H461" s="47">
        <f>IF($F461="","",IFERROR(INDEX(사건마스터!$C$5:$C$64,MATCH($F461,사건마스터!$A$5:$A$64,0)),""))</f>
        <v/>
      </c>
      <c r="I461" s="48">
        <f>IF($F461="","",IFERROR(INDEX(사건마스터!$H$5:$H$64,MATCH($F461,사건마스터!$A$5:$A$64,0)),""))</f>
        <v/>
      </c>
      <c r="J461" s="48">
        <f>IF($F461="","",IFERROR(INDEX(사건마스터!$AH$5:$AH$64,MATCH($F461,사건마스터!$A$5:$A$64,0)),""))</f>
        <v/>
      </c>
      <c r="K461" s="48">
        <f>IF($F461="","",IFERROR(INDEX(사건마스터!$AI$5:$AI$64,MATCH($F461,사건마스터!$A$5:$A$64,0)),""))</f>
        <v/>
      </c>
      <c r="L461" s="48">
        <f>IF($F461="","",IFERROR(INDEX(사건마스터!$AJ$5:$AJ$64,MATCH($F461,사건마스터!$A$5:$A$64,0)),""))</f>
        <v/>
      </c>
      <c r="M461" s="48">
        <f>IF($F461="","",IFERROR(INDEX(사건마스터!$AK$5:$AK$64,MATCH($F461,사건마스터!$A$5:$A$64,0)),""))</f>
        <v/>
      </c>
      <c r="N461" s="48">
        <f>IF($F461="","",IFERROR(INDEX(사건마스터!$AL$5:$AL$64,MATCH($F461,사건마스터!$A$5:$A$64,0)),""))</f>
        <v/>
      </c>
      <c r="O461" s="43">
        <f>IF($I461="","",COUNTIF($I461:$N461,"?*"))</f>
        <v/>
      </c>
      <c r="P461" s="46">
        <f>IF($I461="","",_xlfn.TEXTJOIN(", ",TRUE,$I461:$N461))</f>
        <v/>
      </c>
      <c r="Q461" s="47">
        <f>IF($I461="","",IFERROR(INDEX(코드설정!$D$5:$D$24,MATCH($I461,코드설정!$C$5:$C$24,0)),""))</f>
        <v/>
      </c>
      <c r="R461" s="49" t="n"/>
      <c r="S461" s="50" t="n"/>
      <c r="T461" s="51" t="n"/>
      <c r="U461" s="43">
        <f>IF(OR($B461="",$C461=""),"",$C461-$B461+1)</f>
        <v/>
      </c>
      <c r="V461" s="52" t="n"/>
      <c r="W461" s="53">
        <f>IF(OR($V461="",$O461=""),"",$V461*$O461)</f>
        <v/>
      </c>
      <c r="X461" s="45" t="n"/>
      <c r="Y461" s="49" t="n"/>
    </row>
    <row r="462">
      <c r="A462" s="43">
        <f>IF($B462="","",COUNT($B$5:$B462))</f>
        <v/>
      </c>
      <c r="B462" s="44" t="n"/>
      <c r="C462" s="44" t="n"/>
      <c r="D462" s="45" t="n"/>
      <c r="E462" s="45" t="n"/>
      <c r="F462" s="45" t="n"/>
      <c r="G462" s="46">
        <f>IF($F462="","",IFERROR(INDEX(사건마스터!$B$5:$B$64,MATCH($F462,사건마스터!$A$5:$A$64,0)),""))</f>
        <v/>
      </c>
      <c r="H462" s="47">
        <f>IF($F462="","",IFERROR(INDEX(사건마스터!$C$5:$C$64,MATCH($F462,사건마스터!$A$5:$A$64,0)),""))</f>
        <v/>
      </c>
      <c r="I462" s="48">
        <f>IF($F462="","",IFERROR(INDEX(사건마스터!$H$5:$H$64,MATCH($F462,사건마스터!$A$5:$A$64,0)),""))</f>
        <v/>
      </c>
      <c r="J462" s="48">
        <f>IF($F462="","",IFERROR(INDEX(사건마스터!$AH$5:$AH$64,MATCH($F462,사건마스터!$A$5:$A$64,0)),""))</f>
        <v/>
      </c>
      <c r="K462" s="48">
        <f>IF($F462="","",IFERROR(INDEX(사건마스터!$AI$5:$AI$64,MATCH($F462,사건마스터!$A$5:$A$64,0)),""))</f>
        <v/>
      </c>
      <c r="L462" s="48">
        <f>IF($F462="","",IFERROR(INDEX(사건마스터!$AJ$5:$AJ$64,MATCH($F462,사건마스터!$A$5:$A$64,0)),""))</f>
        <v/>
      </c>
      <c r="M462" s="48">
        <f>IF($F462="","",IFERROR(INDEX(사건마스터!$AK$5:$AK$64,MATCH($F462,사건마스터!$A$5:$A$64,0)),""))</f>
        <v/>
      </c>
      <c r="N462" s="48">
        <f>IF($F462="","",IFERROR(INDEX(사건마스터!$AL$5:$AL$64,MATCH($F462,사건마스터!$A$5:$A$64,0)),""))</f>
        <v/>
      </c>
      <c r="O462" s="43">
        <f>IF($I462="","",COUNTIF($I462:$N462,"?*"))</f>
        <v/>
      </c>
      <c r="P462" s="46">
        <f>IF($I462="","",_xlfn.TEXTJOIN(", ",TRUE,$I462:$N462))</f>
        <v/>
      </c>
      <c r="Q462" s="47">
        <f>IF($I462="","",IFERROR(INDEX(코드설정!$D$5:$D$24,MATCH($I462,코드설정!$C$5:$C$24,0)),""))</f>
        <v/>
      </c>
      <c r="R462" s="49" t="n"/>
      <c r="S462" s="50" t="n"/>
      <c r="T462" s="51" t="n"/>
      <c r="U462" s="43">
        <f>IF(OR($B462="",$C462=""),"",$C462-$B462+1)</f>
        <v/>
      </c>
      <c r="V462" s="52" t="n"/>
      <c r="W462" s="53">
        <f>IF(OR($V462="",$O462=""),"",$V462*$O462)</f>
        <v/>
      </c>
      <c r="X462" s="45" t="n"/>
      <c r="Y462" s="49" t="n"/>
    </row>
    <row r="463">
      <c r="A463" s="43">
        <f>IF($B463="","",COUNT($B$5:$B463))</f>
        <v/>
      </c>
      <c r="B463" s="44" t="n"/>
      <c r="C463" s="44" t="n"/>
      <c r="D463" s="45" t="n"/>
      <c r="E463" s="45" t="n"/>
      <c r="F463" s="45" t="n"/>
      <c r="G463" s="46">
        <f>IF($F463="","",IFERROR(INDEX(사건마스터!$B$5:$B$64,MATCH($F463,사건마스터!$A$5:$A$64,0)),""))</f>
        <v/>
      </c>
      <c r="H463" s="47">
        <f>IF($F463="","",IFERROR(INDEX(사건마스터!$C$5:$C$64,MATCH($F463,사건마스터!$A$5:$A$64,0)),""))</f>
        <v/>
      </c>
      <c r="I463" s="48">
        <f>IF($F463="","",IFERROR(INDEX(사건마스터!$H$5:$H$64,MATCH($F463,사건마스터!$A$5:$A$64,0)),""))</f>
        <v/>
      </c>
      <c r="J463" s="48">
        <f>IF($F463="","",IFERROR(INDEX(사건마스터!$AH$5:$AH$64,MATCH($F463,사건마스터!$A$5:$A$64,0)),""))</f>
        <v/>
      </c>
      <c r="K463" s="48">
        <f>IF($F463="","",IFERROR(INDEX(사건마스터!$AI$5:$AI$64,MATCH($F463,사건마스터!$A$5:$A$64,0)),""))</f>
        <v/>
      </c>
      <c r="L463" s="48">
        <f>IF($F463="","",IFERROR(INDEX(사건마스터!$AJ$5:$AJ$64,MATCH($F463,사건마스터!$A$5:$A$64,0)),""))</f>
        <v/>
      </c>
      <c r="M463" s="48">
        <f>IF($F463="","",IFERROR(INDEX(사건마스터!$AK$5:$AK$64,MATCH($F463,사건마스터!$A$5:$A$64,0)),""))</f>
        <v/>
      </c>
      <c r="N463" s="48">
        <f>IF($F463="","",IFERROR(INDEX(사건마스터!$AL$5:$AL$64,MATCH($F463,사건마스터!$A$5:$A$64,0)),""))</f>
        <v/>
      </c>
      <c r="O463" s="43">
        <f>IF($I463="","",COUNTIF($I463:$N463,"?*"))</f>
        <v/>
      </c>
      <c r="P463" s="46">
        <f>IF($I463="","",_xlfn.TEXTJOIN(", ",TRUE,$I463:$N463))</f>
        <v/>
      </c>
      <c r="Q463" s="47">
        <f>IF($I463="","",IFERROR(INDEX(코드설정!$D$5:$D$24,MATCH($I463,코드설정!$C$5:$C$24,0)),""))</f>
        <v/>
      </c>
      <c r="R463" s="49" t="n"/>
      <c r="S463" s="50" t="n"/>
      <c r="T463" s="51" t="n"/>
      <c r="U463" s="43">
        <f>IF(OR($B463="",$C463=""),"",$C463-$B463+1)</f>
        <v/>
      </c>
      <c r="V463" s="52" t="n"/>
      <c r="W463" s="53">
        <f>IF(OR($V463="",$O463=""),"",$V463*$O463)</f>
        <v/>
      </c>
      <c r="X463" s="45" t="n"/>
      <c r="Y463" s="49" t="n"/>
    </row>
    <row r="464">
      <c r="A464" s="43">
        <f>IF($B464="","",COUNT($B$5:$B464))</f>
        <v/>
      </c>
      <c r="B464" s="44" t="n"/>
      <c r="C464" s="44" t="n"/>
      <c r="D464" s="45" t="n"/>
      <c r="E464" s="45" t="n"/>
      <c r="F464" s="45" t="n"/>
      <c r="G464" s="46">
        <f>IF($F464="","",IFERROR(INDEX(사건마스터!$B$5:$B$64,MATCH($F464,사건마스터!$A$5:$A$64,0)),""))</f>
        <v/>
      </c>
      <c r="H464" s="47">
        <f>IF($F464="","",IFERROR(INDEX(사건마스터!$C$5:$C$64,MATCH($F464,사건마스터!$A$5:$A$64,0)),""))</f>
        <v/>
      </c>
      <c r="I464" s="48">
        <f>IF($F464="","",IFERROR(INDEX(사건마스터!$H$5:$H$64,MATCH($F464,사건마스터!$A$5:$A$64,0)),""))</f>
        <v/>
      </c>
      <c r="J464" s="48">
        <f>IF($F464="","",IFERROR(INDEX(사건마스터!$AH$5:$AH$64,MATCH($F464,사건마스터!$A$5:$A$64,0)),""))</f>
        <v/>
      </c>
      <c r="K464" s="48">
        <f>IF($F464="","",IFERROR(INDEX(사건마스터!$AI$5:$AI$64,MATCH($F464,사건마스터!$A$5:$A$64,0)),""))</f>
        <v/>
      </c>
      <c r="L464" s="48">
        <f>IF($F464="","",IFERROR(INDEX(사건마스터!$AJ$5:$AJ$64,MATCH($F464,사건마스터!$A$5:$A$64,0)),""))</f>
        <v/>
      </c>
      <c r="M464" s="48">
        <f>IF($F464="","",IFERROR(INDEX(사건마스터!$AK$5:$AK$64,MATCH($F464,사건마스터!$A$5:$A$64,0)),""))</f>
        <v/>
      </c>
      <c r="N464" s="48">
        <f>IF($F464="","",IFERROR(INDEX(사건마스터!$AL$5:$AL$64,MATCH($F464,사건마스터!$A$5:$A$64,0)),""))</f>
        <v/>
      </c>
      <c r="O464" s="43">
        <f>IF($I464="","",COUNTIF($I464:$N464,"?*"))</f>
        <v/>
      </c>
      <c r="P464" s="46">
        <f>IF($I464="","",_xlfn.TEXTJOIN(", ",TRUE,$I464:$N464))</f>
        <v/>
      </c>
      <c r="Q464" s="47">
        <f>IF($I464="","",IFERROR(INDEX(코드설정!$D$5:$D$24,MATCH($I464,코드설정!$C$5:$C$24,0)),""))</f>
        <v/>
      </c>
      <c r="R464" s="49" t="n"/>
      <c r="S464" s="50" t="n"/>
      <c r="T464" s="51" t="n"/>
      <c r="U464" s="43">
        <f>IF(OR($B464="",$C464=""),"",$C464-$B464+1)</f>
        <v/>
      </c>
      <c r="V464" s="52" t="n"/>
      <c r="W464" s="53">
        <f>IF(OR($V464="",$O464=""),"",$V464*$O464)</f>
        <v/>
      </c>
      <c r="X464" s="45" t="n"/>
      <c r="Y464" s="49" t="n"/>
    </row>
    <row r="465">
      <c r="A465" s="43">
        <f>IF($B465="","",COUNT($B$5:$B465))</f>
        <v/>
      </c>
      <c r="B465" s="44" t="n"/>
      <c r="C465" s="44" t="n"/>
      <c r="D465" s="45" t="n"/>
      <c r="E465" s="45" t="n"/>
      <c r="F465" s="45" t="n"/>
      <c r="G465" s="46">
        <f>IF($F465="","",IFERROR(INDEX(사건마스터!$B$5:$B$64,MATCH($F465,사건마스터!$A$5:$A$64,0)),""))</f>
        <v/>
      </c>
      <c r="H465" s="47">
        <f>IF($F465="","",IFERROR(INDEX(사건마스터!$C$5:$C$64,MATCH($F465,사건마스터!$A$5:$A$64,0)),""))</f>
        <v/>
      </c>
      <c r="I465" s="48">
        <f>IF($F465="","",IFERROR(INDEX(사건마스터!$H$5:$H$64,MATCH($F465,사건마스터!$A$5:$A$64,0)),""))</f>
        <v/>
      </c>
      <c r="J465" s="48">
        <f>IF($F465="","",IFERROR(INDEX(사건마스터!$AH$5:$AH$64,MATCH($F465,사건마스터!$A$5:$A$64,0)),""))</f>
        <v/>
      </c>
      <c r="K465" s="48">
        <f>IF($F465="","",IFERROR(INDEX(사건마스터!$AI$5:$AI$64,MATCH($F465,사건마스터!$A$5:$A$64,0)),""))</f>
        <v/>
      </c>
      <c r="L465" s="48">
        <f>IF($F465="","",IFERROR(INDEX(사건마스터!$AJ$5:$AJ$64,MATCH($F465,사건마스터!$A$5:$A$64,0)),""))</f>
        <v/>
      </c>
      <c r="M465" s="48">
        <f>IF($F465="","",IFERROR(INDEX(사건마스터!$AK$5:$AK$64,MATCH($F465,사건마스터!$A$5:$A$64,0)),""))</f>
        <v/>
      </c>
      <c r="N465" s="48">
        <f>IF($F465="","",IFERROR(INDEX(사건마스터!$AL$5:$AL$64,MATCH($F465,사건마스터!$A$5:$A$64,0)),""))</f>
        <v/>
      </c>
      <c r="O465" s="43">
        <f>IF($I465="","",COUNTIF($I465:$N465,"?*"))</f>
        <v/>
      </c>
      <c r="P465" s="46">
        <f>IF($I465="","",_xlfn.TEXTJOIN(", ",TRUE,$I465:$N465))</f>
        <v/>
      </c>
      <c r="Q465" s="47">
        <f>IF($I465="","",IFERROR(INDEX(코드설정!$D$5:$D$24,MATCH($I465,코드설정!$C$5:$C$24,0)),""))</f>
        <v/>
      </c>
      <c r="R465" s="49" t="n"/>
      <c r="S465" s="50" t="n"/>
      <c r="T465" s="51" t="n"/>
      <c r="U465" s="43">
        <f>IF(OR($B465="",$C465=""),"",$C465-$B465+1)</f>
        <v/>
      </c>
      <c r="V465" s="52" t="n"/>
      <c r="W465" s="53">
        <f>IF(OR($V465="",$O465=""),"",$V465*$O465)</f>
        <v/>
      </c>
      <c r="X465" s="45" t="n"/>
      <c r="Y465" s="49" t="n"/>
    </row>
    <row r="466">
      <c r="A466" s="43">
        <f>IF($B466="","",COUNT($B$5:$B466))</f>
        <v/>
      </c>
      <c r="B466" s="44" t="n"/>
      <c r="C466" s="44" t="n"/>
      <c r="D466" s="45" t="n"/>
      <c r="E466" s="45" t="n"/>
      <c r="F466" s="45" t="n"/>
      <c r="G466" s="46">
        <f>IF($F466="","",IFERROR(INDEX(사건마스터!$B$5:$B$64,MATCH($F466,사건마스터!$A$5:$A$64,0)),""))</f>
        <v/>
      </c>
      <c r="H466" s="47">
        <f>IF($F466="","",IFERROR(INDEX(사건마스터!$C$5:$C$64,MATCH($F466,사건마스터!$A$5:$A$64,0)),""))</f>
        <v/>
      </c>
      <c r="I466" s="48">
        <f>IF($F466="","",IFERROR(INDEX(사건마스터!$H$5:$H$64,MATCH($F466,사건마스터!$A$5:$A$64,0)),""))</f>
        <v/>
      </c>
      <c r="J466" s="48">
        <f>IF($F466="","",IFERROR(INDEX(사건마스터!$AH$5:$AH$64,MATCH($F466,사건마스터!$A$5:$A$64,0)),""))</f>
        <v/>
      </c>
      <c r="K466" s="48">
        <f>IF($F466="","",IFERROR(INDEX(사건마스터!$AI$5:$AI$64,MATCH($F466,사건마스터!$A$5:$A$64,0)),""))</f>
        <v/>
      </c>
      <c r="L466" s="48">
        <f>IF($F466="","",IFERROR(INDEX(사건마스터!$AJ$5:$AJ$64,MATCH($F466,사건마스터!$A$5:$A$64,0)),""))</f>
        <v/>
      </c>
      <c r="M466" s="48">
        <f>IF($F466="","",IFERROR(INDEX(사건마스터!$AK$5:$AK$64,MATCH($F466,사건마스터!$A$5:$A$64,0)),""))</f>
        <v/>
      </c>
      <c r="N466" s="48">
        <f>IF($F466="","",IFERROR(INDEX(사건마스터!$AL$5:$AL$64,MATCH($F466,사건마스터!$A$5:$A$64,0)),""))</f>
        <v/>
      </c>
      <c r="O466" s="43">
        <f>IF($I466="","",COUNTIF($I466:$N466,"?*"))</f>
        <v/>
      </c>
      <c r="P466" s="46">
        <f>IF($I466="","",_xlfn.TEXTJOIN(", ",TRUE,$I466:$N466))</f>
        <v/>
      </c>
      <c r="Q466" s="47">
        <f>IF($I466="","",IFERROR(INDEX(코드설정!$D$5:$D$24,MATCH($I466,코드설정!$C$5:$C$24,0)),""))</f>
        <v/>
      </c>
      <c r="R466" s="49" t="n"/>
      <c r="S466" s="50" t="n"/>
      <c r="T466" s="51" t="n"/>
      <c r="U466" s="43">
        <f>IF(OR($B466="",$C466=""),"",$C466-$B466+1)</f>
        <v/>
      </c>
      <c r="V466" s="52" t="n"/>
      <c r="W466" s="53">
        <f>IF(OR($V466="",$O466=""),"",$V466*$O466)</f>
        <v/>
      </c>
      <c r="X466" s="45" t="n"/>
      <c r="Y466" s="49" t="n"/>
    </row>
    <row r="467">
      <c r="A467" s="43">
        <f>IF($B467="","",COUNT($B$5:$B467))</f>
        <v/>
      </c>
      <c r="B467" s="44" t="n"/>
      <c r="C467" s="44" t="n"/>
      <c r="D467" s="45" t="n"/>
      <c r="E467" s="45" t="n"/>
      <c r="F467" s="45" t="n"/>
      <c r="G467" s="46">
        <f>IF($F467="","",IFERROR(INDEX(사건마스터!$B$5:$B$64,MATCH($F467,사건마스터!$A$5:$A$64,0)),""))</f>
        <v/>
      </c>
      <c r="H467" s="47">
        <f>IF($F467="","",IFERROR(INDEX(사건마스터!$C$5:$C$64,MATCH($F467,사건마스터!$A$5:$A$64,0)),""))</f>
        <v/>
      </c>
      <c r="I467" s="48">
        <f>IF($F467="","",IFERROR(INDEX(사건마스터!$H$5:$H$64,MATCH($F467,사건마스터!$A$5:$A$64,0)),""))</f>
        <v/>
      </c>
      <c r="J467" s="48">
        <f>IF($F467="","",IFERROR(INDEX(사건마스터!$AH$5:$AH$64,MATCH($F467,사건마스터!$A$5:$A$64,0)),""))</f>
        <v/>
      </c>
      <c r="K467" s="48">
        <f>IF($F467="","",IFERROR(INDEX(사건마스터!$AI$5:$AI$64,MATCH($F467,사건마스터!$A$5:$A$64,0)),""))</f>
        <v/>
      </c>
      <c r="L467" s="48">
        <f>IF($F467="","",IFERROR(INDEX(사건마스터!$AJ$5:$AJ$64,MATCH($F467,사건마스터!$A$5:$A$64,0)),""))</f>
        <v/>
      </c>
      <c r="M467" s="48">
        <f>IF($F467="","",IFERROR(INDEX(사건마스터!$AK$5:$AK$64,MATCH($F467,사건마스터!$A$5:$A$64,0)),""))</f>
        <v/>
      </c>
      <c r="N467" s="48">
        <f>IF($F467="","",IFERROR(INDEX(사건마스터!$AL$5:$AL$64,MATCH($F467,사건마스터!$A$5:$A$64,0)),""))</f>
        <v/>
      </c>
      <c r="O467" s="43">
        <f>IF($I467="","",COUNTIF($I467:$N467,"?*"))</f>
        <v/>
      </c>
      <c r="P467" s="46">
        <f>IF($I467="","",_xlfn.TEXTJOIN(", ",TRUE,$I467:$N467))</f>
        <v/>
      </c>
      <c r="Q467" s="47">
        <f>IF($I467="","",IFERROR(INDEX(코드설정!$D$5:$D$24,MATCH($I467,코드설정!$C$5:$C$24,0)),""))</f>
        <v/>
      </c>
      <c r="R467" s="49" t="n"/>
      <c r="S467" s="50" t="n"/>
      <c r="T467" s="51" t="n"/>
      <c r="U467" s="43">
        <f>IF(OR($B467="",$C467=""),"",$C467-$B467+1)</f>
        <v/>
      </c>
      <c r="V467" s="52" t="n"/>
      <c r="W467" s="53">
        <f>IF(OR($V467="",$O467=""),"",$V467*$O467)</f>
        <v/>
      </c>
      <c r="X467" s="45" t="n"/>
      <c r="Y467" s="49" t="n"/>
    </row>
    <row r="468">
      <c r="A468" s="43">
        <f>IF($B468="","",COUNT($B$5:$B468))</f>
        <v/>
      </c>
      <c r="B468" s="44" t="n"/>
      <c r="C468" s="44" t="n"/>
      <c r="D468" s="45" t="n"/>
      <c r="E468" s="45" t="n"/>
      <c r="F468" s="45" t="n"/>
      <c r="G468" s="46">
        <f>IF($F468="","",IFERROR(INDEX(사건마스터!$B$5:$B$64,MATCH($F468,사건마스터!$A$5:$A$64,0)),""))</f>
        <v/>
      </c>
      <c r="H468" s="47">
        <f>IF($F468="","",IFERROR(INDEX(사건마스터!$C$5:$C$64,MATCH($F468,사건마스터!$A$5:$A$64,0)),""))</f>
        <v/>
      </c>
      <c r="I468" s="48">
        <f>IF($F468="","",IFERROR(INDEX(사건마스터!$H$5:$H$64,MATCH($F468,사건마스터!$A$5:$A$64,0)),""))</f>
        <v/>
      </c>
      <c r="J468" s="48">
        <f>IF($F468="","",IFERROR(INDEX(사건마스터!$AH$5:$AH$64,MATCH($F468,사건마스터!$A$5:$A$64,0)),""))</f>
        <v/>
      </c>
      <c r="K468" s="48">
        <f>IF($F468="","",IFERROR(INDEX(사건마스터!$AI$5:$AI$64,MATCH($F468,사건마스터!$A$5:$A$64,0)),""))</f>
        <v/>
      </c>
      <c r="L468" s="48">
        <f>IF($F468="","",IFERROR(INDEX(사건마스터!$AJ$5:$AJ$64,MATCH($F468,사건마스터!$A$5:$A$64,0)),""))</f>
        <v/>
      </c>
      <c r="M468" s="48">
        <f>IF($F468="","",IFERROR(INDEX(사건마스터!$AK$5:$AK$64,MATCH($F468,사건마스터!$A$5:$A$64,0)),""))</f>
        <v/>
      </c>
      <c r="N468" s="48">
        <f>IF($F468="","",IFERROR(INDEX(사건마스터!$AL$5:$AL$64,MATCH($F468,사건마스터!$A$5:$A$64,0)),""))</f>
        <v/>
      </c>
      <c r="O468" s="43">
        <f>IF($I468="","",COUNTIF($I468:$N468,"?*"))</f>
        <v/>
      </c>
      <c r="P468" s="46">
        <f>IF($I468="","",_xlfn.TEXTJOIN(", ",TRUE,$I468:$N468))</f>
        <v/>
      </c>
      <c r="Q468" s="47">
        <f>IF($I468="","",IFERROR(INDEX(코드설정!$D$5:$D$24,MATCH($I468,코드설정!$C$5:$C$24,0)),""))</f>
        <v/>
      </c>
      <c r="R468" s="49" t="n"/>
      <c r="S468" s="50" t="n"/>
      <c r="T468" s="51" t="n"/>
      <c r="U468" s="43">
        <f>IF(OR($B468="",$C468=""),"",$C468-$B468+1)</f>
        <v/>
      </c>
      <c r="V468" s="52" t="n"/>
      <c r="W468" s="53">
        <f>IF(OR($V468="",$O468=""),"",$V468*$O468)</f>
        <v/>
      </c>
      <c r="X468" s="45" t="n"/>
      <c r="Y468" s="49" t="n"/>
    </row>
    <row r="469">
      <c r="A469" s="43">
        <f>IF($B469="","",COUNT($B$5:$B469))</f>
        <v/>
      </c>
      <c r="B469" s="44" t="n"/>
      <c r="C469" s="44" t="n"/>
      <c r="D469" s="45" t="n"/>
      <c r="E469" s="45" t="n"/>
      <c r="F469" s="45" t="n"/>
      <c r="G469" s="46">
        <f>IF($F469="","",IFERROR(INDEX(사건마스터!$B$5:$B$64,MATCH($F469,사건마스터!$A$5:$A$64,0)),""))</f>
        <v/>
      </c>
      <c r="H469" s="47">
        <f>IF($F469="","",IFERROR(INDEX(사건마스터!$C$5:$C$64,MATCH($F469,사건마스터!$A$5:$A$64,0)),""))</f>
        <v/>
      </c>
      <c r="I469" s="48">
        <f>IF($F469="","",IFERROR(INDEX(사건마스터!$H$5:$H$64,MATCH($F469,사건마스터!$A$5:$A$64,0)),""))</f>
        <v/>
      </c>
      <c r="J469" s="48">
        <f>IF($F469="","",IFERROR(INDEX(사건마스터!$AH$5:$AH$64,MATCH($F469,사건마스터!$A$5:$A$64,0)),""))</f>
        <v/>
      </c>
      <c r="K469" s="48">
        <f>IF($F469="","",IFERROR(INDEX(사건마스터!$AI$5:$AI$64,MATCH($F469,사건마스터!$A$5:$A$64,0)),""))</f>
        <v/>
      </c>
      <c r="L469" s="48">
        <f>IF($F469="","",IFERROR(INDEX(사건마스터!$AJ$5:$AJ$64,MATCH($F469,사건마스터!$A$5:$A$64,0)),""))</f>
        <v/>
      </c>
      <c r="M469" s="48">
        <f>IF($F469="","",IFERROR(INDEX(사건마스터!$AK$5:$AK$64,MATCH($F469,사건마스터!$A$5:$A$64,0)),""))</f>
        <v/>
      </c>
      <c r="N469" s="48">
        <f>IF($F469="","",IFERROR(INDEX(사건마스터!$AL$5:$AL$64,MATCH($F469,사건마스터!$A$5:$A$64,0)),""))</f>
        <v/>
      </c>
      <c r="O469" s="43">
        <f>IF($I469="","",COUNTIF($I469:$N469,"?*"))</f>
        <v/>
      </c>
      <c r="P469" s="46">
        <f>IF($I469="","",_xlfn.TEXTJOIN(", ",TRUE,$I469:$N469))</f>
        <v/>
      </c>
      <c r="Q469" s="47">
        <f>IF($I469="","",IFERROR(INDEX(코드설정!$D$5:$D$24,MATCH($I469,코드설정!$C$5:$C$24,0)),""))</f>
        <v/>
      </c>
      <c r="R469" s="49" t="n"/>
      <c r="S469" s="50" t="n"/>
      <c r="T469" s="51" t="n"/>
      <c r="U469" s="43">
        <f>IF(OR($B469="",$C469=""),"",$C469-$B469+1)</f>
        <v/>
      </c>
      <c r="V469" s="52" t="n"/>
      <c r="W469" s="53">
        <f>IF(OR($V469="",$O469=""),"",$V469*$O469)</f>
        <v/>
      </c>
      <c r="X469" s="45" t="n"/>
      <c r="Y469" s="49" t="n"/>
    </row>
    <row r="470">
      <c r="A470" s="43">
        <f>IF($B470="","",COUNT($B$5:$B470))</f>
        <v/>
      </c>
      <c r="B470" s="44" t="n"/>
      <c r="C470" s="44" t="n"/>
      <c r="D470" s="45" t="n"/>
      <c r="E470" s="45" t="n"/>
      <c r="F470" s="45" t="n"/>
      <c r="G470" s="46">
        <f>IF($F470="","",IFERROR(INDEX(사건마스터!$B$5:$B$64,MATCH($F470,사건마스터!$A$5:$A$64,0)),""))</f>
        <v/>
      </c>
      <c r="H470" s="47">
        <f>IF($F470="","",IFERROR(INDEX(사건마스터!$C$5:$C$64,MATCH($F470,사건마스터!$A$5:$A$64,0)),""))</f>
        <v/>
      </c>
      <c r="I470" s="48">
        <f>IF($F470="","",IFERROR(INDEX(사건마스터!$H$5:$H$64,MATCH($F470,사건마스터!$A$5:$A$64,0)),""))</f>
        <v/>
      </c>
      <c r="J470" s="48">
        <f>IF($F470="","",IFERROR(INDEX(사건마스터!$AH$5:$AH$64,MATCH($F470,사건마스터!$A$5:$A$64,0)),""))</f>
        <v/>
      </c>
      <c r="K470" s="48">
        <f>IF($F470="","",IFERROR(INDEX(사건마스터!$AI$5:$AI$64,MATCH($F470,사건마스터!$A$5:$A$64,0)),""))</f>
        <v/>
      </c>
      <c r="L470" s="48">
        <f>IF($F470="","",IFERROR(INDEX(사건마스터!$AJ$5:$AJ$64,MATCH($F470,사건마스터!$A$5:$A$64,0)),""))</f>
        <v/>
      </c>
      <c r="M470" s="48">
        <f>IF($F470="","",IFERROR(INDEX(사건마스터!$AK$5:$AK$64,MATCH($F470,사건마스터!$A$5:$A$64,0)),""))</f>
        <v/>
      </c>
      <c r="N470" s="48">
        <f>IF($F470="","",IFERROR(INDEX(사건마스터!$AL$5:$AL$64,MATCH($F470,사건마스터!$A$5:$A$64,0)),""))</f>
        <v/>
      </c>
      <c r="O470" s="43">
        <f>IF($I470="","",COUNTIF($I470:$N470,"?*"))</f>
        <v/>
      </c>
      <c r="P470" s="46">
        <f>IF($I470="","",_xlfn.TEXTJOIN(", ",TRUE,$I470:$N470))</f>
        <v/>
      </c>
      <c r="Q470" s="47">
        <f>IF($I470="","",IFERROR(INDEX(코드설정!$D$5:$D$24,MATCH($I470,코드설정!$C$5:$C$24,0)),""))</f>
        <v/>
      </c>
      <c r="R470" s="49" t="n"/>
      <c r="S470" s="50" t="n"/>
      <c r="T470" s="51" t="n"/>
      <c r="U470" s="43">
        <f>IF(OR($B470="",$C470=""),"",$C470-$B470+1)</f>
        <v/>
      </c>
      <c r="V470" s="52" t="n"/>
      <c r="W470" s="53">
        <f>IF(OR($V470="",$O470=""),"",$V470*$O470)</f>
        <v/>
      </c>
      <c r="X470" s="45" t="n"/>
      <c r="Y470" s="49" t="n"/>
    </row>
    <row r="471">
      <c r="A471" s="43">
        <f>IF($B471="","",COUNT($B$5:$B471))</f>
        <v/>
      </c>
      <c r="B471" s="44" t="n"/>
      <c r="C471" s="44" t="n"/>
      <c r="D471" s="45" t="n"/>
      <c r="E471" s="45" t="n"/>
      <c r="F471" s="45" t="n"/>
      <c r="G471" s="46">
        <f>IF($F471="","",IFERROR(INDEX(사건마스터!$B$5:$B$64,MATCH($F471,사건마스터!$A$5:$A$64,0)),""))</f>
        <v/>
      </c>
      <c r="H471" s="47">
        <f>IF($F471="","",IFERROR(INDEX(사건마스터!$C$5:$C$64,MATCH($F471,사건마스터!$A$5:$A$64,0)),""))</f>
        <v/>
      </c>
      <c r="I471" s="48">
        <f>IF($F471="","",IFERROR(INDEX(사건마스터!$H$5:$H$64,MATCH($F471,사건마스터!$A$5:$A$64,0)),""))</f>
        <v/>
      </c>
      <c r="J471" s="48">
        <f>IF($F471="","",IFERROR(INDEX(사건마스터!$AH$5:$AH$64,MATCH($F471,사건마스터!$A$5:$A$64,0)),""))</f>
        <v/>
      </c>
      <c r="K471" s="48">
        <f>IF($F471="","",IFERROR(INDEX(사건마스터!$AI$5:$AI$64,MATCH($F471,사건마스터!$A$5:$A$64,0)),""))</f>
        <v/>
      </c>
      <c r="L471" s="48">
        <f>IF($F471="","",IFERROR(INDEX(사건마스터!$AJ$5:$AJ$64,MATCH($F471,사건마스터!$A$5:$A$64,0)),""))</f>
        <v/>
      </c>
      <c r="M471" s="48">
        <f>IF($F471="","",IFERROR(INDEX(사건마스터!$AK$5:$AK$64,MATCH($F471,사건마스터!$A$5:$A$64,0)),""))</f>
        <v/>
      </c>
      <c r="N471" s="48">
        <f>IF($F471="","",IFERROR(INDEX(사건마스터!$AL$5:$AL$64,MATCH($F471,사건마스터!$A$5:$A$64,0)),""))</f>
        <v/>
      </c>
      <c r="O471" s="43">
        <f>IF($I471="","",COUNTIF($I471:$N471,"?*"))</f>
        <v/>
      </c>
      <c r="P471" s="46">
        <f>IF($I471="","",_xlfn.TEXTJOIN(", ",TRUE,$I471:$N471))</f>
        <v/>
      </c>
      <c r="Q471" s="47">
        <f>IF($I471="","",IFERROR(INDEX(코드설정!$D$5:$D$24,MATCH($I471,코드설정!$C$5:$C$24,0)),""))</f>
        <v/>
      </c>
      <c r="R471" s="49" t="n"/>
      <c r="S471" s="50" t="n"/>
      <c r="T471" s="51" t="n"/>
      <c r="U471" s="43">
        <f>IF(OR($B471="",$C471=""),"",$C471-$B471+1)</f>
        <v/>
      </c>
      <c r="V471" s="52" t="n"/>
      <c r="W471" s="53">
        <f>IF(OR($V471="",$O471=""),"",$V471*$O471)</f>
        <v/>
      </c>
      <c r="X471" s="45" t="n"/>
      <c r="Y471" s="49" t="n"/>
    </row>
    <row r="472">
      <c r="A472" s="43">
        <f>IF($B472="","",COUNT($B$5:$B472))</f>
        <v/>
      </c>
      <c r="B472" s="44" t="n"/>
      <c r="C472" s="44" t="n"/>
      <c r="D472" s="45" t="n"/>
      <c r="E472" s="45" t="n"/>
      <c r="F472" s="45" t="n"/>
      <c r="G472" s="46">
        <f>IF($F472="","",IFERROR(INDEX(사건마스터!$B$5:$B$64,MATCH($F472,사건마스터!$A$5:$A$64,0)),""))</f>
        <v/>
      </c>
      <c r="H472" s="47">
        <f>IF($F472="","",IFERROR(INDEX(사건마스터!$C$5:$C$64,MATCH($F472,사건마스터!$A$5:$A$64,0)),""))</f>
        <v/>
      </c>
      <c r="I472" s="48">
        <f>IF($F472="","",IFERROR(INDEX(사건마스터!$H$5:$H$64,MATCH($F472,사건마스터!$A$5:$A$64,0)),""))</f>
        <v/>
      </c>
      <c r="J472" s="48">
        <f>IF($F472="","",IFERROR(INDEX(사건마스터!$AH$5:$AH$64,MATCH($F472,사건마스터!$A$5:$A$64,0)),""))</f>
        <v/>
      </c>
      <c r="K472" s="48">
        <f>IF($F472="","",IFERROR(INDEX(사건마스터!$AI$5:$AI$64,MATCH($F472,사건마스터!$A$5:$A$64,0)),""))</f>
        <v/>
      </c>
      <c r="L472" s="48">
        <f>IF($F472="","",IFERROR(INDEX(사건마스터!$AJ$5:$AJ$64,MATCH($F472,사건마스터!$A$5:$A$64,0)),""))</f>
        <v/>
      </c>
      <c r="M472" s="48">
        <f>IF($F472="","",IFERROR(INDEX(사건마스터!$AK$5:$AK$64,MATCH($F472,사건마스터!$A$5:$A$64,0)),""))</f>
        <v/>
      </c>
      <c r="N472" s="48">
        <f>IF($F472="","",IFERROR(INDEX(사건마스터!$AL$5:$AL$64,MATCH($F472,사건마스터!$A$5:$A$64,0)),""))</f>
        <v/>
      </c>
      <c r="O472" s="43">
        <f>IF($I472="","",COUNTIF($I472:$N472,"?*"))</f>
        <v/>
      </c>
      <c r="P472" s="46">
        <f>IF($I472="","",_xlfn.TEXTJOIN(", ",TRUE,$I472:$N472))</f>
        <v/>
      </c>
      <c r="Q472" s="47">
        <f>IF($I472="","",IFERROR(INDEX(코드설정!$D$5:$D$24,MATCH($I472,코드설정!$C$5:$C$24,0)),""))</f>
        <v/>
      </c>
      <c r="R472" s="49" t="n"/>
      <c r="S472" s="50" t="n"/>
      <c r="T472" s="51" t="n"/>
      <c r="U472" s="43">
        <f>IF(OR($B472="",$C472=""),"",$C472-$B472+1)</f>
        <v/>
      </c>
      <c r="V472" s="52" t="n"/>
      <c r="W472" s="53">
        <f>IF(OR($V472="",$O472=""),"",$V472*$O472)</f>
        <v/>
      </c>
      <c r="X472" s="45" t="n"/>
      <c r="Y472" s="49" t="n"/>
    </row>
    <row r="473">
      <c r="A473" s="43">
        <f>IF($B473="","",COUNT($B$5:$B473))</f>
        <v/>
      </c>
      <c r="B473" s="44" t="n"/>
      <c r="C473" s="44" t="n"/>
      <c r="D473" s="45" t="n"/>
      <c r="E473" s="45" t="n"/>
      <c r="F473" s="45" t="n"/>
      <c r="G473" s="46">
        <f>IF($F473="","",IFERROR(INDEX(사건마스터!$B$5:$B$64,MATCH($F473,사건마스터!$A$5:$A$64,0)),""))</f>
        <v/>
      </c>
      <c r="H473" s="47">
        <f>IF($F473="","",IFERROR(INDEX(사건마스터!$C$5:$C$64,MATCH($F473,사건마스터!$A$5:$A$64,0)),""))</f>
        <v/>
      </c>
      <c r="I473" s="48">
        <f>IF($F473="","",IFERROR(INDEX(사건마스터!$H$5:$H$64,MATCH($F473,사건마스터!$A$5:$A$64,0)),""))</f>
        <v/>
      </c>
      <c r="J473" s="48">
        <f>IF($F473="","",IFERROR(INDEX(사건마스터!$AH$5:$AH$64,MATCH($F473,사건마스터!$A$5:$A$64,0)),""))</f>
        <v/>
      </c>
      <c r="K473" s="48">
        <f>IF($F473="","",IFERROR(INDEX(사건마스터!$AI$5:$AI$64,MATCH($F473,사건마스터!$A$5:$A$64,0)),""))</f>
        <v/>
      </c>
      <c r="L473" s="48">
        <f>IF($F473="","",IFERROR(INDEX(사건마스터!$AJ$5:$AJ$64,MATCH($F473,사건마스터!$A$5:$A$64,0)),""))</f>
        <v/>
      </c>
      <c r="M473" s="48">
        <f>IF($F473="","",IFERROR(INDEX(사건마스터!$AK$5:$AK$64,MATCH($F473,사건마스터!$A$5:$A$64,0)),""))</f>
        <v/>
      </c>
      <c r="N473" s="48">
        <f>IF($F473="","",IFERROR(INDEX(사건마스터!$AL$5:$AL$64,MATCH($F473,사건마스터!$A$5:$A$64,0)),""))</f>
        <v/>
      </c>
      <c r="O473" s="43">
        <f>IF($I473="","",COUNTIF($I473:$N473,"?*"))</f>
        <v/>
      </c>
      <c r="P473" s="46">
        <f>IF($I473="","",_xlfn.TEXTJOIN(", ",TRUE,$I473:$N473))</f>
        <v/>
      </c>
      <c r="Q473" s="47">
        <f>IF($I473="","",IFERROR(INDEX(코드설정!$D$5:$D$24,MATCH($I473,코드설정!$C$5:$C$24,0)),""))</f>
        <v/>
      </c>
      <c r="R473" s="49" t="n"/>
      <c r="S473" s="50" t="n"/>
      <c r="T473" s="51" t="n"/>
      <c r="U473" s="43">
        <f>IF(OR($B473="",$C473=""),"",$C473-$B473+1)</f>
        <v/>
      </c>
      <c r="V473" s="52" t="n"/>
      <c r="W473" s="53">
        <f>IF(OR($V473="",$O473=""),"",$V473*$O473)</f>
        <v/>
      </c>
      <c r="X473" s="45" t="n"/>
      <c r="Y473" s="49" t="n"/>
    </row>
    <row r="474">
      <c r="A474" s="43">
        <f>IF($B474="","",COUNT($B$5:$B474))</f>
        <v/>
      </c>
      <c r="B474" s="44" t="n"/>
      <c r="C474" s="44" t="n"/>
      <c r="D474" s="45" t="n"/>
      <c r="E474" s="45" t="n"/>
      <c r="F474" s="45" t="n"/>
      <c r="G474" s="46">
        <f>IF($F474="","",IFERROR(INDEX(사건마스터!$B$5:$B$64,MATCH($F474,사건마스터!$A$5:$A$64,0)),""))</f>
        <v/>
      </c>
      <c r="H474" s="47">
        <f>IF($F474="","",IFERROR(INDEX(사건마스터!$C$5:$C$64,MATCH($F474,사건마스터!$A$5:$A$64,0)),""))</f>
        <v/>
      </c>
      <c r="I474" s="48">
        <f>IF($F474="","",IFERROR(INDEX(사건마스터!$H$5:$H$64,MATCH($F474,사건마스터!$A$5:$A$64,0)),""))</f>
        <v/>
      </c>
      <c r="J474" s="48">
        <f>IF($F474="","",IFERROR(INDEX(사건마스터!$AH$5:$AH$64,MATCH($F474,사건마스터!$A$5:$A$64,0)),""))</f>
        <v/>
      </c>
      <c r="K474" s="48">
        <f>IF($F474="","",IFERROR(INDEX(사건마스터!$AI$5:$AI$64,MATCH($F474,사건마스터!$A$5:$A$64,0)),""))</f>
        <v/>
      </c>
      <c r="L474" s="48">
        <f>IF($F474="","",IFERROR(INDEX(사건마스터!$AJ$5:$AJ$64,MATCH($F474,사건마스터!$A$5:$A$64,0)),""))</f>
        <v/>
      </c>
      <c r="M474" s="48">
        <f>IF($F474="","",IFERROR(INDEX(사건마스터!$AK$5:$AK$64,MATCH($F474,사건마스터!$A$5:$A$64,0)),""))</f>
        <v/>
      </c>
      <c r="N474" s="48">
        <f>IF($F474="","",IFERROR(INDEX(사건마스터!$AL$5:$AL$64,MATCH($F474,사건마스터!$A$5:$A$64,0)),""))</f>
        <v/>
      </c>
      <c r="O474" s="43">
        <f>IF($I474="","",COUNTIF($I474:$N474,"?*"))</f>
        <v/>
      </c>
      <c r="P474" s="46">
        <f>IF($I474="","",_xlfn.TEXTJOIN(", ",TRUE,$I474:$N474))</f>
        <v/>
      </c>
      <c r="Q474" s="47">
        <f>IF($I474="","",IFERROR(INDEX(코드설정!$D$5:$D$24,MATCH($I474,코드설정!$C$5:$C$24,0)),""))</f>
        <v/>
      </c>
      <c r="R474" s="49" t="n"/>
      <c r="S474" s="50" t="n"/>
      <c r="T474" s="51" t="n"/>
      <c r="U474" s="43">
        <f>IF(OR($B474="",$C474=""),"",$C474-$B474+1)</f>
        <v/>
      </c>
      <c r="V474" s="52" t="n"/>
      <c r="W474" s="53">
        <f>IF(OR($V474="",$O474=""),"",$V474*$O474)</f>
        <v/>
      </c>
      <c r="X474" s="45" t="n"/>
      <c r="Y474" s="49" t="n"/>
    </row>
    <row r="475">
      <c r="A475" s="43">
        <f>IF($B475="","",COUNT($B$5:$B475))</f>
        <v/>
      </c>
      <c r="B475" s="44" t="n"/>
      <c r="C475" s="44" t="n"/>
      <c r="D475" s="45" t="n"/>
      <c r="E475" s="45" t="n"/>
      <c r="F475" s="45" t="n"/>
      <c r="G475" s="46">
        <f>IF($F475="","",IFERROR(INDEX(사건마스터!$B$5:$B$64,MATCH($F475,사건마스터!$A$5:$A$64,0)),""))</f>
        <v/>
      </c>
      <c r="H475" s="47">
        <f>IF($F475="","",IFERROR(INDEX(사건마스터!$C$5:$C$64,MATCH($F475,사건마스터!$A$5:$A$64,0)),""))</f>
        <v/>
      </c>
      <c r="I475" s="48">
        <f>IF($F475="","",IFERROR(INDEX(사건마스터!$H$5:$H$64,MATCH($F475,사건마스터!$A$5:$A$64,0)),""))</f>
        <v/>
      </c>
      <c r="J475" s="48">
        <f>IF($F475="","",IFERROR(INDEX(사건마스터!$AH$5:$AH$64,MATCH($F475,사건마스터!$A$5:$A$64,0)),""))</f>
        <v/>
      </c>
      <c r="K475" s="48">
        <f>IF($F475="","",IFERROR(INDEX(사건마스터!$AI$5:$AI$64,MATCH($F475,사건마스터!$A$5:$A$64,0)),""))</f>
        <v/>
      </c>
      <c r="L475" s="48">
        <f>IF($F475="","",IFERROR(INDEX(사건마스터!$AJ$5:$AJ$64,MATCH($F475,사건마스터!$A$5:$A$64,0)),""))</f>
        <v/>
      </c>
      <c r="M475" s="48">
        <f>IF($F475="","",IFERROR(INDEX(사건마스터!$AK$5:$AK$64,MATCH($F475,사건마스터!$A$5:$A$64,0)),""))</f>
        <v/>
      </c>
      <c r="N475" s="48">
        <f>IF($F475="","",IFERROR(INDEX(사건마스터!$AL$5:$AL$64,MATCH($F475,사건마스터!$A$5:$A$64,0)),""))</f>
        <v/>
      </c>
      <c r="O475" s="43">
        <f>IF($I475="","",COUNTIF($I475:$N475,"?*"))</f>
        <v/>
      </c>
      <c r="P475" s="46">
        <f>IF($I475="","",_xlfn.TEXTJOIN(", ",TRUE,$I475:$N475))</f>
        <v/>
      </c>
      <c r="Q475" s="47">
        <f>IF($I475="","",IFERROR(INDEX(코드설정!$D$5:$D$24,MATCH($I475,코드설정!$C$5:$C$24,0)),""))</f>
        <v/>
      </c>
      <c r="R475" s="49" t="n"/>
      <c r="S475" s="50" t="n"/>
      <c r="T475" s="51" t="n"/>
      <c r="U475" s="43">
        <f>IF(OR($B475="",$C475=""),"",$C475-$B475+1)</f>
        <v/>
      </c>
      <c r="V475" s="52" t="n"/>
      <c r="W475" s="53">
        <f>IF(OR($V475="",$O475=""),"",$V475*$O475)</f>
        <v/>
      </c>
      <c r="X475" s="45" t="n"/>
      <c r="Y475" s="49" t="n"/>
    </row>
    <row r="476">
      <c r="A476" s="43">
        <f>IF($B476="","",COUNT($B$5:$B476))</f>
        <v/>
      </c>
      <c r="B476" s="44" t="n"/>
      <c r="C476" s="44" t="n"/>
      <c r="D476" s="45" t="n"/>
      <c r="E476" s="45" t="n"/>
      <c r="F476" s="45" t="n"/>
      <c r="G476" s="46">
        <f>IF($F476="","",IFERROR(INDEX(사건마스터!$B$5:$B$64,MATCH($F476,사건마스터!$A$5:$A$64,0)),""))</f>
        <v/>
      </c>
      <c r="H476" s="47">
        <f>IF($F476="","",IFERROR(INDEX(사건마스터!$C$5:$C$64,MATCH($F476,사건마스터!$A$5:$A$64,0)),""))</f>
        <v/>
      </c>
      <c r="I476" s="48">
        <f>IF($F476="","",IFERROR(INDEX(사건마스터!$H$5:$H$64,MATCH($F476,사건마스터!$A$5:$A$64,0)),""))</f>
        <v/>
      </c>
      <c r="J476" s="48">
        <f>IF($F476="","",IFERROR(INDEX(사건마스터!$AH$5:$AH$64,MATCH($F476,사건마스터!$A$5:$A$64,0)),""))</f>
        <v/>
      </c>
      <c r="K476" s="48">
        <f>IF($F476="","",IFERROR(INDEX(사건마스터!$AI$5:$AI$64,MATCH($F476,사건마스터!$A$5:$A$64,0)),""))</f>
        <v/>
      </c>
      <c r="L476" s="48">
        <f>IF($F476="","",IFERROR(INDEX(사건마스터!$AJ$5:$AJ$64,MATCH($F476,사건마스터!$A$5:$A$64,0)),""))</f>
        <v/>
      </c>
      <c r="M476" s="48">
        <f>IF($F476="","",IFERROR(INDEX(사건마스터!$AK$5:$AK$64,MATCH($F476,사건마스터!$A$5:$A$64,0)),""))</f>
        <v/>
      </c>
      <c r="N476" s="48">
        <f>IF($F476="","",IFERROR(INDEX(사건마스터!$AL$5:$AL$64,MATCH($F476,사건마스터!$A$5:$A$64,0)),""))</f>
        <v/>
      </c>
      <c r="O476" s="43">
        <f>IF($I476="","",COUNTIF($I476:$N476,"?*"))</f>
        <v/>
      </c>
      <c r="P476" s="46">
        <f>IF($I476="","",_xlfn.TEXTJOIN(", ",TRUE,$I476:$N476))</f>
        <v/>
      </c>
      <c r="Q476" s="47">
        <f>IF($I476="","",IFERROR(INDEX(코드설정!$D$5:$D$24,MATCH($I476,코드설정!$C$5:$C$24,0)),""))</f>
        <v/>
      </c>
      <c r="R476" s="49" t="n"/>
      <c r="S476" s="50" t="n"/>
      <c r="T476" s="51" t="n"/>
      <c r="U476" s="43">
        <f>IF(OR($B476="",$C476=""),"",$C476-$B476+1)</f>
        <v/>
      </c>
      <c r="V476" s="52" t="n"/>
      <c r="W476" s="53">
        <f>IF(OR($V476="",$O476=""),"",$V476*$O476)</f>
        <v/>
      </c>
      <c r="X476" s="45" t="n"/>
      <c r="Y476" s="49" t="n"/>
    </row>
    <row r="477">
      <c r="A477" s="43">
        <f>IF($B477="","",COUNT($B$5:$B477))</f>
        <v/>
      </c>
      <c r="B477" s="44" t="n"/>
      <c r="C477" s="44" t="n"/>
      <c r="D477" s="45" t="n"/>
      <c r="E477" s="45" t="n"/>
      <c r="F477" s="45" t="n"/>
      <c r="G477" s="46">
        <f>IF($F477="","",IFERROR(INDEX(사건마스터!$B$5:$B$64,MATCH($F477,사건마스터!$A$5:$A$64,0)),""))</f>
        <v/>
      </c>
      <c r="H477" s="47">
        <f>IF($F477="","",IFERROR(INDEX(사건마스터!$C$5:$C$64,MATCH($F477,사건마스터!$A$5:$A$64,0)),""))</f>
        <v/>
      </c>
      <c r="I477" s="48">
        <f>IF($F477="","",IFERROR(INDEX(사건마스터!$H$5:$H$64,MATCH($F477,사건마스터!$A$5:$A$64,0)),""))</f>
        <v/>
      </c>
      <c r="J477" s="48">
        <f>IF($F477="","",IFERROR(INDEX(사건마스터!$AH$5:$AH$64,MATCH($F477,사건마스터!$A$5:$A$64,0)),""))</f>
        <v/>
      </c>
      <c r="K477" s="48">
        <f>IF($F477="","",IFERROR(INDEX(사건마스터!$AI$5:$AI$64,MATCH($F477,사건마스터!$A$5:$A$64,0)),""))</f>
        <v/>
      </c>
      <c r="L477" s="48">
        <f>IF($F477="","",IFERROR(INDEX(사건마스터!$AJ$5:$AJ$64,MATCH($F477,사건마스터!$A$5:$A$64,0)),""))</f>
        <v/>
      </c>
      <c r="M477" s="48">
        <f>IF($F477="","",IFERROR(INDEX(사건마스터!$AK$5:$AK$64,MATCH($F477,사건마스터!$A$5:$A$64,0)),""))</f>
        <v/>
      </c>
      <c r="N477" s="48">
        <f>IF($F477="","",IFERROR(INDEX(사건마스터!$AL$5:$AL$64,MATCH($F477,사건마스터!$A$5:$A$64,0)),""))</f>
        <v/>
      </c>
      <c r="O477" s="43">
        <f>IF($I477="","",COUNTIF($I477:$N477,"?*"))</f>
        <v/>
      </c>
      <c r="P477" s="46">
        <f>IF($I477="","",_xlfn.TEXTJOIN(", ",TRUE,$I477:$N477))</f>
        <v/>
      </c>
      <c r="Q477" s="47">
        <f>IF($I477="","",IFERROR(INDEX(코드설정!$D$5:$D$24,MATCH($I477,코드설정!$C$5:$C$24,0)),""))</f>
        <v/>
      </c>
      <c r="R477" s="49" t="n"/>
      <c r="S477" s="50" t="n"/>
      <c r="T477" s="51" t="n"/>
      <c r="U477" s="43">
        <f>IF(OR($B477="",$C477=""),"",$C477-$B477+1)</f>
        <v/>
      </c>
      <c r="V477" s="52" t="n"/>
      <c r="W477" s="53">
        <f>IF(OR($V477="",$O477=""),"",$V477*$O477)</f>
        <v/>
      </c>
      <c r="X477" s="45" t="n"/>
      <c r="Y477" s="49" t="n"/>
    </row>
    <row r="478">
      <c r="A478" s="43">
        <f>IF($B478="","",COUNT($B$5:$B478))</f>
        <v/>
      </c>
      <c r="B478" s="44" t="n"/>
      <c r="C478" s="44" t="n"/>
      <c r="D478" s="45" t="n"/>
      <c r="E478" s="45" t="n"/>
      <c r="F478" s="45" t="n"/>
      <c r="G478" s="46">
        <f>IF($F478="","",IFERROR(INDEX(사건마스터!$B$5:$B$64,MATCH($F478,사건마스터!$A$5:$A$64,0)),""))</f>
        <v/>
      </c>
      <c r="H478" s="47">
        <f>IF($F478="","",IFERROR(INDEX(사건마스터!$C$5:$C$64,MATCH($F478,사건마스터!$A$5:$A$64,0)),""))</f>
        <v/>
      </c>
      <c r="I478" s="48">
        <f>IF($F478="","",IFERROR(INDEX(사건마스터!$H$5:$H$64,MATCH($F478,사건마스터!$A$5:$A$64,0)),""))</f>
        <v/>
      </c>
      <c r="J478" s="48">
        <f>IF($F478="","",IFERROR(INDEX(사건마스터!$AH$5:$AH$64,MATCH($F478,사건마스터!$A$5:$A$64,0)),""))</f>
        <v/>
      </c>
      <c r="K478" s="48">
        <f>IF($F478="","",IFERROR(INDEX(사건마스터!$AI$5:$AI$64,MATCH($F478,사건마스터!$A$5:$A$64,0)),""))</f>
        <v/>
      </c>
      <c r="L478" s="48">
        <f>IF($F478="","",IFERROR(INDEX(사건마스터!$AJ$5:$AJ$64,MATCH($F478,사건마스터!$A$5:$A$64,0)),""))</f>
        <v/>
      </c>
      <c r="M478" s="48">
        <f>IF($F478="","",IFERROR(INDEX(사건마스터!$AK$5:$AK$64,MATCH($F478,사건마스터!$A$5:$A$64,0)),""))</f>
        <v/>
      </c>
      <c r="N478" s="48">
        <f>IF($F478="","",IFERROR(INDEX(사건마스터!$AL$5:$AL$64,MATCH($F478,사건마스터!$A$5:$A$64,0)),""))</f>
        <v/>
      </c>
      <c r="O478" s="43">
        <f>IF($I478="","",COUNTIF($I478:$N478,"?*"))</f>
        <v/>
      </c>
      <c r="P478" s="46">
        <f>IF($I478="","",_xlfn.TEXTJOIN(", ",TRUE,$I478:$N478))</f>
        <v/>
      </c>
      <c r="Q478" s="47">
        <f>IF($I478="","",IFERROR(INDEX(코드설정!$D$5:$D$24,MATCH($I478,코드설정!$C$5:$C$24,0)),""))</f>
        <v/>
      </c>
      <c r="R478" s="49" t="n"/>
      <c r="S478" s="50" t="n"/>
      <c r="T478" s="51" t="n"/>
      <c r="U478" s="43">
        <f>IF(OR($B478="",$C478=""),"",$C478-$B478+1)</f>
        <v/>
      </c>
      <c r="V478" s="52" t="n"/>
      <c r="W478" s="53">
        <f>IF(OR($V478="",$O478=""),"",$V478*$O478)</f>
        <v/>
      </c>
      <c r="X478" s="45" t="n"/>
      <c r="Y478" s="49" t="n"/>
    </row>
    <row r="479">
      <c r="A479" s="43">
        <f>IF($B479="","",COUNT($B$5:$B479))</f>
        <v/>
      </c>
      <c r="B479" s="44" t="n"/>
      <c r="C479" s="44" t="n"/>
      <c r="D479" s="45" t="n"/>
      <c r="E479" s="45" t="n"/>
      <c r="F479" s="45" t="n"/>
      <c r="G479" s="46">
        <f>IF($F479="","",IFERROR(INDEX(사건마스터!$B$5:$B$64,MATCH($F479,사건마스터!$A$5:$A$64,0)),""))</f>
        <v/>
      </c>
      <c r="H479" s="47">
        <f>IF($F479="","",IFERROR(INDEX(사건마스터!$C$5:$C$64,MATCH($F479,사건마스터!$A$5:$A$64,0)),""))</f>
        <v/>
      </c>
      <c r="I479" s="48">
        <f>IF($F479="","",IFERROR(INDEX(사건마스터!$H$5:$H$64,MATCH($F479,사건마스터!$A$5:$A$64,0)),""))</f>
        <v/>
      </c>
      <c r="J479" s="48">
        <f>IF($F479="","",IFERROR(INDEX(사건마스터!$AH$5:$AH$64,MATCH($F479,사건마스터!$A$5:$A$64,0)),""))</f>
        <v/>
      </c>
      <c r="K479" s="48">
        <f>IF($F479="","",IFERROR(INDEX(사건마스터!$AI$5:$AI$64,MATCH($F479,사건마스터!$A$5:$A$64,0)),""))</f>
        <v/>
      </c>
      <c r="L479" s="48">
        <f>IF($F479="","",IFERROR(INDEX(사건마스터!$AJ$5:$AJ$64,MATCH($F479,사건마스터!$A$5:$A$64,0)),""))</f>
        <v/>
      </c>
      <c r="M479" s="48">
        <f>IF($F479="","",IFERROR(INDEX(사건마스터!$AK$5:$AK$64,MATCH($F479,사건마스터!$A$5:$A$64,0)),""))</f>
        <v/>
      </c>
      <c r="N479" s="48">
        <f>IF($F479="","",IFERROR(INDEX(사건마스터!$AL$5:$AL$64,MATCH($F479,사건마스터!$A$5:$A$64,0)),""))</f>
        <v/>
      </c>
      <c r="O479" s="43">
        <f>IF($I479="","",COUNTIF($I479:$N479,"?*"))</f>
        <v/>
      </c>
      <c r="P479" s="46">
        <f>IF($I479="","",_xlfn.TEXTJOIN(", ",TRUE,$I479:$N479))</f>
        <v/>
      </c>
      <c r="Q479" s="47">
        <f>IF($I479="","",IFERROR(INDEX(코드설정!$D$5:$D$24,MATCH($I479,코드설정!$C$5:$C$24,0)),""))</f>
        <v/>
      </c>
      <c r="R479" s="49" t="n"/>
      <c r="S479" s="50" t="n"/>
      <c r="T479" s="51" t="n"/>
      <c r="U479" s="43">
        <f>IF(OR($B479="",$C479=""),"",$C479-$B479+1)</f>
        <v/>
      </c>
      <c r="V479" s="52" t="n"/>
      <c r="W479" s="53">
        <f>IF(OR($V479="",$O479=""),"",$V479*$O479)</f>
        <v/>
      </c>
      <c r="X479" s="45" t="n"/>
      <c r="Y479" s="49" t="n"/>
    </row>
    <row r="480">
      <c r="A480" s="43">
        <f>IF($B480="","",COUNT($B$5:$B480))</f>
        <v/>
      </c>
      <c r="B480" s="44" t="n"/>
      <c r="C480" s="44" t="n"/>
      <c r="D480" s="45" t="n"/>
      <c r="E480" s="45" t="n"/>
      <c r="F480" s="45" t="n"/>
      <c r="G480" s="46">
        <f>IF($F480="","",IFERROR(INDEX(사건마스터!$B$5:$B$64,MATCH($F480,사건마스터!$A$5:$A$64,0)),""))</f>
        <v/>
      </c>
      <c r="H480" s="47">
        <f>IF($F480="","",IFERROR(INDEX(사건마스터!$C$5:$C$64,MATCH($F480,사건마스터!$A$5:$A$64,0)),""))</f>
        <v/>
      </c>
      <c r="I480" s="48">
        <f>IF($F480="","",IFERROR(INDEX(사건마스터!$H$5:$H$64,MATCH($F480,사건마스터!$A$5:$A$64,0)),""))</f>
        <v/>
      </c>
      <c r="J480" s="48">
        <f>IF($F480="","",IFERROR(INDEX(사건마스터!$AH$5:$AH$64,MATCH($F480,사건마스터!$A$5:$A$64,0)),""))</f>
        <v/>
      </c>
      <c r="K480" s="48">
        <f>IF($F480="","",IFERROR(INDEX(사건마스터!$AI$5:$AI$64,MATCH($F480,사건마스터!$A$5:$A$64,0)),""))</f>
        <v/>
      </c>
      <c r="L480" s="48">
        <f>IF($F480="","",IFERROR(INDEX(사건마스터!$AJ$5:$AJ$64,MATCH($F480,사건마스터!$A$5:$A$64,0)),""))</f>
        <v/>
      </c>
      <c r="M480" s="48">
        <f>IF($F480="","",IFERROR(INDEX(사건마스터!$AK$5:$AK$64,MATCH($F480,사건마스터!$A$5:$A$64,0)),""))</f>
        <v/>
      </c>
      <c r="N480" s="48">
        <f>IF($F480="","",IFERROR(INDEX(사건마스터!$AL$5:$AL$64,MATCH($F480,사건마스터!$A$5:$A$64,0)),""))</f>
        <v/>
      </c>
      <c r="O480" s="43">
        <f>IF($I480="","",COUNTIF($I480:$N480,"?*"))</f>
        <v/>
      </c>
      <c r="P480" s="46">
        <f>IF($I480="","",_xlfn.TEXTJOIN(", ",TRUE,$I480:$N480))</f>
        <v/>
      </c>
      <c r="Q480" s="47">
        <f>IF($I480="","",IFERROR(INDEX(코드설정!$D$5:$D$24,MATCH($I480,코드설정!$C$5:$C$24,0)),""))</f>
        <v/>
      </c>
      <c r="R480" s="49" t="n"/>
      <c r="S480" s="50" t="n"/>
      <c r="T480" s="51" t="n"/>
      <c r="U480" s="43">
        <f>IF(OR($B480="",$C480=""),"",$C480-$B480+1)</f>
        <v/>
      </c>
      <c r="V480" s="52" t="n"/>
      <c r="W480" s="53">
        <f>IF(OR($V480="",$O480=""),"",$V480*$O480)</f>
        <v/>
      </c>
      <c r="X480" s="45" t="n"/>
      <c r="Y480" s="49" t="n"/>
    </row>
    <row r="481">
      <c r="A481" s="43">
        <f>IF($B481="","",COUNT($B$5:$B481))</f>
        <v/>
      </c>
      <c r="B481" s="44" t="n"/>
      <c r="C481" s="44" t="n"/>
      <c r="D481" s="45" t="n"/>
      <c r="E481" s="45" t="n"/>
      <c r="F481" s="45" t="n"/>
      <c r="G481" s="46">
        <f>IF($F481="","",IFERROR(INDEX(사건마스터!$B$5:$B$64,MATCH($F481,사건마스터!$A$5:$A$64,0)),""))</f>
        <v/>
      </c>
      <c r="H481" s="47">
        <f>IF($F481="","",IFERROR(INDEX(사건마스터!$C$5:$C$64,MATCH($F481,사건마스터!$A$5:$A$64,0)),""))</f>
        <v/>
      </c>
      <c r="I481" s="48">
        <f>IF($F481="","",IFERROR(INDEX(사건마스터!$H$5:$H$64,MATCH($F481,사건마스터!$A$5:$A$64,0)),""))</f>
        <v/>
      </c>
      <c r="J481" s="48">
        <f>IF($F481="","",IFERROR(INDEX(사건마스터!$AH$5:$AH$64,MATCH($F481,사건마스터!$A$5:$A$64,0)),""))</f>
        <v/>
      </c>
      <c r="K481" s="48">
        <f>IF($F481="","",IFERROR(INDEX(사건마스터!$AI$5:$AI$64,MATCH($F481,사건마스터!$A$5:$A$64,0)),""))</f>
        <v/>
      </c>
      <c r="L481" s="48">
        <f>IF($F481="","",IFERROR(INDEX(사건마스터!$AJ$5:$AJ$64,MATCH($F481,사건마스터!$A$5:$A$64,0)),""))</f>
        <v/>
      </c>
      <c r="M481" s="48">
        <f>IF($F481="","",IFERROR(INDEX(사건마스터!$AK$5:$AK$64,MATCH($F481,사건마스터!$A$5:$A$64,0)),""))</f>
        <v/>
      </c>
      <c r="N481" s="48">
        <f>IF($F481="","",IFERROR(INDEX(사건마스터!$AL$5:$AL$64,MATCH($F481,사건마스터!$A$5:$A$64,0)),""))</f>
        <v/>
      </c>
      <c r="O481" s="43">
        <f>IF($I481="","",COUNTIF($I481:$N481,"?*"))</f>
        <v/>
      </c>
      <c r="P481" s="46">
        <f>IF($I481="","",_xlfn.TEXTJOIN(", ",TRUE,$I481:$N481))</f>
        <v/>
      </c>
      <c r="Q481" s="47">
        <f>IF($I481="","",IFERROR(INDEX(코드설정!$D$5:$D$24,MATCH($I481,코드설정!$C$5:$C$24,0)),""))</f>
        <v/>
      </c>
      <c r="R481" s="49" t="n"/>
      <c r="S481" s="50" t="n"/>
      <c r="T481" s="51" t="n"/>
      <c r="U481" s="43">
        <f>IF(OR($B481="",$C481=""),"",$C481-$B481+1)</f>
        <v/>
      </c>
      <c r="V481" s="52" t="n"/>
      <c r="W481" s="53">
        <f>IF(OR($V481="",$O481=""),"",$V481*$O481)</f>
        <v/>
      </c>
      <c r="X481" s="45" t="n"/>
      <c r="Y481" s="49" t="n"/>
    </row>
    <row r="482">
      <c r="A482" s="43">
        <f>IF($B482="","",COUNT($B$5:$B482))</f>
        <v/>
      </c>
      <c r="B482" s="44" t="n"/>
      <c r="C482" s="44" t="n"/>
      <c r="D482" s="45" t="n"/>
      <c r="E482" s="45" t="n"/>
      <c r="F482" s="45" t="n"/>
      <c r="G482" s="46">
        <f>IF($F482="","",IFERROR(INDEX(사건마스터!$B$5:$B$64,MATCH($F482,사건마스터!$A$5:$A$64,0)),""))</f>
        <v/>
      </c>
      <c r="H482" s="47">
        <f>IF($F482="","",IFERROR(INDEX(사건마스터!$C$5:$C$64,MATCH($F482,사건마스터!$A$5:$A$64,0)),""))</f>
        <v/>
      </c>
      <c r="I482" s="48">
        <f>IF($F482="","",IFERROR(INDEX(사건마스터!$H$5:$H$64,MATCH($F482,사건마스터!$A$5:$A$64,0)),""))</f>
        <v/>
      </c>
      <c r="J482" s="48">
        <f>IF($F482="","",IFERROR(INDEX(사건마스터!$AH$5:$AH$64,MATCH($F482,사건마스터!$A$5:$A$64,0)),""))</f>
        <v/>
      </c>
      <c r="K482" s="48">
        <f>IF($F482="","",IFERROR(INDEX(사건마스터!$AI$5:$AI$64,MATCH($F482,사건마스터!$A$5:$A$64,0)),""))</f>
        <v/>
      </c>
      <c r="L482" s="48">
        <f>IF($F482="","",IFERROR(INDEX(사건마스터!$AJ$5:$AJ$64,MATCH($F482,사건마스터!$A$5:$A$64,0)),""))</f>
        <v/>
      </c>
      <c r="M482" s="48">
        <f>IF($F482="","",IFERROR(INDEX(사건마스터!$AK$5:$AK$64,MATCH($F482,사건마스터!$A$5:$A$64,0)),""))</f>
        <v/>
      </c>
      <c r="N482" s="48">
        <f>IF($F482="","",IFERROR(INDEX(사건마스터!$AL$5:$AL$64,MATCH($F482,사건마스터!$A$5:$A$64,0)),""))</f>
        <v/>
      </c>
      <c r="O482" s="43">
        <f>IF($I482="","",COUNTIF($I482:$N482,"?*"))</f>
        <v/>
      </c>
      <c r="P482" s="46">
        <f>IF($I482="","",_xlfn.TEXTJOIN(", ",TRUE,$I482:$N482))</f>
        <v/>
      </c>
      <c r="Q482" s="47">
        <f>IF($I482="","",IFERROR(INDEX(코드설정!$D$5:$D$24,MATCH($I482,코드설정!$C$5:$C$24,0)),""))</f>
        <v/>
      </c>
      <c r="R482" s="49" t="n"/>
      <c r="S482" s="50" t="n"/>
      <c r="T482" s="51" t="n"/>
      <c r="U482" s="43">
        <f>IF(OR($B482="",$C482=""),"",$C482-$B482+1)</f>
        <v/>
      </c>
      <c r="V482" s="52" t="n"/>
      <c r="W482" s="53">
        <f>IF(OR($V482="",$O482=""),"",$V482*$O482)</f>
        <v/>
      </c>
      <c r="X482" s="45" t="n"/>
      <c r="Y482" s="49" t="n"/>
    </row>
    <row r="483">
      <c r="A483" s="43">
        <f>IF($B483="","",COUNT($B$5:$B483))</f>
        <v/>
      </c>
      <c r="B483" s="44" t="n"/>
      <c r="C483" s="44" t="n"/>
      <c r="D483" s="45" t="n"/>
      <c r="E483" s="45" t="n"/>
      <c r="F483" s="45" t="n"/>
      <c r="G483" s="46">
        <f>IF($F483="","",IFERROR(INDEX(사건마스터!$B$5:$B$64,MATCH($F483,사건마스터!$A$5:$A$64,0)),""))</f>
        <v/>
      </c>
      <c r="H483" s="47">
        <f>IF($F483="","",IFERROR(INDEX(사건마스터!$C$5:$C$64,MATCH($F483,사건마스터!$A$5:$A$64,0)),""))</f>
        <v/>
      </c>
      <c r="I483" s="48">
        <f>IF($F483="","",IFERROR(INDEX(사건마스터!$H$5:$H$64,MATCH($F483,사건마스터!$A$5:$A$64,0)),""))</f>
        <v/>
      </c>
      <c r="J483" s="48">
        <f>IF($F483="","",IFERROR(INDEX(사건마스터!$AH$5:$AH$64,MATCH($F483,사건마스터!$A$5:$A$64,0)),""))</f>
        <v/>
      </c>
      <c r="K483" s="48">
        <f>IF($F483="","",IFERROR(INDEX(사건마스터!$AI$5:$AI$64,MATCH($F483,사건마스터!$A$5:$A$64,0)),""))</f>
        <v/>
      </c>
      <c r="L483" s="48">
        <f>IF($F483="","",IFERROR(INDEX(사건마스터!$AJ$5:$AJ$64,MATCH($F483,사건마스터!$A$5:$A$64,0)),""))</f>
        <v/>
      </c>
      <c r="M483" s="48">
        <f>IF($F483="","",IFERROR(INDEX(사건마스터!$AK$5:$AK$64,MATCH($F483,사건마스터!$A$5:$A$64,0)),""))</f>
        <v/>
      </c>
      <c r="N483" s="48">
        <f>IF($F483="","",IFERROR(INDEX(사건마스터!$AL$5:$AL$64,MATCH($F483,사건마스터!$A$5:$A$64,0)),""))</f>
        <v/>
      </c>
      <c r="O483" s="43">
        <f>IF($I483="","",COUNTIF($I483:$N483,"?*"))</f>
        <v/>
      </c>
      <c r="P483" s="46">
        <f>IF($I483="","",_xlfn.TEXTJOIN(", ",TRUE,$I483:$N483))</f>
        <v/>
      </c>
      <c r="Q483" s="47">
        <f>IF($I483="","",IFERROR(INDEX(코드설정!$D$5:$D$24,MATCH($I483,코드설정!$C$5:$C$24,0)),""))</f>
        <v/>
      </c>
      <c r="R483" s="49" t="n"/>
      <c r="S483" s="50" t="n"/>
      <c r="T483" s="51" t="n"/>
      <c r="U483" s="43">
        <f>IF(OR($B483="",$C483=""),"",$C483-$B483+1)</f>
        <v/>
      </c>
      <c r="V483" s="52" t="n"/>
      <c r="W483" s="53">
        <f>IF(OR($V483="",$O483=""),"",$V483*$O483)</f>
        <v/>
      </c>
      <c r="X483" s="45" t="n"/>
      <c r="Y483" s="49" t="n"/>
    </row>
    <row r="484">
      <c r="A484" s="43">
        <f>IF($B484="","",COUNT($B$5:$B484))</f>
        <v/>
      </c>
      <c r="B484" s="44" t="n"/>
      <c r="C484" s="44" t="n"/>
      <c r="D484" s="45" t="n"/>
      <c r="E484" s="45" t="n"/>
      <c r="F484" s="45" t="n"/>
      <c r="G484" s="46">
        <f>IF($F484="","",IFERROR(INDEX(사건마스터!$B$5:$B$64,MATCH($F484,사건마스터!$A$5:$A$64,0)),""))</f>
        <v/>
      </c>
      <c r="H484" s="47">
        <f>IF($F484="","",IFERROR(INDEX(사건마스터!$C$5:$C$64,MATCH($F484,사건마스터!$A$5:$A$64,0)),""))</f>
        <v/>
      </c>
      <c r="I484" s="48">
        <f>IF($F484="","",IFERROR(INDEX(사건마스터!$H$5:$H$64,MATCH($F484,사건마스터!$A$5:$A$64,0)),""))</f>
        <v/>
      </c>
      <c r="J484" s="48">
        <f>IF($F484="","",IFERROR(INDEX(사건마스터!$AH$5:$AH$64,MATCH($F484,사건마스터!$A$5:$A$64,0)),""))</f>
        <v/>
      </c>
      <c r="K484" s="48">
        <f>IF($F484="","",IFERROR(INDEX(사건마스터!$AI$5:$AI$64,MATCH($F484,사건마스터!$A$5:$A$64,0)),""))</f>
        <v/>
      </c>
      <c r="L484" s="48">
        <f>IF($F484="","",IFERROR(INDEX(사건마스터!$AJ$5:$AJ$64,MATCH($F484,사건마스터!$A$5:$A$64,0)),""))</f>
        <v/>
      </c>
      <c r="M484" s="48">
        <f>IF($F484="","",IFERROR(INDEX(사건마스터!$AK$5:$AK$64,MATCH($F484,사건마스터!$A$5:$A$64,0)),""))</f>
        <v/>
      </c>
      <c r="N484" s="48">
        <f>IF($F484="","",IFERROR(INDEX(사건마스터!$AL$5:$AL$64,MATCH($F484,사건마스터!$A$5:$A$64,0)),""))</f>
        <v/>
      </c>
      <c r="O484" s="43">
        <f>IF($I484="","",COUNTIF($I484:$N484,"?*"))</f>
        <v/>
      </c>
      <c r="P484" s="46">
        <f>IF($I484="","",_xlfn.TEXTJOIN(", ",TRUE,$I484:$N484))</f>
        <v/>
      </c>
      <c r="Q484" s="47">
        <f>IF($I484="","",IFERROR(INDEX(코드설정!$D$5:$D$24,MATCH($I484,코드설정!$C$5:$C$24,0)),""))</f>
        <v/>
      </c>
      <c r="R484" s="49" t="n"/>
      <c r="S484" s="50" t="n"/>
      <c r="T484" s="51" t="n"/>
      <c r="U484" s="43">
        <f>IF(OR($B484="",$C484=""),"",$C484-$B484+1)</f>
        <v/>
      </c>
      <c r="V484" s="52" t="n"/>
      <c r="W484" s="53">
        <f>IF(OR($V484="",$O484=""),"",$V484*$O484)</f>
        <v/>
      </c>
      <c r="X484" s="45" t="n"/>
      <c r="Y484" s="49" t="n"/>
    </row>
    <row r="485">
      <c r="A485" s="43">
        <f>IF($B485="","",COUNT($B$5:$B485))</f>
        <v/>
      </c>
      <c r="B485" s="44" t="n"/>
      <c r="C485" s="44" t="n"/>
      <c r="D485" s="45" t="n"/>
      <c r="E485" s="45" t="n"/>
      <c r="F485" s="45" t="n"/>
      <c r="G485" s="46">
        <f>IF($F485="","",IFERROR(INDEX(사건마스터!$B$5:$B$64,MATCH($F485,사건마스터!$A$5:$A$64,0)),""))</f>
        <v/>
      </c>
      <c r="H485" s="47">
        <f>IF($F485="","",IFERROR(INDEX(사건마스터!$C$5:$C$64,MATCH($F485,사건마스터!$A$5:$A$64,0)),""))</f>
        <v/>
      </c>
      <c r="I485" s="48">
        <f>IF($F485="","",IFERROR(INDEX(사건마스터!$H$5:$H$64,MATCH($F485,사건마스터!$A$5:$A$64,0)),""))</f>
        <v/>
      </c>
      <c r="J485" s="48">
        <f>IF($F485="","",IFERROR(INDEX(사건마스터!$AH$5:$AH$64,MATCH($F485,사건마스터!$A$5:$A$64,0)),""))</f>
        <v/>
      </c>
      <c r="K485" s="48">
        <f>IF($F485="","",IFERROR(INDEX(사건마스터!$AI$5:$AI$64,MATCH($F485,사건마스터!$A$5:$A$64,0)),""))</f>
        <v/>
      </c>
      <c r="L485" s="48">
        <f>IF($F485="","",IFERROR(INDEX(사건마스터!$AJ$5:$AJ$64,MATCH($F485,사건마스터!$A$5:$A$64,0)),""))</f>
        <v/>
      </c>
      <c r="M485" s="48">
        <f>IF($F485="","",IFERROR(INDEX(사건마스터!$AK$5:$AK$64,MATCH($F485,사건마스터!$A$5:$A$64,0)),""))</f>
        <v/>
      </c>
      <c r="N485" s="48">
        <f>IF($F485="","",IFERROR(INDEX(사건마스터!$AL$5:$AL$64,MATCH($F485,사건마스터!$A$5:$A$64,0)),""))</f>
        <v/>
      </c>
      <c r="O485" s="43">
        <f>IF($I485="","",COUNTIF($I485:$N485,"?*"))</f>
        <v/>
      </c>
      <c r="P485" s="46">
        <f>IF($I485="","",_xlfn.TEXTJOIN(", ",TRUE,$I485:$N485))</f>
        <v/>
      </c>
      <c r="Q485" s="47">
        <f>IF($I485="","",IFERROR(INDEX(코드설정!$D$5:$D$24,MATCH($I485,코드설정!$C$5:$C$24,0)),""))</f>
        <v/>
      </c>
      <c r="R485" s="49" t="n"/>
      <c r="S485" s="50" t="n"/>
      <c r="T485" s="51" t="n"/>
      <c r="U485" s="43">
        <f>IF(OR($B485="",$C485=""),"",$C485-$B485+1)</f>
        <v/>
      </c>
      <c r="V485" s="52" t="n"/>
      <c r="W485" s="53">
        <f>IF(OR($V485="",$O485=""),"",$V485*$O485)</f>
        <v/>
      </c>
      <c r="X485" s="45" t="n"/>
      <c r="Y485" s="49" t="n"/>
    </row>
    <row r="486">
      <c r="A486" s="43">
        <f>IF($B486="","",COUNT($B$5:$B486))</f>
        <v/>
      </c>
      <c r="B486" s="44" t="n"/>
      <c r="C486" s="44" t="n"/>
      <c r="D486" s="45" t="n"/>
      <c r="E486" s="45" t="n"/>
      <c r="F486" s="45" t="n"/>
      <c r="G486" s="46">
        <f>IF($F486="","",IFERROR(INDEX(사건마스터!$B$5:$B$64,MATCH($F486,사건마스터!$A$5:$A$64,0)),""))</f>
        <v/>
      </c>
      <c r="H486" s="47">
        <f>IF($F486="","",IFERROR(INDEX(사건마스터!$C$5:$C$64,MATCH($F486,사건마스터!$A$5:$A$64,0)),""))</f>
        <v/>
      </c>
      <c r="I486" s="48">
        <f>IF($F486="","",IFERROR(INDEX(사건마스터!$H$5:$H$64,MATCH($F486,사건마스터!$A$5:$A$64,0)),""))</f>
        <v/>
      </c>
      <c r="J486" s="48">
        <f>IF($F486="","",IFERROR(INDEX(사건마스터!$AH$5:$AH$64,MATCH($F486,사건마스터!$A$5:$A$64,0)),""))</f>
        <v/>
      </c>
      <c r="K486" s="48">
        <f>IF($F486="","",IFERROR(INDEX(사건마스터!$AI$5:$AI$64,MATCH($F486,사건마스터!$A$5:$A$64,0)),""))</f>
        <v/>
      </c>
      <c r="L486" s="48">
        <f>IF($F486="","",IFERROR(INDEX(사건마스터!$AJ$5:$AJ$64,MATCH($F486,사건마스터!$A$5:$A$64,0)),""))</f>
        <v/>
      </c>
      <c r="M486" s="48">
        <f>IF($F486="","",IFERROR(INDEX(사건마스터!$AK$5:$AK$64,MATCH($F486,사건마스터!$A$5:$A$64,0)),""))</f>
        <v/>
      </c>
      <c r="N486" s="48">
        <f>IF($F486="","",IFERROR(INDEX(사건마스터!$AL$5:$AL$64,MATCH($F486,사건마스터!$A$5:$A$64,0)),""))</f>
        <v/>
      </c>
      <c r="O486" s="43">
        <f>IF($I486="","",COUNTIF($I486:$N486,"?*"))</f>
        <v/>
      </c>
      <c r="P486" s="46">
        <f>IF($I486="","",_xlfn.TEXTJOIN(", ",TRUE,$I486:$N486))</f>
        <v/>
      </c>
      <c r="Q486" s="47">
        <f>IF($I486="","",IFERROR(INDEX(코드설정!$D$5:$D$24,MATCH($I486,코드설정!$C$5:$C$24,0)),""))</f>
        <v/>
      </c>
      <c r="R486" s="49" t="n"/>
      <c r="S486" s="50" t="n"/>
      <c r="T486" s="51" t="n"/>
      <c r="U486" s="43">
        <f>IF(OR($B486="",$C486=""),"",$C486-$B486+1)</f>
        <v/>
      </c>
      <c r="V486" s="52" t="n"/>
      <c r="W486" s="53">
        <f>IF(OR($V486="",$O486=""),"",$V486*$O486)</f>
        <v/>
      </c>
      <c r="X486" s="45" t="n"/>
      <c r="Y486" s="49" t="n"/>
    </row>
    <row r="487">
      <c r="A487" s="43">
        <f>IF($B487="","",COUNT($B$5:$B487))</f>
        <v/>
      </c>
      <c r="B487" s="44" t="n"/>
      <c r="C487" s="44" t="n"/>
      <c r="D487" s="45" t="n"/>
      <c r="E487" s="45" t="n"/>
      <c r="F487" s="45" t="n"/>
      <c r="G487" s="46">
        <f>IF($F487="","",IFERROR(INDEX(사건마스터!$B$5:$B$64,MATCH($F487,사건마스터!$A$5:$A$64,0)),""))</f>
        <v/>
      </c>
      <c r="H487" s="47">
        <f>IF($F487="","",IFERROR(INDEX(사건마스터!$C$5:$C$64,MATCH($F487,사건마스터!$A$5:$A$64,0)),""))</f>
        <v/>
      </c>
      <c r="I487" s="48">
        <f>IF($F487="","",IFERROR(INDEX(사건마스터!$H$5:$H$64,MATCH($F487,사건마스터!$A$5:$A$64,0)),""))</f>
        <v/>
      </c>
      <c r="J487" s="48">
        <f>IF($F487="","",IFERROR(INDEX(사건마스터!$AH$5:$AH$64,MATCH($F487,사건마스터!$A$5:$A$64,0)),""))</f>
        <v/>
      </c>
      <c r="K487" s="48">
        <f>IF($F487="","",IFERROR(INDEX(사건마스터!$AI$5:$AI$64,MATCH($F487,사건마스터!$A$5:$A$64,0)),""))</f>
        <v/>
      </c>
      <c r="L487" s="48">
        <f>IF($F487="","",IFERROR(INDEX(사건마스터!$AJ$5:$AJ$64,MATCH($F487,사건마스터!$A$5:$A$64,0)),""))</f>
        <v/>
      </c>
      <c r="M487" s="48">
        <f>IF($F487="","",IFERROR(INDEX(사건마스터!$AK$5:$AK$64,MATCH($F487,사건마스터!$A$5:$A$64,0)),""))</f>
        <v/>
      </c>
      <c r="N487" s="48">
        <f>IF($F487="","",IFERROR(INDEX(사건마스터!$AL$5:$AL$64,MATCH($F487,사건마스터!$A$5:$A$64,0)),""))</f>
        <v/>
      </c>
      <c r="O487" s="43">
        <f>IF($I487="","",COUNTIF($I487:$N487,"?*"))</f>
        <v/>
      </c>
      <c r="P487" s="46">
        <f>IF($I487="","",_xlfn.TEXTJOIN(", ",TRUE,$I487:$N487))</f>
        <v/>
      </c>
      <c r="Q487" s="47">
        <f>IF($I487="","",IFERROR(INDEX(코드설정!$D$5:$D$24,MATCH($I487,코드설정!$C$5:$C$24,0)),""))</f>
        <v/>
      </c>
      <c r="R487" s="49" t="n"/>
      <c r="S487" s="50" t="n"/>
      <c r="T487" s="51" t="n"/>
      <c r="U487" s="43">
        <f>IF(OR($B487="",$C487=""),"",$C487-$B487+1)</f>
        <v/>
      </c>
      <c r="V487" s="52" t="n"/>
      <c r="W487" s="53">
        <f>IF(OR($V487="",$O487=""),"",$V487*$O487)</f>
        <v/>
      </c>
      <c r="X487" s="45" t="n"/>
      <c r="Y487" s="49" t="n"/>
    </row>
    <row r="488">
      <c r="A488" s="43">
        <f>IF($B488="","",COUNT($B$5:$B488))</f>
        <v/>
      </c>
      <c r="B488" s="44" t="n"/>
      <c r="C488" s="44" t="n"/>
      <c r="D488" s="45" t="n"/>
      <c r="E488" s="45" t="n"/>
      <c r="F488" s="45" t="n"/>
      <c r="G488" s="46">
        <f>IF($F488="","",IFERROR(INDEX(사건마스터!$B$5:$B$64,MATCH($F488,사건마스터!$A$5:$A$64,0)),""))</f>
        <v/>
      </c>
      <c r="H488" s="47">
        <f>IF($F488="","",IFERROR(INDEX(사건마스터!$C$5:$C$64,MATCH($F488,사건마스터!$A$5:$A$64,0)),""))</f>
        <v/>
      </c>
      <c r="I488" s="48">
        <f>IF($F488="","",IFERROR(INDEX(사건마스터!$H$5:$H$64,MATCH($F488,사건마스터!$A$5:$A$64,0)),""))</f>
        <v/>
      </c>
      <c r="J488" s="48">
        <f>IF($F488="","",IFERROR(INDEX(사건마스터!$AH$5:$AH$64,MATCH($F488,사건마스터!$A$5:$A$64,0)),""))</f>
        <v/>
      </c>
      <c r="K488" s="48">
        <f>IF($F488="","",IFERROR(INDEX(사건마스터!$AI$5:$AI$64,MATCH($F488,사건마스터!$A$5:$A$64,0)),""))</f>
        <v/>
      </c>
      <c r="L488" s="48">
        <f>IF($F488="","",IFERROR(INDEX(사건마스터!$AJ$5:$AJ$64,MATCH($F488,사건마스터!$A$5:$A$64,0)),""))</f>
        <v/>
      </c>
      <c r="M488" s="48">
        <f>IF($F488="","",IFERROR(INDEX(사건마스터!$AK$5:$AK$64,MATCH($F488,사건마스터!$A$5:$A$64,0)),""))</f>
        <v/>
      </c>
      <c r="N488" s="48">
        <f>IF($F488="","",IFERROR(INDEX(사건마스터!$AL$5:$AL$64,MATCH($F488,사건마스터!$A$5:$A$64,0)),""))</f>
        <v/>
      </c>
      <c r="O488" s="43">
        <f>IF($I488="","",COUNTIF($I488:$N488,"?*"))</f>
        <v/>
      </c>
      <c r="P488" s="46">
        <f>IF($I488="","",_xlfn.TEXTJOIN(", ",TRUE,$I488:$N488))</f>
        <v/>
      </c>
      <c r="Q488" s="47">
        <f>IF($I488="","",IFERROR(INDEX(코드설정!$D$5:$D$24,MATCH($I488,코드설정!$C$5:$C$24,0)),""))</f>
        <v/>
      </c>
      <c r="R488" s="49" t="n"/>
      <c r="S488" s="50" t="n"/>
      <c r="T488" s="51" t="n"/>
      <c r="U488" s="43">
        <f>IF(OR($B488="",$C488=""),"",$C488-$B488+1)</f>
        <v/>
      </c>
      <c r="V488" s="52" t="n"/>
      <c r="W488" s="53">
        <f>IF(OR($V488="",$O488=""),"",$V488*$O488)</f>
        <v/>
      </c>
      <c r="X488" s="45" t="n"/>
      <c r="Y488" s="49" t="n"/>
    </row>
    <row r="489">
      <c r="A489" s="43">
        <f>IF($B489="","",COUNT($B$5:$B489))</f>
        <v/>
      </c>
      <c r="B489" s="44" t="n"/>
      <c r="C489" s="44" t="n"/>
      <c r="D489" s="45" t="n"/>
      <c r="E489" s="45" t="n"/>
      <c r="F489" s="45" t="n"/>
      <c r="G489" s="46">
        <f>IF($F489="","",IFERROR(INDEX(사건마스터!$B$5:$B$64,MATCH($F489,사건마스터!$A$5:$A$64,0)),""))</f>
        <v/>
      </c>
      <c r="H489" s="47">
        <f>IF($F489="","",IFERROR(INDEX(사건마스터!$C$5:$C$64,MATCH($F489,사건마스터!$A$5:$A$64,0)),""))</f>
        <v/>
      </c>
      <c r="I489" s="48">
        <f>IF($F489="","",IFERROR(INDEX(사건마스터!$H$5:$H$64,MATCH($F489,사건마스터!$A$5:$A$64,0)),""))</f>
        <v/>
      </c>
      <c r="J489" s="48">
        <f>IF($F489="","",IFERROR(INDEX(사건마스터!$AH$5:$AH$64,MATCH($F489,사건마스터!$A$5:$A$64,0)),""))</f>
        <v/>
      </c>
      <c r="K489" s="48">
        <f>IF($F489="","",IFERROR(INDEX(사건마스터!$AI$5:$AI$64,MATCH($F489,사건마스터!$A$5:$A$64,0)),""))</f>
        <v/>
      </c>
      <c r="L489" s="48">
        <f>IF($F489="","",IFERROR(INDEX(사건마스터!$AJ$5:$AJ$64,MATCH($F489,사건마스터!$A$5:$A$64,0)),""))</f>
        <v/>
      </c>
      <c r="M489" s="48">
        <f>IF($F489="","",IFERROR(INDEX(사건마스터!$AK$5:$AK$64,MATCH($F489,사건마스터!$A$5:$A$64,0)),""))</f>
        <v/>
      </c>
      <c r="N489" s="48">
        <f>IF($F489="","",IFERROR(INDEX(사건마스터!$AL$5:$AL$64,MATCH($F489,사건마스터!$A$5:$A$64,0)),""))</f>
        <v/>
      </c>
      <c r="O489" s="43">
        <f>IF($I489="","",COUNTIF($I489:$N489,"?*"))</f>
        <v/>
      </c>
      <c r="P489" s="46">
        <f>IF($I489="","",_xlfn.TEXTJOIN(", ",TRUE,$I489:$N489))</f>
        <v/>
      </c>
      <c r="Q489" s="47">
        <f>IF($I489="","",IFERROR(INDEX(코드설정!$D$5:$D$24,MATCH($I489,코드설정!$C$5:$C$24,0)),""))</f>
        <v/>
      </c>
      <c r="R489" s="49" t="n"/>
      <c r="S489" s="50" t="n"/>
      <c r="T489" s="51" t="n"/>
      <c r="U489" s="43">
        <f>IF(OR($B489="",$C489=""),"",$C489-$B489+1)</f>
        <v/>
      </c>
      <c r="V489" s="52" t="n"/>
      <c r="W489" s="53">
        <f>IF(OR($V489="",$O489=""),"",$V489*$O489)</f>
        <v/>
      </c>
      <c r="X489" s="45" t="n"/>
      <c r="Y489" s="49" t="n"/>
    </row>
    <row r="490">
      <c r="A490" s="43">
        <f>IF($B490="","",COUNT($B$5:$B490))</f>
        <v/>
      </c>
      <c r="B490" s="44" t="n"/>
      <c r="C490" s="44" t="n"/>
      <c r="D490" s="45" t="n"/>
      <c r="E490" s="45" t="n"/>
      <c r="F490" s="45" t="n"/>
      <c r="G490" s="46">
        <f>IF($F490="","",IFERROR(INDEX(사건마스터!$B$5:$B$64,MATCH($F490,사건마스터!$A$5:$A$64,0)),""))</f>
        <v/>
      </c>
      <c r="H490" s="47">
        <f>IF($F490="","",IFERROR(INDEX(사건마스터!$C$5:$C$64,MATCH($F490,사건마스터!$A$5:$A$64,0)),""))</f>
        <v/>
      </c>
      <c r="I490" s="48">
        <f>IF($F490="","",IFERROR(INDEX(사건마스터!$H$5:$H$64,MATCH($F490,사건마스터!$A$5:$A$64,0)),""))</f>
        <v/>
      </c>
      <c r="J490" s="48">
        <f>IF($F490="","",IFERROR(INDEX(사건마스터!$AH$5:$AH$64,MATCH($F490,사건마스터!$A$5:$A$64,0)),""))</f>
        <v/>
      </c>
      <c r="K490" s="48">
        <f>IF($F490="","",IFERROR(INDEX(사건마스터!$AI$5:$AI$64,MATCH($F490,사건마스터!$A$5:$A$64,0)),""))</f>
        <v/>
      </c>
      <c r="L490" s="48">
        <f>IF($F490="","",IFERROR(INDEX(사건마스터!$AJ$5:$AJ$64,MATCH($F490,사건마스터!$A$5:$A$64,0)),""))</f>
        <v/>
      </c>
      <c r="M490" s="48">
        <f>IF($F490="","",IFERROR(INDEX(사건마스터!$AK$5:$AK$64,MATCH($F490,사건마스터!$A$5:$A$64,0)),""))</f>
        <v/>
      </c>
      <c r="N490" s="48">
        <f>IF($F490="","",IFERROR(INDEX(사건마스터!$AL$5:$AL$64,MATCH($F490,사건마스터!$A$5:$A$64,0)),""))</f>
        <v/>
      </c>
      <c r="O490" s="43">
        <f>IF($I490="","",COUNTIF($I490:$N490,"?*"))</f>
        <v/>
      </c>
      <c r="P490" s="46">
        <f>IF($I490="","",_xlfn.TEXTJOIN(", ",TRUE,$I490:$N490))</f>
        <v/>
      </c>
      <c r="Q490" s="47">
        <f>IF($I490="","",IFERROR(INDEX(코드설정!$D$5:$D$24,MATCH($I490,코드설정!$C$5:$C$24,0)),""))</f>
        <v/>
      </c>
      <c r="R490" s="49" t="n"/>
      <c r="S490" s="50" t="n"/>
      <c r="T490" s="51" t="n"/>
      <c r="U490" s="43">
        <f>IF(OR($B490="",$C490=""),"",$C490-$B490+1)</f>
        <v/>
      </c>
      <c r="V490" s="52" t="n"/>
      <c r="W490" s="53">
        <f>IF(OR($V490="",$O490=""),"",$V490*$O490)</f>
        <v/>
      </c>
      <c r="X490" s="45" t="n"/>
      <c r="Y490" s="49" t="n"/>
    </row>
    <row r="491">
      <c r="A491" s="43">
        <f>IF($B491="","",COUNT($B$5:$B491))</f>
        <v/>
      </c>
      <c r="B491" s="44" t="n"/>
      <c r="C491" s="44" t="n"/>
      <c r="D491" s="45" t="n"/>
      <c r="E491" s="45" t="n"/>
      <c r="F491" s="45" t="n"/>
      <c r="G491" s="46">
        <f>IF($F491="","",IFERROR(INDEX(사건마스터!$B$5:$B$64,MATCH($F491,사건마스터!$A$5:$A$64,0)),""))</f>
        <v/>
      </c>
      <c r="H491" s="47">
        <f>IF($F491="","",IFERROR(INDEX(사건마스터!$C$5:$C$64,MATCH($F491,사건마스터!$A$5:$A$64,0)),""))</f>
        <v/>
      </c>
      <c r="I491" s="48">
        <f>IF($F491="","",IFERROR(INDEX(사건마스터!$H$5:$H$64,MATCH($F491,사건마스터!$A$5:$A$64,0)),""))</f>
        <v/>
      </c>
      <c r="J491" s="48">
        <f>IF($F491="","",IFERROR(INDEX(사건마스터!$AH$5:$AH$64,MATCH($F491,사건마스터!$A$5:$A$64,0)),""))</f>
        <v/>
      </c>
      <c r="K491" s="48">
        <f>IF($F491="","",IFERROR(INDEX(사건마스터!$AI$5:$AI$64,MATCH($F491,사건마스터!$A$5:$A$64,0)),""))</f>
        <v/>
      </c>
      <c r="L491" s="48">
        <f>IF($F491="","",IFERROR(INDEX(사건마스터!$AJ$5:$AJ$64,MATCH($F491,사건마스터!$A$5:$A$64,0)),""))</f>
        <v/>
      </c>
      <c r="M491" s="48">
        <f>IF($F491="","",IFERROR(INDEX(사건마스터!$AK$5:$AK$64,MATCH($F491,사건마스터!$A$5:$A$64,0)),""))</f>
        <v/>
      </c>
      <c r="N491" s="48">
        <f>IF($F491="","",IFERROR(INDEX(사건마스터!$AL$5:$AL$64,MATCH($F491,사건마스터!$A$5:$A$64,0)),""))</f>
        <v/>
      </c>
      <c r="O491" s="43">
        <f>IF($I491="","",COUNTIF($I491:$N491,"?*"))</f>
        <v/>
      </c>
      <c r="P491" s="46">
        <f>IF($I491="","",_xlfn.TEXTJOIN(", ",TRUE,$I491:$N491))</f>
        <v/>
      </c>
      <c r="Q491" s="47">
        <f>IF($I491="","",IFERROR(INDEX(코드설정!$D$5:$D$24,MATCH($I491,코드설정!$C$5:$C$24,0)),""))</f>
        <v/>
      </c>
      <c r="R491" s="49" t="n"/>
      <c r="S491" s="50" t="n"/>
      <c r="T491" s="51" t="n"/>
      <c r="U491" s="43">
        <f>IF(OR($B491="",$C491=""),"",$C491-$B491+1)</f>
        <v/>
      </c>
      <c r="V491" s="52" t="n"/>
      <c r="W491" s="53">
        <f>IF(OR($V491="",$O491=""),"",$V491*$O491)</f>
        <v/>
      </c>
      <c r="X491" s="45" t="n"/>
      <c r="Y491" s="49" t="n"/>
    </row>
    <row r="492">
      <c r="A492" s="43">
        <f>IF($B492="","",COUNT($B$5:$B492))</f>
        <v/>
      </c>
      <c r="B492" s="44" t="n"/>
      <c r="C492" s="44" t="n"/>
      <c r="D492" s="45" t="n"/>
      <c r="E492" s="45" t="n"/>
      <c r="F492" s="45" t="n"/>
      <c r="G492" s="46">
        <f>IF($F492="","",IFERROR(INDEX(사건마스터!$B$5:$B$64,MATCH($F492,사건마스터!$A$5:$A$64,0)),""))</f>
        <v/>
      </c>
      <c r="H492" s="47">
        <f>IF($F492="","",IFERROR(INDEX(사건마스터!$C$5:$C$64,MATCH($F492,사건마스터!$A$5:$A$64,0)),""))</f>
        <v/>
      </c>
      <c r="I492" s="48">
        <f>IF($F492="","",IFERROR(INDEX(사건마스터!$H$5:$H$64,MATCH($F492,사건마스터!$A$5:$A$64,0)),""))</f>
        <v/>
      </c>
      <c r="J492" s="48">
        <f>IF($F492="","",IFERROR(INDEX(사건마스터!$AH$5:$AH$64,MATCH($F492,사건마스터!$A$5:$A$64,0)),""))</f>
        <v/>
      </c>
      <c r="K492" s="48">
        <f>IF($F492="","",IFERROR(INDEX(사건마스터!$AI$5:$AI$64,MATCH($F492,사건마스터!$A$5:$A$64,0)),""))</f>
        <v/>
      </c>
      <c r="L492" s="48">
        <f>IF($F492="","",IFERROR(INDEX(사건마스터!$AJ$5:$AJ$64,MATCH($F492,사건마스터!$A$5:$A$64,0)),""))</f>
        <v/>
      </c>
      <c r="M492" s="48">
        <f>IF($F492="","",IFERROR(INDEX(사건마스터!$AK$5:$AK$64,MATCH($F492,사건마스터!$A$5:$A$64,0)),""))</f>
        <v/>
      </c>
      <c r="N492" s="48">
        <f>IF($F492="","",IFERROR(INDEX(사건마스터!$AL$5:$AL$64,MATCH($F492,사건마스터!$A$5:$A$64,0)),""))</f>
        <v/>
      </c>
      <c r="O492" s="43">
        <f>IF($I492="","",COUNTIF($I492:$N492,"?*"))</f>
        <v/>
      </c>
      <c r="P492" s="46">
        <f>IF($I492="","",_xlfn.TEXTJOIN(", ",TRUE,$I492:$N492))</f>
        <v/>
      </c>
      <c r="Q492" s="47">
        <f>IF($I492="","",IFERROR(INDEX(코드설정!$D$5:$D$24,MATCH($I492,코드설정!$C$5:$C$24,0)),""))</f>
        <v/>
      </c>
      <c r="R492" s="49" t="n"/>
      <c r="S492" s="50" t="n"/>
      <c r="T492" s="51" t="n"/>
      <c r="U492" s="43">
        <f>IF(OR($B492="",$C492=""),"",$C492-$B492+1)</f>
        <v/>
      </c>
      <c r="V492" s="52" t="n"/>
      <c r="W492" s="53">
        <f>IF(OR($V492="",$O492=""),"",$V492*$O492)</f>
        <v/>
      </c>
      <c r="X492" s="45" t="n"/>
      <c r="Y492" s="49" t="n"/>
    </row>
    <row r="493">
      <c r="A493" s="43">
        <f>IF($B493="","",COUNT($B$5:$B493))</f>
        <v/>
      </c>
      <c r="B493" s="44" t="n"/>
      <c r="C493" s="44" t="n"/>
      <c r="D493" s="45" t="n"/>
      <c r="E493" s="45" t="n"/>
      <c r="F493" s="45" t="n"/>
      <c r="G493" s="46">
        <f>IF($F493="","",IFERROR(INDEX(사건마스터!$B$5:$B$64,MATCH($F493,사건마스터!$A$5:$A$64,0)),""))</f>
        <v/>
      </c>
      <c r="H493" s="47">
        <f>IF($F493="","",IFERROR(INDEX(사건마스터!$C$5:$C$64,MATCH($F493,사건마스터!$A$5:$A$64,0)),""))</f>
        <v/>
      </c>
      <c r="I493" s="48">
        <f>IF($F493="","",IFERROR(INDEX(사건마스터!$H$5:$H$64,MATCH($F493,사건마스터!$A$5:$A$64,0)),""))</f>
        <v/>
      </c>
      <c r="J493" s="48">
        <f>IF($F493="","",IFERROR(INDEX(사건마스터!$AH$5:$AH$64,MATCH($F493,사건마스터!$A$5:$A$64,0)),""))</f>
        <v/>
      </c>
      <c r="K493" s="48">
        <f>IF($F493="","",IFERROR(INDEX(사건마스터!$AI$5:$AI$64,MATCH($F493,사건마스터!$A$5:$A$64,0)),""))</f>
        <v/>
      </c>
      <c r="L493" s="48">
        <f>IF($F493="","",IFERROR(INDEX(사건마스터!$AJ$5:$AJ$64,MATCH($F493,사건마스터!$A$5:$A$64,0)),""))</f>
        <v/>
      </c>
      <c r="M493" s="48">
        <f>IF($F493="","",IFERROR(INDEX(사건마스터!$AK$5:$AK$64,MATCH($F493,사건마스터!$A$5:$A$64,0)),""))</f>
        <v/>
      </c>
      <c r="N493" s="48">
        <f>IF($F493="","",IFERROR(INDEX(사건마스터!$AL$5:$AL$64,MATCH($F493,사건마스터!$A$5:$A$64,0)),""))</f>
        <v/>
      </c>
      <c r="O493" s="43">
        <f>IF($I493="","",COUNTIF($I493:$N493,"?*"))</f>
        <v/>
      </c>
      <c r="P493" s="46">
        <f>IF($I493="","",_xlfn.TEXTJOIN(", ",TRUE,$I493:$N493))</f>
        <v/>
      </c>
      <c r="Q493" s="47">
        <f>IF($I493="","",IFERROR(INDEX(코드설정!$D$5:$D$24,MATCH($I493,코드설정!$C$5:$C$24,0)),""))</f>
        <v/>
      </c>
      <c r="R493" s="49" t="n"/>
      <c r="S493" s="50" t="n"/>
      <c r="T493" s="51" t="n"/>
      <c r="U493" s="43">
        <f>IF(OR($B493="",$C493=""),"",$C493-$B493+1)</f>
        <v/>
      </c>
      <c r="V493" s="52" t="n"/>
      <c r="W493" s="53">
        <f>IF(OR($V493="",$O493=""),"",$V493*$O493)</f>
        <v/>
      </c>
      <c r="X493" s="45" t="n"/>
      <c r="Y493" s="49" t="n"/>
    </row>
    <row r="494">
      <c r="A494" s="43">
        <f>IF($B494="","",COUNT($B$5:$B494))</f>
        <v/>
      </c>
      <c r="B494" s="44" t="n"/>
      <c r="C494" s="44" t="n"/>
      <c r="D494" s="45" t="n"/>
      <c r="E494" s="45" t="n"/>
      <c r="F494" s="45" t="n"/>
      <c r="G494" s="46">
        <f>IF($F494="","",IFERROR(INDEX(사건마스터!$B$5:$B$64,MATCH($F494,사건마스터!$A$5:$A$64,0)),""))</f>
        <v/>
      </c>
      <c r="H494" s="47">
        <f>IF($F494="","",IFERROR(INDEX(사건마스터!$C$5:$C$64,MATCH($F494,사건마스터!$A$5:$A$64,0)),""))</f>
        <v/>
      </c>
      <c r="I494" s="48">
        <f>IF($F494="","",IFERROR(INDEX(사건마스터!$H$5:$H$64,MATCH($F494,사건마스터!$A$5:$A$64,0)),""))</f>
        <v/>
      </c>
      <c r="J494" s="48">
        <f>IF($F494="","",IFERROR(INDEX(사건마스터!$AH$5:$AH$64,MATCH($F494,사건마스터!$A$5:$A$64,0)),""))</f>
        <v/>
      </c>
      <c r="K494" s="48">
        <f>IF($F494="","",IFERROR(INDEX(사건마스터!$AI$5:$AI$64,MATCH($F494,사건마스터!$A$5:$A$64,0)),""))</f>
        <v/>
      </c>
      <c r="L494" s="48">
        <f>IF($F494="","",IFERROR(INDEX(사건마스터!$AJ$5:$AJ$64,MATCH($F494,사건마스터!$A$5:$A$64,0)),""))</f>
        <v/>
      </c>
      <c r="M494" s="48">
        <f>IF($F494="","",IFERROR(INDEX(사건마스터!$AK$5:$AK$64,MATCH($F494,사건마스터!$A$5:$A$64,0)),""))</f>
        <v/>
      </c>
      <c r="N494" s="48">
        <f>IF($F494="","",IFERROR(INDEX(사건마스터!$AL$5:$AL$64,MATCH($F494,사건마스터!$A$5:$A$64,0)),""))</f>
        <v/>
      </c>
      <c r="O494" s="43">
        <f>IF($I494="","",COUNTIF($I494:$N494,"?*"))</f>
        <v/>
      </c>
      <c r="P494" s="46">
        <f>IF($I494="","",_xlfn.TEXTJOIN(", ",TRUE,$I494:$N494))</f>
        <v/>
      </c>
      <c r="Q494" s="47">
        <f>IF($I494="","",IFERROR(INDEX(코드설정!$D$5:$D$24,MATCH($I494,코드설정!$C$5:$C$24,0)),""))</f>
        <v/>
      </c>
      <c r="R494" s="49" t="n"/>
      <c r="S494" s="50" t="n"/>
      <c r="T494" s="51" t="n"/>
      <c r="U494" s="43">
        <f>IF(OR($B494="",$C494=""),"",$C494-$B494+1)</f>
        <v/>
      </c>
      <c r="V494" s="52" t="n"/>
      <c r="W494" s="53">
        <f>IF(OR($V494="",$O494=""),"",$V494*$O494)</f>
        <v/>
      </c>
      <c r="X494" s="45" t="n"/>
      <c r="Y494" s="49" t="n"/>
    </row>
    <row r="495">
      <c r="A495" s="43">
        <f>IF($B495="","",COUNT($B$5:$B495))</f>
        <v/>
      </c>
      <c r="B495" s="44" t="n"/>
      <c r="C495" s="44" t="n"/>
      <c r="D495" s="45" t="n"/>
      <c r="E495" s="45" t="n"/>
      <c r="F495" s="45" t="n"/>
      <c r="G495" s="46">
        <f>IF($F495="","",IFERROR(INDEX(사건마스터!$B$5:$B$64,MATCH($F495,사건마스터!$A$5:$A$64,0)),""))</f>
        <v/>
      </c>
      <c r="H495" s="47">
        <f>IF($F495="","",IFERROR(INDEX(사건마스터!$C$5:$C$64,MATCH($F495,사건마스터!$A$5:$A$64,0)),""))</f>
        <v/>
      </c>
      <c r="I495" s="48">
        <f>IF($F495="","",IFERROR(INDEX(사건마스터!$H$5:$H$64,MATCH($F495,사건마스터!$A$5:$A$64,0)),""))</f>
        <v/>
      </c>
      <c r="J495" s="48">
        <f>IF($F495="","",IFERROR(INDEX(사건마스터!$AH$5:$AH$64,MATCH($F495,사건마스터!$A$5:$A$64,0)),""))</f>
        <v/>
      </c>
      <c r="K495" s="48">
        <f>IF($F495="","",IFERROR(INDEX(사건마스터!$AI$5:$AI$64,MATCH($F495,사건마스터!$A$5:$A$64,0)),""))</f>
        <v/>
      </c>
      <c r="L495" s="48">
        <f>IF($F495="","",IFERROR(INDEX(사건마스터!$AJ$5:$AJ$64,MATCH($F495,사건마스터!$A$5:$A$64,0)),""))</f>
        <v/>
      </c>
      <c r="M495" s="48">
        <f>IF($F495="","",IFERROR(INDEX(사건마스터!$AK$5:$AK$64,MATCH($F495,사건마스터!$A$5:$A$64,0)),""))</f>
        <v/>
      </c>
      <c r="N495" s="48">
        <f>IF($F495="","",IFERROR(INDEX(사건마스터!$AL$5:$AL$64,MATCH($F495,사건마스터!$A$5:$A$64,0)),""))</f>
        <v/>
      </c>
      <c r="O495" s="43">
        <f>IF($I495="","",COUNTIF($I495:$N495,"?*"))</f>
        <v/>
      </c>
      <c r="P495" s="46">
        <f>IF($I495="","",_xlfn.TEXTJOIN(", ",TRUE,$I495:$N495))</f>
        <v/>
      </c>
      <c r="Q495" s="47">
        <f>IF($I495="","",IFERROR(INDEX(코드설정!$D$5:$D$24,MATCH($I495,코드설정!$C$5:$C$24,0)),""))</f>
        <v/>
      </c>
      <c r="R495" s="49" t="n"/>
      <c r="S495" s="50" t="n"/>
      <c r="T495" s="51" t="n"/>
      <c r="U495" s="43">
        <f>IF(OR($B495="",$C495=""),"",$C495-$B495+1)</f>
        <v/>
      </c>
      <c r="V495" s="52" t="n"/>
      <c r="W495" s="53">
        <f>IF(OR($V495="",$O495=""),"",$V495*$O495)</f>
        <v/>
      </c>
      <c r="X495" s="45" t="n"/>
      <c r="Y495" s="49" t="n"/>
    </row>
    <row r="496">
      <c r="A496" s="43">
        <f>IF($B496="","",COUNT($B$5:$B496))</f>
        <v/>
      </c>
      <c r="B496" s="44" t="n"/>
      <c r="C496" s="44" t="n"/>
      <c r="D496" s="45" t="n"/>
      <c r="E496" s="45" t="n"/>
      <c r="F496" s="45" t="n"/>
      <c r="G496" s="46">
        <f>IF($F496="","",IFERROR(INDEX(사건마스터!$B$5:$B$64,MATCH($F496,사건마스터!$A$5:$A$64,0)),""))</f>
        <v/>
      </c>
      <c r="H496" s="47">
        <f>IF($F496="","",IFERROR(INDEX(사건마스터!$C$5:$C$64,MATCH($F496,사건마스터!$A$5:$A$64,0)),""))</f>
        <v/>
      </c>
      <c r="I496" s="48">
        <f>IF($F496="","",IFERROR(INDEX(사건마스터!$H$5:$H$64,MATCH($F496,사건마스터!$A$5:$A$64,0)),""))</f>
        <v/>
      </c>
      <c r="J496" s="48">
        <f>IF($F496="","",IFERROR(INDEX(사건마스터!$AH$5:$AH$64,MATCH($F496,사건마스터!$A$5:$A$64,0)),""))</f>
        <v/>
      </c>
      <c r="K496" s="48">
        <f>IF($F496="","",IFERROR(INDEX(사건마스터!$AI$5:$AI$64,MATCH($F496,사건마스터!$A$5:$A$64,0)),""))</f>
        <v/>
      </c>
      <c r="L496" s="48">
        <f>IF($F496="","",IFERROR(INDEX(사건마스터!$AJ$5:$AJ$64,MATCH($F496,사건마스터!$A$5:$A$64,0)),""))</f>
        <v/>
      </c>
      <c r="M496" s="48">
        <f>IF($F496="","",IFERROR(INDEX(사건마스터!$AK$5:$AK$64,MATCH($F496,사건마스터!$A$5:$A$64,0)),""))</f>
        <v/>
      </c>
      <c r="N496" s="48">
        <f>IF($F496="","",IFERROR(INDEX(사건마스터!$AL$5:$AL$64,MATCH($F496,사건마스터!$A$5:$A$64,0)),""))</f>
        <v/>
      </c>
      <c r="O496" s="43">
        <f>IF($I496="","",COUNTIF($I496:$N496,"?*"))</f>
        <v/>
      </c>
      <c r="P496" s="46">
        <f>IF($I496="","",_xlfn.TEXTJOIN(", ",TRUE,$I496:$N496))</f>
        <v/>
      </c>
      <c r="Q496" s="47">
        <f>IF($I496="","",IFERROR(INDEX(코드설정!$D$5:$D$24,MATCH($I496,코드설정!$C$5:$C$24,0)),""))</f>
        <v/>
      </c>
      <c r="R496" s="49" t="n"/>
      <c r="S496" s="50" t="n"/>
      <c r="T496" s="51" t="n"/>
      <c r="U496" s="43">
        <f>IF(OR($B496="",$C496=""),"",$C496-$B496+1)</f>
        <v/>
      </c>
      <c r="V496" s="52" t="n"/>
      <c r="W496" s="53">
        <f>IF(OR($V496="",$O496=""),"",$V496*$O496)</f>
        <v/>
      </c>
      <c r="X496" s="45" t="n"/>
      <c r="Y496" s="49" t="n"/>
    </row>
    <row r="497">
      <c r="A497" s="43">
        <f>IF($B497="","",COUNT($B$5:$B497))</f>
        <v/>
      </c>
      <c r="B497" s="44" t="n"/>
      <c r="C497" s="44" t="n"/>
      <c r="D497" s="45" t="n"/>
      <c r="E497" s="45" t="n"/>
      <c r="F497" s="45" t="n"/>
      <c r="G497" s="46">
        <f>IF($F497="","",IFERROR(INDEX(사건마스터!$B$5:$B$64,MATCH($F497,사건마스터!$A$5:$A$64,0)),""))</f>
        <v/>
      </c>
      <c r="H497" s="47">
        <f>IF($F497="","",IFERROR(INDEX(사건마스터!$C$5:$C$64,MATCH($F497,사건마스터!$A$5:$A$64,0)),""))</f>
        <v/>
      </c>
      <c r="I497" s="48">
        <f>IF($F497="","",IFERROR(INDEX(사건마스터!$H$5:$H$64,MATCH($F497,사건마스터!$A$5:$A$64,0)),""))</f>
        <v/>
      </c>
      <c r="J497" s="48">
        <f>IF($F497="","",IFERROR(INDEX(사건마스터!$AH$5:$AH$64,MATCH($F497,사건마스터!$A$5:$A$64,0)),""))</f>
        <v/>
      </c>
      <c r="K497" s="48">
        <f>IF($F497="","",IFERROR(INDEX(사건마스터!$AI$5:$AI$64,MATCH($F497,사건마스터!$A$5:$A$64,0)),""))</f>
        <v/>
      </c>
      <c r="L497" s="48">
        <f>IF($F497="","",IFERROR(INDEX(사건마스터!$AJ$5:$AJ$64,MATCH($F497,사건마스터!$A$5:$A$64,0)),""))</f>
        <v/>
      </c>
      <c r="M497" s="48">
        <f>IF($F497="","",IFERROR(INDEX(사건마스터!$AK$5:$AK$64,MATCH($F497,사건마스터!$A$5:$A$64,0)),""))</f>
        <v/>
      </c>
      <c r="N497" s="48">
        <f>IF($F497="","",IFERROR(INDEX(사건마스터!$AL$5:$AL$64,MATCH($F497,사건마스터!$A$5:$A$64,0)),""))</f>
        <v/>
      </c>
      <c r="O497" s="43">
        <f>IF($I497="","",COUNTIF($I497:$N497,"?*"))</f>
        <v/>
      </c>
      <c r="P497" s="46">
        <f>IF($I497="","",_xlfn.TEXTJOIN(", ",TRUE,$I497:$N497))</f>
        <v/>
      </c>
      <c r="Q497" s="47">
        <f>IF($I497="","",IFERROR(INDEX(코드설정!$D$5:$D$24,MATCH($I497,코드설정!$C$5:$C$24,0)),""))</f>
        <v/>
      </c>
      <c r="R497" s="49" t="n"/>
      <c r="S497" s="50" t="n"/>
      <c r="T497" s="51" t="n"/>
      <c r="U497" s="43">
        <f>IF(OR($B497="",$C497=""),"",$C497-$B497+1)</f>
        <v/>
      </c>
      <c r="V497" s="52" t="n"/>
      <c r="W497" s="53">
        <f>IF(OR($V497="",$O497=""),"",$V497*$O497)</f>
        <v/>
      </c>
      <c r="X497" s="45" t="n"/>
      <c r="Y497" s="49" t="n"/>
    </row>
    <row r="498">
      <c r="A498" s="43">
        <f>IF($B498="","",COUNT($B$5:$B498))</f>
        <v/>
      </c>
      <c r="B498" s="44" t="n"/>
      <c r="C498" s="44" t="n"/>
      <c r="D498" s="45" t="n"/>
      <c r="E498" s="45" t="n"/>
      <c r="F498" s="45" t="n"/>
      <c r="G498" s="46">
        <f>IF($F498="","",IFERROR(INDEX(사건마스터!$B$5:$B$64,MATCH($F498,사건마스터!$A$5:$A$64,0)),""))</f>
        <v/>
      </c>
      <c r="H498" s="47">
        <f>IF($F498="","",IFERROR(INDEX(사건마스터!$C$5:$C$64,MATCH($F498,사건마스터!$A$5:$A$64,0)),""))</f>
        <v/>
      </c>
      <c r="I498" s="48">
        <f>IF($F498="","",IFERROR(INDEX(사건마스터!$H$5:$H$64,MATCH($F498,사건마스터!$A$5:$A$64,0)),""))</f>
        <v/>
      </c>
      <c r="J498" s="48">
        <f>IF($F498="","",IFERROR(INDEX(사건마스터!$AH$5:$AH$64,MATCH($F498,사건마스터!$A$5:$A$64,0)),""))</f>
        <v/>
      </c>
      <c r="K498" s="48">
        <f>IF($F498="","",IFERROR(INDEX(사건마스터!$AI$5:$AI$64,MATCH($F498,사건마스터!$A$5:$A$64,0)),""))</f>
        <v/>
      </c>
      <c r="L498" s="48">
        <f>IF($F498="","",IFERROR(INDEX(사건마스터!$AJ$5:$AJ$64,MATCH($F498,사건마스터!$A$5:$A$64,0)),""))</f>
        <v/>
      </c>
      <c r="M498" s="48">
        <f>IF($F498="","",IFERROR(INDEX(사건마스터!$AK$5:$AK$64,MATCH($F498,사건마스터!$A$5:$A$64,0)),""))</f>
        <v/>
      </c>
      <c r="N498" s="48">
        <f>IF($F498="","",IFERROR(INDEX(사건마스터!$AL$5:$AL$64,MATCH($F498,사건마스터!$A$5:$A$64,0)),""))</f>
        <v/>
      </c>
      <c r="O498" s="43">
        <f>IF($I498="","",COUNTIF($I498:$N498,"?*"))</f>
        <v/>
      </c>
      <c r="P498" s="46">
        <f>IF($I498="","",_xlfn.TEXTJOIN(", ",TRUE,$I498:$N498))</f>
        <v/>
      </c>
      <c r="Q498" s="47">
        <f>IF($I498="","",IFERROR(INDEX(코드설정!$D$5:$D$24,MATCH($I498,코드설정!$C$5:$C$24,0)),""))</f>
        <v/>
      </c>
      <c r="R498" s="49" t="n"/>
      <c r="S498" s="50" t="n"/>
      <c r="T498" s="51" t="n"/>
      <c r="U498" s="43">
        <f>IF(OR($B498="",$C498=""),"",$C498-$B498+1)</f>
        <v/>
      </c>
      <c r="V498" s="52" t="n"/>
      <c r="W498" s="53">
        <f>IF(OR($V498="",$O498=""),"",$V498*$O498)</f>
        <v/>
      </c>
      <c r="X498" s="45" t="n"/>
      <c r="Y498" s="49" t="n"/>
    </row>
    <row r="499">
      <c r="A499" s="43">
        <f>IF($B499="","",COUNT($B$5:$B499))</f>
        <v/>
      </c>
      <c r="B499" s="44" t="n"/>
      <c r="C499" s="44" t="n"/>
      <c r="D499" s="45" t="n"/>
      <c r="E499" s="45" t="n"/>
      <c r="F499" s="45" t="n"/>
      <c r="G499" s="46">
        <f>IF($F499="","",IFERROR(INDEX(사건마스터!$B$5:$B$64,MATCH($F499,사건마스터!$A$5:$A$64,0)),""))</f>
        <v/>
      </c>
      <c r="H499" s="47">
        <f>IF($F499="","",IFERROR(INDEX(사건마스터!$C$5:$C$64,MATCH($F499,사건마스터!$A$5:$A$64,0)),""))</f>
        <v/>
      </c>
      <c r="I499" s="48">
        <f>IF($F499="","",IFERROR(INDEX(사건마스터!$H$5:$H$64,MATCH($F499,사건마스터!$A$5:$A$64,0)),""))</f>
        <v/>
      </c>
      <c r="J499" s="48">
        <f>IF($F499="","",IFERROR(INDEX(사건마스터!$AH$5:$AH$64,MATCH($F499,사건마스터!$A$5:$A$64,0)),""))</f>
        <v/>
      </c>
      <c r="K499" s="48">
        <f>IF($F499="","",IFERROR(INDEX(사건마스터!$AI$5:$AI$64,MATCH($F499,사건마스터!$A$5:$A$64,0)),""))</f>
        <v/>
      </c>
      <c r="L499" s="48">
        <f>IF($F499="","",IFERROR(INDEX(사건마스터!$AJ$5:$AJ$64,MATCH($F499,사건마스터!$A$5:$A$64,0)),""))</f>
        <v/>
      </c>
      <c r="M499" s="48">
        <f>IF($F499="","",IFERROR(INDEX(사건마스터!$AK$5:$AK$64,MATCH($F499,사건마스터!$A$5:$A$64,0)),""))</f>
        <v/>
      </c>
      <c r="N499" s="48">
        <f>IF($F499="","",IFERROR(INDEX(사건마스터!$AL$5:$AL$64,MATCH($F499,사건마스터!$A$5:$A$64,0)),""))</f>
        <v/>
      </c>
      <c r="O499" s="43">
        <f>IF($I499="","",COUNTIF($I499:$N499,"?*"))</f>
        <v/>
      </c>
      <c r="P499" s="46">
        <f>IF($I499="","",_xlfn.TEXTJOIN(", ",TRUE,$I499:$N499))</f>
        <v/>
      </c>
      <c r="Q499" s="47">
        <f>IF($I499="","",IFERROR(INDEX(코드설정!$D$5:$D$24,MATCH($I499,코드설정!$C$5:$C$24,0)),""))</f>
        <v/>
      </c>
      <c r="R499" s="49" t="n"/>
      <c r="S499" s="50" t="n"/>
      <c r="T499" s="51" t="n"/>
      <c r="U499" s="43">
        <f>IF(OR($B499="",$C499=""),"",$C499-$B499+1)</f>
        <v/>
      </c>
      <c r="V499" s="52" t="n"/>
      <c r="W499" s="53">
        <f>IF(OR($V499="",$O499=""),"",$V499*$O499)</f>
        <v/>
      </c>
      <c r="X499" s="45" t="n"/>
      <c r="Y499" s="49" t="n"/>
    </row>
    <row r="500">
      <c r="A500" s="43">
        <f>IF($B500="","",COUNT($B$5:$B500))</f>
        <v/>
      </c>
      <c r="B500" s="44" t="n"/>
      <c r="C500" s="44" t="n"/>
      <c r="D500" s="45" t="n"/>
      <c r="E500" s="45" t="n"/>
      <c r="F500" s="45" t="n"/>
      <c r="G500" s="46">
        <f>IF($F500="","",IFERROR(INDEX(사건마스터!$B$5:$B$64,MATCH($F500,사건마스터!$A$5:$A$64,0)),""))</f>
        <v/>
      </c>
      <c r="H500" s="47">
        <f>IF($F500="","",IFERROR(INDEX(사건마스터!$C$5:$C$64,MATCH($F500,사건마스터!$A$5:$A$64,0)),""))</f>
        <v/>
      </c>
      <c r="I500" s="48">
        <f>IF($F500="","",IFERROR(INDEX(사건마스터!$H$5:$H$64,MATCH($F500,사건마스터!$A$5:$A$64,0)),""))</f>
        <v/>
      </c>
      <c r="J500" s="48">
        <f>IF($F500="","",IFERROR(INDEX(사건마스터!$AH$5:$AH$64,MATCH($F500,사건마스터!$A$5:$A$64,0)),""))</f>
        <v/>
      </c>
      <c r="K500" s="48">
        <f>IF($F500="","",IFERROR(INDEX(사건마스터!$AI$5:$AI$64,MATCH($F500,사건마스터!$A$5:$A$64,0)),""))</f>
        <v/>
      </c>
      <c r="L500" s="48">
        <f>IF($F500="","",IFERROR(INDEX(사건마스터!$AJ$5:$AJ$64,MATCH($F500,사건마스터!$A$5:$A$64,0)),""))</f>
        <v/>
      </c>
      <c r="M500" s="48">
        <f>IF($F500="","",IFERROR(INDEX(사건마스터!$AK$5:$AK$64,MATCH($F500,사건마스터!$A$5:$A$64,0)),""))</f>
        <v/>
      </c>
      <c r="N500" s="48">
        <f>IF($F500="","",IFERROR(INDEX(사건마스터!$AL$5:$AL$64,MATCH($F500,사건마스터!$A$5:$A$64,0)),""))</f>
        <v/>
      </c>
      <c r="O500" s="43">
        <f>IF($I500="","",COUNTIF($I500:$N500,"?*"))</f>
        <v/>
      </c>
      <c r="P500" s="46">
        <f>IF($I500="","",_xlfn.TEXTJOIN(", ",TRUE,$I500:$N500))</f>
        <v/>
      </c>
      <c r="Q500" s="47">
        <f>IF($I500="","",IFERROR(INDEX(코드설정!$D$5:$D$24,MATCH($I500,코드설정!$C$5:$C$24,0)),""))</f>
        <v/>
      </c>
      <c r="R500" s="49" t="n"/>
      <c r="S500" s="50" t="n"/>
      <c r="T500" s="51" t="n"/>
      <c r="U500" s="43">
        <f>IF(OR($B500="",$C500=""),"",$C500-$B500+1)</f>
        <v/>
      </c>
      <c r="V500" s="52" t="n"/>
      <c r="W500" s="53">
        <f>IF(OR($V500="",$O500=""),"",$V500*$O500)</f>
        <v/>
      </c>
      <c r="X500" s="45" t="n"/>
      <c r="Y500" s="49" t="n"/>
    </row>
    <row r="501">
      <c r="A501" s="43">
        <f>IF($B501="","",COUNT($B$5:$B501))</f>
        <v/>
      </c>
      <c r="B501" s="44" t="n"/>
      <c r="C501" s="44" t="n"/>
      <c r="D501" s="45" t="n"/>
      <c r="E501" s="45" t="n"/>
      <c r="F501" s="45" t="n"/>
      <c r="G501" s="46">
        <f>IF($F501="","",IFERROR(INDEX(사건마스터!$B$5:$B$64,MATCH($F501,사건마스터!$A$5:$A$64,0)),""))</f>
        <v/>
      </c>
      <c r="H501" s="47">
        <f>IF($F501="","",IFERROR(INDEX(사건마스터!$C$5:$C$64,MATCH($F501,사건마스터!$A$5:$A$64,0)),""))</f>
        <v/>
      </c>
      <c r="I501" s="48">
        <f>IF($F501="","",IFERROR(INDEX(사건마스터!$H$5:$H$64,MATCH($F501,사건마스터!$A$5:$A$64,0)),""))</f>
        <v/>
      </c>
      <c r="J501" s="48">
        <f>IF($F501="","",IFERROR(INDEX(사건마스터!$AH$5:$AH$64,MATCH($F501,사건마스터!$A$5:$A$64,0)),""))</f>
        <v/>
      </c>
      <c r="K501" s="48">
        <f>IF($F501="","",IFERROR(INDEX(사건마스터!$AI$5:$AI$64,MATCH($F501,사건마스터!$A$5:$A$64,0)),""))</f>
        <v/>
      </c>
      <c r="L501" s="48">
        <f>IF($F501="","",IFERROR(INDEX(사건마스터!$AJ$5:$AJ$64,MATCH($F501,사건마스터!$A$5:$A$64,0)),""))</f>
        <v/>
      </c>
      <c r="M501" s="48">
        <f>IF($F501="","",IFERROR(INDEX(사건마스터!$AK$5:$AK$64,MATCH($F501,사건마스터!$A$5:$A$64,0)),""))</f>
        <v/>
      </c>
      <c r="N501" s="48">
        <f>IF($F501="","",IFERROR(INDEX(사건마스터!$AL$5:$AL$64,MATCH($F501,사건마스터!$A$5:$A$64,0)),""))</f>
        <v/>
      </c>
      <c r="O501" s="43">
        <f>IF($I501="","",COUNTIF($I501:$N501,"?*"))</f>
        <v/>
      </c>
      <c r="P501" s="46">
        <f>IF($I501="","",_xlfn.TEXTJOIN(", ",TRUE,$I501:$N501))</f>
        <v/>
      </c>
      <c r="Q501" s="47">
        <f>IF($I501="","",IFERROR(INDEX(코드설정!$D$5:$D$24,MATCH($I501,코드설정!$C$5:$C$24,0)),""))</f>
        <v/>
      </c>
      <c r="R501" s="49" t="n"/>
      <c r="S501" s="50" t="n"/>
      <c r="T501" s="51" t="n"/>
      <c r="U501" s="43">
        <f>IF(OR($B501="",$C501=""),"",$C501-$B501+1)</f>
        <v/>
      </c>
      <c r="V501" s="52" t="n"/>
      <c r="W501" s="53">
        <f>IF(OR($V501="",$O501=""),"",$V501*$O501)</f>
        <v/>
      </c>
      <c r="X501" s="45" t="n"/>
      <c r="Y501" s="49" t="n"/>
    </row>
    <row r="502">
      <c r="A502" s="43">
        <f>IF($B502="","",COUNT($B$5:$B502))</f>
        <v/>
      </c>
      <c r="B502" s="44" t="n"/>
      <c r="C502" s="44" t="n"/>
      <c r="D502" s="45" t="n"/>
      <c r="E502" s="45" t="n"/>
      <c r="F502" s="45" t="n"/>
      <c r="G502" s="46">
        <f>IF($F502="","",IFERROR(INDEX(사건마스터!$B$5:$B$64,MATCH($F502,사건마스터!$A$5:$A$64,0)),""))</f>
        <v/>
      </c>
      <c r="H502" s="47">
        <f>IF($F502="","",IFERROR(INDEX(사건마스터!$C$5:$C$64,MATCH($F502,사건마스터!$A$5:$A$64,0)),""))</f>
        <v/>
      </c>
      <c r="I502" s="48">
        <f>IF($F502="","",IFERROR(INDEX(사건마스터!$H$5:$H$64,MATCH($F502,사건마스터!$A$5:$A$64,0)),""))</f>
        <v/>
      </c>
      <c r="J502" s="48">
        <f>IF($F502="","",IFERROR(INDEX(사건마스터!$AH$5:$AH$64,MATCH($F502,사건마스터!$A$5:$A$64,0)),""))</f>
        <v/>
      </c>
      <c r="K502" s="48">
        <f>IF($F502="","",IFERROR(INDEX(사건마스터!$AI$5:$AI$64,MATCH($F502,사건마스터!$A$5:$A$64,0)),""))</f>
        <v/>
      </c>
      <c r="L502" s="48">
        <f>IF($F502="","",IFERROR(INDEX(사건마스터!$AJ$5:$AJ$64,MATCH($F502,사건마스터!$A$5:$A$64,0)),""))</f>
        <v/>
      </c>
      <c r="M502" s="48">
        <f>IF($F502="","",IFERROR(INDEX(사건마스터!$AK$5:$AK$64,MATCH($F502,사건마스터!$A$5:$A$64,0)),""))</f>
        <v/>
      </c>
      <c r="N502" s="48">
        <f>IF($F502="","",IFERROR(INDEX(사건마스터!$AL$5:$AL$64,MATCH($F502,사건마스터!$A$5:$A$64,0)),""))</f>
        <v/>
      </c>
      <c r="O502" s="43">
        <f>IF($I502="","",COUNTIF($I502:$N502,"?*"))</f>
        <v/>
      </c>
      <c r="P502" s="46">
        <f>IF($I502="","",_xlfn.TEXTJOIN(", ",TRUE,$I502:$N502))</f>
        <v/>
      </c>
      <c r="Q502" s="47">
        <f>IF($I502="","",IFERROR(INDEX(코드설정!$D$5:$D$24,MATCH($I502,코드설정!$C$5:$C$24,0)),""))</f>
        <v/>
      </c>
      <c r="R502" s="49" t="n"/>
      <c r="S502" s="50" t="n"/>
      <c r="T502" s="51" t="n"/>
      <c r="U502" s="43">
        <f>IF(OR($B502="",$C502=""),"",$C502-$B502+1)</f>
        <v/>
      </c>
      <c r="V502" s="52" t="n"/>
      <c r="W502" s="53">
        <f>IF(OR($V502="",$O502=""),"",$V502*$O502)</f>
        <v/>
      </c>
      <c r="X502" s="45" t="n"/>
      <c r="Y502" s="49" t="n"/>
    </row>
    <row r="503">
      <c r="A503" s="43">
        <f>IF($B503="","",COUNT($B$5:$B503))</f>
        <v/>
      </c>
      <c r="B503" s="44" t="n"/>
      <c r="C503" s="44" t="n"/>
      <c r="D503" s="45" t="n"/>
      <c r="E503" s="45" t="n"/>
      <c r="F503" s="45" t="n"/>
      <c r="G503" s="46">
        <f>IF($F503="","",IFERROR(INDEX(사건마스터!$B$5:$B$64,MATCH($F503,사건마스터!$A$5:$A$64,0)),""))</f>
        <v/>
      </c>
      <c r="H503" s="47">
        <f>IF($F503="","",IFERROR(INDEX(사건마스터!$C$5:$C$64,MATCH($F503,사건마스터!$A$5:$A$64,0)),""))</f>
        <v/>
      </c>
      <c r="I503" s="48">
        <f>IF($F503="","",IFERROR(INDEX(사건마스터!$H$5:$H$64,MATCH($F503,사건마스터!$A$5:$A$64,0)),""))</f>
        <v/>
      </c>
      <c r="J503" s="48">
        <f>IF($F503="","",IFERROR(INDEX(사건마스터!$AH$5:$AH$64,MATCH($F503,사건마스터!$A$5:$A$64,0)),""))</f>
        <v/>
      </c>
      <c r="K503" s="48">
        <f>IF($F503="","",IFERROR(INDEX(사건마스터!$AI$5:$AI$64,MATCH($F503,사건마스터!$A$5:$A$64,0)),""))</f>
        <v/>
      </c>
      <c r="L503" s="48">
        <f>IF($F503="","",IFERROR(INDEX(사건마스터!$AJ$5:$AJ$64,MATCH($F503,사건마스터!$A$5:$A$64,0)),""))</f>
        <v/>
      </c>
      <c r="M503" s="48">
        <f>IF($F503="","",IFERROR(INDEX(사건마스터!$AK$5:$AK$64,MATCH($F503,사건마스터!$A$5:$A$64,0)),""))</f>
        <v/>
      </c>
      <c r="N503" s="48">
        <f>IF($F503="","",IFERROR(INDEX(사건마스터!$AL$5:$AL$64,MATCH($F503,사건마스터!$A$5:$A$64,0)),""))</f>
        <v/>
      </c>
      <c r="O503" s="43">
        <f>IF($I503="","",COUNTIF($I503:$N503,"?*"))</f>
        <v/>
      </c>
      <c r="P503" s="46">
        <f>IF($I503="","",_xlfn.TEXTJOIN(", ",TRUE,$I503:$N503))</f>
        <v/>
      </c>
      <c r="Q503" s="47">
        <f>IF($I503="","",IFERROR(INDEX(코드설정!$D$5:$D$24,MATCH($I503,코드설정!$C$5:$C$24,0)),""))</f>
        <v/>
      </c>
      <c r="R503" s="49" t="n"/>
      <c r="S503" s="50" t="n"/>
      <c r="T503" s="51" t="n"/>
      <c r="U503" s="43">
        <f>IF(OR($B503="",$C503=""),"",$C503-$B503+1)</f>
        <v/>
      </c>
      <c r="V503" s="52" t="n"/>
      <c r="W503" s="53">
        <f>IF(OR($V503="",$O503=""),"",$V503*$O503)</f>
        <v/>
      </c>
      <c r="X503" s="45" t="n"/>
      <c r="Y503" s="49" t="n"/>
    </row>
    <row r="504">
      <c r="A504" s="43">
        <f>IF($B504="","",COUNT($B$5:$B504))</f>
        <v/>
      </c>
      <c r="B504" s="44" t="n"/>
      <c r="C504" s="44" t="n"/>
      <c r="D504" s="45" t="n"/>
      <c r="E504" s="45" t="n"/>
      <c r="F504" s="45" t="n"/>
      <c r="G504" s="46">
        <f>IF($F504="","",IFERROR(INDEX(사건마스터!$B$5:$B$64,MATCH($F504,사건마스터!$A$5:$A$64,0)),""))</f>
        <v/>
      </c>
      <c r="H504" s="47">
        <f>IF($F504="","",IFERROR(INDEX(사건마스터!$C$5:$C$64,MATCH($F504,사건마스터!$A$5:$A$64,0)),""))</f>
        <v/>
      </c>
      <c r="I504" s="48">
        <f>IF($F504="","",IFERROR(INDEX(사건마스터!$H$5:$H$64,MATCH($F504,사건마스터!$A$5:$A$64,0)),""))</f>
        <v/>
      </c>
      <c r="J504" s="48">
        <f>IF($F504="","",IFERROR(INDEX(사건마스터!$AH$5:$AH$64,MATCH($F504,사건마스터!$A$5:$A$64,0)),""))</f>
        <v/>
      </c>
      <c r="K504" s="48">
        <f>IF($F504="","",IFERROR(INDEX(사건마스터!$AI$5:$AI$64,MATCH($F504,사건마스터!$A$5:$A$64,0)),""))</f>
        <v/>
      </c>
      <c r="L504" s="48">
        <f>IF($F504="","",IFERROR(INDEX(사건마스터!$AJ$5:$AJ$64,MATCH($F504,사건마스터!$A$5:$A$64,0)),""))</f>
        <v/>
      </c>
      <c r="M504" s="48">
        <f>IF($F504="","",IFERROR(INDEX(사건마스터!$AK$5:$AK$64,MATCH($F504,사건마스터!$A$5:$A$64,0)),""))</f>
        <v/>
      </c>
      <c r="N504" s="48">
        <f>IF($F504="","",IFERROR(INDEX(사건마스터!$AL$5:$AL$64,MATCH($F504,사건마스터!$A$5:$A$64,0)),""))</f>
        <v/>
      </c>
      <c r="O504" s="43">
        <f>IF($I504="","",COUNTIF($I504:$N504,"?*"))</f>
        <v/>
      </c>
      <c r="P504" s="46">
        <f>IF($I504="","",_xlfn.TEXTJOIN(", ",TRUE,$I504:$N504))</f>
        <v/>
      </c>
      <c r="Q504" s="47">
        <f>IF($I504="","",IFERROR(INDEX(코드설정!$D$5:$D$24,MATCH($I504,코드설정!$C$5:$C$24,0)),""))</f>
        <v/>
      </c>
      <c r="R504" s="49" t="n"/>
      <c r="S504" s="50" t="n"/>
      <c r="T504" s="51" t="n"/>
      <c r="U504" s="43">
        <f>IF(OR($B504="",$C504=""),"",$C504-$B504+1)</f>
        <v/>
      </c>
      <c r="V504" s="52" t="n"/>
      <c r="W504" s="53">
        <f>IF(OR($V504="",$O504=""),"",$V504*$O504)</f>
        <v/>
      </c>
      <c r="X504" s="45" t="n"/>
      <c r="Y504" s="49" t="n"/>
    </row>
    <row r="505">
      <c r="A505" s="43">
        <f>IF($B505="","",COUNT($B$5:$B505))</f>
        <v/>
      </c>
      <c r="B505" s="44" t="n"/>
      <c r="C505" s="44" t="n"/>
      <c r="D505" s="45" t="n"/>
      <c r="E505" s="45" t="n"/>
      <c r="F505" s="45" t="n"/>
      <c r="G505" s="46">
        <f>IF($F505="","",IFERROR(INDEX(사건마스터!$B$5:$B$64,MATCH($F505,사건마스터!$A$5:$A$64,0)),""))</f>
        <v/>
      </c>
      <c r="H505" s="47">
        <f>IF($F505="","",IFERROR(INDEX(사건마스터!$C$5:$C$64,MATCH($F505,사건마스터!$A$5:$A$64,0)),""))</f>
        <v/>
      </c>
      <c r="I505" s="48">
        <f>IF($F505="","",IFERROR(INDEX(사건마스터!$H$5:$H$64,MATCH($F505,사건마스터!$A$5:$A$64,0)),""))</f>
        <v/>
      </c>
      <c r="J505" s="48">
        <f>IF($F505="","",IFERROR(INDEX(사건마스터!$AH$5:$AH$64,MATCH($F505,사건마스터!$A$5:$A$64,0)),""))</f>
        <v/>
      </c>
      <c r="K505" s="48">
        <f>IF($F505="","",IFERROR(INDEX(사건마스터!$AI$5:$AI$64,MATCH($F505,사건마스터!$A$5:$A$64,0)),""))</f>
        <v/>
      </c>
      <c r="L505" s="48">
        <f>IF($F505="","",IFERROR(INDEX(사건마스터!$AJ$5:$AJ$64,MATCH($F505,사건마스터!$A$5:$A$64,0)),""))</f>
        <v/>
      </c>
      <c r="M505" s="48">
        <f>IF($F505="","",IFERROR(INDEX(사건마스터!$AK$5:$AK$64,MATCH($F505,사건마스터!$A$5:$A$64,0)),""))</f>
        <v/>
      </c>
      <c r="N505" s="48">
        <f>IF($F505="","",IFERROR(INDEX(사건마스터!$AL$5:$AL$64,MATCH($F505,사건마스터!$A$5:$A$64,0)),""))</f>
        <v/>
      </c>
      <c r="O505" s="43">
        <f>IF($I505="","",COUNTIF($I505:$N505,"?*"))</f>
        <v/>
      </c>
      <c r="P505" s="46">
        <f>IF($I505="","",_xlfn.TEXTJOIN(", ",TRUE,$I505:$N505))</f>
        <v/>
      </c>
      <c r="Q505" s="47">
        <f>IF($I505="","",IFERROR(INDEX(코드설정!$D$5:$D$24,MATCH($I505,코드설정!$C$5:$C$24,0)),""))</f>
        <v/>
      </c>
      <c r="R505" s="49" t="n"/>
      <c r="S505" s="50" t="n"/>
      <c r="T505" s="51" t="n"/>
      <c r="U505" s="43">
        <f>IF(OR($B505="",$C505=""),"",$C505-$B505+1)</f>
        <v/>
      </c>
      <c r="V505" s="52" t="n"/>
      <c r="W505" s="53">
        <f>IF(OR($V505="",$O505=""),"",$V505*$O505)</f>
        <v/>
      </c>
      <c r="X505" s="45" t="n"/>
      <c r="Y505" s="49" t="n"/>
    </row>
    <row r="506">
      <c r="A506" s="43">
        <f>IF($B506="","",COUNT($B$5:$B506))</f>
        <v/>
      </c>
      <c r="B506" s="44" t="n"/>
      <c r="C506" s="44" t="n"/>
      <c r="D506" s="45" t="n"/>
      <c r="E506" s="45" t="n"/>
      <c r="F506" s="45" t="n"/>
      <c r="G506" s="46">
        <f>IF($F506="","",IFERROR(INDEX(사건마스터!$B$5:$B$64,MATCH($F506,사건마스터!$A$5:$A$64,0)),""))</f>
        <v/>
      </c>
      <c r="H506" s="47">
        <f>IF($F506="","",IFERROR(INDEX(사건마스터!$C$5:$C$64,MATCH($F506,사건마스터!$A$5:$A$64,0)),""))</f>
        <v/>
      </c>
      <c r="I506" s="48">
        <f>IF($F506="","",IFERROR(INDEX(사건마스터!$H$5:$H$64,MATCH($F506,사건마스터!$A$5:$A$64,0)),""))</f>
        <v/>
      </c>
      <c r="J506" s="48">
        <f>IF($F506="","",IFERROR(INDEX(사건마스터!$AH$5:$AH$64,MATCH($F506,사건마스터!$A$5:$A$64,0)),""))</f>
        <v/>
      </c>
      <c r="K506" s="48">
        <f>IF($F506="","",IFERROR(INDEX(사건마스터!$AI$5:$AI$64,MATCH($F506,사건마스터!$A$5:$A$64,0)),""))</f>
        <v/>
      </c>
      <c r="L506" s="48">
        <f>IF($F506="","",IFERROR(INDEX(사건마스터!$AJ$5:$AJ$64,MATCH($F506,사건마스터!$A$5:$A$64,0)),""))</f>
        <v/>
      </c>
      <c r="M506" s="48">
        <f>IF($F506="","",IFERROR(INDEX(사건마스터!$AK$5:$AK$64,MATCH($F506,사건마스터!$A$5:$A$64,0)),""))</f>
        <v/>
      </c>
      <c r="N506" s="48">
        <f>IF($F506="","",IFERROR(INDEX(사건마스터!$AL$5:$AL$64,MATCH($F506,사건마스터!$A$5:$A$64,0)),""))</f>
        <v/>
      </c>
      <c r="O506" s="43">
        <f>IF($I506="","",COUNTIF($I506:$N506,"?*"))</f>
        <v/>
      </c>
      <c r="P506" s="46">
        <f>IF($I506="","",_xlfn.TEXTJOIN(", ",TRUE,$I506:$N506))</f>
        <v/>
      </c>
      <c r="Q506" s="47">
        <f>IF($I506="","",IFERROR(INDEX(코드설정!$D$5:$D$24,MATCH($I506,코드설정!$C$5:$C$24,0)),""))</f>
        <v/>
      </c>
      <c r="R506" s="49" t="n"/>
      <c r="S506" s="50" t="n"/>
      <c r="T506" s="51" t="n"/>
      <c r="U506" s="43">
        <f>IF(OR($B506="",$C506=""),"",$C506-$B506+1)</f>
        <v/>
      </c>
      <c r="V506" s="52" t="n"/>
      <c r="W506" s="53">
        <f>IF(OR($V506="",$O506=""),"",$V506*$O506)</f>
        <v/>
      </c>
      <c r="X506" s="45" t="n"/>
      <c r="Y506" s="49" t="n"/>
    </row>
    <row r="507">
      <c r="A507" s="43">
        <f>IF($B507="","",COUNT($B$5:$B507))</f>
        <v/>
      </c>
      <c r="B507" s="44" t="n"/>
      <c r="C507" s="44" t="n"/>
      <c r="D507" s="45" t="n"/>
      <c r="E507" s="45" t="n"/>
      <c r="F507" s="45" t="n"/>
      <c r="G507" s="46">
        <f>IF($F507="","",IFERROR(INDEX(사건마스터!$B$5:$B$64,MATCH($F507,사건마스터!$A$5:$A$64,0)),""))</f>
        <v/>
      </c>
      <c r="H507" s="47">
        <f>IF($F507="","",IFERROR(INDEX(사건마스터!$C$5:$C$64,MATCH($F507,사건마스터!$A$5:$A$64,0)),""))</f>
        <v/>
      </c>
      <c r="I507" s="48">
        <f>IF($F507="","",IFERROR(INDEX(사건마스터!$H$5:$H$64,MATCH($F507,사건마스터!$A$5:$A$64,0)),""))</f>
        <v/>
      </c>
      <c r="J507" s="48">
        <f>IF($F507="","",IFERROR(INDEX(사건마스터!$AH$5:$AH$64,MATCH($F507,사건마스터!$A$5:$A$64,0)),""))</f>
        <v/>
      </c>
      <c r="K507" s="48">
        <f>IF($F507="","",IFERROR(INDEX(사건마스터!$AI$5:$AI$64,MATCH($F507,사건마스터!$A$5:$A$64,0)),""))</f>
        <v/>
      </c>
      <c r="L507" s="48">
        <f>IF($F507="","",IFERROR(INDEX(사건마스터!$AJ$5:$AJ$64,MATCH($F507,사건마스터!$A$5:$A$64,0)),""))</f>
        <v/>
      </c>
      <c r="M507" s="48">
        <f>IF($F507="","",IFERROR(INDEX(사건마스터!$AK$5:$AK$64,MATCH($F507,사건마스터!$A$5:$A$64,0)),""))</f>
        <v/>
      </c>
      <c r="N507" s="48">
        <f>IF($F507="","",IFERROR(INDEX(사건마스터!$AL$5:$AL$64,MATCH($F507,사건마스터!$A$5:$A$64,0)),""))</f>
        <v/>
      </c>
      <c r="O507" s="43">
        <f>IF($I507="","",COUNTIF($I507:$N507,"?*"))</f>
        <v/>
      </c>
      <c r="P507" s="46">
        <f>IF($I507="","",_xlfn.TEXTJOIN(", ",TRUE,$I507:$N507))</f>
        <v/>
      </c>
      <c r="Q507" s="47">
        <f>IF($I507="","",IFERROR(INDEX(코드설정!$D$5:$D$24,MATCH($I507,코드설정!$C$5:$C$24,0)),""))</f>
        <v/>
      </c>
      <c r="R507" s="49" t="n"/>
      <c r="S507" s="50" t="n"/>
      <c r="T507" s="51" t="n"/>
      <c r="U507" s="43">
        <f>IF(OR($B507="",$C507=""),"",$C507-$B507+1)</f>
        <v/>
      </c>
      <c r="V507" s="52" t="n"/>
      <c r="W507" s="53">
        <f>IF(OR($V507="",$O507=""),"",$V507*$O507)</f>
        <v/>
      </c>
      <c r="X507" s="45" t="n"/>
      <c r="Y507" s="49" t="n"/>
    </row>
    <row r="508">
      <c r="A508" s="43">
        <f>IF($B508="","",COUNT($B$5:$B508))</f>
        <v/>
      </c>
      <c r="B508" s="44" t="n"/>
      <c r="C508" s="44" t="n"/>
      <c r="D508" s="45" t="n"/>
      <c r="E508" s="45" t="n"/>
      <c r="F508" s="45" t="n"/>
      <c r="G508" s="46">
        <f>IF($F508="","",IFERROR(INDEX(사건마스터!$B$5:$B$64,MATCH($F508,사건마스터!$A$5:$A$64,0)),""))</f>
        <v/>
      </c>
      <c r="H508" s="47">
        <f>IF($F508="","",IFERROR(INDEX(사건마스터!$C$5:$C$64,MATCH($F508,사건마스터!$A$5:$A$64,0)),""))</f>
        <v/>
      </c>
      <c r="I508" s="48">
        <f>IF($F508="","",IFERROR(INDEX(사건마스터!$H$5:$H$64,MATCH($F508,사건마스터!$A$5:$A$64,0)),""))</f>
        <v/>
      </c>
      <c r="J508" s="48">
        <f>IF($F508="","",IFERROR(INDEX(사건마스터!$AH$5:$AH$64,MATCH($F508,사건마스터!$A$5:$A$64,0)),""))</f>
        <v/>
      </c>
      <c r="K508" s="48">
        <f>IF($F508="","",IFERROR(INDEX(사건마스터!$AI$5:$AI$64,MATCH($F508,사건마스터!$A$5:$A$64,0)),""))</f>
        <v/>
      </c>
      <c r="L508" s="48">
        <f>IF($F508="","",IFERROR(INDEX(사건마스터!$AJ$5:$AJ$64,MATCH($F508,사건마스터!$A$5:$A$64,0)),""))</f>
        <v/>
      </c>
      <c r="M508" s="48">
        <f>IF($F508="","",IFERROR(INDEX(사건마스터!$AK$5:$AK$64,MATCH($F508,사건마스터!$A$5:$A$64,0)),""))</f>
        <v/>
      </c>
      <c r="N508" s="48">
        <f>IF($F508="","",IFERROR(INDEX(사건마스터!$AL$5:$AL$64,MATCH($F508,사건마스터!$A$5:$A$64,0)),""))</f>
        <v/>
      </c>
      <c r="O508" s="43">
        <f>IF($I508="","",COUNTIF($I508:$N508,"?*"))</f>
        <v/>
      </c>
      <c r="P508" s="46">
        <f>IF($I508="","",_xlfn.TEXTJOIN(", ",TRUE,$I508:$N508))</f>
        <v/>
      </c>
      <c r="Q508" s="47">
        <f>IF($I508="","",IFERROR(INDEX(코드설정!$D$5:$D$24,MATCH($I508,코드설정!$C$5:$C$24,0)),""))</f>
        <v/>
      </c>
      <c r="R508" s="49" t="n"/>
      <c r="S508" s="50" t="n"/>
      <c r="T508" s="51" t="n"/>
      <c r="U508" s="43">
        <f>IF(OR($B508="",$C508=""),"",$C508-$B508+1)</f>
        <v/>
      </c>
      <c r="V508" s="52" t="n"/>
      <c r="W508" s="53">
        <f>IF(OR($V508="",$O508=""),"",$V508*$O508)</f>
        <v/>
      </c>
      <c r="X508" s="45" t="n"/>
      <c r="Y508" s="49" t="n"/>
    </row>
    <row r="509">
      <c r="A509" s="43">
        <f>IF($B509="","",COUNT($B$5:$B509))</f>
        <v/>
      </c>
      <c r="B509" s="44" t="n"/>
      <c r="C509" s="44" t="n"/>
      <c r="D509" s="45" t="n"/>
      <c r="E509" s="45" t="n"/>
      <c r="F509" s="45" t="n"/>
      <c r="G509" s="46">
        <f>IF($F509="","",IFERROR(INDEX(사건마스터!$B$5:$B$64,MATCH($F509,사건마스터!$A$5:$A$64,0)),""))</f>
        <v/>
      </c>
      <c r="H509" s="47">
        <f>IF($F509="","",IFERROR(INDEX(사건마스터!$C$5:$C$64,MATCH($F509,사건마스터!$A$5:$A$64,0)),""))</f>
        <v/>
      </c>
      <c r="I509" s="48">
        <f>IF($F509="","",IFERROR(INDEX(사건마스터!$H$5:$H$64,MATCH($F509,사건마스터!$A$5:$A$64,0)),""))</f>
        <v/>
      </c>
      <c r="J509" s="48">
        <f>IF($F509="","",IFERROR(INDEX(사건마스터!$AH$5:$AH$64,MATCH($F509,사건마스터!$A$5:$A$64,0)),""))</f>
        <v/>
      </c>
      <c r="K509" s="48">
        <f>IF($F509="","",IFERROR(INDEX(사건마스터!$AI$5:$AI$64,MATCH($F509,사건마스터!$A$5:$A$64,0)),""))</f>
        <v/>
      </c>
      <c r="L509" s="48">
        <f>IF($F509="","",IFERROR(INDEX(사건마스터!$AJ$5:$AJ$64,MATCH($F509,사건마스터!$A$5:$A$64,0)),""))</f>
        <v/>
      </c>
      <c r="M509" s="48">
        <f>IF($F509="","",IFERROR(INDEX(사건마스터!$AK$5:$AK$64,MATCH($F509,사건마스터!$A$5:$A$64,0)),""))</f>
        <v/>
      </c>
      <c r="N509" s="48">
        <f>IF($F509="","",IFERROR(INDEX(사건마스터!$AL$5:$AL$64,MATCH($F509,사건마스터!$A$5:$A$64,0)),""))</f>
        <v/>
      </c>
      <c r="O509" s="43">
        <f>IF($I509="","",COUNTIF($I509:$N509,"?*"))</f>
        <v/>
      </c>
      <c r="P509" s="46">
        <f>IF($I509="","",_xlfn.TEXTJOIN(", ",TRUE,$I509:$N509))</f>
        <v/>
      </c>
      <c r="Q509" s="47">
        <f>IF($I509="","",IFERROR(INDEX(코드설정!$D$5:$D$24,MATCH($I509,코드설정!$C$5:$C$24,0)),""))</f>
        <v/>
      </c>
      <c r="R509" s="49" t="n"/>
      <c r="S509" s="50" t="n"/>
      <c r="T509" s="51" t="n"/>
      <c r="U509" s="43">
        <f>IF(OR($B509="",$C509=""),"",$C509-$B509+1)</f>
        <v/>
      </c>
      <c r="V509" s="52" t="n"/>
      <c r="W509" s="53">
        <f>IF(OR($V509="",$O509=""),"",$V509*$O509)</f>
        <v/>
      </c>
      <c r="X509" s="45" t="n"/>
      <c r="Y509" s="49" t="n"/>
    </row>
    <row r="510">
      <c r="A510" s="43">
        <f>IF($B510="","",COUNT($B$5:$B510))</f>
        <v/>
      </c>
      <c r="B510" s="44" t="n"/>
      <c r="C510" s="44" t="n"/>
      <c r="D510" s="45" t="n"/>
      <c r="E510" s="45" t="n"/>
      <c r="F510" s="45" t="n"/>
      <c r="G510" s="46">
        <f>IF($F510="","",IFERROR(INDEX(사건마스터!$B$5:$B$64,MATCH($F510,사건마스터!$A$5:$A$64,0)),""))</f>
        <v/>
      </c>
      <c r="H510" s="47">
        <f>IF($F510="","",IFERROR(INDEX(사건마스터!$C$5:$C$64,MATCH($F510,사건마스터!$A$5:$A$64,0)),""))</f>
        <v/>
      </c>
      <c r="I510" s="48">
        <f>IF($F510="","",IFERROR(INDEX(사건마스터!$H$5:$H$64,MATCH($F510,사건마스터!$A$5:$A$64,0)),""))</f>
        <v/>
      </c>
      <c r="J510" s="48">
        <f>IF($F510="","",IFERROR(INDEX(사건마스터!$AH$5:$AH$64,MATCH($F510,사건마스터!$A$5:$A$64,0)),""))</f>
        <v/>
      </c>
      <c r="K510" s="48">
        <f>IF($F510="","",IFERROR(INDEX(사건마스터!$AI$5:$AI$64,MATCH($F510,사건마스터!$A$5:$A$64,0)),""))</f>
        <v/>
      </c>
      <c r="L510" s="48">
        <f>IF($F510="","",IFERROR(INDEX(사건마스터!$AJ$5:$AJ$64,MATCH($F510,사건마스터!$A$5:$A$64,0)),""))</f>
        <v/>
      </c>
      <c r="M510" s="48">
        <f>IF($F510="","",IFERROR(INDEX(사건마스터!$AK$5:$AK$64,MATCH($F510,사건마스터!$A$5:$A$64,0)),""))</f>
        <v/>
      </c>
      <c r="N510" s="48">
        <f>IF($F510="","",IFERROR(INDEX(사건마스터!$AL$5:$AL$64,MATCH($F510,사건마스터!$A$5:$A$64,0)),""))</f>
        <v/>
      </c>
      <c r="O510" s="43">
        <f>IF($I510="","",COUNTIF($I510:$N510,"?*"))</f>
        <v/>
      </c>
      <c r="P510" s="46">
        <f>IF($I510="","",_xlfn.TEXTJOIN(", ",TRUE,$I510:$N510))</f>
        <v/>
      </c>
      <c r="Q510" s="47">
        <f>IF($I510="","",IFERROR(INDEX(코드설정!$D$5:$D$24,MATCH($I510,코드설정!$C$5:$C$24,0)),""))</f>
        <v/>
      </c>
      <c r="R510" s="49" t="n"/>
      <c r="S510" s="50" t="n"/>
      <c r="T510" s="51" t="n"/>
      <c r="U510" s="43">
        <f>IF(OR($B510="",$C510=""),"",$C510-$B510+1)</f>
        <v/>
      </c>
      <c r="V510" s="52" t="n"/>
      <c r="W510" s="53">
        <f>IF(OR($V510="",$O510=""),"",$V510*$O510)</f>
        <v/>
      </c>
      <c r="X510" s="45" t="n"/>
      <c r="Y510" s="49" t="n"/>
    </row>
    <row r="511">
      <c r="A511" s="43">
        <f>IF($B511="","",COUNT($B$5:$B511))</f>
        <v/>
      </c>
      <c r="B511" s="44" t="n"/>
      <c r="C511" s="44" t="n"/>
      <c r="D511" s="45" t="n"/>
      <c r="E511" s="45" t="n"/>
      <c r="F511" s="45" t="n"/>
      <c r="G511" s="46">
        <f>IF($F511="","",IFERROR(INDEX(사건마스터!$B$5:$B$64,MATCH($F511,사건마스터!$A$5:$A$64,0)),""))</f>
        <v/>
      </c>
      <c r="H511" s="47">
        <f>IF($F511="","",IFERROR(INDEX(사건마스터!$C$5:$C$64,MATCH($F511,사건마스터!$A$5:$A$64,0)),""))</f>
        <v/>
      </c>
      <c r="I511" s="48">
        <f>IF($F511="","",IFERROR(INDEX(사건마스터!$H$5:$H$64,MATCH($F511,사건마스터!$A$5:$A$64,0)),""))</f>
        <v/>
      </c>
      <c r="J511" s="48">
        <f>IF($F511="","",IFERROR(INDEX(사건마스터!$AH$5:$AH$64,MATCH($F511,사건마스터!$A$5:$A$64,0)),""))</f>
        <v/>
      </c>
      <c r="K511" s="48">
        <f>IF($F511="","",IFERROR(INDEX(사건마스터!$AI$5:$AI$64,MATCH($F511,사건마스터!$A$5:$A$64,0)),""))</f>
        <v/>
      </c>
      <c r="L511" s="48">
        <f>IF($F511="","",IFERROR(INDEX(사건마스터!$AJ$5:$AJ$64,MATCH($F511,사건마스터!$A$5:$A$64,0)),""))</f>
        <v/>
      </c>
      <c r="M511" s="48">
        <f>IF($F511="","",IFERROR(INDEX(사건마스터!$AK$5:$AK$64,MATCH($F511,사건마스터!$A$5:$A$64,0)),""))</f>
        <v/>
      </c>
      <c r="N511" s="48">
        <f>IF($F511="","",IFERROR(INDEX(사건마스터!$AL$5:$AL$64,MATCH($F511,사건마스터!$A$5:$A$64,0)),""))</f>
        <v/>
      </c>
      <c r="O511" s="43">
        <f>IF($I511="","",COUNTIF($I511:$N511,"?*"))</f>
        <v/>
      </c>
      <c r="P511" s="46">
        <f>IF($I511="","",_xlfn.TEXTJOIN(", ",TRUE,$I511:$N511))</f>
        <v/>
      </c>
      <c r="Q511" s="47">
        <f>IF($I511="","",IFERROR(INDEX(코드설정!$D$5:$D$24,MATCH($I511,코드설정!$C$5:$C$24,0)),""))</f>
        <v/>
      </c>
      <c r="R511" s="49" t="n"/>
      <c r="S511" s="50" t="n"/>
      <c r="T511" s="51" t="n"/>
      <c r="U511" s="43">
        <f>IF(OR($B511="",$C511=""),"",$C511-$B511+1)</f>
        <v/>
      </c>
      <c r="V511" s="52" t="n"/>
      <c r="W511" s="53">
        <f>IF(OR($V511="",$O511=""),"",$V511*$O511)</f>
        <v/>
      </c>
      <c r="X511" s="45" t="n"/>
      <c r="Y511" s="49" t="n"/>
    </row>
    <row r="512">
      <c r="A512" s="43">
        <f>IF($B512="","",COUNT($B$5:$B512))</f>
        <v/>
      </c>
      <c r="B512" s="44" t="n"/>
      <c r="C512" s="44" t="n"/>
      <c r="D512" s="45" t="n"/>
      <c r="E512" s="45" t="n"/>
      <c r="F512" s="45" t="n"/>
      <c r="G512" s="46">
        <f>IF($F512="","",IFERROR(INDEX(사건마스터!$B$5:$B$64,MATCH($F512,사건마스터!$A$5:$A$64,0)),""))</f>
        <v/>
      </c>
      <c r="H512" s="47">
        <f>IF($F512="","",IFERROR(INDEX(사건마스터!$C$5:$C$64,MATCH($F512,사건마스터!$A$5:$A$64,0)),""))</f>
        <v/>
      </c>
      <c r="I512" s="48">
        <f>IF($F512="","",IFERROR(INDEX(사건마스터!$H$5:$H$64,MATCH($F512,사건마스터!$A$5:$A$64,0)),""))</f>
        <v/>
      </c>
      <c r="J512" s="48">
        <f>IF($F512="","",IFERROR(INDEX(사건마스터!$AH$5:$AH$64,MATCH($F512,사건마스터!$A$5:$A$64,0)),""))</f>
        <v/>
      </c>
      <c r="K512" s="48">
        <f>IF($F512="","",IFERROR(INDEX(사건마스터!$AI$5:$AI$64,MATCH($F512,사건마스터!$A$5:$A$64,0)),""))</f>
        <v/>
      </c>
      <c r="L512" s="48">
        <f>IF($F512="","",IFERROR(INDEX(사건마스터!$AJ$5:$AJ$64,MATCH($F512,사건마스터!$A$5:$A$64,0)),""))</f>
        <v/>
      </c>
      <c r="M512" s="48">
        <f>IF($F512="","",IFERROR(INDEX(사건마스터!$AK$5:$AK$64,MATCH($F512,사건마스터!$A$5:$A$64,0)),""))</f>
        <v/>
      </c>
      <c r="N512" s="48">
        <f>IF($F512="","",IFERROR(INDEX(사건마스터!$AL$5:$AL$64,MATCH($F512,사건마스터!$A$5:$A$64,0)),""))</f>
        <v/>
      </c>
      <c r="O512" s="43">
        <f>IF($I512="","",COUNTIF($I512:$N512,"?*"))</f>
        <v/>
      </c>
      <c r="P512" s="46">
        <f>IF($I512="","",_xlfn.TEXTJOIN(", ",TRUE,$I512:$N512))</f>
        <v/>
      </c>
      <c r="Q512" s="47">
        <f>IF($I512="","",IFERROR(INDEX(코드설정!$D$5:$D$24,MATCH($I512,코드설정!$C$5:$C$24,0)),""))</f>
        <v/>
      </c>
      <c r="R512" s="49" t="n"/>
      <c r="S512" s="50" t="n"/>
      <c r="T512" s="51" t="n"/>
      <c r="U512" s="43">
        <f>IF(OR($B512="",$C512=""),"",$C512-$B512+1)</f>
        <v/>
      </c>
      <c r="V512" s="52" t="n"/>
      <c r="W512" s="53">
        <f>IF(OR($V512="",$O512=""),"",$V512*$O512)</f>
        <v/>
      </c>
      <c r="X512" s="45" t="n"/>
      <c r="Y512" s="49" t="n"/>
    </row>
    <row r="513">
      <c r="A513" s="43">
        <f>IF($B513="","",COUNT($B$5:$B513))</f>
        <v/>
      </c>
      <c r="B513" s="44" t="n"/>
      <c r="C513" s="44" t="n"/>
      <c r="D513" s="45" t="n"/>
      <c r="E513" s="45" t="n"/>
      <c r="F513" s="45" t="n"/>
      <c r="G513" s="46">
        <f>IF($F513="","",IFERROR(INDEX(사건마스터!$B$5:$B$64,MATCH($F513,사건마스터!$A$5:$A$64,0)),""))</f>
        <v/>
      </c>
      <c r="H513" s="47">
        <f>IF($F513="","",IFERROR(INDEX(사건마스터!$C$5:$C$64,MATCH($F513,사건마스터!$A$5:$A$64,0)),""))</f>
        <v/>
      </c>
      <c r="I513" s="48">
        <f>IF($F513="","",IFERROR(INDEX(사건마스터!$H$5:$H$64,MATCH($F513,사건마스터!$A$5:$A$64,0)),""))</f>
        <v/>
      </c>
      <c r="J513" s="48">
        <f>IF($F513="","",IFERROR(INDEX(사건마스터!$AH$5:$AH$64,MATCH($F513,사건마스터!$A$5:$A$64,0)),""))</f>
        <v/>
      </c>
      <c r="K513" s="48">
        <f>IF($F513="","",IFERROR(INDEX(사건마스터!$AI$5:$AI$64,MATCH($F513,사건마스터!$A$5:$A$64,0)),""))</f>
        <v/>
      </c>
      <c r="L513" s="48">
        <f>IF($F513="","",IFERROR(INDEX(사건마스터!$AJ$5:$AJ$64,MATCH($F513,사건마스터!$A$5:$A$64,0)),""))</f>
        <v/>
      </c>
      <c r="M513" s="48">
        <f>IF($F513="","",IFERROR(INDEX(사건마스터!$AK$5:$AK$64,MATCH($F513,사건마스터!$A$5:$A$64,0)),""))</f>
        <v/>
      </c>
      <c r="N513" s="48">
        <f>IF($F513="","",IFERROR(INDEX(사건마스터!$AL$5:$AL$64,MATCH($F513,사건마스터!$A$5:$A$64,0)),""))</f>
        <v/>
      </c>
      <c r="O513" s="43">
        <f>IF($I513="","",COUNTIF($I513:$N513,"?*"))</f>
        <v/>
      </c>
      <c r="P513" s="46">
        <f>IF($I513="","",_xlfn.TEXTJOIN(", ",TRUE,$I513:$N513))</f>
        <v/>
      </c>
      <c r="Q513" s="47">
        <f>IF($I513="","",IFERROR(INDEX(코드설정!$D$5:$D$24,MATCH($I513,코드설정!$C$5:$C$24,0)),""))</f>
        <v/>
      </c>
      <c r="R513" s="49" t="n"/>
      <c r="S513" s="50" t="n"/>
      <c r="T513" s="51" t="n"/>
      <c r="U513" s="43">
        <f>IF(OR($B513="",$C513=""),"",$C513-$B513+1)</f>
        <v/>
      </c>
      <c r="V513" s="52" t="n"/>
      <c r="W513" s="53">
        <f>IF(OR($V513="",$O513=""),"",$V513*$O513)</f>
        <v/>
      </c>
      <c r="X513" s="45" t="n"/>
      <c r="Y513" s="49" t="n"/>
    </row>
    <row r="514">
      <c r="A514" s="43">
        <f>IF($B514="","",COUNT($B$5:$B514))</f>
        <v/>
      </c>
      <c r="B514" s="44" t="n"/>
      <c r="C514" s="44" t="n"/>
      <c r="D514" s="45" t="n"/>
      <c r="E514" s="45" t="n"/>
      <c r="F514" s="45" t="n"/>
      <c r="G514" s="46">
        <f>IF($F514="","",IFERROR(INDEX(사건마스터!$B$5:$B$64,MATCH($F514,사건마스터!$A$5:$A$64,0)),""))</f>
        <v/>
      </c>
      <c r="H514" s="47">
        <f>IF($F514="","",IFERROR(INDEX(사건마스터!$C$5:$C$64,MATCH($F514,사건마스터!$A$5:$A$64,0)),""))</f>
        <v/>
      </c>
      <c r="I514" s="48">
        <f>IF($F514="","",IFERROR(INDEX(사건마스터!$H$5:$H$64,MATCH($F514,사건마스터!$A$5:$A$64,0)),""))</f>
        <v/>
      </c>
      <c r="J514" s="48">
        <f>IF($F514="","",IFERROR(INDEX(사건마스터!$AH$5:$AH$64,MATCH($F514,사건마스터!$A$5:$A$64,0)),""))</f>
        <v/>
      </c>
      <c r="K514" s="48">
        <f>IF($F514="","",IFERROR(INDEX(사건마스터!$AI$5:$AI$64,MATCH($F514,사건마스터!$A$5:$A$64,0)),""))</f>
        <v/>
      </c>
      <c r="L514" s="48">
        <f>IF($F514="","",IFERROR(INDEX(사건마스터!$AJ$5:$AJ$64,MATCH($F514,사건마스터!$A$5:$A$64,0)),""))</f>
        <v/>
      </c>
      <c r="M514" s="48">
        <f>IF($F514="","",IFERROR(INDEX(사건마스터!$AK$5:$AK$64,MATCH($F514,사건마스터!$A$5:$A$64,0)),""))</f>
        <v/>
      </c>
      <c r="N514" s="48">
        <f>IF($F514="","",IFERROR(INDEX(사건마스터!$AL$5:$AL$64,MATCH($F514,사건마스터!$A$5:$A$64,0)),""))</f>
        <v/>
      </c>
      <c r="O514" s="43">
        <f>IF($I514="","",COUNTIF($I514:$N514,"?*"))</f>
        <v/>
      </c>
      <c r="P514" s="46">
        <f>IF($I514="","",_xlfn.TEXTJOIN(", ",TRUE,$I514:$N514))</f>
        <v/>
      </c>
      <c r="Q514" s="47">
        <f>IF($I514="","",IFERROR(INDEX(코드설정!$D$5:$D$24,MATCH($I514,코드설정!$C$5:$C$24,0)),""))</f>
        <v/>
      </c>
      <c r="R514" s="49" t="n"/>
      <c r="S514" s="50" t="n"/>
      <c r="T514" s="51" t="n"/>
      <c r="U514" s="43">
        <f>IF(OR($B514="",$C514=""),"",$C514-$B514+1)</f>
        <v/>
      </c>
      <c r="V514" s="52" t="n"/>
      <c r="W514" s="53">
        <f>IF(OR($V514="",$O514=""),"",$V514*$O514)</f>
        <v/>
      </c>
      <c r="X514" s="45" t="n"/>
      <c r="Y514" s="49" t="n"/>
    </row>
    <row r="515">
      <c r="A515" s="43">
        <f>IF($B515="","",COUNT($B$5:$B515))</f>
        <v/>
      </c>
      <c r="B515" s="44" t="n"/>
      <c r="C515" s="44" t="n"/>
      <c r="D515" s="45" t="n"/>
      <c r="E515" s="45" t="n"/>
      <c r="F515" s="45" t="n"/>
      <c r="G515" s="46">
        <f>IF($F515="","",IFERROR(INDEX(사건마스터!$B$5:$B$64,MATCH($F515,사건마스터!$A$5:$A$64,0)),""))</f>
        <v/>
      </c>
      <c r="H515" s="47">
        <f>IF($F515="","",IFERROR(INDEX(사건마스터!$C$5:$C$64,MATCH($F515,사건마스터!$A$5:$A$64,0)),""))</f>
        <v/>
      </c>
      <c r="I515" s="48">
        <f>IF($F515="","",IFERROR(INDEX(사건마스터!$H$5:$H$64,MATCH($F515,사건마스터!$A$5:$A$64,0)),""))</f>
        <v/>
      </c>
      <c r="J515" s="48">
        <f>IF($F515="","",IFERROR(INDEX(사건마스터!$AH$5:$AH$64,MATCH($F515,사건마스터!$A$5:$A$64,0)),""))</f>
        <v/>
      </c>
      <c r="K515" s="48">
        <f>IF($F515="","",IFERROR(INDEX(사건마스터!$AI$5:$AI$64,MATCH($F515,사건마스터!$A$5:$A$64,0)),""))</f>
        <v/>
      </c>
      <c r="L515" s="48">
        <f>IF($F515="","",IFERROR(INDEX(사건마스터!$AJ$5:$AJ$64,MATCH($F515,사건마스터!$A$5:$A$64,0)),""))</f>
        <v/>
      </c>
      <c r="M515" s="48">
        <f>IF($F515="","",IFERROR(INDEX(사건마스터!$AK$5:$AK$64,MATCH($F515,사건마스터!$A$5:$A$64,0)),""))</f>
        <v/>
      </c>
      <c r="N515" s="48">
        <f>IF($F515="","",IFERROR(INDEX(사건마스터!$AL$5:$AL$64,MATCH($F515,사건마스터!$A$5:$A$64,0)),""))</f>
        <v/>
      </c>
      <c r="O515" s="43">
        <f>IF($I515="","",COUNTIF($I515:$N515,"?*"))</f>
        <v/>
      </c>
      <c r="P515" s="46">
        <f>IF($I515="","",_xlfn.TEXTJOIN(", ",TRUE,$I515:$N515))</f>
        <v/>
      </c>
      <c r="Q515" s="47">
        <f>IF($I515="","",IFERROR(INDEX(코드설정!$D$5:$D$24,MATCH($I515,코드설정!$C$5:$C$24,0)),""))</f>
        <v/>
      </c>
      <c r="R515" s="49" t="n"/>
      <c r="S515" s="50" t="n"/>
      <c r="T515" s="51" t="n"/>
      <c r="U515" s="43">
        <f>IF(OR($B515="",$C515=""),"",$C515-$B515+1)</f>
        <v/>
      </c>
      <c r="V515" s="52" t="n"/>
      <c r="W515" s="53">
        <f>IF(OR($V515="",$O515=""),"",$V515*$O515)</f>
        <v/>
      </c>
      <c r="X515" s="45" t="n"/>
      <c r="Y515" s="49" t="n"/>
    </row>
    <row r="516">
      <c r="A516" s="43">
        <f>IF($B516="","",COUNT($B$5:$B516))</f>
        <v/>
      </c>
      <c r="B516" s="44" t="n"/>
      <c r="C516" s="44" t="n"/>
      <c r="D516" s="45" t="n"/>
      <c r="E516" s="45" t="n"/>
      <c r="F516" s="45" t="n"/>
      <c r="G516" s="46">
        <f>IF($F516="","",IFERROR(INDEX(사건마스터!$B$5:$B$64,MATCH($F516,사건마스터!$A$5:$A$64,0)),""))</f>
        <v/>
      </c>
      <c r="H516" s="47">
        <f>IF($F516="","",IFERROR(INDEX(사건마스터!$C$5:$C$64,MATCH($F516,사건마스터!$A$5:$A$64,0)),""))</f>
        <v/>
      </c>
      <c r="I516" s="48">
        <f>IF($F516="","",IFERROR(INDEX(사건마스터!$H$5:$H$64,MATCH($F516,사건마스터!$A$5:$A$64,0)),""))</f>
        <v/>
      </c>
      <c r="J516" s="48">
        <f>IF($F516="","",IFERROR(INDEX(사건마스터!$AH$5:$AH$64,MATCH($F516,사건마스터!$A$5:$A$64,0)),""))</f>
        <v/>
      </c>
      <c r="K516" s="48">
        <f>IF($F516="","",IFERROR(INDEX(사건마스터!$AI$5:$AI$64,MATCH($F516,사건마스터!$A$5:$A$64,0)),""))</f>
        <v/>
      </c>
      <c r="L516" s="48">
        <f>IF($F516="","",IFERROR(INDEX(사건마스터!$AJ$5:$AJ$64,MATCH($F516,사건마스터!$A$5:$A$64,0)),""))</f>
        <v/>
      </c>
      <c r="M516" s="48">
        <f>IF($F516="","",IFERROR(INDEX(사건마스터!$AK$5:$AK$64,MATCH($F516,사건마스터!$A$5:$A$64,0)),""))</f>
        <v/>
      </c>
      <c r="N516" s="48">
        <f>IF($F516="","",IFERROR(INDEX(사건마스터!$AL$5:$AL$64,MATCH($F516,사건마스터!$A$5:$A$64,0)),""))</f>
        <v/>
      </c>
      <c r="O516" s="43">
        <f>IF($I516="","",COUNTIF($I516:$N516,"?*"))</f>
        <v/>
      </c>
      <c r="P516" s="46">
        <f>IF($I516="","",_xlfn.TEXTJOIN(", ",TRUE,$I516:$N516))</f>
        <v/>
      </c>
      <c r="Q516" s="47">
        <f>IF($I516="","",IFERROR(INDEX(코드설정!$D$5:$D$24,MATCH($I516,코드설정!$C$5:$C$24,0)),""))</f>
        <v/>
      </c>
      <c r="R516" s="49" t="n"/>
      <c r="S516" s="50" t="n"/>
      <c r="T516" s="51" t="n"/>
      <c r="U516" s="43">
        <f>IF(OR($B516="",$C516=""),"",$C516-$B516+1)</f>
        <v/>
      </c>
      <c r="V516" s="52" t="n"/>
      <c r="W516" s="53">
        <f>IF(OR($V516="",$O516=""),"",$V516*$O516)</f>
        <v/>
      </c>
      <c r="X516" s="45" t="n"/>
      <c r="Y516" s="49" t="n"/>
    </row>
    <row r="517">
      <c r="A517" s="43">
        <f>IF($B517="","",COUNT($B$5:$B517))</f>
        <v/>
      </c>
      <c r="B517" s="44" t="n"/>
      <c r="C517" s="44" t="n"/>
      <c r="D517" s="45" t="n"/>
      <c r="E517" s="45" t="n"/>
      <c r="F517" s="45" t="n"/>
      <c r="G517" s="46">
        <f>IF($F517="","",IFERROR(INDEX(사건마스터!$B$5:$B$64,MATCH($F517,사건마스터!$A$5:$A$64,0)),""))</f>
        <v/>
      </c>
      <c r="H517" s="47">
        <f>IF($F517="","",IFERROR(INDEX(사건마스터!$C$5:$C$64,MATCH($F517,사건마스터!$A$5:$A$64,0)),""))</f>
        <v/>
      </c>
      <c r="I517" s="48">
        <f>IF($F517="","",IFERROR(INDEX(사건마스터!$H$5:$H$64,MATCH($F517,사건마스터!$A$5:$A$64,0)),""))</f>
        <v/>
      </c>
      <c r="J517" s="48">
        <f>IF($F517="","",IFERROR(INDEX(사건마스터!$AH$5:$AH$64,MATCH($F517,사건마스터!$A$5:$A$64,0)),""))</f>
        <v/>
      </c>
      <c r="K517" s="48">
        <f>IF($F517="","",IFERROR(INDEX(사건마스터!$AI$5:$AI$64,MATCH($F517,사건마스터!$A$5:$A$64,0)),""))</f>
        <v/>
      </c>
      <c r="L517" s="48">
        <f>IF($F517="","",IFERROR(INDEX(사건마스터!$AJ$5:$AJ$64,MATCH($F517,사건마스터!$A$5:$A$64,0)),""))</f>
        <v/>
      </c>
      <c r="M517" s="48">
        <f>IF($F517="","",IFERROR(INDEX(사건마스터!$AK$5:$AK$64,MATCH($F517,사건마스터!$A$5:$A$64,0)),""))</f>
        <v/>
      </c>
      <c r="N517" s="48">
        <f>IF($F517="","",IFERROR(INDEX(사건마스터!$AL$5:$AL$64,MATCH($F517,사건마스터!$A$5:$A$64,0)),""))</f>
        <v/>
      </c>
      <c r="O517" s="43">
        <f>IF($I517="","",COUNTIF($I517:$N517,"?*"))</f>
        <v/>
      </c>
      <c r="P517" s="46">
        <f>IF($I517="","",_xlfn.TEXTJOIN(", ",TRUE,$I517:$N517))</f>
        <v/>
      </c>
      <c r="Q517" s="47">
        <f>IF($I517="","",IFERROR(INDEX(코드설정!$D$5:$D$24,MATCH($I517,코드설정!$C$5:$C$24,0)),""))</f>
        <v/>
      </c>
      <c r="R517" s="49" t="n"/>
      <c r="S517" s="50" t="n"/>
      <c r="T517" s="51" t="n"/>
      <c r="U517" s="43">
        <f>IF(OR($B517="",$C517=""),"",$C517-$B517+1)</f>
        <v/>
      </c>
      <c r="V517" s="52" t="n"/>
      <c r="W517" s="53">
        <f>IF(OR($V517="",$O517=""),"",$V517*$O517)</f>
        <v/>
      </c>
      <c r="X517" s="45" t="n"/>
      <c r="Y517" s="49" t="n"/>
    </row>
    <row r="518">
      <c r="A518" s="43">
        <f>IF($B518="","",COUNT($B$5:$B518))</f>
        <v/>
      </c>
      <c r="B518" s="44" t="n"/>
      <c r="C518" s="44" t="n"/>
      <c r="D518" s="45" t="n"/>
      <c r="E518" s="45" t="n"/>
      <c r="F518" s="45" t="n"/>
      <c r="G518" s="46">
        <f>IF($F518="","",IFERROR(INDEX(사건마스터!$B$5:$B$64,MATCH($F518,사건마스터!$A$5:$A$64,0)),""))</f>
        <v/>
      </c>
      <c r="H518" s="47">
        <f>IF($F518="","",IFERROR(INDEX(사건마스터!$C$5:$C$64,MATCH($F518,사건마스터!$A$5:$A$64,0)),""))</f>
        <v/>
      </c>
      <c r="I518" s="48">
        <f>IF($F518="","",IFERROR(INDEX(사건마스터!$H$5:$H$64,MATCH($F518,사건마스터!$A$5:$A$64,0)),""))</f>
        <v/>
      </c>
      <c r="J518" s="48">
        <f>IF($F518="","",IFERROR(INDEX(사건마스터!$AH$5:$AH$64,MATCH($F518,사건마스터!$A$5:$A$64,0)),""))</f>
        <v/>
      </c>
      <c r="K518" s="48">
        <f>IF($F518="","",IFERROR(INDEX(사건마스터!$AI$5:$AI$64,MATCH($F518,사건마스터!$A$5:$A$64,0)),""))</f>
        <v/>
      </c>
      <c r="L518" s="48">
        <f>IF($F518="","",IFERROR(INDEX(사건마스터!$AJ$5:$AJ$64,MATCH($F518,사건마스터!$A$5:$A$64,0)),""))</f>
        <v/>
      </c>
      <c r="M518" s="48">
        <f>IF($F518="","",IFERROR(INDEX(사건마스터!$AK$5:$AK$64,MATCH($F518,사건마스터!$A$5:$A$64,0)),""))</f>
        <v/>
      </c>
      <c r="N518" s="48">
        <f>IF($F518="","",IFERROR(INDEX(사건마스터!$AL$5:$AL$64,MATCH($F518,사건마스터!$A$5:$A$64,0)),""))</f>
        <v/>
      </c>
      <c r="O518" s="43">
        <f>IF($I518="","",COUNTIF($I518:$N518,"?*"))</f>
        <v/>
      </c>
      <c r="P518" s="46">
        <f>IF($I518="","",_xlfn.TEXTJOIN(", ",TRUE,$I518:$N518))</f>
        <v/>
      </c>
      <c r="Q518" s="47">
        <f>IF($I518="","",IFERROR(INDEX(코드설정!$D$5:$D$24,MATCH($I518,코드설정!$C$5:$C$24,0)),""))</f>
        <v/>
      </c>
      <c r="R518" s="49" t="n"/>
      <c r="S518" s="50" t="n"/>
      <c r="T518" s="51" t="n"/>
      <c r="U518" s="43">
        <f>IF(OR($B518="",$C518=""),"",$C518-$B518+1)</f>
        <v/>
      </c>
      <c r="V518" s="52" t="n"/>
      <c r="W518" s="53">
        <f>IF(OR($V518="",$O518=""),"",$V518*$O518)</f>
        <v/>
      </c>
      <c r="X518" s="45" t="n"/>
      <c r="Y518" s="49" t="n"/>
    </row>
    <row r="519">
      <c r="A519" s="43">
        <f>IF($B519="","",COUNT($B$5:$B519))</f>
        <v/>
      </c>
      <c r="B519" s="44" t="n"/>
      <c r="C519" s="44" t="n"/>
      <c r="D519" s="45" t="n"/>
      <c r="E519" s="45" t="n"/>
      <c r="F519" s="45" t="n"/>
      <c r="G519" s="46">
        <f>IF($F519="","",IFERROR(INDEX(사건마스터!$B$5:$B$64,MATCH($F519,사건마스터!$A$5:$A$64,0)),""))</f>
        <v/>
      </c>
      <c r="H519" s="47">
        <f>IF($F519="","",IFERROR(INDEX(사건마스터!$C$5:$C$64,MATCH($F519,사건마스터!$A$5:$A$64,0)),""))</f>
        <v/>
      </c>
      <c r="I519" s="48">
        <f>IF($F519="","",IFERROR(INDEX(사건마스터!$H$5:$H$64,MATCH($F519,사건마스터!$A$5:$A$64,0)),""))</f>
        <v/>
      </c>
      <c r="J519" s="48">
        <f>IF($F519="","",IFERROR(INDEX(사건마스터!$AH$5:$AH$64,MATCH($F519,사건마스터!$A$5:$A$64,0)),""))</f>
        <v/>
      </c>
      <c r="K519" s="48">
        <f>IF($F519="","",IFERROR(INDEX(사건마스터!$AI$5:$AI$64,MATCH($F519,사건마스터!$A$5:$A$64,0)),""))</f>
        <v/>
      </c>
      <c r="L519" s="48">
        <f>IF($F519="","",IFERROR(INDEX(사건마스터!$AJ$5:$AJ$64,MATCH($F519,사건마스터!$A$5:$A$64,0)),""))</f>
        <v/>
      </c>
      <c r="M519" s="48">
        <f>IF($F519="","",IFERROR(INDEX(사건마스터!$AK$5:$AK$64,MATCH($F519,사건마스터!$A$5:$A$64,0)),""))</f>
        <v/>
      </c>
      <c r="N519" s="48">
        <f>IF($F519="","",IFERROR(INDEX(사건마스터!$AL$5:$AL$64,MATCH($F519,사건마스터!$A$5:$A$64,0)),""))</f>
        <v/>
      </c>
      <c r="O519" s="43">
        <f>IF($I519="","",COUNTIF($I519:$N519,"?*"))</f>
        <v/>
      </c>
      <c r="P519" s="46">
        <f>IF($I519="","",_xlfn.TEXTJOIN(", ",TRUE,$I519:$N519))</f>
        <v/>
      </c>
      <c r="Q519" s="47">
        <f>IF($I519="","",IFERROR(INDEX(코드설정!$D$5:$D$24,MATCH($I519,코드설정!$C$5:$C$24,0)),""))</f>
        <v/>
      </c>
      <c r="R519" s="49" t="n"/>
      <c r="S519" s="50" t="n"/>
      <c r="T519" s="51" t="n"/>
      <c r="U519" s="43">
        <f>IF(OR($B519="",$C519=""),"",$C519-$B519+1)</f>
        <v/>
      </c>
      <c r="V519" s="52" t="n"/>
      <c r="W519" s="53">
        <f>IF(OR($V519="",$O519=""),"",$V519*$O519)</f>
        <v/>
      </c>
      <c r="X519" s="45" t="n"/>
      <c r="Y519" s="49" t="n"/>
    </row>
    <row r="520">
      <c r="A520" s="43">
        <f>IF($B520="","",COUNT($B$5:$B520))</f>
        <v/>
      </c>
      <c r="B520" s="44" t="n"/>
      <c r="C520" s="44" t="n"/>
      <c r="D520" s="45" t="n"/>
      <c r="E520" s="45" t="n"/>
      <c r="F520" s="45" t="n"/>
      <c r="G520" s="46">
        <f>IF($F520="","",IFERROR(INDEX(사건마스터!$B$5:$B$64,MATCH($F520,사건마스터!$A$5:$A$64,0)),""))</f>
        <v/>
      </c>
      <c r="H520" s="47">
        <f>IF($F520="","",IFERROR(INDEX(사건마스터!$C$5:$C$64,MATCH($F520,사건마스터!$A$5:$A$64,0)),""))</f>
        <v/>
      </c>
      <c r="I520" s="48">
        <f>IF($F520="","",IFERROR(INDEX(사건마스터!$H$5:$H$64,MATCH($F520,사건마스터!$A$5:$A$64,0)),""))</f>
        <v/>
      </c>
      <c r="J520" s="48">
        <f>IF($F520="","",IFERROR(INDEX(사건마스터!$AH$5:$AH$64,MATCH($F520,사건마스터!$A$5:$A$64,0)),""))</f>
        <v/>
      </c>
      <c r="K520" s="48">
        <f>IF($F520="","",IFERROR(INDEX(사건마스터!$AI$5:$AI$64,MATCH($F520,사건마스터!$A$5:$A$64,0)),""))</f>
        <v/>
      </c>
      <c r="L520" s="48">
        <f>IF($F520="","",IFERROR(INDEX(사건마스터!$AJ$5:$AJ$64,MATCH($F520,사건마스터!$A$5:$A$64,0)),""))</f>
        <v/>
      </c>
      <c r="M520" s="48">
        <f>IF($F520="","",IFERROR(INDEX(사건마스터!$AK$5:$AK$64,MATCH($F520,사건마스터!$A$5:$A$64,0)),""))</f>
        <v/>
      </c>
      <c r="N520" s="48">
        <f>IF($F520="","",IFERROR(INDEX(사건마스터!$AL$5:$AL$64,MATCH($F520,사건마스터!$A$5:$A$64,0)),""))</f>
        <v/>
      </c>
      <c r="O520" s="43">
        <f>IF($I520="","",COUNTIF($I520:$N520,"?*"))</f>
        <v/>
      </c>
      <c r="P520" s="46">
        <f>IF($I520="","",_xlfn.TEXTJOIN(", ",TRUE,$I520:$N520))</f>
        <v/>
      </c>
      <c r="Q520" s="47">
        <f>IF($I520="","",IFERROR(INDEX(코드설정!$D$5:$D$24,MATCH($I520,코드설정!$C$5:$C$24,0)),""))</f>
        <v/>
      </c>
      <c r="R520" s="49" t="n"/>
      <c r="S520" s="50" t="n"/>
      <c r="T520" s="51" t="n"/>
      <c r="U520" s="43">
        <f>IF(OR($B520="",$C520=""),"",$C520-$B520+1)</f>
        <v/>
      </c>
      <c r="V520" s="52" t="n"/>
      <c r="W520" s="53">
        <f>IF(OR($V520="",$O520=""),"",$V520*$O520)</f>
        <v/>
      </c>
      <c r="X520" s="45" t="n"/>
      <c r="Y520" s="49" t="n"/>
    </row>
    <row r="521">
      <c r="A521" s="43">
        <f>IF($B521="","",COUNT($B$5:$B521))</f>
        <v/>
      </c>
      <c r="B521" s="44" t="n"/>
      <c r="C521" s="44" t="n"/>
      <c r="D521" s="45" t="n"/>
      <c r="E521" s="45" t="n"/>
      <c r="F521" s="45" t="n"/>
      <c r="G521" s="46">
        <f>IF($F521="","",IFERROR(INDEX(사건마스터!$B$5:$B$64,MATCH($F521,사건마스터!$A$5:$A$64,0)),""))</f>
        <v/>
      </c>
      <c r="H521" s="47">
        <f>IF($F521="","",IFERROR(INDEX(사건마스터!$C$5:$C$64,MATCH($F521,사건마스터!$A$5:$A$64,0)),""))</f>
        <v/>
      </c>
      <c r="I521" s="48">
        <f>IF($F521="","",IFERROR(INDEX(사건마스터!$H$5:$H$64,MATCH($F521,사건마스터!$A$5:$A$64,0)),""))</f>
        <v/>
      </c>
      <c r="J521" s="48">
        <f>IF($F521="","",IFERROR(INDEX(사건마스터!$AH$5:$AH$64,MATCH($F521,사건마스터!$A$5:$A$64,0)),""))</f>
        <v/>
      </c>
      <c r="K521" s="48">
        <f>IF($F521="","",IFERROR(INDEX(사건마스터!$AI$5:$AI$64,MATCH($F521,사건마스터!$A$5:$A$64,0)),""))</f>
        <v/>
      </c>
      <c r="L521" s="48">
        <f>IF($F521="","",IFERROR(INDEX(사건마스터!$AJ$5:$AJ$64,MATCH($F521,사건마스터!$A$5:$A$64,0)),""))</f>
        <v/>
      </c>
      <c r="M521" s="48">
        <f>IF($F521="","",IFERROR(INDEX(사건마스터!$AK$5:$AK$64,MATCH($F521,사건마스터!$A$5:$A$64,0)),""))</f>
        <v/>
      </c>
      <c r="N521" s="48">
        <f>IF($F521="","",IFERROR(INDEX(사건마스터!$AL$5:$AL$64,MATCH($F521,사건마스터!$A$5:$A$64,0)),""))</f>
        <v/>
      </c>
      <c r="O521" s="43">
        <f>IF($I521="","",COUNTIF($I521:$N521,"?*"))</f>
        <v/>
      </c>
      <c r="P521" s="46">
        <f>IF($I521="","",_xlfn.TEXTJOIN(", ",TRUE,$I521:$N521))</f>
        <v/>
      </c>
      <c r="Q521" s="47">
        <f>IF($I521="","",IFERROR(INDEX(코드설정!$D$5:$D$24,MATCH($I521,코드설정!$C$5:$C$24,0)),""))</f>
        <v/>
      </c>
      <c r="R521" s="49" t="n"/>
      <c r="S521" s="50" t="n"/>
      <c r="T521" s="51" t="n"/>
      <c r="U521" s="43">
        <f>IF(OR($B521="",$C521=""),"",$C521-$B521+1)</f>
        <v/>
      </c>
      <c r="V521" s="52" t="n"/>
      <c r="W521" s="53">
        <f>IF(OR($V521="",$O521=""),"",$V521*$O521)</f>
        <v/>
      </c>
      <c r="X521" s="45" t="n"/>
      <c r="Y521" s="49" t="n"/>
    </row>
    <row r="522">
      <c r="A522" s="43">
        <f>IF($B522="","",COUNT($B$5:$B522))</f>
        <v/>
      </c>
      <c r="B522" s="44" t="n"/>
      <c r="C522" s="44" t="n"/>
      <c r="D522" s="45" t="n"/>
      <c r="E522" s="45" t="n"/>
      <c r="F522" s="45" t="n"/>
      <c r="G522" s="46">
        <f>IF($F522="","",IFERROR(INDEX(사건마스터!$B$5:$B$64,MATCH($F522,사건마스터!$A$5:$A$64,0)),""))</f>
        <v/>
      </c>
      <c r="H522" s="47">
        <f>IF($F522="","",IFERROR(INDEX(사건마스터!$C$5:$C$64,MATCH($F522,사건마스터!$A$5:$A$64,0)),""))</f>
        <v/>
      </c>
      <c r="I522" s="48">
        <f>IF($F522="","",IFERROR(INDEX(사건마스터!$H$5:$H$64,MATCH($F522,사건마스터!$A$5:$A$64,0)),""))</f>
        <v/>
      </c>
      <c r="J522" s="48">
        <f>IF($F522="","",IFERROR(INDEX(사건마스터!$AH$5:$AH$64,MATCH($F522,사건마스터!$A$5:$A$64,0)),""))</f>
        <v/>
      </c>
      <c r="K522" s="48">
        <f>IF($F522="","",IFERROR(INDEX(사건마스터!$AI$5:$AI$64,MATCH($F522,사건마스터!$A$5:$A$64,0)),""))</f>
        <v/>
      </c>
      <c r="L522" s="48">
        <f>IF($F522="","",IFERROR(INDEX(사건마스터!$AJ$5:$AJ$64,MATCH($F522,사건마스터!$A$5:$A$64,0)),""))</f>
        <v/>
      </c>
      <c r="M522" s="48">
        <f>IF($F522="","",IFERROR(INDEX(사건마스터!$AK$5:$AK$64,MATCH($F522,사건마스터!$A$5:$A$64,0)),""))</f>
        <v/>
      </c>
      <c r="N522" s="48">
        <f>IF($F522="","",IFERROR(INDEX(사건마스터!$AL$5:$AL$64,MATCH($F522,사건마스터!$A$5:$A$64,0)),""))</f>
        <v/>
      </c>
      <c r="O522" s="43">
        <f>IF($I522="","",COUNTIF($I522:$N522,"?*"))</f>
        <v/>
      </c>
      <c r="P522" s="46">
        <f>IF($I522="","",_xlfn.TEXTJOIN(", ",TRUE,$I522:$N522))</f>
        <v/>
      </c>
      <c r="Q522" s="47">
        <f>IF($I522="","",IFERROR(INDEX(코드설정!$D$5:$D$24,MATCH($I522,코드설정!$C$5:$C$24,0)),""))</f>
        <v/>
      </c>
      <c r="R522" s="49" t="n"/>
      <c r="S522" s="50" t="n"/>
      <c r="T522" s="51" t="n"/>
      <c r="U522" s="43">
        <f>IF(OR($B522="",$C522=""),"",$C522-$B522+1)</f>
        <v/>
      </c>
      <c r="V522" s="52" t="n"/>
      <c r="W522" s="53">
        <f>IF(OR($V522="",$O522=""),"",$V522*$O522)</f>
        <v/>
      </c>
      <c r="X522" s="45" t="n"/>
      <c r="Y522" s="49" t="n"/>
    </row>
    <row r="523">
      <c r="A523" s="43">
        <f>IF($B523="","",COUNT($B$5:$B523))</f>
        <v/>
      </c>
      <c r="B523" s="44" t="n"/>
      <c r="C523" s="44" t="n"/>
      <c r="D523" s="45" t="n"/>
      <c r="E523" s="45" t="n"/>
      <c r="F523" s="45" t="n"/>
      <c r="G523" s="46">
        <f>IF($F523="","",IFERROR(INDEX(사건마스터!$B$5:$B$64,MATCH($F523,사건마스터!$A$5:$A$64,0)),""))</f>
        <v/>
      </c>
      <c r="H523" s="47">
        <f>IF($F523="","",IFERROR(INDEX(사건마스터!$C$5:$C$64,MATCH($F523,사건마스터!$A$5:$A$64,0)),""))</f>
        <v/>
      </c>
      <c r="I523" s="48">
        <f>IF($F523="","",IFERROR(INDEX(사건마스터!$H$5:$H$64,MATCH($F523,사건마스터!$A$5:$A$64,0)),""))</f>
        <v/>
      </c>
      <c r="J523" s="48">
        <f>IF($F523="","",IFERROR(INDEX(사건마스터!$AH$5:$AH$64,MATCH($F523,사건마스터!$A$5:$A$64,0)),""))</f>
        <v/>
      </c>
      <c r="K523" s="48">
        <f>IF($F523="","",IFERROR(INDEX(사건마스터!$AI$5:$AI$64,MATCH($F523,사건마스터!$A$5:$A$64,0)),""))</f>
        <v/>
      </c>
      <c r="L523" s="48">
        <f>IF($F523="","",IFERROR(INDEX(사건마스터!$AJ$5:$AJ$64,MATCH($F523,사건마스터!$A$5:$A$64,0)),""))</f>
        <v/>
      </c>
      <c r="M523" s="48">
        <f>IF($F523="","",IFERROR(INDEX(사건마스터!$AK$5:$AK$64,MATCH($F523,사건마스터!$A$5:$A$64,0)),""))</f>
        <v/>
      </c>
      <c r="N523" s="48">
        <f>IF($F523="","",IFERROR(INDEX(사건마스터!$AL$5:$AL$64,MATCH($F523,사건마스터!$A$5:$A$64,0)),""))</f>
        <v/>
      </c>
      <c r="O523" s="43">
        <f>IF($I523="","",COUNTIF($I523:$N523,"?*"))</f>
        <v/>
      </c>
      <c r="P523" s="46">
        <f>IF($I523="","",_xlfn.TEXTJOIN(", ",TRUE,$I523:$N523))</f>
        <v/>
      </c>
      <c r="Q523" s="47">
        <f>IF($I523="","",IFERROR(INDEX(코드설정!$D$5:$D$24,MATCH($I523,코드설정!$C$5:$C$24,0)),""))</f>
        <v/>
      </c>
      <c r="R523" s="49" t="n"/>
      <c r="S523" s="50" t="n"/>
      <c r="T523" s="51" t="n"/>
      <c r="U523" s="43">
        <f>IF(OR($B523="",$C523=""),"",$C523-$B523+1)</f>
        <v/>
      </c>
      <c r="V523" s="52" t="n"/>
      <c r="W523" s="53">
        <f>IF(OR($V523="",$O523=""),"",$V523*$O523)</f>
        <v/>
      </c>
      <c r="X523" s="45" t="n"/>
      <c r="Y523" s="49" t="n"/>
    </row>
    <row r="524">
      <c r="A524" s="43">
        <f>IF($B524="","",COUNT($B$5:$B524))</f>
        <v/>
      </c>
      <c r="B524" s="44" t="n"/>
      <c r="C524" s="44" t="n"/>
      <c r="D524" s="45" t="n"/>
      <c r="E524" s="45" t="n"/>
      <c r="F524" s="45" t="n"/>
      <c r="G524" s="46">
        <f>IF($F524="","",IFERROR(INDEX(사건마스터!$B$5:$B$64,MATCH($F524,사건마스터!$A$5:$A$64,0)),""))</f>
        <v/>
      </c>
      <c r="H524" s="47">
        <f>IF($F524="","",IFERROR(INDEX(사건마스터!$C$5:$C$64,MATCH($F524,사건마스터!$A$5:$A$64,0)),""))</f>
        <v/>
      </c>
      <c r="I524" s="48">
        <f>IF($F524="","",IFERROR(INDEX(사건마스터!$H$5:$H$64,MATCH($F524,사건마스터!$A$5:$A$64,0)),""))</f>
        <v/>
      </c>
      <c r="J524" s="48">
        <f>IF($F524="","",IFERROR(INDEX(사건마스터!$AH$5:$AH$64,MATCH($F524,사건마스터!$A$5:$A$64,0)),""))</f>
        <v/>
      </c>
      <c r="K524" s="48">
        <f>IF($F524="","",IFERROR(INDEX(사건마스터!$AI$5:$AI$64,MATCH($F524,사건마스터!$A$5:$A$64,0)),""))</f>
        <v/>
      </c>
      <c r="L524" s="48">
        <f>IF($F524="","",IFERROR(INDEX(사건마스터!$AJ$5:$AJ$64,MATCH($F524,사건마스터!$A$5:$A$64,0)),""))</f>
        <v/>
      </c>
      <c r="M524" s="48">
        <f>IF($F524="","",IFERROR(INDEX(사건마스터!$AK$5:$AK$64,MATCH($F524,사건마스터!$A$5:$A$64,0)),""))</f>
        <v/>
      </c>
      <c r="N524" s="48">
        <f>IF($F524="","",IFERROR(INDEX(사건마스터!$AL$5:$AL$64,MATCH($F524,사건마스터!$A$5:$A$64,0)),""))</f>
        <v/>
      </c>
      <c r="O524" s="43">
        <f>IF($I524="","",COUNTIF($I524:$N524,"?*"))</f>
        <v/>
      </c>
      <c r="P524" s="46">
        <f>IF($I524="","",_xlfn.TEXTJOIN(", ",TRUE,$I524:$N524))</f>
        <v/>
      </c>
      <c r="Q524" s="47">
        <f>IF($I524="","",IFERROR(INDEX(코드설정!$D$5:$D$24,MATCH($I524,코드설정!$C$5:$C$24,0)),""))</f>
        <v/>
      </c>
      <c r="R524" s="49" t="n"/>
      <c r="S524" s="50" t="n"/>
      <c r="T524" s="51" t="n"/>
      <c r="U524" s="43">
        <f>IF(OR($B524="",$C524=""),"",$C524-$B524+1)</f>
        <v/>
      </c>
      <c r="V524" s="52" t="n"/>
      <c r="W524" s="53">
        <f>IF(OR($V524="",$O524=""),"",$V524*$O524)</f>
        <v/>
      </c>
      <c r="X524" s="45" t="n"/>
      <c r="Y524" s="49" t="n"/>
    </row>
    <row r="525">
      <c r="A525" s="43">
        <f>IF($B525="","",COUNT($B$5:$B525))</f>
        <v/>
      </c>
      <c r="B525" s="44" t="n"/>
      <c r="C525" s="44" t="n"/>
      <c r="D525" s="45" t="n"/>
      <c r="E525" s="45" t="n"/>
      <c r="F525" s="45" t="n"/>
      <c r="G525" s="46">
        <f>IF($F525="","",IFERROR(INDEX(사건마스터!$B$5:$B$64,MATCH($F525,사건마스터!$A$5:$A$64,0)),""))</f>
        <v/>
      </c>
      <c r="H525" s="47">
        <f>IF($F525="","",IFERROR(INDEX(사건마스터!$C$5:$C$64,MATCH($F525,사건마스터!$A$5:$A$64,0)),""))</f>
        <v/>
      </c>
      <c r="I525" s="48">
        <f>IF($F525="","",IFERROR(INDEX(사건마스터!$H$5:$H$64,MATCH($F525,사건마스터!$A$5:$A$64,0)),""))</f>
        <v/>
      </c>
      <c r="J525" s="48">
        <f>IF($F525="","",IFERROR(INDEX(사건마스터!$AH$5:$AH$64,MATCH($F525,사건마스터!$A$5:$A$64,0)),""))</f>
        <v/>
      </c>
      <c r="K525" s="48">
        <f>IF($F525="","",IFERROR(INDEX(사건마스터!$AI$5:$AI$64,MATCH($F525,사건마스터!$A$5:$A$64,0)),""))</f>
        <v/>
      </c>
      <c r="L525" s="48">
        <f>IF($F525="","",IFERROR(INDEX(사건마스터!$AJ$5:$AJ$64,MATCH($F525,사건마스터!$A$5:$A$64,0)),""))</f>
        <v/>
      </c>
      <c r="M525" s="48">
        <f>IF($F525="","",IFERROR(INDEX(사건마스터!$AK$5:$AK$64,MATCH($F525,사건마스터!$A$5:$A$64,0)),""))</f>
        <v/>
      </c>
      <c r="N525" s="48">
        <f>IF($F525="","",IFERROR(INDEX(사건마스터!$AL$5:$AL$64,MATCH($F525,사건마스터!$A$5:$A$64,0)),""))</f>
        <v/>
      </c>
      <c r="O525" s="43">
        <f>IF($I525="","",COUNTIF($I525:$N525,"?*"))</f>
        <v/>
      </c>
      <c r="P525" s="46">
        <f>IF($I525="","",_xlfn.TEXTJOIN(", ",TRUE,$I525:$N525))</f>
        <v/>
      </c>
      <c r="Q525" s="47">
        <f>IF($I525="","",IFERROR(INDEX(코드설정!$D$5:$D$24,MATCH($I525,코드설정!$C$5:$C$24,0)),""))</f>
        <v/>
      </c>
      <c r="R525" s="49" t="n"/>
      <c r="S525" s="50" t="n"/>
      <c r="T525" s="51" t="n"/>
      <c r="U525" s="43">
        <f>IF(OR($B525="",$C525=""),"",$C525-$B525+1)</f>
        <v/>
      </c>
      <c r="V525" s="52" t="n"/>
      <c r="W525" s="53">
        <f>IF(OR($V525="",$O525=""),"",$V525*$O525)</f>
        <v/>
      </c>
      <c r="X525" s="45" t="n"/>
      <c r="Y525" s="49" t="n"/>
    </row>
    <row r="526">
      <c r="A526" s="43">
        <f>IF($B526="","",COUNT($B$5:$B526))</f>
        <v/>
      </c>
      <c r="B526" s="44" t="n"/>
      <c r="C526" s="44" t="n"/>
      <c r="D526" s="45" t="n"/>
      <c r="E526" s="45" t="n"/>
      <c r="F526" s="45" t="n"/>
      <c r="G526" s="46">
        <f>IF($F526="","",IFERROR(INDEX(사건마스터!$B$5:$B$64,MATCH($F526,사건마스터!$A$5:$A$64,0)),""))</f>
        <v/>
      </c>
      <c r="H526" s="47">
        <f>IF($F526="","",IFERROR(INDEX(사건마스터!$C$5:$C$64,MATCH($F526,사건마스터!$A$5:$A$64,0)),""))</f>
        <v/>
      </c>
      <c r="I526" s="48">
        <f>IF($F526="","",IFERROR(INDEX(사건마스터!$H$5:$H$64,MATCH($F526,사건마스터!$A$5:$A$64,0)),""))</f>
        <v/>
      </c>
      <c r="J526" s="48">
        <f>IF($F526="","",IFERROR(INDEX(사건마스터!$AH$5:$AH$64,MATCH($F526,사건마스터!$A$5:$A$64,0)),""))</f>
        <v/>
      </c>
      <c r="K526" s="48">
        <f>IF($F526="","",IFERROR(INDEX(사건마스터!$AI$5:$AI$64,MATCH($F526,사건마스터!$A$5:$A$64,0)),""))</f>
        <v/>
      </c>
      <c r="L526" s="48">
        <f>IF($F526="","",IFERROR(INDEX(사건마스터!$AJ$5:$AJ$64,MATCH($F526,사건마스터!$A$5:$A$64,0)),""))</f>
        <v/>
      </c>
      <c r="M526" s="48">
        <f>IF($F526="","",IFERROR(INDEX(사건마스터!$AK$5:$AK$64,MATCH($F526,사건마스터!$A$5:$A$64,0)),""))</f>
        <v/>
      </c>
      <c r="N526" s="48">
        <f>IF($F526="","",IFERROR(INDEX(사건마스터!$AL$5:$AL$64,MATCH($F526,사건마스터!$A$5:$A$64,0)),""))</f>
        <v/>
      </c>
      <c r="O526" s="43">
        <f>IF($I526="","",COUNTIF($I526:$N526,"?*"))</f>
        <v/>
      </c>
      <c r="P526" s="46">
        <f>IF($I526="","",_xlfn.TEXTJOIN(", ",TRUE,$I526:$N526))</f>
        <v/>
      </c>
      <c r="Q526" s="47">
        <f>IF($I526="","",IFERROR(INDEX(코드설정!$D$5:$D$24,MATCH($I526,코드설정!$C$5:$C$24,0)),""))</f>
        <v/>
      </c>
      <c r="R526" s="49" t="n"/>
      <c r="S526" s="50" t="n"/>
      <c r="T526" s="51" t="n"/>
      <c r="U526" s="43">
        <f>IF(OR($B526="",$C526=""),"",$C526-$B526+1)</f>
        <v/>
      </c>
      <c r="V526" s="52" t="n"/>
      <c r="W526" s="53">
        <f>IF(OR($V526="",$O526=""),"",$V526*$O526)</f>
        <v/>
      </c>
      <c r="X526" s="45" t="n"/>
      <c r="Y526" s="49" t="n"/>
    </row>
    <row r="527">
      <c r="A527" s="43">
        <f>IF($B527="","",COUNT($B$5:$B527))</f>
        <v/>
      </c>
      <c r="B527" s="44" t="n"/>
      <c r="C527" s="44" t="n"/>
      <c r="D527" s="45" t="n"/>
      <c r="E527" s="45" t="n"/>
      <c r="F527" s="45" t="n"/>
      <c r="G527" s="46">
        <f>IF($F527="","",IFERROR(INDEX(사건마스터!$B$5:$B$64,MATCH($F527,사건마스터!$A$5:$A$64,0)),""))</f>
        <v/>
      </c>
      <c r="H527" s="47">
        <f>IF($F527="","",IFERROR(INDEX(사건마스터!$C$5:$C$64,MATCH($F527,사건마스터!$A$5:$A$64,0)),""))</f>
        <v/>
      </c>
      <c r="I527" s="48">
        <f>IF($F527="","",IFERROR(INDEX(사건마스터!$H$5:$H$64,MATCH($F527,사건마스터!$A$5:$A$64,0)),""))</f>
        <v/>
      </c>
      <c r="J527" s="48">
        <f>IF($F527="","",IFERROR(INDEX(사건마스터!$AH$5:$AH$64,MATCH($F527,사건마스터!$A$5:$A$64,0)),""))</f>
        <v/>
      </c>
      <c r="K527" s="48">
        <f>IF($F527="","",IFERROR(INDEX(사건마스터!$AI$5:$AI$64,MATCH($F527,사건마스터!$A$5:$A$64,0)),""))</f>
        <v/>
      </c>
      <c r="L527" s="48">
        <f>IF($F527="","",IFERROR(INDEX(사건마스터!$AJ$5:$AJ$64,MATCH($F527,사건마스터!$A$5:$A$64,0)),""))</f>
        <v/>
      </c>
      <c r="M527" s="48">
        <f>IF($F527="","",IFERROR(INDEX(사건마스터!$AK$5:$AK$64,MATCH($F527,사건마스터!$A$5:$A$64,0)),""))</f>
        <v/>
      </c>
      <c r="N527" s="48">
        <f>IF($F527="","",IFERROR(INDEX(사건마스터!$AL$5:$AL$64,MATCH($F527,사건마스터!$A$5:$A$64,0)),""))</f>
        <v/>
      </c>
      <c r="O527" s="43">
        <f>IF($I527="","",COUNTIF($I527:$N527,"?*"))</f>
        <v/>
      </c>
      <c r="P527" s="46">
        <f>IF($I527="","",_xlfn.TEXTJOIN(", ",TRUE,$I527:$N527))</f>
        <v/>
      </c>
      <c r="Q527" s="47">
        <f>IF($I527="","",IFERROR(INDEX(코드설정!$D$5:$D$24,MATCH($I527,코드설정!$C$5:$C$24,0)),""))</f>
        <v/>
      </c>
      <c r="R527" s="49" t="n"/>
      <c r="S527" s="50" t="n"/>
      <c r="T527" s="51" t="n"/>
      <c r="U527" s="43">
        <f>IF(OR($B527="",$C527=""),"",$C527-$B527+1)</f>
        <v/>
      </c>
      <c r="V527" s="52" t="n"/>
      <c r="W527" s="53">
        <f>IF(OR($V527="",$O527=""),"",$V527*$O527)</f>
        <v/>
      </c>
      <c r="X527" s="45" t="n"/>
      <c r="Y527" s="49" t="n"/>
    </row>
    <row r="528">
      <c r="A528" s="43">
        <f>IF($B528="","",COUNT($B$5:$B528))</f>
        <v/>
      </c>
      <c r="B528" s="44" t="n"/>
      <c r="C528" s="44" t="n"/>
      <c r="D528" s="45" t="n"/>
      <c r="E528" s="45" t="n"/>
      <c r="F528" s="45" t="n"/>
      <c r="G528" s="46">
        <f>IF($F528="","",IFERROR(INDEX(사건마스터!$B$5:$B$64,MATCH($F528,사건마스터!$A$5:$A$64,0)),""))</f>
        <v/>
      </c>
      <c r="H528" s="47">
        <f>IF($F528="","",IFERROR(INDEX(사건마스터!$C$5:$C$64,MATCH($F528,사건마스터!$A$5:$A$64,0)),""))</f>
        <v/>
      </c>
      <c r="I528" s="48">
        <f>IF($F528="","",IFERROR(INDEX(사건마스터!$H$5:$H$64,MATCH($F528,사건마스터!$A$5:$A$64,0)),""))</f>
        <v/>
      </c>
      <c r="J528" s="48">
        <f>IF($F528="","",IFERROR(INDEX(사건마스터!$AH$5:$AH$64,MATCH($F528,사건마스터!$A$5:$A$64,0)),""))</f>
        <v/>
      </c>
      <c r="K528" s="48">
        <f>IF($F528="","",IFERROR(INDEX(사건마스터!$AI$5:$AI$64,MATCH($F528,사건마스터!$A$5:$A$64,0)),""))</f>
        <v/>
      </c>
      <c r="L528" s="48">
        <f>IF($F528="","",IFERROR(INDEX(사건마스터!$AJ$5:$AJ$64,MATCH($F528,사건마스터!$A$5:$A$64,0)),""))</f>
        <v/>
      </c>
      <c r="M528" s="48">
        <f>IF($F528="","",IFERROR(INDEX(사건마스터!$AK$5:$AK$64,MATCH($F528,사건마스터!$A$5:$A$64,0)),""))</f>
        <v/>
      </c>
      <c r="N528" s="48">
        <f>IF($F528="","",IFERROR(INDEX(사건마스터!$AL$5:$AL$64,MATCH($F528,사건마스터!$A$5:$A$64,0)),""))</f>
        <v/>
      </c>
      <c r="O528" s="43">
        <f>IF($I528="","",COUNTIF($I528:$N528,"?*"))</f>
        <v/>
      </c>
      <c r="P528" s="46">
        <f>IF($I528="","",_xlfn.TEXTJOIN(", ",TRUE,$I528:$N528))</f>
        <v/>
      </c>
      <c r="Q528" s="47">
        <f>IF($I528="","",IFERROR(INDEX(코드설정!$D$5:$D$24,MATCH($I528,코드설정!$C$5:$C$24,0)),""))</f>
        <v/>
      </c>
      <c r="R528" s="49" t="n"/>
      <c r="S528" s="50" t="n"/>
      <c r="T528" s="51" t="n"/>
      <c r="U528" s="43">
        <f>IF(OR($B528="",$C528=""),"",$C528-$B528+1)</f>
        <v/>
      </c>
      <c r="V528" s="52" t="n"/>
      <c r="W528" s="53">
        <f>IF(OR($V528="",$O528=""),"",$V528*$O528)</f>
        <v/>
      </c>
      <c r="X528" s="45" t="n"/>
      <c r="Y528" s="49" t="n"/>
    </row>
    <row r="529">
      <c r="A529" s="43">
        <f>IF($B529="","",COUNT($B$5:$B529))</f>
        <v/>
      </c>
      <c r="B529" s="44" t="n"/>
      <c r="C529" s="44" t="n"/>
      <c r="D529" s="45" t="n"/>
      <c r="E529" s="45" t="n"/>
      <c r="F529" s="45" t="n"/>
      <c r="G529" s="46">
        <f>IF($F529="","",IFERROR(INDEX(사건마스터!$B$5:$B$64,MATCH($F529,사건마스터!$A$5:$A$64,0)),""))</f>
        <v/>
      </c>
      <c r="H529" s="47">
        <f>IF($F529="","",IFERROR(INDEX(사건마스터!$C$5:$C$64,MATCH($F529,사건마스터!$A$5:$A$64,0)),""))</f>
        <v/>
      </c>
      <c r="I529" s="48">
        <f>IF($F529="","",IFERROR(INDEX(사건마스터!$H$5:$H$64,MATCH($F529,사건마스터!$A$5:$A$64,0)),""))</f>
        <v/>
      </c>
      <c r="J529" s="48">
        <f>IF($F529="","",IFERROR(INDEX(사건마스터!$AH$5:$AH$64,MATCH($F529,사건마스터!$A$5:$A$64,0)),""))</f>
        <v/>
      </c>
      <c r="K529" s="48">
        <f>IF($F529="","",IFERROR(INDEX(사건마스터!$AI$5:$AI$64,MATCH($F529,사건마스터!$A$5:$A$64,0)),""))</f>
        <v/>
      </c>
      <c r="L529" s="48">
        <f>IF($F529="","",IFERROR(INDEX(사건마스터!$AJ$5:$AJ$64,MATCH($F529,사건마스터!$A$5:$A$64,0)),""))</f>
        <v/>
      </c>
      <c r="M529" s="48">
        <f>IF($F529="","",IFERROR(INDEX(사건마스터!$AK$5:$AK$64,MATCH($F529,사건마스터!$A$5:$A$64,0)),""))</f>
        <v/>
      </c>
      <c r="N529" s="48">
        <f>IF($F529="","",IFERROR(INDEX(사건마스터!$AL$5:$AL$64,MATCH($F529,사건마스터!$A$5:$A$64,0)),""))</f>
        <v/>
      </c>
      <c r="O529" s="43">
        <f>IF($I529="","",COUNTIF($I529:$N529,"?*"))</f>
        <v/>
      </c>
      <c r="P529" s="46">
        <f>IF($I529="","",_xlfn.TEXTJOIN(", ",TRUE,$I529:$N529))</f>
        <v/>
      </c>
      <c r="Q529" s="47">
        <f>IF($I529="","",IFERROR(INDEX(코드설정!$D$5:$D$24,MATCH($I529,코드설정!$C$5:$C$24,0)),""))</f>
        <v/>
      </c>
      <c r="R529" s="49" t="n"/>
      <c r="S529" s="50" t="n"/>
      <c r="T529" s="51" t="n"/>
      <c r="U529" s="43">
        <f>IF(OR($B529="",$C529=""),"",$C529-$B529+1)</f>
        <v/>
      </c>
      <c r="V529" s="52" t="n"/>
      <c r="W529" s="53">
        <f>IF(OR($V529="",$O529=""),"",$V529*$O529)</f>
        <v/>
      </c>
      <c r="X529" s="45" t="n"/>
      <c r="Y529" s="49" t="n"/>
    </row>
    <row r="530">
      <c r="A530" s="43">
        <f>IF($B530="","",COUNT($B$5:$B530))</f>
        <v/>
      </c>
      <c r="B530" s="44" t="n"/>
      <c r="C530" s="44" t="n"/>
      <c r="D530" s="45" t="n"/>
      <c r="E530" s="45" t="n"/>
      <c r="F530" s="45" t="n"/>
      <c r="G530" s="46">
        <f>IF($F530="","",IFERROR(INDEX(사건마스터!$B$5:$B$64,MATCH($F530,사건마스터!$A$5:$A$64,0)),""))</f>
        <v/>
      </c>
      <c r="H530" s="47">
        <f>IF($F530="","",IFERROR(INDEX(사건마스터!$C$5:$C$64,MATCH($F530,사건마스터!$A$5:$A$64,0)),""))</f>
        <v/>
      </c>
      <c r="I530" s="48">
        <f>IF($F530="","",IFERROR(INDEX(사건마스터!$H$5:$H$64,MATCH($F530,사건마스터!$A$5:$A$64,0)),""))</f>
        <v/>
      </c>
      <c r="J530" s="48">
        <f>IF($F530="","",IFERROR(INDEX(사건마스터!$AH$5:$AH$64,MATCH($F530,사건마스터!$A$5:$A$64,0)),""))</f>
        <v/>
      </c>
      <c r="K530" s="48">
        <f>IF($F530="","",IFERROR(INDEX(사건마스터!$AI$5:$AI$64,MATCH($F530,사건마스터!$A$5:$A$64,0)),""))</f>
        <v/>
      </c>
      <c r="L530" s="48">
        <f>IF($F530="","",IFERROR(INDEX(사건마스터!$AJ$5:$AJ$64,MATCH($F530,사건마스터!$A$5:$A$64,0)),""))</f>
        <v/>
      </c>
      <c r="M530" s="48">
        <f>IF($F530="","",IFERROR(INDEX(사건마스터!$AK$5:$AK$64,MATCH($F530,사건마스터!$A$5:$A$64,0)),""))</f>
        <v/>
      </c>
      <c r="N530" s="48">
        <f>IF($F530="","",IFERROR(INDEX(사건마스터!$AL$5:$AL$64,MATCH($F530,사건마스터!$A$5:$A$64,0)),""))</f>
        <v/>
      </c>
      <c r="O530" s="43">
        <f>IF($I530="","",COUNTIF($I530:$N530,"?*"))</f>
        <v/>
      </c>
      <c r="P530" s="46">
        <f>IF($I530="","",_xlfn.TEXTJOIN(", ",TRUE,$I530:$N530))</f>
        <v/>
      </c>
      <c r="Q530" s="47">
        <f>IF($I530="","",IFERROR(INDEX(코드설정!$D$5:$D$24,MATCH($I530,코드설정!$C$5:$C$24,0)),""))</f>
        <v/>
      </c>
      <c r="R530" s="49" t="n"/>
      <c r="S530" s="50" t="n"/>
      <c r="T530" s="51" t="n"/>
      <c r="U530" s="43">
        <f>IF(OR($B530="",$C530=""),"",$C530-$B530+1)</f>
        <v/>
      </c>
      <c r="V530" s="52" t="n"/>
      <c r="W530" s="53">
        <f>IF(OR($V530="",$O530=""),"",$V530*$O530)</f>
        <v/>
      </c>
      <c r="X530" s="45" t="n"/>
      <c r="Y530" s="49" t="n"/>
    </row>
    <row r="531">
      <c r="A531" s="43">
        <f>IF($B531="","",COUNT($B$5:$B531))</f>
        <v/>
      </c>
      <c r="B531" s="44" t="n"/>
      <c r="C531" s="44" t="n"/>
      <c r="D531" s="45" t="n"/>
      <c r="E531" s="45" t="n"/>
      <c r="F531" s="45" t="n"/>
      <c r="G531" s="46">
        <f>IF($F531="","",IFERROR(INDEX(사건마스터!$B$5:$B$64,MATCH($F531,사건마스터!$A$5:$A$64,0)),""))</f>
        <v/>
      </c>
      <c r="H531" s="47">
        <f>IF($F531="","",IFERROR(INDEX(사건마스터!$C$5:$C$64,MATCH($F531,사건마스터!$A$5:$A$64,0)),""))</f>
        <v/>
      </c>
      <c r="I531" s="48">
        <f>IF($F531="","",IFERROR(INDEX(사건마스터!$H$5:$H$64,MATCH($F531,사건마스터!$A$5:$A$64,0)),""))</f>
        <v/>
      </c>
      <c r="J531" s="48">
        <f>IF($F531="","",IFERROR(INDEX(사건마스터!$AH$5:$AH$64,MATCH($F531,사건마스터!$A$5:$A$64,0)),""))</f>
        <v/>
      </c>
      <c r="K531" s="48">
        <f>IF($F531="","",IFERROR(INDEX(사건마스터!$AI$5:$AI$64,MATCH($F531,사건마스터!$A$5:$A$64,0)),""))</f>
        <v/>
      </c>
      <c r="L531" s="48">
        <f>IF($F531="","",IFERROR(INDEX(사건마스터!$AJ$5:$AJ$64,MATCH($F531,사건마스터!$A$5:$A$64,0)),""))</f>
        <v/>
      </c>
      <c r="M531" s="48">
        <f>IF($F531="","",IFERROR(INDEX(사건마스터!$AK$5:$AK$64,MATCH($F531,사건마스터!$A$5:$A$64,0)),""))</f>
        <v/>
      </c>
      <c r="N531" s="48">
        <f>IF($F531="","",IFERROR(INDEX(사건마스터!$AL$5:$AL$64,MATCH($F531,사건마스터!$A$5:$A$64,0)),""))</f>
        <v/>
      </c>
      <c r="O531" s="43">
        <f>IF($I531="","",COUNTIF($I531:$N531,"?*"))</f>
        <v/>
      </c>
      <c r="P531" s="46">
        <f>IF($I531="","",_xlfn.TEXTJOIN(", ",TRUE,$I531:$N531))</f>
        <v/>
      </c>
      <c r="Q531" s="47">
        <f>IF($I531="","",IFERROR(INDEX(코드설정!$D$5:$D$24,MATCH($I531,코드설정!$C$5:$C$24,0)),""))</f>
        <v/>
      </c>
      <c r="R531" s="49" t="n"/>
      <c r="S531" s="50" t="n"/>
      <c r="T531" s="51" t="n"/>
      <c r="U531" s="43">
        <f>IF(OR($B531="",$C531=""),"",$C531-$B531+1)</f>
        <v/>
      </c>
      <c r="V531" s="52" t="n"/>
      <c r="W531" s="53">
        <f>IF(OR($V531="",$O531=""),"",$V531*$O531)</f>
        <v/>
      </c>
      <c r="X531" s="45" t="n"/>
      <c r="Y531" s="49" t="n"/>
    </row>
    <row r="532">
      <c r="A532" s="43">
        <f>IF($B532="","",COUNT($B$5:$B532))</f>
        <v/>
      </c>
      <c r="B532" s="44" t="n"/>
      <c r="C532" s="44" t="n"/>
      <c r="D532" s="45" t="n"/>
      <c r="E532" s="45" t="n"/>
      <c r="F532" s="45" t="n"/>
      <c r="G532" s="46">
        <f>IF($F532="","",IFERROR(INDEX(사건마스터!$B$5:$B$64,MATCH($F532,사건마스터!$A$5:$A$64,0)),""))</f>
        <v/>
      </c>
      <c r="H532" s="47">
        <f>IF($F532="","",IFERROR(INDEX(사건마스터!$C$5:$C$64,MATCH($F532,사건마스터!$A$5:$A$64,0)),""))</f>
        <v/>
      </c>
      <c r="I532" s="48">
        <f>IF($F532="","",IFERROR(INDEX(사건마스터!$H$5:$H$64,MATCH($F532,사건마스터!$A$5:$A$64,0)),""))</f>
        <v/>
      </c>
      <c r="J532" s="48">
        <f>IF($F532="","",IFERROR(INDEX(사건마스터!$AH$5:$AH$64,MATCH($F532,사건마스터!$A$5:$A$64,0)),""))</f>
        <v/>
      </c>
      <c r="K532" s="48">
        <f>IF($F532="","",IFERROR(INDEX(사건마스터!$AI$5:$AI$64,MATCH($F532,사건마스터!$A$5:$A$64,0)),""))</f>
        <v/>
      </c>
      <c r="L532" s="48">
        <f>IF($F532="","",IFERROR(INDEX(사건마스터!$AJ$5:$AJ$64,MATCH($F532,사건마스터!$A$5:$A$64,0)),""))</f>
        <v/>
      </c>
      <c r="M532" s="48">
        <f>IF($F532="","",IFERROR(INDEX(사건마스터!$AK$5:$AK$64,MATCH($F532,사건마스터!$A$5:$A$64,0)),""))</f>
        <v/>
      </c>
      <c r="N532" s="48">
        <f>IF($F532="","",IFERROR(INDEX(사건마스터!$AL$5:$AL$64,MATCH($F532,사건마스터!$A$5:$A$64,0)),""))</f>
        <v/>
      </c>
      <c r="O532" s="43">
        <f>IF($I532="","",COUNTIF($I532:$N532,"?*"))</f>
        <v/>
      </c>
      <c r="P532" s="46">
        <f>IF($I532="","",_xlfn.TEXTJOIN(", ",TRUE,$I532:$N532))</f>
        <v/>
      </c>
      <c r="Q532" s="47">
        <f>IF($I532="","",IFERROR(INDEX(코드설정!$D$5:$D$24,MATCH($I532,코드설정!$C$5:$C$24,0)),""))</f>
        <v/>
      </c>
      <c r="R532" s="49" t="n"/>
      <c r="S532" s="50" t="n"/>
      <c r="T532" s="51" t="n"/>
      <c r="U532" s="43">
        <f>IF(OR($B532="",$C532=""),"",$C532-$B532+1)</f>
        <v/>
      </c>
      <c r="V532" s="52" t="n"/>
      <c r="W532" s="53">
        <f>IF(OR($V532="",$O532=""),"",$V532*$O532)</f>
        <v/>
      </c>
      <c r="X532" s="45" t="n"/>
      <c r="Y532" s="49" t="n"/>
    </row>
    <row r="533">
      <c r="A533" s="43">
        <f>IF($B533="","",COUNT($B$5:$B533))</f>
        <v/>
      </c>
      <c r="B533" s="44" t="n"/>
      <c r="C533" s="44" t="n"/>
      <c r="D533" s="45" t="n"/>
      <c r="E533" s="45" t="n"/>
      <c r="F533" s="45" t="n"/>
      <c r="G533" s="46">
        <f>IF($F533="","",IFERROR(INDEX(사건마스터!$B$5:$B$64,MATCH($F533,사건마스터!$A$5:$A$64,0)),""))</f>
        <v/>
      </c>
      <c r="H533" s="47">
        <f>IF($F533="","",IFERROR(INDEX(사건마스터!$C$5:$C$64,MATCH($F533,사건마스터!$A$5:$A$64,0)),""))</f>
        <v/>
      </c>
      <c r="I533" s="48">
        <f>IF($F533="","",IFERROR(INDEX(사건마스터!$H$5:$H$64,MATCH($F533,사건마스터!$A$5:$A$64,0)),""))</f>
        <v/>
      </c>
      <c r="J533" s="48">
        <f>IF($F533="","",IFERROR(INDEX(사건마스터!$AH$5:$AH$64,MATCH($F533,사건마스터!$A$5:$A$64,0)),""))</f>
        <v/>
      </c>
      <c r="K533" s="48">
        <f>IF($F533="","",IFERROR(INDEX(사건마스터!$AI$5:$AI$64,MATCH($F533,사건마스터!$A$5:$A$64,0)),""))</f>
        <v/>
      </c>
      <c r="L533" s="48">
        <f>IF($F533="","",IFERROR(INDEX(사건마스터!$AJ$5:$AJ$64,MATCH($F533,사건마스터!$A$5:$A$64,0)),""))</f>
        <v/>
      </c>
      <c r="M533" s="48">
        <f>IF($F533="","",IFERROR(INDEX(사건마스터!$AK$5:$AK$64,MATCH($F533,사건마스터!$A$5:$A$64,0)),""))</f>
        <v/>
      </c>
      <c r="N533" s="48">
        <f>IF($F533="","",IFERROR(INDEX(사건마스터!$AL$5:$AL$64,MATCH($F533,사건마스터!$A$5:$A$64,0)),""))</f>
        <v/>
      </c>
      <c r="O533" s="43">
        <f>IF($I533="","",COUNTIF($I533:$N533,"?*"))</f>
        <v/>
      </c>
      <c r="P533" s="46">
        <f>IF($I533="","",_xlfn.TEXTJOIN(", ",TRUE,$I533:$N533))</f>
        <v/>
      </c>
      <c r="Q533" s="47">
        <f>IF($I533="","",IFERROR(INDEX(코드설정!$D$5:$D$24,MATCH($I533,코드설정!$C$5:$C$24,0)),""))</f>
        <v/>
      </c>
      <c r="R533" s="49" t="n"/>
      <c r="S533" s="50" t="n"/>
      <c r="T533" s="51" t="n"/>
      <c r="U533" s="43">
        <f>IF(OR($B533="",$C533=""),"",$C533-$B533+1)</f>
        <v/>
      </c>
      <c r="V533" s="52" t="n"/>
      <c r="W533" s="53">
        <f>IF(OR($V533="",$O533=""),"",$V533*$O533)</f>
        <v/>
      </c>
      <c r="X533" s="45" t="n"/>
      <c r="Y533" s="49" t="n"/>
    </row>
    <row r="534">
      <c r="A534" s="43">
        <f>IF($B534="","",COUNT($B$5:$B534))</f>
        <v/>
      </c>
      <c r="B534" s="44" t="n"/>
      <c r="C534" s="44" t="n"/>
      <c r="D534" s="45" t="n"/>
      <c r="E534" s="45" t="n"/>
      <c r="F534" s="45" t="n"/>
      <c r="G534" s="46">
        <f>IF($F534="","",IFERROR(INDEX(사건마스터!$B$5:$B$64,MATCH($F534,사건마스터!$A$5:$A$64,0)),""))</f>
        <v/>
      </c>
      <c r="H534" s="47">
        <f>IF($F534="","",IFERROR(INDEX(사건마스터!$C$5:$C$64,MATCH($F534,사건마스터!$A$5:$A$64,0)),""))</f>
        <v/>
      </c>
      <c r="I534" s="48">
        <f>IF($F534="","",IFERROR(INDEX(사건마스터!$H$5:$H$64,MATCH($F534,사건마스터!$A$5:$A$64,0)),""))</f>
        <v/>
      </c>
      <c r="J534" s="48">
        <f>IF($F534="","",IFERROR(INDEX(사건마스터!$AH$5:$AH$64,MATCH($F534,사건마스터!$A$5:$A$64,0)),""))</f>
        <v/>
      </c>
      <c r="K534" s="48">
        <f>IF($F534="","",IFERROR(INDEX(사건마스터!$AI$5:$AI$64,MATCH($F534,사건마스터!$A$5:$A$64,0)),""))</f>
        <v/>
      </c>
      <c r="L534" s="48">
        <f>IF($F534="","",IFERROR(INDEX(사건마스터!$AJ$5:$AJ$64,MATCH($F534,사건마스터!$A$5:$A$64,0)),""))</f>
        <v/>
      </c>
      <c r="M534" s="48">
        <f>IF($F534="","",IFERROR(INDEX(사건마스터!$AK$5:$AK$64,MATCH($F534,사건마스터!$A$5:$A$64,0)),""))</f>
        <v/>
      </c>
      <c r="N534" s="48">
        <f>IF($F534="","",IFERROR(INDEX(사건마스터!$AL$5:$AL$64,MATCH($F534,사건마스터!$A$5:$A$64,0)),""))</f>
        <v/>
      </c>
      <c r="O534" s="43">
        <f>IF($I534="","",COUNTIF($I534:$N534,"?*"))</f>
        <v/>
      </c>
      <c r="P534" s="46">
        <f>IF($I534="","",_xlfn.TEXTJOIN(", ",TRUE,$I534:$N534))</f>
        <v/>
      </c>
      <c r="Q534" s="47">
        <f>IF($I534="","",IFERROR(INDEX(코드설정!$D$5:$D$24,MATCH($I534,코드설정!$C$5:$C$24,0)),""))</f>
        <v/>
      </c>
      <c r="R534" s="49" t="n"/>
      <c r="S534" s="50" t="n"/>
      <c r="T534" s="51" t="n"/>
      <c r="U534" s="43">
        <f>IF(OR($B534="",$C534=""),"",$C534-$B534+1)</f>
        <v/>
      </c>
      <c r="V534" s="52" t="n"/>
      <c r="W534" s="53">
        <f>IF(OR($V534="",$O534=""),"",$V534*$O534)</f>
        <v/>
      </c>
      <c r="X534" s="45" t="n"/>
      <c r="Y534" s="49" t="n"/>
    </row>
    <row r="535">
      <c r="A535" s="43">
        <f>IF($B535="","",COUNT($B$5:$B535))</f>
        <v/>
      </c>
      <c r="B535" s="44" t="n"/>
      <c r="C535" s="44" t="n"/>
      <c r="D535" s="45" t="n"/>
      <c r="E535" s="45" t="n"/>
      <c r="F535" s="45" t="n"/>
      <c r="G535" s="46">
        <f>IF($F535="","",IFERROR(INDEX(사건마스터!$B$5:$B$64,MATCH($F535,사건마스터!$A$5:$A$64,0)),""))</f>
        <v/>
      </c>
      <c r="H535" s="47">
        <f>IF($F535="","",IFERROR(INDEX(사건마스터!$C$5:$C$64,MATCH($F535,사건마스터!$A$5:$A$64,0)),""))</f>
        <v/>
      </c>
      <c r="I535" s="48">
        <f>IF($F535="","",IFERROR(INDEX(사건마스터!$H$5:$H$64,MATCH($F535,사건마스터!$A$5:$A$64,0)),""))</f>
        <v/>
      </c>
      <c r="J535" s="48">
        <f>IF($F535="","",IFERROR(INDEX(사건마스터!$AH$5:$AH$64,MATCH($F535,사건마스터!$A$5:$A$64,0)),""))</f>
        <v/>
      </c>
      <c r="K535" s="48">
        <f>IF($F535="","",IFERROR(INDEX(사건마스터!$AI$5:$AI$64,MATCH($F535,사건마스터!$A$5:$A$64,0)),""))</f>
        <v/>
      </c>
      <c r="L535" s="48">
        <f>IF($F535="","",IFERROR(INDEX(사건마스터!$AJ$5:$AJ$64,MATCH($F535,사건마스터!$A$5:$A$64,0)),""))</f>
        <v/>
      </c>
      <c r="M535" s="48">
        <f>IF($F535="","",IFERROR(INDEX(사건마스터!$AK$5:$AK$64,MATCH($F535,사건마스터!$A$5:$A$64,0)),""))</f>
        <v/>
      </c>
      <c r="N535" s="48">
        <f>IF($F535="","",IFERROR(INDEX(사건마스터!$AL$5:$AL$64,MATCH($F535,사건마스터!$A$5:$A$64,0)),""))</f>
        <v/>
      </c>
      <c r="O535" s="43">
        <f>IF($I535="","",COUNTIF($I535:$N535,"?*"))</f>
        <v/>
      </c>
      <c r="P535" s="46">
        <f>IF($I535="","",_xlfn.TEXTJOIN(", ",TRUE,$I535:$N535))</f>
        <v/>
      </c>
      <c r="Q535" s="47">
        <f>IF($I535="","",IFERROR(INDEX(코드설정!$D$5:$D$24,MATCH($I535,코드설정!$C$5:$C$24,0)),""))</f>
        <v/>
      </c>
      <c r="R535" s="49" t="n"/>
      <c r="S535" s="50" t="n"/>
      <c r="T535" s="51" t="n"/>
      <c r="U535" s="43">
        <f>IF(OR($B535="",$C535=""),"",$C535-$B535+1)</f>
        <v/>
      </c>
      <c r="V535" s="52" t="n"/>
      <c r="W535" s="53">
        <f>IF(OR($V535="",$O535=""),"",$V535*$O535)</f>
        <v/>
      </c>
      <c r="X535" s="45" t="n"/>
      <c r="Y535" s="49" t="n"/>
    </row>
    <row r="536">
      <c r="A536" s="43">
        <f>IF($B536="","",COUNT($B$5:$B536))</f>
        <v/>
      </c>
      <c r="B536" s="44" t="n"/>
      <c r="C536" s="44" t="n"/>
      <c r="D536" s="45" t="n"/>
      <c r="E536" s="45" t="n"/>
      <c r="F536" s="45" t="n"/>
      <c r="G536" s="46">
        <f>IF($F536="","",IFERROR(INDEX(사건마스터!$B$5:$B$64,MATCH($F536,사건마스터!$A$5:$A$64,0)),""))</f>
        <v/>
      </c>
      <c r="H536" s="47">
        <f>IF($F536="","",IFERROR(INDEX(사건마스터!$C$5:$C$64,MATCH($F536,사건마스터!$A$5:$A$64,0)),""))</f>
        <v/>
      </c>
      <c r="I536" s="48">
        <f>IF($F536="","",IFERROR(INDEX(사건마스터!$H$5:$H$64,MATCH($F536,사건마스터!$A$5:$A$64,0)),""))</f>
        <v/>
      </c>
      <c r="J536" s="48">
        <f>IF($F536="","",IFERROR(INDEX(사건마스터!$AH$5:$AH$64,MATCH($F536,사건마스터!$A$5:$A$64,0)),""))</f>
        <v/>
      </c>
      <c r="K536" s="48">
        <f>IF($F536="","",IFERROR(INDEX(사건마스터!$AI$5:$AI$64,MATCH($F536,사건마스터!$A$5:$A$64,0)),""))</f>
        <v/>
      </c>
      <c r="L536" s="48">
        <f>IF($F536="","",IFERROR(INDEX(사건마스터!$AJ$5:$AJ$64,MATCH($F536,사건마스터!$A$5:$A$64,0)),""))</f>
        <v/>
      </c>
      <c r="M536" s="48">
        <f>IF($F536="","",IFERROR(INDEX(사건마스터!$AK$5:$AK$64,MATCH($F536,사건마스터!$A$5:$A$64,0)),""))</f>
        <v/>
      </c>
      <c r="N536" s="48">
        <f>IF($F536="","",IFERROR(INDEX(사건마스터!$AL$5:$AL$64,MATCH($F536,사건마스터!$A$5:$A$64,0)),""))</f>
        <v/>
      </c>
      <c r="O536" s="43">
        <f>IF($I536="","",COUNTIF($I536:$N536,"?*"))</f>
        <v/>
      </c>
      <c r="P536" s="46">
        <f>IF($I536="","",_xlfn.TEXTJOIN(", ",TRUE,$I536:$N536))</f>
        <v/>
      </c>
      <c r="Q536" s="47">
        <f>IF($I536="","",IFERROR(INDEX(코드설정!$D$5:$D$24,MATCH($I536,코드설정!$C$5:$C$24,0)),""))</f>
        <v/>
      </c>
      <c r="R536" s="49" t="n"/>
      <c r="S536" s="50" t="n"/>
      <c r="T536" s="51" t="n"/>
      <c r="U536" s="43">
        <f>IF(OR($B536="",$C536=""),"",$C536-$B536+1)</f>
        <v/>
      </c>
      <c r="V536" s="52" t="n"/>
      <c r="W536" s="53">
        <f>IF(OR($V536="",$O536=""),"",$V536*$O536)</f>
        <v/>
      </c>
      <c r="X536" s="45" t="n"/>
      <c r="Y536" s="49" t="n"/>
    </row>
    <row r="537">
      <c r="A537" s="43">
        <f>IF($B537="","",COUNT($B$5:$B537))</f>
        <v/>
      </c>
      <c r="B537" s="44" t="n"/>
      <c r="C537" s="44" t="n"/>
      <c r="D537" s="45" t="n"/>
      <c r="E537" s="45" t="n"/>
      <c r="F537" s="45" t="n"/>
      <c r="G537" s="46">
        <f>IF($F537="","",IFERROR(INDEX(사건마스터!$B$5:$B$64,MATCH($F537,사건마스터!$A$5:$A$64,0)),""))</f>
        <v/>
      </c>
      <c r="H537" s="47">
        <f>IF($F537="","",IFERROR(INDEX(사건마스터!$C$5:$C$64,MATCH($F537,사건마스터!$A$5:$A$64,0)),""))</f>
        <v/>
      </c>
      <c r="I537" s="48">
        <f>IF($F537="","",IFERROR(INDEX(사건마스터!$H$5:$H$64,MATCH($F537,사건마스터!$A$5:$A$64,0)),""))</f>
        <v/>
      </c>
      <c r="J537" s="48">
        <f>IF($F537="","",IFERROR(INDEX(사건마스터!$AH$5:$AH$64,MATCH($F537,사건마스터!$A$5:$A$64,0)),""))</f>
        <v/>
      </c>
      <c r="K537" s="48">
        <f>IF($F537="","",IFERROR(INDEX(사건마스터!$AI$5:$AI$64,MATCH($F537,사건마스터!$A$5:$A$64,0)),""))</f>
        <v/>
      </c>
      <c r="L537" s="48">
        <f>IF($F537="","",IFERROR(INDEX(사건마스터!$AJ$5:$AJ$64,MATCH($F537,사건마스터!$A$5:$A$64,0)),""))</f>
        <v/>
      </c>
      <c r="M537" s="48">
        <f>IF($F537="","",IFERROR(INDEX(사건마스터!$AK$5:$AK$64,MATCH($F537,사건마스터!$A$5:$A$64,0)),""))</f>
        <v/>
      </c>
      <c r="N537" s="48">
        <f>IF($F537="","",IFERROR(INDEX(사건마스터!$AL$5:$AL$64,MATCH($F537,사건마스터!$A$5:$A$64,0)),""))</f>
        <v/>
      </c>
      <c r="O537" s="43">
        <f>IF($I537="","",COUNTIF($I537:$N537,"?*"))</f>
        <v/>
      </c>
      <c r="P537" s="46">
        <f>IF($I537="","",_xlfn.TEXTJOIN(", ",TRUE,$I537:$N537))</f>
        <v/>
      </c>
      <c r="Q537" s="47">
        <f>IF($I537="","",IFERROR(INDEX(코드설정!$D$5:$D$24,MATCH($I537,코드설정!$C$5:$C$24,0)),""))</f>
        <v/>
      </c>
      <c r="R537" s="49" t="n"/>
      <c r="S537" s="50" t="n"/>
      <c r="T537" s="51" t="n"/>
      <c r="U537" s="43">
        <f>IF(OR($B537="",$C537=""),"",$C537-$B537+1)</f>
        <v/>
      </c>
      <c r="V537" s="52" t="n"/>
      <c r="W537" s="53">
        <f>IF(OR($V537="",$O537=""),"",$V537*$O537)</f>
        <v/>
      </c>
      <c r="X537" s="45" t="n"/>
      <c r="Y537" s="49" t="n"/>
    </row>
    <row r="538">
      <c r="A538" s="43">
        <f>IF($B538="","",COUNT($B$5:$B538))</f>
        <v/>
      </c>
      <c r="B538" s="44" t="n"/>
      <c r="C538" s="44" t="n"/>
      <c r="D538" s="45" t="n"/>
      <c r="E538" s="45" t="n"/>
      <c r="F538" s="45" t="n"/>
      <c r="G538" s="46">
        <f>IF($F538="","",IFERROR(INDEX(사건마스터!$B$5:$B$64,MATCH($F538,사건마스터!$A$5:$A$64,0)),""))</f>
        <v/>
      </c>
      <c r="H538" s="47">
        <f>IF($F538="","",IFERROR(INDEX(사건마스터!$C$5:$C$64,MATCH($F538,사건마스터!$A$5:$A$64,0)),""))</f>
        <v/>
      </c>
      <c r="I538" s="48">
        <f>IF($F538="","",IFERROR(INDEX(사건마스터!$H$5:$H$64,MATCH($F538,사건마스터!$A$5:$A$64,0)),""))</f>
        <v/>
      </c>
      <c r="J538" s="48">
        <f>IF($F538="","",IFERROR(INDEX(사건마스터!$AH$5:$AH$64,MATCH($F538,사건마스터!$A$5:$A$64,0)),""))</f>
        <v/>
      </c>
      <c r="K538" s="48">
        <f>IF($F538="","",IFERROR(INDEX(사건마스터!$AI$5:$AI$64,MATCH($F538,사건마스터!$A$5:$A$64,0)),""))</f>
        <v/>
      </c>
      <c r="L538" s="48">
        <f>IF($F538="","",IFERROR(INDEX(사건마스터!$AJ$5:$AJ$64,MATCH($F538,사건마스터!$A$5:$A$64,0)),""))</f>
        <v/>
      </c>
      <c r="M538" s="48">
        <f>IF($F538="","",IFERROR(INDEX(사건마스터!$AK$5:$AK$64,MATCH($F538,사건마스터!$A$5:$A$64,0)),""))</f>
        <v/>
      </c>
      <c r="N538" s="48">
        <f>IF($F538="","",IFERROR(INDEX(사건마스터!$AL$5:$AL$64,MATCH($F538,사건마스터!$A$5:$A$64,0)),""))</f>
        <v/>
      </c>
      <c r="O538" s="43">
        <f>IF($I538="","",COUNTIF($I538:$N538,"?*"))</f>
        <v/>
      </c>
      <c r="P538" s="46">
        <f>IF($I538="","",_xlfn.TEXTJOIN(", ",TRUE,$I538:$N538))</f>
        <v/>
      </c>
      <c r="Q538" s="47">
        <f>IF($I538="","",IFERROR(INDEX(코드설정!$D$5:$D$24,MATCH($I538,코드설정!$C$5:$C$24,0)),""))</f>
        <v/>
      </c>
      <c r="R538" s="49" t="n"/>
      <c r="S538" s="50" t="n"/>
      <c r="T538" s="51" t="n"/>
      <c r="U538" s="43">
        <f>IF(OR($B538="",$C538=""),"",$C538-$B538+1)</f>
        <v/>
      </c>
      <c r="V538" s="52" t="n"/>
      <c r="W538" s="53">
        <f>IF(OR($V538="",$O538=""),"",$V538*$O538)</f>
        <v/>
      </c>
      <c r="X538" s="45" t="n"/>
      <c r="Y538" s="49" t="n"/>
    </row>
    <row r="539">
      <c r="A539" s="43">
        <f>IF($B539="","",COUNT($B$5:$B539))</f>
        <v/>
      </c>
      <c r="B539" s="44" t="n"/>
      <c r="C539" s="44" t="n"/>
      <c r="D539" s="45" t="n"/>
      <c r="E539" s="45" t="n"/>
      <c r="F539" s="45" t="n"/>
      <c r="G539" s="46">
        <f>IF($F539="","",IFERROR(INDEX(사건마스터!$B$5:$B$64,MATCH($F539,사건마스터!$A$5:$A$64,0)),""))</f>
        <v/>
      </c>
      <c r="H539" s="47">
        <f>IF($F539="","",IFERROR(INDEX(사건마스터!$C$5:$C$64,MATCH($F539,사건마스터!$A$5:$A$64,0)),""))</f>
        <v/>
      </c>
      <c r="I539" s="48">
        <f>IF($F539="","",IFERROR(INDEX(사건마스터!$H$5:$H$64,MATCH($F539,사건마스터!$A$5:$A$64,0)),""))</f>
        <v/>
      </c>
      <c r="J539" s="48">
        <f>IF($F539="","",IFERROR(INDEX(사건마스터!$AH$5:$AH$64,MATCH($F539,사건마스터!$A$5:$A$64,0)),""))</f>
        <v/>
      </c>
      <c r="K539" s="48">
        <f>IF($F539="","",IFERROR(INDEX(사건마스터!$AI$5:$AI$64,MATCH($F539,사건마스터!$A$5:$A$64,0)),""))</f>
        <v/>
      </c>
      <c r="L539" s="48">
        <f>IF($F539="","",IFERROR(INDEX(사건마스터!$AJ$5:$AJ$64,MATCH($F539,사건마스터!$A$5:$A$64,0)),""))</f>
        <v/>
      </c>
      <c r="M539" s="48">
        <f>IF($F539="","",IFERROR(INDEX(사건마스터!$AK$5:$AK$64,MATCH($F539,사건마스터!$A$5:$A$64,0)),""))</f>
        <v/>
      </c>
      <c r="N539" s="48">
        <f>IF($F539="","",IFERROR(INDEX(사건마스터!$AL$5:$AL$64,MATCH($F539,사건마스터!$A$5:$A$64,0)),""))</f>
        <v/>
      </c>
      <c r="O539" s="43">
        <f>IF($I539="","",COUNTIF($I539:$N539,"?*"))</f>
        <v/>
      </c>
      <c r="P539" s="46">
        <f>IF($I539="","",_xlfn.TEXTJOIN(", ",TRUE,$I539:$N539))</f>
        <v/>
      </c>
      <c r="Q539" s="47">
        <f>IF($I539="","",IFERROR(INDEX(코드설정!$D$5:$D$24,MATCH($I539,코드설정!$C$5:$C$24,0)),""))</f>
        <v/>
      </c>
      <c r="R539" s="49" t="n"/>
      <c r="S539" s="50" t="n"/>
      <c r="T539" s="51" t="n"/>
      <c r="U539" s="43">
        <f>IF(OR($B539="",$C539=""),"",$C539-$B539+1)</f>
        <v/>
      </c>
      <c r="V539" s="52" t="n"/>
      <c r="W539" s="53">
        <f>IF(OR($V539="",$O539=""),"",$V539*$O539)</f>
        <v/>
      </c>
      <c r="X539" s="45" t="n"/>
      <c r="Y539" s="49" t="n"/>
    </row>
    <row r="540">
      <c r="A540" s="43">
        <f>IF($B540="","",COUNT($B$5:$B540))</f>
        <v/>
      </c>
      <c r="B540" s="44" t="n"/>
      <c r="C540" s="44" t="n"/>
      <c r="D540" s="45" t="n"/>
      <c r="E540" s="45" t="n"/>
      <c r="F540" s="45" t="n"/>
      <c r="G540" s="46">
        <f>IF($F540="","",IFERROR(INDEX(사건마스터!$B$5:$B$64,MATCH($F540,사건마스터!$A$5:$A$64,0)),""))</f>
        <v/>
      </c>
      <c r="H540" s="47">
        <f>IF($F540="","",IFERROR(INDEX(사건마스터!$C$5:$C$64,MATCH($F540,사건마스터!$A$5:$A$64,0)),""))</f>
        <v/>
      </c>
      <c r="I540" s="48">
        <f>IF($F540="","",IFERROR(INDEX(사건마스터!$H$5:$H$64,MATCH($F540,사건마스터!$A$5:$A$64,0)),""))</f>
        <v/>
      </c>
      <c r="J540" s="48">
        <f>IF($F540="","",IFERROR(INDEX(사건마스터!$AH$5:$AH$64,MATCH($F540,사건마스터!$A$5:$A$64,0)),""))</f>
        <v/>
      </c>
      <c r="K540" s="48">
        <f>IF($F540="","",IFERROR(INDEX(사건마스터!$AI$5:$AI$64,MATCH($F540,사건마스터!$A$5:$A$64,0)),""))</f>
        <v/>
      </c>
      <c r="L540" s="48">
        <f>IF($F540="","",IFERROR(INDEX(사건마스터!$AJ$5:$AJ$64,MATCH($F540,사건마스터!$A$5:$A$64,0)),""))</f>
        <v/>
      </c>
      <c r="M540" s="48">
        <f>IF($F540="","",IFERROR(INDEX(사건마스터!$AK$5:$AK$64,MATCH($F540,사건마스터!$A$5:$A$64,0)),""))</f>
        <v/>
      </c>
      <c r="N540" s="48">
        <f>IF($F540="","",IFERROR(INDEX(사건마스터!$AL$5:$AL$64,MATCH($F540,사건마스터!$A$5:$A$64,0)),""))</f>
        <v/>
      </c>
      <c r="O540" s="43">
        <f>IF($I540="","",COUNTIF($I540:$N540,"?*"))</f>
        <v/>
      </c>
      <c r="P540" s="46">
        <f>IF($I540="","",_xlfn.TEXTJOIN(", ",TRUE,$I540:$N540))</f>
        <v/>
      </c>
      <c r="Q540" s="47">
        <f>IF($I540="","",IFERROR(INDEX(코드설정!$D$5:$D$24,MATCH($I540,코드설정!$C$5:$C$24,0)),""))</f>
        <v/>
      </c>
      <c r="R540" s="49" t="n"/>
      <c r="S540" s="50" t="n"/>
      <c r="T540" s="51" t="n"/>
      <c r="U540" s="43">
        <f>IF(OR($B540="",$C540=""),"",$C540-$B540+1)</f>
        <v/>
      </c>
      <c r="V540" s="52" t="n"/>
      <c r="W540" s="53">
        <f>IF(OR($V540="",$O540=""),"",$V540*$O540)</f>
        <v/>
      </c>
      <c r="X540" s="45" t="n"/>
      <c r="Y540" s="49" t="n"/>
    </row>
    <row r="541">
      <c r="A541" s="43">
        <f>IF($B541="","",COUNT($B$5:$B541))</f>
        <v/>
      </c>
      <c r="B541" s="44" t="n"/>
      <c r="C541" s="44" t="n"/>
      <c r="D541" s="45" t="n"/>
      <c r="E541" s="45" t="n"/>
      <c r="F541" s="45" t="n"/>
      <c r="G541" s="46">
        <f>IF($F541="","",IFERROR(INDEX(사건마스터!$B$5:$B$64,MATCH($F541,사건마스터!$A$5:$A$64,0)),""))</f>
        <v/>
      </c>
      <c r="H541" s="47">
        <f>IF($F541="","",IFERROR(INDEX(사건마스터!$C$5:$C$64,MATCH($F541,사건마스터!$A$5:$A$64,0)),""))</f>
        <v/>
      </c>
      <c r="I541" s="48">
        <f>IF($F541="","",IFERROR(INDEX(사건마스터!$H$5:$H$64,MATCH($F541,사건마스터!$A$5:$A$64,0)),""))</f>
        <v/>
      </c>
      <c r="J541" s="48">
        <f>IF($F541="","",IFERROR(INDEX(사건마스터!$AH$5:$AH$64,MATCH($F541,사건마스터!$A$5:$A$64,0)),""))</f>
        <v/>
      </c>
      <c r="K541" s="48">
        <f>IF($F541="","",IFERROR(INDEX(사건마스터!$AI$5:$AI$64,MATCH($F541,사건마스터!$A$5:$A$64,0)),""))</f>
        <v/>
      </c>
      <c r="L541" s="48">
        <f>IF($F541="","",IFERROR(INDEX(사건마스터!$AJ$5:$AJ$64,MATCH($F541,사건마스터!$A$5:$A$64,0)),""))</f>
        <v/>
      </c>
      <c r="M541" s="48">
        <f>IF($F541="","",IFERROR(INDEX(사건마스터!$AK$5:$AK$64,MATCH($F541,사건마스터!$A$5:$A$64,0)),""))</f>
        <v/>
      </c>
      <c r="N541" s="48">
        <f>IF($F541="","",IFERROR(INDEX(사건마스터!$AL$5:$AL$64,MATCH($F541,사건마스터!$A$5:$A$64,0)),""))</f>
        <v/>
      </c>
      <c r="O541" s="43">
        <f>IF($I541="","",COUNTIF($I541:$N541,"?*"))</f>
        <v/>
      </c>
      <c r="P541" s="46">
        <f>IF($I541="","",_xlfn.TEXTJOIN(", ",TRUE,$I541:$N541))</f>
        <v/>
      </c>
      <c r="Q541" s="47">
        <f>IF($I541="","",IFERROR(INDEX(코드설정!$D$5:$D$24,MATCH($I541,코드설정!$C$5:$C$24,0)),""))</f>
        <v/>
      </c>
      <c r="R541" s="49" t="n"/>
      <c r="S541" s="50" t="n"/>
      <c r="T541" s="51" t="n"/>
      <c r="U541" s="43">
        <f>IF(OR($B541="",$C541=""),"",$C541-$B541+1)</f>
        <v/>
      </c>
      <c r="V541" s="52" t="n"/>
      <c r="W541" s="53">
        <f>IF(OR($V541="",$O541=""),"",$V541*$O541)</f>
        <v/>
      </c>
      <c r="X541" s="45" t="n"/>
      <c r="Y541" s="49" t="n"/>
    </row>
    <row r="542">
      <c r="A542" s="43">
        <f>IF($B542="","",COUNT($B$5:$B542))</f>
        <v/>
      </c>
      <c r="B542" s="44" t="n"/>
      <c r="C542" s="44" t="n"/>
      <c r="D542" s="45" t="n"/>
      <c r="E542" s="45" t="n"/>
      <c r="F542" s="45" t="n"/>
      <c r="G542" s="46">
        <f>IF($F542="","",IFERROR(INDEX(사건마스터!$B$5:$B$64,MATCH($F542,사건마스터!$A$5:$A$64,0)),""))</f>
        <v/>
      </c>
      <c r="H542" s="47">
        <f>IF($F542="","",IFERROR(INDEX(사건마스터!$C$5:$C$64,MATCH($F542,사건마스터!$A$5:$A$64,0)),""))</f>
        <v/>
      </c>
      <c r="I542" s="48">
        <f>IF($F542="","",IFERROR(INDEX(사건마스터!$H$5:$H$64,MATCH($F542,사건마스터!$A$5:$A$64,0)),""))</f>
        <v/>
      </c>
      <c r="J542" s="48">
        <f>IF($F542="","",IFERROR(INDEX(사건마스터!$AH$5:$AH$64,MATCH($F542,사건마스터!$A$5:$A$64,0)),""))</f>
        <v/>
      </c>
      <c r="K542" s="48">
        <f>IF($F542="","",IFERROR(INDEX(사건마스터!$AI$5:$AI$64,MATCH($F542,사건마스터!$A$5:$A$64,0)),""))</f>
        <v/>
      </c>
      <c r="L542" s="48">
        <f>IF($F542="","",IFERROR(INDEX(사건마스터!$AJ$5:$AJ$64,MATCH($F542,사건마스터!$A$5:$A$64,0)),""))</f>
        <v/>
      </c>
      <c r="M542" s="48">
        <f>IF($F542="","",IFERROR(INDEX(사건마스터!$AK$5:$AK$64,MATCH($F542,사건마스터!$A$5:$A$64,0)),""))</f>
        <v/>
      </c>
      <c r="N542" s="48">
        <f>IF($F542="","",IFERROR(INDEX(사건마스터!$AL$5:$AL$64,MATCH($F542,사건마스터!$A$5:$A$64,0)),""))</f>
        <v/>
      </c>
      <c r="O542" s="43">
        <f>IF($I542="","",COUNTIF($I542:$N542,"?*"))</f>
        <v/>
      </c>
      <c r="P542" s="46">
        <f>IF($I542="","",_xlfn.TEXTJOIN(", ",TRUE,$I542:$N542))</f>
        <v/>
      </c>
      <c r="Q542" s="47">
        <f>IF($I542="","",IFERROR(INDEX(코드설정!$D$5:$D$24,MATCH($I542,코드설정!$C$5:$C$24,0)),""))</f>
        <v/>
      </c>
      <c r="R542" s="49" t="n"/>
      <c r="S542" s="50" t="n"/>
      <c r="T542" s="51" t="n"/>
      <c r="U542" s="43">
        <f>IF(OR($B542="",$C542=""),"",$C542-$B542+1)</f>
        <v/>
      </c>
      <c r="V542" s="52" t="n"/>
      <c r="W542" s="53">
        <f>IF(OR($V542="",$O542=""),"",$V542*$O542)</f>
        <v/>
      </c>
      <c r="X542" s="45" t="n"/>
      <c r="Y542" s="49" t="n"/>
    </row>
    <row r="543">
      <c r="A543" s="43">
        <f>IF($B543="","",COUNT($B$5:$B543))</f>
        <v/>
      </c>
      <c r="B543" s="44" t="n"/>
      <c r="C543" s="44" t="n"/>
      <c r="D543" s="45" t="n"/>
      <c r="E543" s="45" t="n"/>
      <c r="F543" s="45" t="n"/>
      <c r="G543" s="46">
        <f>IF($F543="","",IFERROR(INDEX(사건마스터!$B$5:$B$64,MATCH($F543,사건마스터!$A$5:$A$64,0)),""))</f>
        <v/>
      </c>
      <c r="H543" s="47">
        <f>IF($F543="","",IFERROR(INDEX(사건마스터!$C$5:$C$64,MATCH($F543,사건마스터!$A$5:$A$64,0)),""))</f>
        <v/>
      </c>
      <c r="I543" s="48">
        <f>IF($F543="","",IFERROR(INDEX(사건마스터!$H$5:$H$64,MATCH($F543,사건마스터!$A$5:$A$64,0)),""))</f>
        <v/>
      </c>
      <c r="J543" s="48">
        <f>IF($F543="","",IFERROR(INDEX(사건마스터!$AH$5:$AH$64,MATCH($F543,사건마스터!$A$5:$A$64,0)),""))</f>
        <v/>
      </c>
      <c r="K543" s="48">
        <f>IF($F543="","",IFERROR(INDEX(사건마스터!$AI$5:$AI$64,MATCH($F543,사건마스터!$A$5:$A$64,0)),""))</f>
        <v/>
      </c>
      <c r="L543" s="48">
        <f>IF($F543="","",IFERROR(INDEX(사건마스터!$AJ$5:$AJ$64,MATCH($F543,사건마스터!$A$5:$A$64,0)),""))</f>
        <v/>
      </c>
      <c r="M543" s="48">
        <f>IF($F543="","",IFERROR(INDEX(사건마스터!$AK$5:$AK$64,MATCH($F543,사건마스터!$A$5:$A$64,0)),""))</f>
        <v/>
      </c>
      <c r="N543" s="48">
        <f>IF($F543="","",IFERROR(INDEX(사건마스터!$AL$5:$AL$64,MATCH($F543,사건마스터!$A$5:$A$64,0)),""))</f>
        <v/>
      </c>
      <c r="O543" s="43">
        <f>IF($I543="","",COUNTIF($I543:$N543,"?*"))</f>
        <v/>
      </c>
      <c r="P543" s="46">
        <f>IF($I543="","",_xlfn.TEXTJOIN(", ",TRUE,$I543:$N543))</f>
        <v/>
      </c>
      <c r="Q543" s="47">
        <f>IF($I543="","",IFERROR(INDEX(코드설정!$D$5:$D$24,MATCH($I543,코드설정!$C$5:$C$24,0)),""))</f>
        <v/>
      </c>
      <c r="R543" s="49" t="n"/>
      <c r="S543" s="50" t="n"/>
      <c r="T543" s="51" t="n"/>
      <c r="U543" s="43">
        <f>IF(OR($B543="",$C543=""),"",$C543-$B543+1)</f>
        <v/>
      </c>
      <c r="V543" s="52" t="n"/>
      <c r="W543" s="53">
        <f>IF(OR($V543="",$O543=""),"",$V543*$O543)</f>
        <v/>
      </c>
      <c r="X543" s="45" t="n"/>
      <c r="Y543" s="49" t="n"/>
    </row>
    <row r="544">
      <c r="A544" s="43">
        <f>IF($B544="","",COUNT($B$5:$B544))</f>
        <v/>
      </c>
      <c r="B544" s="44" t="n"/>
      <c r="C544" s="44" t="n"/>
      <c r="D544" s="45" t="n"/>
      <c r="E544" s="45" t="n"/>
      <c r="F544" s="45" t="n"/>
      <c r="G544" s="46">
        <f>IF($F544="","",IFERROR(INDEX(사건마스터!$B$5:$B$64,MATCH($F544,사건마스터!$A$5:$A$64,0)),""))</f>
        <v/>
      </c>
      <c r="H544" s="47">
        <f>IF($F544="","",IFERROR(INDEX(사건마스터!$C$5:$C$64,MATCH($F544,사건마스터!$A$5:$A$64,0)),""))</f>
        <v/>
      </c>
      <c r="I544" s="48">
        <f>IF($F544="","",IFERROR(INDEX(사건마스터!$H$5:$H$64,MATCH($F544,사건마스터!$A$5:$A$64,0)),""))</f>
        <v/>
      </c>
      <c r="J544" s="48">
        <f>IF($F544="","",IFERROR(INDEX(사건마스터!$AH$5:$AH$64,MATCH($F544,사건마스터!$A$5:$A$64,0)),""))</f>
        <v/>
      </c>
      <c r="K544" s="48">
        <f>IF($F544="","",IFERROR(INDEX(사건마스터!$AI$5:$AI$64,MATCH($F544,사건마스터!$A$5:$A$64,0)),""))</f>
        <v/>
      </c>
      <c r="L544" s="48">
        <f>IF($F544="","",IFERROR(INDEX(사건마스터!$AJ$5:$AJ$64,MATCH($F544,사건마스터!$A$5:$A$64,0)),""))</f>
        <v/>
      </c>
      <c r="M544" s="48">
        <f>IF($F544="","",IFERROR(INDEX(사건마스터!$AK$5:$AK$64,MATCH($F544,사건마스터!$A$5:$A$64,0)),""))</f>
        <v/>
      </c>
      <c r="N544" s="48">
        <f>IF($F544="","",IFERROR(INDEX(사건마스터!$AL$5:$AL$64,MATCH($F544,사건마스터!$A$5:$A$64,0)),""))</f>
        <v/>
      </c>
      <c r="O544" s="43">
        <f>IF($I544="","",COUNTIF($I544:$N544,"?*"))</f>
        <v/>
      </c>
      <c r="P544" s="46">
        <f>IF($I544="","",_xlfn.TEXTJOIN(", ",TRUE,$I544:$N544))</f>
        <v/>
      </c>
      <c r="Q544" s="47">
        <f>IF($I544="","",IFERROR(INDEX(코드설정!$D$5:$D$24,MATCH($I544,코드설정!$C$5:$C$24,0)),""))</f>
        <v/>
      </c>
      <c r="R544" s="49" t="n"/>
      <c r="S544" s="50" t="n"/>
      <c r="T544" s="51" t="n"/>
      <c r="U544" s="43">
        <f>IF(OR($B544="",$C544=""),"",$C544-$B544+1)</f>
        <v/>
      </c>
      <c r="V544" s="52" t="n"/>
      <c r="W544" s="53">
        <f>IF(OR($V544="",$O544=""),"",$V544*$O544)</f>
        <v/>
      </c>
      <c r="X544" s="45" t="n"/>
      <c r="Y544" s="49" t="n"/>
    </row>
    <row r="545">
      <c r="A545" s="43">
        <f>IF($B545="","",COUNT($B$5:$B545))</f>
        <v/>
      </c>
      <c r="B545" s="44" t="n"/>
      <c r="C545" s="44" t="n"/>
      <c r="D545" s="45" t="n"/>
      <c r="E545" s="45" t="n"/>
      <c r="F545" s="45" t="n"/>
      <c r="G545" s="46">
        <f>IF($F545="","",IFERROR(INDEX(사건마스터!$B$5:$B$64,MATCH($F545,사건마스터!$A$5:$A$64,0)),""))</f>
        <v/>
      </c>
      <c r="H545" s="47">
        <f>IF($F545="","",IFERROR(INDEX(사건마스터!$C$5:$C$64,MATCH($F545,사건마스터!$A$5:$A$64,0)),""))</f>
        <v/>
      </c>
      <c r="I545" s="48">
        <f>IF($F545="","",IFERROR(INDEX(사건마스터!$H$5:$H$64,MATCH($F545,사건마스터!$A$5:$A$64,0)),""))</f>
        <v/>
      </c>
      <c r="J545" s="48">
        <f>IF($F545="","",IFERROR(INDEX(사건마스터!$AH$5:$AH$64,MATCH($F545,사건마스터!$A$5:$A$64,0)),""))</f>
        <v/>
      </c>
      <c r="K545" s="48">
        <f>IF($F545="","",IFERROR(INDEX(사건마스터!$AI$5:$AI$64,MATCH($F545,사건마스터!$A$5:$A$64,0)),""))</f>
        <v/>
      </c>
      <c r="L545" s="48">
        <f>IF($F545="","",IFERROR(INDEX(사건마스터!$AJ$5:$AJ$64,MATCH($F545,사건마스터!$A$5:$A$64,0)),""))</f>
        <v/>
      </c>
      <c r="M545" s="48">
        <f>IF($F545="","",IFERROR(INDEX(사건마스터!$AK$5:$AK$64,MATCH($F545,사건마스터!$A$5:$A$64,0)),""))</f>
        <v/>
      </c>
      <c r="N545" s="48">
        <f>IF($F545="","",IFERROR(INDEX(사건마스터!$AL$5:$AL$64,MATCH($F545,사건마스터!$A$5:$A$64,0)),""))</f>
        <v/>
      </c>
      <c r="O545" s="43">
        <f>IF($I545="","",COUNTIF($I545:$N545,"?*"))</f>
        <v/>
      </c>
      <c r="P545" s="46">
        <f>IF($I545="","",_xlfn.TEXTJOIN(", ",TRUE,$I545:$N545))</f>
        <v/>
      </c>
      <c r="Q545" s="47">
        <f>IF($I545="","",IFERROR(INDEX(코드설정!$D$5:$D$24,MATCH($I545,코드설정!$C$5:$C$24,0)),""))</f>
        <v/>
      </c>
      <c r="R545" s="49" t="n"/>
      <c r="S545" s="50" t="n"/>
      <c r="T545" s="51" t="n"/>
      <c r="U545" s="43">
        <f>IF(OR($B545="",$C545=""),"",$C545-$B545+1)</f>
        <v/>
      </c>
      <c r="V545" s="52" t="n"/>
      <c r="W545" s="53">
        <f>IF(OR($V545="",$O545=""),"",$V545*$O545)</f>
        <v/>
      </c>
      <c r="X545" s="45" t="n"/>
      <c r="Y545" s="49" t="n"/>
    </row>
    <row r="546">
      <c r="A546" s="43">
        <f>IF($B546="","",COUNT($B$5:$B546))</f>
        <v/>
      </c>
      <c r="B546" s="44" t="n"/>
      <c r="C546" s="44" t="n"/>
      <c r="D546" s="45" t="n"/>
      <c r="E546" s="45" t="n"/>
      <c r="F546" s="45" t="n"/>
      <c r="G546" s="46">
        <f>IF($F546="","",IFERROR(INDEX(사건마스터!$B$5:$B$64,MATCH($F546,사건마스터!$A$5:$A$64,0)),""))</f>
        <v/>
      </c>
      <c r="H546" s="47">
        <f>IF($F546="","",IFERROR(INDEX(사건마스터!$C$5:$C$64,MATCH($F546,사건마스터!$A$5:$A$64,0)),""))</f>
        <v/>
      </c>
      <c r="I546" s="48">
        <f>IF($F546="","",IFERROR(INDEX(사건마스터!$H$5:$H$64,MATCH($F546,사건마스터!$A$5:$A$64,0)),""))</f>
        <v/>
      </c>
      <c r="J546" s="48">
        <f>IF($F546="","",IFERROR(INDEX(사건마스터!$AH$5:$AH$64,MATCH($F546,사건마스터!$A$5:$A$64,0)),""))</f>
        <v/>
      </c>
      <c r="K546" s="48">
        <f>IF($F546="","",IFERROR(INDEX(사건마스터!$AI$5:$AI$64,MATCH($F546,사건마스터!$A$5:$A$64,0)),""))</f>
        <v/>
      </c>
      <c r="L546" s="48">
        <f>IF($F546="","",IFERROR(INDEX(사건마스터!$AJ$5:$AJ$64,MATCH($F546,사건마스터!$A$5:$A$64,0)),""))</f>
        <v/>
      </c>
      <c r="M546" s="48">
        <f>IF($F546="","",IFERROR(INDEX(사건마스터!$AK$5:$AK$64,MATCH($F546,사건마스터!$A$5:$A$64,0)),""))</f>
        <v/>
      </c>
      <c r="N546" s="48">
        <f>IF($F546="","",IFERROR(INDEX(사건마스터!$AL$5:$AL$64,MATCH($F546,사건마스터!$A$5:$A$64,0)),""))</f>
        <v/>
      </c>
      <c r="O546" s="43">
        <f>IF($I546="","",COUNTIF($I546:$N546,"?*"))</f>
        <v/>
      </c>
      <c r="P546" s="46">
        <f>IF($I546="","",_xlfn.TEXTJOIN(", ",TRUE,$I546:$N546))</f>
        <v/>
      </c>
      <c r="Q546" s="47">
        <f>IF($I546="","",IFERROR(INDEX(코드설정!$D$5:$D$24,MATCH($I546,코드설정!$C$5:$C$24,0)),""))</f>
        <v/>
      </c>
      <c r="R546" s="49" t="n"/>
      <c r="S546" s="50" t="n"/>
      <c r="T546" s="51" t="n"/>
      <c r="U546" s="43">
        <f>IF(OR($B546="",$C546=""),"",$C546-$B546+1)</f>
        <v/>
      </c>
      <c r="V546" s="52" t="n"/>
      <c r="W546" s="53">
        <f>IF(OR($V546="",$O546=""),"",$V546*$O546)</f>
        <v/>
      </c>
      <c r="X546" s="45" t="n"/>
      <c r="Y546" s="49" t="n"/>
    </row>
    <row r="547">
      <c r="A547" s="43">
        <f>IF($B547="","",COUNT($B$5:$B547))</f>
        <v/>
      </c>
      <c r="B547" s="44" t="n"/>
      <c r="C547" s="44" t="n"/>
      <c r="D547" s="45" t="n"/>
      <c r="E547" s="45" t="n"/>
      <c r="F547" s="45" t="n"/>
      <c r="G547" s="46">
        <f>IF($F547="","",IFERROR(INDEX(사건마스터!$B$5:$B$64,MATCH($F547,사건마스터!$A$5:$A$64,0)),""))</f>
        <v/>
      </c>
      <c r="H547" s="47">
        <f>IF($F547="","",IFERROR(INDEX(사건마스터!$C$5:$C$64,MATCH($F547,사건마스터!$A$5:$A$64,0)),""))</f>
        <v/>
      </c>
      <c r="I547" s="48">
        <f>IF($F547="","",IFERROR(INDEX(사건마스터!$H$5:$H$64,MATCH($F547,사건마스터!$A$5:$A$64,0)),""))</f>
        <v/>
      </c>
      <c r="J547" s="48">
        <f>IF($F547="","",IFERROR(INDEX(사건마스터!$AH$5:$AH$64,MATCH($F547,사건마스터!$A$5:$A$64,0)),""))</f>
        <v/>
      </c>
      <c r="K547" s="48">
        <f>IF($F547="","",IFERROR(INDEX(사건마스터!$AI$5:$AI$64,MATCH($F547,사건마스터!$A$5:$A$64,0)),""))</f>
        <v/>
      </c>
      <c r="L547" s="48">
        <f>IF($F547="","",IFERROR(INDEX(사건마스터!$AJ$5:$AJ$64,MATCH($F547,사건마스터!$A$5:$A$64,0)),""))</f>
        <v/>
      </c>
      <c r="M547" s="48">
        <f>IF($F547="","",IFERROR(INDEX(사건마스터!$AK$5:$AK$64,MATCH($F547,사건마스터!$A$5:$A$64,0)),""))</f>
        <v/>
      </c>
      <c r="N547" s="48">
        <f>IF($F547="","",IFERROR(INDEX(사건마스터!$AL$5:$AL$64,MATCH($F547,사건마스터!$A$5:$A$64,0)),""))</f>
        <v/>
      </c>
      <c r="O547" s="43">
        <f>IF($I547="","",COUNTIF($I547:$N547,"?*"))</f>
        <v/>
      </c>
      <c r="P547" s="46">
        <f>IF($I547="","",_xlfn.TEXTJOIN(", ",TRUE,$I547:$N547))</f>
        <v/>
      </c>
      <c r="Q547" s="47">
        <f>IF($I547="","",IFERROR(INDEX(코드설정!$D$5:$D$24,MATCH($I547,코드설정!$C$5:$C$24,0)),""))</f>
        <v/>
      </c>
      <c r="R547" s="49" t="n"/>
      <c r="S547" s="50" t="n"/>
      <c r="T547" s="51" t="n"/>
      <c r="U547" s="43">
        <f>IF(OR($B547="",$C547=""),"",$C547-$B547+1)</f>
        <v/>
      </c>
      <c r="V547" s="52" t="n"/>
      <c r="W547" s="53">
        <f>IF(OR($V547="",$O547=""),"",$V547*$O547)</f>
        <v/>
      </c>
      <c r="X547" s="45" t="n"/>
      <c r="Y547" s="49" t="n"/>
    </row>
    <row r="548">
      <c r="A548" s="43">
        <f>IF($B548="","",COUNT($B$5:$B548))</f>
        <v/>
      </c>
      <c r="B548" s="44" t="n"/>
      <c r="C548" s="44" t="n"/>
      <c r="D548" s="45" t="n"/>
      <c r="E548" s="45" t="n"/>
      <c r="F548" s="45" t="n"/>
      <c r="G548" s="46">
        <f>IF($F548="","",IFERROR(INDEX(사건마스터!$B$5:$B$64,MATCH($F548,사건마스터!$A$5:$A$64,0)),""))</f>
        <v/>
      </c>
      <c r="H548" s="47">
        <f>IF($F548="","",IFERROR(INDEX(사건마스터!$C$5:$C$64,MATCH($F548,사건마스터!$A$5:$A$64,0)),""))</f>
        <v/>
      </c>
      <c r="I548" s="48">
        <f>IF($F548="","",IFERROR(INDEX(사건마스터!$H$5:$H$64,MATCH($F548,사건마스터!$A$5:$A$64,0)),""))</f>
        <v/>
      </c>
      <c r="J548" s="48">
        <f>IF($F548="","",IFERROR(INDEX(사건마스터!$AH$5:$AH$64,MATCH($F548,사건마스터!$A$5:$A$64,0)),""))</f>
        <v/>
      </c>
      <c r="K548" s="48">
        <f>IF($F548="","",IFERROR(INDEX(사건마스터!$AI$5:$AI$64,MATCH($F548,사건마스터!$A$5:$A$64,0)),""))</f>
        <v/>
      </c>
      <c r="L548" s="48">
        <f>IF($F548="","",IFERROR(INDEX(사건마스터!$AJ$5:$AJ$64,MATCH($F548,사건마스터!$A$5:$A$64,0)),""))</f>
        <v/>
      </c>
      <c r="M548" s="48">
        <f>IF($F548="","",IFERROR(INDEX(사건마스터!$AK$5:$AK$64,MATCH($F548,사건마스터!$A$5:$A$64,0)),""))</f>
        <v/>
      </c>
      <c r="N548" s="48">
        <f>IF($F548="","",IFERROR(INDEX(사건마스터!$AL$5:$AL$64,MATCH($F548,사건마스터!$A$5:$A$64,0)),""))</f>
        <v/>
      </c>
      <c r="O548" s="43">
        <f>IF($I548="","",COUNTIF($I548:$N548,"?*"))</f>
        <v/>
      </c>
      <c r="P548" s="46">
        <f>IF($I548="","",_xlfn.TEXTJOIN(", ",TRUE,$I548:$N548))</f>
        <v/>
      </c>
      <c r="Q548" s="47">
        <f>IF($I548="","",IFERROR(INDEX(코드설정!$D$5:$D$24,MATCH($I548,코드설정!$C$5:$C$24,0)),""))</f>
        <v/>
      </c>
      <c r="R548" s="49" t="n"/>
      <c r="S548" s="50" t="n"/>
      <c r="T548" s="51" t="n"/>
      <c r="U548" s="43">
        <f>IF(OR($B548="",$C548=""),"",$C548-$B548+1)</f>
        <v/>
      </c>
      <c r="V548" s="52" t="n"/>
      <c r="W548" s="53">
        <f>IF(OR($V548="",$O548=""),"",$V548*$O548)</f>
        <v/>
      </c>
      <c r="X548" s="45" t="n"/>
      <c r="Y548" s="49" t="n"/>
    </row>
    <row r="549">
      <c r="A549" s="43">
        <f>IF($B549="","",COUNT($B$5:$B549))</f>
        <v/>
      </c>
      <c r="B549" s="44" t="n"/>
      <c r="C549" s="44" t="n"/>
      <c r="D549" s="45" t="n"/>
      <c r="E549" s="45" t="n"/>
      <c r="F549" s="45" t="n"/>
      <c r="G549" s="46">
        <f>IF($F549="","",IFERROR(INDEX(사건마스터!$B$5:$B$64,MATCH($F549,사건마스터!$A$5:$A$64,0)),""))</f>
        <v/>
      </c>
      <c r="H549" s="47">
        <f>IF($F549="","",IFERROR(INDEX(사건마스터!$C$5:$C$64,MATCH($F549,사건마스터!$A$5:$A$64,0)),""))</f>
        <v/>
      </c>
      <c r="I549" s="48">
        <f>IF($F549="","",IFERROR(INDEX(사건마스터!$H$5:$H$64,MATCH($F549,사건마스터!$A$5:$A$64,0)),""))</f>
        <v/>
      </c>
      <c r="J549" s="48">
        <f>IF($F549="","",IFERROR(INDEX(사건마스터!$AH$5:$AH$64,MATCH($F549,사건마스터!$A$5:$A$64,0)),""))</f>
        <v/>
      </c>
      <c r="K549" s="48">
        <f>IF($F549="","",IFERROR(INDEX(사건마스터!$AI$5:$AI$64,MATCH($F549,사건마스터!$A$5:$A$64,0)),""))</f>
        <v/>
      </c>
      <c r="L549" s="48">
        <f>IF($F549="","",IFERROR(INDEX(사건마스터!$AJ$5:$AJ$64,MATCH($F549,사건마스터!$A$5:$A$64,0)),""))</f>
        <v/>
      </c>
      <c r="M549" s="48">
        <f>IF($F549="","",IFERROR(INDEX(사건마스터!$AK$5:$AK$64,MATCH($F549,사건마스터!$A$5:$A$64,0)),""))</f>
        <v/>
      </c>
      <c r="N549" s="48">
        <f>IF($F549="","",IFERROR(INDEX(사건마스터!$AL$5:$AL$64,MATCH($F549,사건마스터!$A$5:$A$64,0)),""))</f>
        <v/>
      </c>
      <c r="O549" s="43">
        <f>IF($I549="","",COUNTIF($I549:$N549,"?*"))</f>
        <v/>
      </c>
      <c r="P549" s="46">
        <f>IF($I549="","",_xlfn.TEXTJOIN(", ",TRUE,$I549:$N549))</f>
        <v/>
      </c>
      <c r="Q549" s="47">
        <f>IF($I549="","",IFERROR(INDEX(코드설정!$D$5:$D$24,MATCH($I549,코드설정!$C$5:$C$24,0)),""))</f>
        <v/>
      </c>
      <c r="R549" s="49" t="n"/>
      <c r="S549" s="50" t="n"/>
      <c r="T549" s="51" t="n"/>
      <c r="U549" s="43">
        <f>IF(OR($B549="",$C549=""),"",$C549-$B549+1)</f>
        <v/>
      </c>
      <c r="V549" s="52" t="n"/>
      <c r="W549" s="53">
        <f>IF(OR($V549="",$O549=""),"",$V549*$O549)</f>
        <v/>
      </c>
      <c r="X549" s="45" t="n"/>
      <c r="Y549" s="49" t="n"/>
    </row>
    <row r="550">
      <c r="A550" s="43">
        <f>IF($B550="","",COUNT($B$5:$B550))</f>
        <v/>
      </c>
      <c r="B550" s="44" t="n"/>
      <c r="C550" s="44" t="n"/>
      <c r="D550" s="45" t="n"/>
      <c r="E550" s="45" t="n"/>
      <c r="F550" s="45" t="n"/>
      <c r="G550" s="46">
        <f>IF($F550="","",IFERROR(INDEX(사건마스터!$B$5:$B$64,MATCH($F550,사건마스터!$A$5:$A$64,0)),""))</f>
        <v/>
      </c>
      <c r="H550" s="47">
        <f>IF($F550="","",IFERROR(INDEX(사건마스터!$C$5:$C$64,MATCH($F550,사건마스터!$A$5:$A$64,0)),""))</f>
        <v/>
      </c>
      <c r="I550" s="48">
        <f>IF($F550="","",IFERROR(INDEX(사건마스터!$H$5:$H$64,MATCH($F550,사건마스터!$A$5:$A$64,0)),""))</f>
        <v/>
      </c>
      <c r="J550" s="48">
        <f>IF($F550="","",IFERROR(INDEX(사건마스터!$AH$5:$AH$64,MATCH($F550,사건마스터!$A$5:$A$64,0)),""))</f>
        <v/>
      </c>
      <c r="K550" s="48">
        <f>IF($F550="","",IFERROR(INDEX(사건마스터!$AI$5:$AI$64,MATCH($F550,사건마스터!$A$5:$A$64,0)),""))</f>
        <v/>
      </c>
      <c r="L550" s="48">
        <f>IF($F550="","",IFERROR(INDEX(사건마스터!$AJ$5:$AJ$64,MATCH($F550,사건마스터!$A$5:$A$64,0)),""))</f>
        <v/>
      </c>
      <c r="M550" s="48">
        <f>IF($F550="","",IFERROR(INDEX(사건마스터!$AK$5:$AK$64,MATCH($F550,사건마스터!$A$5:$A$64,0)),""))</f>
        <v/>
      </c>
      <c r="N550" s="48">
        <f>IF($F550="","",IFERROR(INDEX(사건마스터!$AL$5:$AL$64,MATCH($F550,사건마스터!$A$5:$A$64,0)),""))</f>
        <v/>
      </c>
      <c r="O550" s="43">
        <f>IF($I550="","",COUNTIF($I550:$N550,"?*"))</f>
        <v/>
      </c>
      <c r="P550" s="46">
        <f>IF($I550="","",_xlfn.TEXTJOIN(", ",TRUE,$I550:$N550))</f>
        <v/>
      </c>
      <c r="Q550" s="47">
        <f>IF($I550="","",IFERROR(INDEX(코드설정!$D$5:$D$24,MATCH($I550,코드설정!$C$5:$C$24,0)),""))</f>
        <v/>
      </c>
      <c r="R550" s="49" t="n"/>
      <c r="S550" s="50" t="n"/>
      <c r="T550" s="51" t="n"/>
      <c r="U550" s="43">
        <f>IF(OR($B550="",$C550=""),"",$C550-$B550+1)</f>
        <v/>
      </c>
      <c r="V550" s="52" t="n"/>
      <c r="W550" s="53">
        <f>IF(OR($V550="",$O550=""),"",$V550*$O550)</f>
        <v/>
      </c>
      <c r="X550" s="45" t="n"/>
      <c r="Y550" s="49" t="n"/>
    </row>
    <row r="551">
      <c r="A551" s="43">
        <f>IF($B551="","",COUNT($B$5:$B551))</f>
        <v/>
      </c>
      <c r="B551" s="44" t="n"/>
      <c r="C551" s="44" t="n"/>
      <c r="D551" s="45" t="n"/>
      <c r="E551" s="45" t="n"/>
      <c r="F551" s="45" t="n"/>
      <c r="G551" s="46">
        <f>IF($F551="","",IFERROR(INDEX(사건마스터!$B$5:$B$64,MATCH($F551,사건마스터!$A$5:$A$64,0)),""))</f>
        <v/>
      </c>
      <c r="H551" s="47">
        <f>IF($F551="","",IFERROR(INDEX(사건마스터!$C$5:$C$64,MATCH($F551,사건마스터!$A$5:$A$64,0)),""))</f>
        <v/>
      </c>
      <c r="I551" s="48">
        <f>IF($F551="","",IFERROR(INDEX(사건마스터!$H$5:$H$64,MATCH($F551,사건마스터!$A$5:$A$64,0)),""))</f>
        <v/>
      </c>
      <c r="J551" s="48">
        <f>IF($F551="","",IFERROR(INDEX(사건마스터!$AH$5:$AH$64,MATCH($F551,사건마스터!$A$5:$A$64,0)),""))</f>
        <v/>
      </c>
      <c r="K551" s="48">
        <f>IF($F551="","",IFERROR(INDEX(사건마스터!$AI$5:$AI$64,MATCH($F551,사건마스터!$A$5:$A$64,0)),""))</f>
        <v/>
      </c>
      <c r="L551" s="48">
        <f>IF($F551="","",IFERROR(INDEX(사건마스터!$AJ$5:$AJ$64,MATCH($F551,사건마스터!$A$5:$A$64,0)),""))</f>
        <v/>
      </c>
      <c r="M551" s="48">
        <f>IF($F551="","",IFERROR(INDEX(사건마스터!$AK$5:$AK$64,MATCH($F551,사건마스터!$A$5:$A$64,0)),""))</f>
        <v/>
      </c>
      <c r="N551" s="48">
        <f>IF($F551="","",IFERROR(INDEX(사건마스터!$AL$5:$AL$64,MATCH($F551,사건마스터!$A$5:$A$64,0)),""))</f>
        <v/>
      </c>
      <c r="O551" s="43">
        <f>IF($I551="","",COUNTIF($I551:$N551,"?*"))</f>
        <v/>
      </c>
      <c r="P551" s="46">
        <f>IF($I551="","",_xlfn.TEXTJOIN(", ",TRUE,$I551:$N551))</f>
        <v/>
      </c>
      <c r="Q551" s="47">
        <f>IF($I551="","",IFERROR(INDEX(코드설정!$D$5:$D$24,MATCH($I551,코드설정!$C$5:$C$24,0)),""))</f>
        <v/>
      </c>
      <c r="R551" s="49" t="n"/>
      <c r="S551" s="50" t="n"/>
      <c r="T551" s="51" t="n"/>
      <c r="U551" s="43">
        <f>IF(OR($B551="",$C551=""),"",$C551-$B551+1)</f>
        <v/>
      </c>
      <c r="V551" s="52" t="n"/>
      <c r="W551" s="53">
        <f>IF(OR($V551="",$O551=""),"",$V551*$O551)</f>
        <v/>
      </c>
      <c r="X551" s="45" t="n"/>
      <c r="Y551" s="49" t="n"/>
    </row>
    <row r="552">
      <c r="A552" s="43">
        <f>IF($B552="","",COUNT($B$5:$B552))</f>
        <v/>
      </c>
      <c r="B552" s="44" t="n"/>
      <c r="C552" s="44" t="n"/>
      <c r="D552" s="45" t="n"/>
      <c r="E552" s="45" t="n"/>
      <c r="F552" s="45" t="n"/>
      <c r="G552" s="46">
        <f>IF($F552="","",IFERROR(INDEX(사건마스터!$B$5:$B$64,MATCH($F552,사건마스터!$A$5:$A$64,0)),""))</f>
        <v/>
      </c>
      <c r="H552" s="47">
        <f>IF($F552="","",IFERROR(INDEX(사건마스터!$C$5:$C$64,MATCH($F552,사건마스터!$A$5:$A$64,0)),""))</f>
        <v/>
      </c>
      <c r="I552" s="48">
        <f>IF($F552="","",IFERROR(INDEX(사건마스터!$H$5:$H$64,MATCH($F552,사건마스터!$A$5:$A$64,0)),""))</f>
        <v/>
      </c>
      <c r="J552" s="48">
        <f>IF($F552="","",IFERROR(INDEX(사건마스터!$AH$5:$AH$64,MATCH($F552,사건마스터!$A$5:$A$64,0)),""))</f>
        <v/>
      </c>
      <c r="K552" s="48">
        <f>IF($F552="","",IFERROR(INDEX(사건마스터!$AI$5:$AI$64,MATCH($F552,사건마스터!$A$5:$A$64,0)),""))</f>
        <v/>
      </c>
      <c r="L552" s="48">
        <f>IF($F552="","",IFERROR(INDEX(사건마스터!$AJ$5:$AJ$64,MATCH($F552,사건마스터!$A$5:$A$64,0)),""))</f>
        <v/>
      </c>
      <c r="M552" s="48">
        <f>IF($F552="","",IFERROR(INDEX(사건마스터!$AK$5:$AK$64,MATCH($F552,사건마스터!$A$5:$A$64,0)),""))</f>
        <v/>
      </c>
      <c r="N552" s="48">
        <f>IF($F552="","",IFERROR(INDEX(사건마스터!$AL$5:$AL$64,MATCH($F552,사건마스터!$A$5:$A$64,0)),""))</f>
        <v/>
      </c>
      <c r="O552" s="43">
        <f>IF($I552="","",COUNTIF($I552:$N552,"?*"))</f>
        <v/>
      </c>
      <c r="P552" s="46">
        <f>IF($I552="","",_xlfn.TEXTJOIN(", ",TRUE,$I552:$N552))</f>
        <v/>
      </c>
      <c r="Q552" s="47">
        <f>IF($I552="","",IFERROR(INDEX(코드설정!$D$5:$D$24,MATCH($I552,코드설정!$C$5:$C$24,0)),""))</f>
        <v/>
      </c>
      <c r="R552" s="49" t="n"/>
      <c r="S552" s="50" t="n"/>
      <c r="T552" s="51" t="n"/>
      <c r="U552" s="43">
        <f>IF(OR($B552="",$C552=""),"",$C552-$B552+1)</f>
        <v/>
      </c>
      <c r="V552" s="52" t="n"/>
      <c r="W552" s="53">
        <f>IF(OR($V552="",$O552=""),"",$V552*$O552)</f>
        <v/>
      </c>
      <c r="X552" s="45" t="n"/>
      <c r="Y552" s="49" t="n"/>
    </row>
    <row r="553">
      <c r="A553" s="43">
        <f>IF($B553="","",COUNT($B$5:$B553))</f>
        <v/>
      </c>
      <c r="B553" s="44" t="n"/>
      <c r="C553" s="44" t="n"/>
      <c r="D553" s="45" t="n"/>
      <c r="E553" s="45" t="n"/>
      <c r="F553" s="45" t="n"/>
      <c r="G553" s="46">
        <f>IF($F553="","",IFERROR(INDEX(사건마스터!$B$5:$B$64,MATCH($F553,사건마스터!$A$5:$A$64,0)),""))</f>
        <v/>
      </c>
      <c r="H553" s="47">
        <f>IF($F553="","",IFERROR(INDEX(사건마스터!$C$5:$C$64,MATCH($F553,사건마스터!$A$5:$A$64,0)),""))</f>
        <v/>
      </c>
      <c r="I553" s="48">
        <f>IF($F553="","",IFERROR(INDEX(사건마스터!$H$5:$H$64,MATCH($F553,사건마스터!$A$5:$A$64,0)),""))</f>
        <v/>
      </c>
      <c r="J553" s="48">
        <f>IF($F553="","",IFERROR(INDEX(사건마스터!$AH$5:$AH$64,MATCH($F553,사건마스터!$A$5:$A$64,0)),""))</f>
        <v/>
      </c>
      <c r="K553" s="48">
        <f>IF($F553="","",IFERROR(INDEX(사건마스터!$AI$5:$AI$64,MATCH($F553,사건마스터!$A$5:$A$64,0)),""))</f>
        <v/>
      </c>
      <c r="L553" s="48">
        <f>IF($F553="","",IFERROR(INDEX(사건마스터!$AJ$5:$AJ$64,MATCH($F553,사건마스터!$A$5:$A$64,0)),""))</f>
        <v/>
      </c>
      <c r="M553" s="48">
        <f>IF($F553="","",IFERROR(INDEX(사건마스터!$AK$5:$AK$64,MATCH($F553,사건마스터!$A$5:$A$64,0)),""))</f>
        <v/>
      </c>
      <c r="N553" s="48">
        <f>IF($F553="","",IFERROR(INDEX(사건마스터!$AL$5:$AL$64,MATCH($F553,사건마스터!$A$5:$A$64,0)),""))</f>
        <v/>
      </c>
      <c r="O553" s="43">
        <f>IF($I553="","",COUNTIF($I553:$N553,"?*"))</f>
        <v/>
      </c>
      <c r="P553" s="46">
        <f>IF($I553="","",_xlfn.TEXTJOIN(", ",TRUE,$I553:$N553))</f>
        <v/>
      </c>
      <c r="Q553" s="47">
        <f>IF($I553="","",IFERROR(INDEX(코드설정!$D$5:$D$24,MATCH($I553,코드설정!$C$5:$C$24,0)),""))</f>
        <v/>
      </c>
      <c r="R553" s="49" t="n"/>
      <c r="S553" s="50" t="n"/>
      <c r="T553" s="51" t="n"/>
      <c r="U553" s="43">
        <f>IF(OR($B553="",$C553=""),"",$C553-$B553+1)</f>
        <v/>
      </c>
      <c r="V553" s="52" t="n"/>
      <c r="W553" s="53">
        <f>IF(OR($V553="",$O553=""),"",$V553*$O553)</f>
        <v/>
      </c>
      <c r="X553" s="45" t="n"/>
      <c r="Y553" s="49" t="n"/>
    </row>
    <row r="554">
      <c r="A554" s="43">
        <f>IF($B554="","",COUNT($B$5:$B554))</f>
        <v/>
      </c>
      <c r="B554" s="44" t="n"/>
      <c r="C554" s="44" t="n"/>
      <c r="D554" s="45" t="n"/>
      <c r="E554" s="45" t="n"/>
      <c r="F554" s="45" t="n"/>
      <c r="G554" s="46">
        <f>IF($F554="","",IFERROR(INDEX(사건마스터!$B$5:$B$64,MATCH($F554,사건마스터!$A$5:$A$64,0)),""))</f>
        <v/>
      </c>
      <c r="H554" s="47">
        <f>IF($F554="","",IFERROR(INDEX(사건마스터!$C$5:$C$64,MATCH($F554,사건마스터!$A$5:$A$64,0)),""))</f>
        <v/>
      </c>
      <c r="I554" s="48">
        <f>IF($F554="","",IFERROR(INDEX(사건마스터!$H$5:$H$64,MATCH($F554,사건마스터!$A$5:$A$64,0)),""))</f>
        <v/>
      </c>
      <c r="J554" s="48">
        <f>IF($F554="","",IFERROR(INDEX(사건마스터!$AH$5:$AH$64,MATCH($F554,사건마스터!$A$5:$A$64,0)),""))</f>
        <v/>
      </c>
      <c r="K554" s="48">
        <f>IF($F554="","",IFERROR(INDEX(사건마스터!$AI$5:$AI$64,MATCH($F554,사건마스터!$A$5:$A$64,0)),""))</f>
        <v/>
      </c>
      <c r="L554" s="48">
        <f>IF($F554="","",IFERROR(INDEX(사건마스터!$AJ$5:$AJ$64,MATCH($F554,사건마스터!$A$5:$A$64,0)),""))</f>
        <v/>
      </c>
      <c r="M554" s="48">
        <f>IF($F554="","",IFERROR(INDEX(사건마스터!$AK$5:$AK$64,MATCH($F554,사건마스터!$A$5:$A$64,0)),""))</f>
        <v/>
      </c>
      <c r="N554" s="48">
        <f>IF($F554="","",IFERROR(INDEX(사건마스터!$AL$5:$AL$64,MATCH($F554,사건마스터!$A$5:$A$64,0)),""))</f>
        <v/>
      </c>
      <c r="O554" s="43">
        <f>IF($I554="","",COUNTIF($I554:$N554,"?*"))</f>
        <v/>
      </c>
      <c r="P554" s="46">
        <f>IF($I554="","",_xlfn.TEXTJOIN(", ",TRUE,$I554:$N554))</f>
        <v/>
      </c>
      <c r="Q554" s="47">
        <f>IF($I554="","",IFERROR(INDEX(코드설정!$D$5:$D$24,MATCH($I554,코드설정!$C$5:$C$24,0)),""))</f>
        <v/>
      </c>
      <c r="R554" s="49" t="n"/>
      <c r="S554" s="50" t="n"/>
      <c r="T554" s="51" t="n"/>
      <c r="U554" s="43">
        <f>IF(OR($B554="",$C554=""),"",$C554-$B554+1)</f>
        <v/>
      </c>
      <c r="V554" s="52" t="n"/>
      <c r="W554" s="53">
        <f>IF(OR($V554="",$O554=""),"",$V554*$O554)</f>
        <v/>
      </c>
      <c r="X554" s="45" t="n"/>
      <c r="Y554" s="49" t="n"/>
    </row>
    <row r="555">
      <c r="A555" s="43">
        <f>IF($B555="","",COUNT($B$5:$B555))</f>
        <v/>
      </c>
      <c r="B555" s="44" t="n"/>
      <c r="C555" s="44" t="n"/>
      <c r="D555" s="45" t="n"/>
      <c r="E555" s="45" t="n"/>
      <c r="F555" s="45" t="n"/>
      <c r="G555" s="46">
        <f>IF($F555="","",IFERROR(INDEX(사건마스터!$B$5:$B$64,MATCH($F555,사건마스터!$A$5:$A$64,0)),""))</f>
        <v/>
      </c>
      <c r="H555" s="47">
        <f>IF($F555="","",IFERROR(INDEX(사건마스터!$C$5:$C$64,MATCH($F555,사건마스터!$A$5:$A$64,0)),""))</f>
        <v/>
      </c>
      <c r="I555" s="48">
        <f>IF($F555="","",IFERROR(INDEX(사건마스터!$H$5:$H$64,MATCH($F555,사건마스터!$A$5:$A$64,0)),""))</f>
        <v/>
      </c>
      <c r="J555" s="48">
        <f>IF($F555="","",IFERROR(INDEX(사건마스터!$AH$5:$AH$64,MATCH($F555,사건마스터!$A$5:$A$64,0)),""))</f>
        <v/>
      </c>
      <c r="K555" s="48">
        <f>IF($F555="","",IFERROR(INDEX(사건마스터!$AI$5:$AI$64,MATCH($F555,사건마스터!$A$5:$A$64,0)),""))</f>
        <v/>
      </c>
      <c r="L555" s="48">
        <f>IF($F555="","",IFERROR(INDEX(사건마스터!$AJ$5:$AJ$64,MATCH($F555,사건마스터!$A$5:$A$64,0)),""))</f>
        <v/>
      </c>
      <c r="M555" s="48">
        <f>IF($F555="","",IFERROR(INDEX(사건마스터!$AK$5:$AK$64,MATCH($F555,사건마스터!$A$5:$A$64,0)),""))</f>
        <v/>
      </c>
      <c r="N555" s="48">
        <f>IF($F555="","",IFERROR(INDEX(사건마스터!$AL$5:$AL$64,MATCH($F555,사건마스터!$A$5:$A$64,0)),""))</f>
        <v/>
      </c>
      <c r="O555" s="43">
        <f>IF($I555="","",COUNTIF($I555:$N555,"?*"))</f>
        <v/>
      </c>
      <c r="P555" s="46">
        <f>IF($I555="","",_xlfn.TEXTJOIN(", ",TRUE,$I555:$N555))</f>
        <v/>
      </c>
      <c r="Q555" s="47">
        <f>IF($I555="","",IFERROR(INDEX(코드설정!$D$5:$D$24,MATCH($I555,코드설정!$C$5:$C$24,0)),""))</f>
        <v/>
      </c>
      <c r="R555" s="49" t="n"/>
      <c r="S555" s="50" t="n"/>
      <c r="T555" s="51" t="n"/>
      <c r="U555" s="43">
        <f>IF(OR($B555="",$C555=""),"",$C555-$B555+1)</f>
        <v/>
      </c>
      <c r="V555" s="52" t="n"/>
      <c r="W555" s="53">
        <f>IF(OR($V555="",$O555=""),"",$V555*$O555)</f>
        <v/>
      </c>
      <c r="X555" s="45" t="n"/>
      <c r="Y555" s="49" t="n"/>
    </row>
    <row r="556">
      <c r="A556" s="43">
        <f>IF($B556="","",COUNT($B$5:$B556))</f>
        <v/>
      </c>
      <c r="B556" s="44" t="n"/>
      <c r="C556" s="44" t="n"/>
      <c r="D556" s="45" t="n"/>
      <c r="E556" s="45" t="n"/>
      <c r="F556" s="45" t="n"/>
      <c r="G556" s="46">
        <f>IF($F556="","",IFERROR(INDEX(사건마스터!$B$5:$B$64,MATCH($F556,사건마스터!$A$5:$A$64,0)),""))</f>
        <v/>
      </c>
      <c r="H556" s="47">
        <f>IF($F556="","",IFERROR(INDEX(사건마스터!$C$5:$C$64,MATCH($F556,사건마스터!$A$5:$A$64,0)),""))</f>
        <v/>
      </c>
      <c r="I556" s="48">
        <f>IF($F556="","",IFERROR(INDEX(사건마스터!$H$5:$H$64,MATCH($F556,사건마스터!$A$5:$A$64,0)),""))</f>
        <v/>
      </c>
      <c r="J556" s="48">
        <f>IF($F556="","",IFERROR(INDEX(사건마스터!$AH$5:$AH$64,MATCH($F556,사건마스터!$A$5:$A$64,0)),""))</f>
        <v/>
      </c>
      <c r="K556" s="48">
        <f>IF($F556="","",IFERROR(INDEX(사건마스터!$AI$5:$AI$64,MATCH($F556,사건마스터!$A$5:$A$64,0)),""))</f>
        <v/>
      </c>
      <c r="L556" s="48">
        <f>IF($F556="","",IFERROR(INDEX(사건마스터!$AJ$5:$AJ$64,MATCH($F556,사건마스터!$A$5:$A$64,0)),""))</f>
        <v/>
      </c>
      <c r="M556" s="48">
        <f>IF($F556="","",IFERROR(INDEX(사건마스터!$AK$5:$AK$64,MATCH($F556,사건마스터!$A$5:$A$64,0)),""))</f>
        <v/>
      </c>
      <c r="N556" s="48">
        <f>IF($F556="","",IFERROR(INDEX(사건마스터!$AL$5:$AL$64,MATCH($F556,사건마스터!$A$5:$A$64,0)),""))</f>
        <v/>
      </c>
      <c r="O556" s="43">
        <f>IF($I556="","",COUNTIF($I556:$N556,"?*"))</f>
        <v/>
      </c>
      <c r="P556" s="46">
        <f>IF($I556="","",_xlfn.TEXTJOIN(", ",TRUE,$I556:$N556))</f>
        <v/>
      </c>
      <c r="Q556" s="47">
        <f>IF($I556="","",IFERROR(INDEX(코드설정!$D$5:$D$24,MATCH($I556,코드설정!$C$5:$C$24,0)),""))</f>
        <v/>
      </c>
      <c r="R556" s="49" t="n"/>
      <c r="S556" s="50" t="n"/>
      <c r="T556" s="51" t="n"/>
      <c r="U556" s="43">
        <f>IF(OR($B556="",$C556=""),"",$C556-$B556+1)</f>
        <v/>
      </c>
      <c r="V556" s="52" t="n"/>
      <c r="W556" s="53">
        <f>IF(OR($V556="",$O556=""),"",$V556*$O556)</f>
        <v/>
      </c>
      <c r="X556" s="45" t="n"/>
      <c r="Y556" s="49" t="n"/>
    </row>
    <row r="557">
      <c r="A557" s="43">
        <f>IF($B557="","",COUNT($B$5:$B557))</f>
        <v/>
      </c>
      <c r="B557" s="44" t="n"/>
      <c r="C557" s="44" t="n"/>
      <c r="D557" s="45" t="n"/>
      <c r="E557" s="45" t="n"/>
      <c r="F557" s="45" t="n"/>
      <c r="G557" s="46">
        <f>IF($F557="","",IFERROR(INDEX(사건마스터!$B$5:$B$64,MATCH($F557,사건마스터!$A$5:$A$64,0)),""))</f>
        <v/>
      </c>
      <c r="H557" s="47">
        <f>IF($F557="","",IFERROR(INDEX(사건마스터!$C$5:$C$64,MATCH($F557,사건마스터!$A$5:$A$64,0)),""))</f>
        <v/>
      </c>
      <c r="I557" s="48">
        <f>IF($F557="","",IFERROR(INDEX(사건마스터!$H$5:$H$64,MATCH($F557,사건마스터!$A$5:$A$64,0)),""))</f>
        <v/>
      </c>
      <c r="J557" s="48">
        <f>IF($F557="","",IFERROR(INDEX(사건마스터!$AH$5:$AH$64,MATCH($F557,사건마스터!$A$5:$A$64,0)),""))</f>
        <v/>
      </c>
      <c r="K557" s="48">
        <f>IF($F557="","",IFERROR(INDEX(사건마스터!$AI$5:$AI$64,MATCH($F557,사건마스터!$A$5:$A$64,0)),""))</f>
        <v/>
      </c>
      <c r="L557" s="48">
        <f>IF($F557="","",IFERROR(INDEX(사건마스터!$AJ$5:$AJ$64,MATCH($F557,사건마스터!$A$5:$A$64,0)),""))</f>
        <v/>
      </c>
      <c r="M557" s="48">
        <f>IF($F557="","",IFERROR(INDEX(사건마스터!$AK$5:$AK$64,MATCH($F557,사건마스터!$A$5:$A$64,0)),""))</f>
        <v/>
      </c>
      <c r="N557" s="48">
        <f>IF($F557="","",IFERROR(INDEX(사건마스터!$AL$5:$AL$64,MATCH($F557,사건마스터!$A$5:$A$64,0)),""))</f>
        <v/>
      </c>
      <c r="O557" s="43">
        <f>IF($I557="","",COUNTIF($I557:$N557,"?*"))</f>
        <v/>
      </c>
      <c r="P557" s="46">
        <f>IF($I557="","",_xlfn.TEXTJOIN(", ",TRUE,$I557:$N557))</f>
        <v/>
      </c>
      <c r="Q557" s="47">
        <f>IF($I557="","",IFERROR(INDEX(코드설정!$D$5:$D$24,MATCH($I557,코드설정!$C$5:$C$24,0)),""))</f>
        <v/>
      </c>
      <c r="R557" s="49" t="n"/>
      <c r="S557" s="50" t="n"/>
      <c r="T557" s="51" t="n"/>
      <c r="U557" s="43">
        <f>IF(OR($B557="",$C557=""),"",$C557-$B557+1)</f>
        <v/>
      </c>
      <c r="V557" s="52" t="n"/>
      <c r="W557" s="53">
        <f>IF(OR($V557="",$O557=""),"",$V557*$O557)</f>
        <v/>
      </c>
      <c r="X557" s="45" t="n"/>
      <c r="Y557" s="49" t="n"/>
    </row>
    <row r="558">
      <c r="A558" s="43">
        <f>IF($B558="","",COUNT($B$5:$B558))</f>
        <v/>
      </c>
      <c r="B558" s="44" t="n"/>
      <c r="C558" s="44" t="n"/>
      <c r="D558" s="45" t="n"/>
      <c r="E558" s="45" t="n"/>
      <c r="F558" s="45" t="n"/>
      <c r="G558" s="46">
        <f>IF($F558="","",IFERROR(INDEX(사건마스터!$B$5:$B$64,MATCH($F558,사건마스터!$A$5:$A$64,0)),""))</f>
        <v/>
      </c>
      <c r="H558" s="47">
        <f>IF($F558="","",IFERROR(INDEX(사건마스터!$C$5:$C$64,MATCH($F558,사건마스터!$A$5:$A$64,0)),""))</f>
        <v/>
      </c>
      <c r="I558" s="48">
        <f>IF($F558="","",IFERROR(INDEX(사건마스터!$H$5:$H$64,MATCH($F558,사건마스터!$A$5:$A$64,0)),""))</f>
        <v/>
      </c>
      <c r="J558" s="48">
        <f>IF($F558="","",IFERROR(INDEX(사건마스터!$AH$5:$AH$64,MATCH($F558,사건마스터!$A$5:$A$64,0)),""))</f>
        <v/>
      </c>
      <c r="K558" s="48">
        <f>IF($F558="","",IFERROR(INDEX(사건마스터!$AI$5:$AI$64,MATCH($F558,사건마스터!$A$5:$A$64,0)),""))</f>
        <v/>
      </c>
      <c r="L558" s="48">
        <f>IF($F558="","",IFERROR(INDEX(사건마스터!$AJ$5:$AJ$64,MATCH($F558,사건마스터!$A$5:$A$64,0)),""))</f>
        <v/>
      </c>
      <c r="M558" s="48">
        <f>IF($F558="","",IFERROR(INDEX(사건마스터!$AK$5:$AK$64,MATCH($F558,사건마스터!$A$5:$A$64,0)),""))</f>
        <v/>
      </c>
      <c r="N558" s="48">
        <f>IF($F558="","",IFERROR(INDEX(사건마스터!$AL$5:$AL$64,MATCH($F558,사건마스터!$A$5:$A$64,0)),""))</f>
        <v/>
      </c>
      <c r="O558" s="43">
        <f>IF($I558="","",COUNTIF($I558:$N558,"?*"))</f>
        <v/>
      </c>
      <c r="P558" s="46">
        <f>IF($I558="","",_xlfn.TEXTJOIN(", ",TRUE,$I558:$N558))</f>
        <v/>
      </c>
      <c r="Q558" s="47">
        <f>IF($I558="","",IFERROR(INDEX(코드설정!$D$5:$D$24,MATCH($I558,코드설정!$C$5:$C$24,0)),""))</f>
        <v/>
      </c>
      <c r="R558" s="49" t="n"/>
      <c r="S558" s="50" t="n"/>
      <c r="T558" s="51" t="n"/>
      <c r="U558" s="43">
        <f>IF(OR($B558="",$C558=""),"",$C558-$B558+1)</f>
        <v/>
      </c>
      <c r="V558" s="52" t="n"/>
      <c r="W558" s="53">
        <f>IF(OR($V558="",$O558=""),"",$V558*$O558)</f>
        <v/>
      </c>
      <c r="X558" s="45" t="n"/>
      <c r="Y558" s="49" t="n"/>
    </row>
    <row r="559">
      <c r="A559" s="43">
        <f>IF($B559="","",COUNT($B$5:$B559))</f>
        <v/>
      </c>
      <c r="B559" s="44" t="n"/>
      <c r="C559" s="44" t="n"/>
      <c r="D559" s="45" t="n"/>
      <c r="E559" s="45" t="n"/>
      <c r="F559" s="45" t="n"/>
      <c r="G559" s="46">
        <f>IF($F559="","",IFERROR(INDEX(사건마스터!$B$5:$B$64,MATCH($F559,사건마스터!$A$5:$A$64,0)),""))</f>
        <v/>
      </c>
      <c r="H559" s="47">
        <f>IF($F559="","",IFERROR(INDEX(사건마스터!$C$5:$C$64,MATCH($F559,사건마스터!$A$5:$A$64,0)),""))</f>
        <v/>
      </c>
      <c r="I559" s="48">
        <f>IF($F559="","",IFERROR(INDEX(사건마스터!$H$5:$H$64,MATCH($F559,사건마스터!$A$5:$A$64,0)),""))</f>
        <v/>
      </c>
      <c r="J559" s="48">
        <f>IF($F559="","",IFERROR(INDEX(사건마스터!$AH$5:$AH$64,MATCH($F559,사건마스터!$A$5:$A$64,0)),""))</f>
        <v/>
      </c>
      <c r="K559" s="48">
        <f>IF($F559="","",IFERROR(INDEX(사건마스터!$AI$5:$AI$64,MATCH($F559,사건마스터!$A$5:$A$64,0)),""))</f>
        <v/>
      </c>
      <c r="L559" s="48">
        <f>IF($F559="","",IFERROR(INDEX(사건마스터!$AJ$5:$AJ$64,MATCH($F559,사건마스터!$A$5:$A$64,0)),""))</f>
        <v/>
      </c>
      <c r="M559" s="48">
        <f>IF($F559="","",IFERROR(INDEX(사건마스터!$AK$5:$AK$64,MATCH($F559,사건마스터!$A$5:$A$64,0)),""))</f>
        <v/>
      </c>
      <c r="N559" s="48">
        <f>IF($F559="","",IFERROR(INDEX(사건마스터!$AL$5:$AL$64,MATCH($F559,사건마스터!$A$5:$A$64,0)),""))</f>
        <v/>
      </c>
      <c r="O559" s="43">
        <f>IF($I559="","",COUNTIF($I559:$N559,"?*"))</f>
        <v/>
      </c>
      <c r="P559" s="46">
        <f>IF($I559="","",_xlfn.TEXTJOIN(", ",TRUE,$I559:$N559))</f>
        <v/>
      </c>
      <c r="Q559" s="47">
        <f>IF($I559="","",IFERROR(INDEX(코드설정!$D$5:$D$24,MATCH($I559,코드설정!$C$5:$C$24,0)),""))</f>
        <v/>
      </c>
      <c r="R559" s="49" t="n"/>
      <c r="S559" s="50" t="n"/>
      <c r="T559" s="51" t="n"/>
      <c r="U559" s="43">
        <f>IF(OR($B559="",$C559=""),"",$C559-$B559+1)</f>
        <v/>
      </c>
      <c r="V559" s="52" t="n"/>
      <c r="W559" s="53">
        <f>IF(OR($V559="",$O559=""),"",$V559*$O559)</f>
        <v/>
      </c>
      <c r="X559" s="45" t="n"/>
      <c r="Y559" s="49" t="n"/>
    </row>
    <row r="560">
      <c r="A560" s="43">
        <f>IF($B560="","",COUNT($B$5:$B560))</f>
        <v/>
      </c>
      <c r="B560" s="44" t="n"/>
      <c r="C560" s="44" t="n"/>
      <c r="D560" s="45" t="n"/>
      <c r="E560" s="45" t="n"/>
      <c r="F560" s="45" t="n"/>
      <c r="G560" s="46">
        <f>IF($F560="","",IFERROR(INDEX(사건마스터!$B$5:$B$64,MATCH($F560,사건마스터!$A$5:$A$64,0)),""))</f>
        <v/>
      </c>
      <c r="H560" s="47">
        <f>IF($F560="","",IFERROR(INDEX(사건마스터!$C$5:$C$64,MATCH($F560,사건마스터!$A$5:$A$64,0)),""))</f>
        <v/>
      </c>
      <c r="I560" s="48">
        <f>IF($F560="","",IFERROR(INDEX(사건마스터!$H$5:$H$64,MATCH($F560,사건마스터!$A$5:$A$64,0)),""))</f>
        <v/>
      </c>
      <c r="J560" s="48">
        <f>IF($F560="","",IFERROR(INDEX(사건마스터!$AH$5:$AH$64,MATCH($F560,사건마스터!$A$5:$A$64,0)),""))</f>
        <v/>
      </c>
      <c r="K560" s="48">
        <f>IF($F560="","",IFERROR(INDEX(사건마스터!$AI$5:$AI$64,MATCH($F560,사건마스터!$A$5:$A$64,0)),""))</f>
        <v/>
      </c>
      <c r="L560" s="48">
        <f>IF($F560="","",IFERROR(INDEX(사건마스터!$AJ$5:$AJ$64,MATCH($F560,사건마스터!$A$5:$A$64,0)),""))</f>
        <v/>
      </c>
      <c r="M560" s="48">
        <f>IF($F560="","",IFERROR(INDEX(사건마스터!$AK$5:$AK$64,MATCH($F560,사건마스터!$A$5:$A$64,0)),""))</f>
        <v/>
      </c>
      <c r="N560" s="48">
        <f>IF($F560="","",IFERROR(INDEX(사건마스터!$AL$5:$AL$64,MATCH($F560,사건마스터!$A$5:$A$64,0)),""))</f>
        <v/>
      </c>
      <c r="O560" s="43">
        <f>IF($I560="","",COUNTIF($I560:$N560,"?*"))</f>
        <v/>
      </c>
      <c r="P560" s="46">
        <f>IF($I560="","",_xlfn.TEXTJOIN(", ",TRUE,$I560:$N560))</f>
        <v/>
      </c>
      <c r="Q560" s="47">
        <f>IF($I560="","",IFERROR(INDEX(코드설정!$D$5:$D$24,MATCH($I560,코드설정!$C$5:$C$24,0)),""))</f>
        <v/>
      </c>
      <c r="R560" s="49" t="n"/>
      <c r="S560" s="50" t="n"/>
      <c r="T560" s="51" t="n"/>
      <c r="U560" s="43">
        <f>IF(OR($B560="",$C560=""),"",$C560-$B560+1)</f>
        <v/>
      </c>
      <c r="V560" s="52" t="n"/>
      <c r="W560" s="53">
        <f>IF(OR($V560="",$O560=""),"",$V560*$O560)</f>
        <v/>
      </c>
      <c r="X560" s="45" t="n"/>
      <c r="Y560" s="49" t="n"/>
    </row>
    <row r="561">
      <c r="A561" s="43">
        <f>IF($B561="","",COUNT($B$5:$B561))</f>
        <v/>
      </c>
      <c r="B561" s="44" t="n"/>
      <c r="C561" s="44" t="n"/>
      <c r="D561" s="45" t="n"/>
      <c r="E561" s="45" t="n"/>
      <c r="F561" s="45" t="n"/>
      <c r="G561" s="46">
        <f>IF($F561="","",IFERROR(INDEX(사건마스터!$B$5:$B$64,MATCH($F561,사건마스터!$A$5:$A$64,0)),""))</f>
        <v/>
      </c>
      <c r="H561" s="47">
        <f>IF($F561="","",IFERROR(INDEX(사건마스터!$C$5:$C$64,MATCH($F561,사건마스터!$A$5:$A$64,0)),""))</f>
        <v/>
      </c>
      <c r="I561" s="48">
        <f>IF($F561="","",IFERROR(INDEX(사건마스터!$H$5:$H$64,MATCH($F561,사건마스터!$A$5:$A$64,0)),""))</f>
        <v/>
      </c>
      <c r="J561" s="48">
        <f>IF($F561="","",IFERROR(INDEX(사건마스터!$AH$5:$AH$64,MATCH($F561,사건마스터!$A$5:$A$64,0)),""))</f>
        <v/>
      </c>
      <c r="K561" s="48">
        <f>IF($F561="","",IFERROR(INDEX(사건마스터!$AI$5:$AI$64,MATCH($F561,사건마스터!$A$5:$A$64,0)),""))</f>
        <v/>
      </c>
      <c r="L561" s="48">
        <f>IF($F561="","",IFERROR(INDEX(사건마스터!$AJ$5:$AJ$64,MATCH($F561,사건마스터!$A$5:$A$64,0)),""))</f>
        <v/>
      </c>
      <c r="M561" s="48">
        <f>IF($F561="","",IFERROR(INDEX(사건마스터!$AK$5:$AK$64,MATCH($F561,사건마스터!$A$5:$A$64,0)),""))</f>
        <v/>
      </c>
      <c r="N561" s="48">
        <f>IF($F561="","",IFERROR(INDEX(사건마스터!$AL$5:$AL$64,MATCH($F561,사건마스터!$A$5:$A$64,0)),""))</f>
        <v/>
      </c>
      <c r="O561" s="43">
        <f>IF($I561="","",COUNTIF($I561:$N561,"?*"))</f>
        <v/>
      </c>
      <c r="P561" s="46">
        <f>IF($I561="","",_xlfn.TEXTJOIN(", ",TRUE,$I561:$N561))</f>
        <v/>
      </c>
      <c r="Q561" s="47">
        <f>IF($I561="","",IFERROR(INDEX(코드설정!$D$5:$D$24,MATCH($I561,코드설정!$C$5:$C$24,0)),""))</f>
        <v/>
      </c>
      <c r="R561" s="49" t="n"/>
      <c r="S561" s="50" t="n"/>
      <c r="T561" s="51" t="n"/>
      <c r="U561" s="43">
        <f>IF(OR($B561="",$C561=""),"",$C561-$B561+1)</f>
        <v/>
      </c>
      <c r="V561" s="52" t="n"/>
      <c r="W561" s="53">
        <f>IF(OR($V561="",$O561=""),"",$V561*$O561)</f>
        <v/>
      </c>
      <c r="X561" s="45" t="n"/>
      <c r="Y561" s="49" t="n"/>
    </row>
    <row r="562">
      <c r="A562" s="43">
        <f>IF($B562="","",COUNT($B$5:$B562))</f>
        <v/>
      </c>
      <c r="B562" s="44" t="n"/>
      <c r="C562" s="44" t="n"/>
      <c r="D562" s="45" t="n"/>
      <c r="E562" s="45" t="n"/>
      <c r="F562" s="45" t="n"/>
      <c r="G562" s="46">
        <f>IF($F562="","",IFERROR(INDEX(사건마스터!$B$5:$B$64,MATCH($F562,사건마스터!$A$5:$A$64,0)),""))</f>
        <v/>
      </c>
      <c r="H562" s="47">
        <f>IF($F562="","",IFERROR(INDEX(사건마스터!$C$5:$C$64,MATCH($F562,사건마스터!$A$5:$A$64,0)),""))</f>
        <v/>
      </c>
      <c r="I562" s="48">
        <f>IF($F562="","",IFERROR(INDEX(사건마스터!$H$5:$H$64,MATCH($F562,사건마스터!$A$5:$A$64,0)),""))</f>
        <v/>
      </c>
      <c r="J562" s="48">
        <f>IF($F562="","",IFERROR(INDEX(사건마스터!$AH$5:$AH$64,MATCH($F562,사건마스터!$A$5:$A$64,0)),""))</f>
        <v/>
      </c>
      <c r="K562" s="48">
        <f>IF($F562="","",IFERROR(INDEX(사건마스터!$AI$5:$AI$64,MATCH($F562,사건마스터!$A$5:$A$64,0)),""))</f>
        <v/>
      </c>
      <c r="L562" s="48">
        <f>IF($F562="","",IFERROR(INDEX(사건마스터!$AJ$5:$AJ$64,MATCH($F562,사건마스터!$A$5:$A$64,0)),""))</f>
        <v/>
      </c>
      <c r="M562" s="48">
        <f>IF($F562="","",IFERROR(INDEX(사건마스터!$AK$5:$AK$64,MATCH($F562,사건마스터!$A$5:$A$64,0)),""))</f>
        <v/>
      </c>
      <c r="N562" s="48">
        <f>IF($F562="","",IFERROR(INDEX(사건마스터!$AL$5:$AL$64,MATCH($F562,사건마스터!$A$5:$A$64,0)),""))</f>
        <v/>
      </c>
      <c r="O562" s="43">
        <f>IF($I562="","",COUNTIF($I562:$N562,"?*"))</f>
        <v/>
      </c>
      <c r="P562" s="46">
        <f>IF($I562="","",_xlfn.TEXTJOIN(", ",TRUE,$I562:$N562))</f>
        <v/>
      </c>
      <c r="Q562" s="47">
        <f>IF($I562="","",IFERROR(INDEX(코드설정!$D$5:$D$24,MATCH($I562,코드설정!$C$5:$C$24,0)),""))</f>
        <v/>
      </c>
      <c r="R562" s="49" t="n"/>
      <c r="S562" s="50" t="n"/>
      <c r="T562" s="51" t="n"/>
      <c r="U562" s="43">
        <f>IF(OR($B562="",$C562=""),"",$C562-$B562+1)</f>
        <v/>
      </c>
      <c r="V562" s="52" t="n"/>
      <c r="W562" s="53">
        <f>IF(OR($V562="",$O562=""),"",$V562*$O562)</f>
        <v/>
      </c>
      <c r="X562" s="45" t="n"/>
      <c r="Y562" s="49" t="n"/>
    </row>
    <row r="563">
      <c r="A563" s="43">
        <f>IF($B563="","",COUNT($B$5:$B563))</f>
        <v/>
      </c>
      <c r="B563" s="44" t="n"/>
      <c r="C563" s="44" t="n"/>
      <c r="D563" s="45" t="n"/>
      <c r="E563" s="45" t="n"/>
      <c r="F563" s="45" t="n"/>
      <c r="G563" s="46">
        <f>IF($F563="","",IFERROR(INDEX(사건마스터!$B$5:$B$64,MATCH($F563,사건마스터!$A$5:$A$64,0)),""))</f>
        <v/>
      </c>
      <c r="H563" s="47">
        <f>IF($F563="","",IFERROR(INDEX(사건마스터!$C$5:$C$64,MATCH($F563,사건마스터!$A$5:$A$64,0)),""))</f>
        <v/>
      </c>
      <c r="I563" s="48">
        <f>IF($F563="","",IFERROR(INDEX(사건마스터!$H$5:$H$64,MATCH($F563,사건마스터!$A$5:$A$64,0)),""))</f>
        <v/>
      </c>
      <c r="J563" s="48">
        <f>IF($F563="","",IFERROR(INDEX(사건마스터!$AH$5:$AH$64,MATCH($F563,사건마스터!$A$5:$A$64,0)),""))</f>
        <v/>
      </c>
      <c r="K563" s="48">
        <f>IF($F563="","",IFERROR(INDEX(사건마스터!$AI$5:$AI$64,MATCH($F563,사건마스터!$A$5:$A$64,0)),""))</f>
        <v/>
      </c>
      <c r="L563" s="48">
        <f>IF($F563="","",IFERROR(INDEX(사건마스터!$AJ$5:$AJ$64,MATCH($F563,사건마스터!$A$5:$A$64,0)),""))</f>
        <v/>
      </c>
      <c r="M563" s="48">
        <f>IF($F563="","",IFERROR(INDEX(사건마스터!$AK$5:$AK$64,MATCH($F563,사건마스터!$A$5:$A$64,0)),""))</f>
        <v/>
      </c>
      <c r="N563" s="48">
        <f>IF($F563="","",IFERROR(INDEX(사건마스터!$AL$5:$AL$64,MATCH($F563,사건마스터!$A$5:$A$64,0)),""))</f>
        <v/>
      </c>
      <c r="O563" s="43">
        <f>IF($I563="","",COUNTIF($I563:$N563,"?*"))</f>
        <v/>
      </c>
      <c r="P563" s="46">
        <f>IF($I563="","",_xlfn.TEXTJOIN(", ",TRUE,$I563:$N563))</f>
        <v/>
      </c>
      <c r="Q563" s="47">
        <f>IF($I563="","",IFERROR(INDEX(코드설정!$D$5:$D$24,MATCH($I563,코드설정!$C$5:$C$24,0)),""))</f>
        <v/>
      </c>
      <c r="R563" s="49" t="n"/>
      <c r="S563" s="50" t="n"/>
      <c r="T563" s="51" t="n"/>
      <c r="U563" s="43">
        <f>IF(OR($B563="",$C563=""),"",$C563-$B563+1)</f>
        <v/>
      </c>
      <c r="V563" s="52" t="n"/>
      <c r="W563" s="53">
        <f>IF(OR($V563="",$O563=""),"",$V563*$O563)</f>
        <v/>
      </c>
      <c r="X563" s="45" t="n"/>
      <c r="Y563" s="49" t="n"/>
    </row>
    <row r="564">
      <c r="A564" s="43">
        <f>IF($B564="","",COUNT($B$5:$B564))</f>
        <v/>
      </c>
      <c r="B564" s="44" t="n"/>
      <c r="C564" s="44" t="n"/>
      <c r="D564" s="45" t="n"/>
      <c r="E564" s="45" t="n"/>
      <c r="F564" s="45" t="n"/>
      <c r="G564" s="46">
        <f>IF($F564="","",IFERROR(INDEX(사건마스터!$B$5:$B$64,MATCH($F564,사건마스터!$A$5:$A$64,0)),""))</f>
        <v/>
      </c>
      <c r="H564" s="47">
        <f>IF($F564="","",IFERROR(INDEX(사건마스터!$C$5:$C$64,MATCH($F564,사건마스터!$A$5:$A$64,0)),""))</f>
        <v/>
      </c>
      <c r="I564" s="48">
        <f>IF($F564="","",IFERROR(INDEX(사건마스터!$H$5:$H$64,MATCH($F564,사건마스터!$A$5:$A$64,0)),""))</f>
        <v/>
      </c>
      <c r="J564" s="48">
        <f>IF($F564="","",IFERROR(INDEX(사건마스터!$AH$5:$AH$64,MATCH($F564,사건마스터!$A$5:$A$64,0)),""))</f>
        <v/>
      </c>
      <c r="K564" s="48">
        <f>IF($F564="","",IFERROR(INDEX(사건마스터!$AI$5:$AI$64,MATCH($F564,사건마스터!$A$5:$A$64,0)),""))</f>
        <v/>
      </c>
      <c r="L564" s="48">
        <f>IF($F564="","",IFERROR(INDEX(사건마스터!$AJ$5:$AJ$64,MATCH($F564,사건마스터!$A$5:$A$64,0)),""))</f>
        <v/>
      </c>
      <c r="M564" s="48">
        <f>IF($F564="","",IFERROR(INDEX(사건마스터!$AK$5:$AK$64,MATCH($F564,사건마스터!$A$5:$A$64,0)),""))</f>
        <v/>
      </c>
      <c r="N564" s="48">
        <f>IF($F564="","",IFERROR(INDEX(사건마스터!$AL$5:$AL$64,MATCH($F564,사건마스터!$A$5:$A$64,0)),""))</f>
        <v/>
      </c>
      <c r="O564" s="43">
        <f>IF($I564="","",COUNTIF($I564:$N564,"?*"))</f>
        <v/>
      </c>
      <c r="P564" s="46">
        <f>IF($I564="","",_xlfn.TEXTJOIN(", ",TRUE,$I564:$N564))</f>
        <v/>
      </c>
      <c r="Q564" s="47">
        <f>IF($I564="","",IFERROR(INDEX(코드설정!$D$5:$D$24,MATCH($I564,코드설정!$C$5:$C$24,0)),""))</f>
        <v/>
      </c>
      <c r="R564" s="49" t="n"/>
      <c r="S564" s="50" t="n"/>
      <c r="T564" s="51" t="n"/>
      <c r="U564" s="43">
        <f>IF(OR($B564="",$C564=""),"",$C564-$B564+1)</f>
        <v/>
      </c>
      <c r="V564" s="52" t="n"/>
      <c r="W564" s="53">
        <f>IF(OR($V564="",$O564=""),"",$V564*$O564)</f>
        <v/>
      </c>
      <c r="X564" s="45" t="n"/>
      <c r="Y564" s="49" t="n"/>
    </row>
    <row r="565">
      <c r="A565" s="43">
        <f>IF($B565="","",COUNT($B$5:$B565))</f>
        <v/>
      </c>
      <c r="B565" s="44" t="n"/>
      <c r="C565" s="44" t="n"/>
      <c r="D565" s="45" t="n"/>
      <c r="E565" s="45" t="n"/>
      <c r="F565" s="45" t="n"/>
      <c r="G565" s="46">
        <f>IF($F565="","",IFERROR(INDEX(사건마스터!$B$5:$B$64,MATCH($F565,사건마스터!$A$5:$A$64,0)),""))</f>
        <v/>
      </c>
      <c r="H565" s="47">
        <f>IF($F565="","",IFERROR(INDEX(사건마스터!$C$5:$C$64,MATCH($F565,사건마스터!$A$5:$A$64,0)),""))</f>
        <v/>
      </c>
      <c r="I565" s="48">
        <f>IF($F565="","",IFERROR(INDEX(사건마스터!$H$5:$H$64,MATCH($F565,사건마스터!$A$5:$A$64,0)),""))</f>
        <v/>
      </c>
      <c r="J565" s="48">
        <f>IF($F565="","",IFERROR(INDEX(사건마스터!$AH$5:$AH$64,MATCH($F565,사건마스터!$A$5:$A$64,0)),""))</f>
        <v/>
      </c>
      <c r="K565" s="48">
        <f>IF($F565="","",IFERROR(INDEX(사건마스터!$AI$5:$AI$64,MATCH($F565,사건마스터!$A$5:$A$64,0)),""))</f>
        <v/>
      </c>
      <c r="L565" s="48">
        <f>IF($F565="","",IFERROR(INDEX(사건마스터!$AJ$5:$AJ$64,MATCH($F565,사건마스터!$A$5:$A$64,0)),""))</f>
        <v/>
      </c>
      <c r="M565" s="48">
        <f>IF($F565="","",IFERROR(INDEX(사건마스터!$AK$5:$AK$64,MATCH($F565,사건마스터!$A$5:$A$64,0)),""))</f>
        <v/>
      </c>
      <c r="N565" s="48">
        <f>IF($F565="","",IFERROR(INDEX(사건마스터!$AL$5:$AL$64,MATCH($F565,사건마스터!$A$5:$A$64,0)),""))</f>
        <v/>
      </c>
      <c r="O565" s="43">
        <f>IF($I565="","",COUNTIF($I565:$N565,"?*"))</f>
        <v/>
      </c>
      <c r="P565" s="46">
        <f>IF($I565="","",_xlfn.TEXTJOIN(", ",TRUE,$I565:$N565))</f>
        <v/>
      </c>
      <c r="Q565" s="47">
        <f>IF($I565="","",IFERROR(INDEX(코드설정!$D$5:$D$24,MATCH($I565,코드설정!$C$5:$C$24,0)),""))</f>
        <v/>
      </c>
      <c r="R565" s="49" t="n"/>
      <c r="S565" s="50" t="n"/>
      <c r="T565" s="51" t="n"/>
      <c r="U565" s="43">
        <f>IF(OR($B565="",$C565=""),"",$C565-$B565+1)</f>
        <v/>
      </c>
      <c r="V565" s="52" t="n"/>
      <c r="W565" s="53">
        <f>IF(OR($V565="",$O565=""),"",$V565*$O565)</f>
        <v/>
      </c>
      <c r="X565" s="45" t="n"/>
      <c r="Y565" s="49" t="n"/>
    </row>
    <row r="566">
      <c r="A566" s="43">
        <f>IF($B566="","",COUNT($B$5:$B566))</f>
        <v/>
      </c>
      <c r="B566" s="44" t="n"/>
      <c r="C566" s="44" t="n"/>
      <c r="D566" s="45" t="n"/>
      <c r="E566" s="45" t="n"/>
      <c r="F566" s="45" t="n"/>
      <c r="G566" s="46">
        <f>IF($F566="","",IFERROR(INDEX(사건마스터!$B$5:$B$64,MATCH($F566,사건마스터!$A$5:$A$64,0)),""))</f>
        <v/>
      </c>
      <c r="H566" s="47">
        <f>IF($F566="","",IFERROR(INDEX(사건마스터!$C$5:$C$64,MATCH($F566,사건마스터!$A$5:$A$64,0)),""))</f>
        <v/>
      </c>
      <c r="I566" s="48">
        <f>IF($F566="","",IFERROR(INDEX(사건마스터!$H$5:$H$64,MATCH($F566,사건마스터!$A$5:$A$64,0)),""))</f>
        <v/>
      </c>
      <c r="J566" s="48">
        <f>IF($F566="","",IFERROR(INDEX(사건마스터!$AH$5:$AH$64,MATCH($F566,사건마스터!$A$5:$A$64,0)),""))</f>
        <v/>
      </c>
      <c r="K566" s="48">
        <f>IF($F566="","",IFERROR(INDEX(사건마스터!$AI$5:$AI$64,MATCH($F566,사건마스터!$A$5:$A$64,0)),""))</f>
        <v/>
      </c>
      <c r="L566" s="48">
        <f>IF($F566="","",IFERROR(INDEX(사건마스터!$AJ$5:$AJ$64,MATCH($F566,사건마스터!$A$5:$A$64,0)),""))</f>
        <v/>
      </c>
      <c r="M566" s="48">
        <f>IF($F566="","",IFERROR(INDEX(사건마스터!$AK$5:$AK$64,MATCH($F566,사건마스터!$A$5:$A$64,0)),""))</f>
        <v/>
      </c>
      <c r="N566" s="48">
        <f>IF($F566="","",IFERROR(INDEX(사건마스터!$AL$5:$AL$64,MATCH($F566,사건마스터!$A$5:$A$64,0)),""))</f>
        <v/>
      </c>
      <c r="O566" s="43">
        <f>IF($I566="","",COUNTIF($I566:$N566,"?*"))</f>
        <v/>
      </c>
      <c r="P566" s="46">
        <f>IF($I566="","",_xlfn.TEXTJOIN(", ",TRUE,$I566:$N566))</f>
        <v/>
      </c>
      <c r="Q566" s="47">
        <f>IF($I566="","",IFERROR(INDEX(코드설정!$D$5:$D$24,MATCH($I566,코드설정!$C$5:$C$24,0)),""))</f>
        <v/>
      </c>
      <c r="R566" s="49" t="n"/>
      <c r="S566" s="50" t="n"/>
      <c r="T566" s="51" t="n"/>
      <c r="U566" s="43">
        <f>IF(OR($B566="",$C566=""),"",$C566-$B566+1)</f>
        <v/>
      </c>
      <c r="V566" s="52" t="n"/>
      <c r="W566" s="53">
        <f>IF(OR($V566="",$O566=""),"",$V566*$O566)</f>
        <v/>
      </c>
      <c r="X566" s="45" t="n"/>
      <c r="Y566" s="49" t="n"/>
    </row>
    <row r="567">
      <c r="A567" s="43">
        <f>IF($B567="","",COUNT($B$5:$B567))</f>
        <v/>
      </c>
      <c r="B567" s="44" t="n"/>
      <c r="C567" s="44" t="n"/>
      <c r="D567" s="45" t="n"/>
      <c r="E567" s="45" t="n"/>
      <c r="F567" s="45" t="n"/>
      <c r="G567" s="46">
        <f>IF($F567="","",IFERROR(INDEX(사건마스터!$B$5:$B$64,MATCH($F567,사건마스터!$A$5:$A$64,0)),""))</f>
        <v/>
      </c>
      <c r="H567" s="47">
        <f>IF($F567="","",IFERROR(INDEX(사건마스터!$C$5:$C$64,MATCH($F567,사건마스터!$A$5:$A$64,0)),""))</f>
        <v/>
      </c>
      <c r="I567" s="48">
        <f>IF($F567="","",IFERROR(INDEX(사건마스터!$H$5:$H$64,MATCH($F567,사건마스터!$A$5:$A$64,0)),""))</f>
        <v/>
      </c>
      <c r="J567" s="48">
        <f>IF($F567="","",IFERROR(INDEX(사건마스터!$AH$5:$AH$64,MATCH($F567,사건마스터!$A$5:$A$64,0)),""))</f>
        <v/>
      </c>
      <c r="K567" s="48">
        <f>IF($F567="","",IFERROR(INDEX(사건마스터!$AI$5:$AI$64,MATCH($F567,사건마스터!$A$5:$A$64,0)),""))</f>
        <v/>
      </c>
      <c r="L567" s="48">
        <f>IF($F567="","",IFERROR(INDEX(사건마스터!$AJ$5:$AJ$64,MATCH($F567,사건마스터!$A$5:$A$64,0)),""))</f>
        <v/>
      </c>
      <c r="M567" s="48">
        <f>IF($F567="","",IFERROR(INDEX(사건마스터!$AK$5:$AK$64,MATCH($F567,사건마스터!$A$5:$A$64,0)),""))</f>
        <v/>
      </c>
      <c r="N567" s="48">
        <f>IF($F567="","",IFERROR(INDEX(사건마스터!$AL$5:$AL$64,MATCH($F567,사건마스터!$A$5:$A$64,0)),""))</f>
        <v/>
      </c>
      <c r="O567" s="43">
        <f>IF($I567="","",COUNTIF($I567:$N567,"?*"))</f>
        <v/>
      </c>
      <c r="P567" s="46">
        <f>IF($I567="","",_xlfn.TEXTJOIN(", ",TRUE,$I567:$N567))</f>
        <v/>
      </c>
      <c r="Q567" s="47">
        <f>IF($I567="","",IFERROR(INDEX(코드설정!$D$5:$D$24,MATCH($I567,코드설정!$C$5:$C$24,0)),""))</f>
        <v/>
      </c>
      <c r="R567" s="49" t="n"/>
      <c r="S567" s="50" t="n"/>
      <c r="T567" s="51" t="n"/>
      <c r="U567" s="43">
        <f>IF(OR($B567="",$C567=""),"",$C567-$B567+1)</f>
        <v/>
      </c>
      <c r="V567" s="52" t="n"/>
      <c r="W567" s="53">
        <f>IF(OR($V567="",$O567=""),"",$V567*$O567)</f>
        <v/>
      </c>
      <c r="X567" s="45" t="n"/>
      <c r="Y567" s="49" t="n"/>
    </row>
    <row r="568">
      <c r="A568" s="43">
        <f>IF($B568="","",COUNT($B$5:$B568))</f>
        <v/>
      </c>
      <c r="B568" s="44" t="n"/>
      <c r="C568" s="44" t="n"/>
      <c r="D568" s="45" t="n"/>
      <c r="E568" s="45" t="n"/>
      <c r="F568" s="45" t="n"/>
      <c r="G568" s="46">
        <f>IF($F568="","",IFERROR(INDEX(사건마스터!$B$5:$B$64,MATCH($F568,사건마스터!$A$5:$A$64,0)),""))</f>
        <v/>
      </c>
      <c r="H568" s="47">
        <f>IF($F568="","",IFERROR(INDEX(사건마스터!$C$5:$C$64,MATCH($F568,사건마스터!$A$5:$A$64,0)),""))</f>
        <v/>
      </c>
      <c r="I568" s="48">
        <f>IF($F568="","",IFERROR(INDEX(사건마스터!$H$5:$H$64,MATCH($F568,사건마스터!$A$5:$A$64,0)),""))</f>
        <v/>
      </c>
      <c r="J568" s="48">
        <f>IF($F568="","",IFERROR(INDEX(사건마스터!$AH$5:$AH$64,MATCH($F568,사건마스터!$A$5:$A$64,0)),""))</f>
        <v/>
      </c>
      <c r="K568" s="48">
        <f>IF($F568="","",IFERROR(INDEX(사건마스터!$AI$5:$AI$64,MATCH($F568,사건마스터!$A$5:$A$64,0)),""))</f>
        <v/>
      </c>
      <c r="L568" s="48">
        <f>IF($F568="","",IFERROR(INDEX(사건마스터!$AJ$5:$AJ$64,MATCH($F568,사건마스터!$A$5:$A$64,0)),""))</f>
        <v/>
      </c>
      <c r="M568" s="48">
        <f>IF($F568="","",IFERROR(INDEX(사건마스터!$AK$5:$AK$64,MATCH($F568,사건마스터!$A$5:$A$64,0)),""))</f>
        <v/>
      </c>
      <c r="N568" s="48">
        <f>IF($F568="","",IFERROR(INDEX(사건마스터!$AL$5:$AL$64,MATCH($F568,사건마스터!$A$5:$A$64,0)),""))</f>
        <v/>
      </c>
      <c r="O568" s="43">
        <f>IF($I568="","",COUNTIF($I568:$N568,"?*"))</f>
        <v/>
      </c>
      <c r="P568" s="46">
        <f>IF($I568="","",_xlfn.TEXTJOIN(", ",TRUE,$I568:$N568))</f>
        <v/>
      </c>
      <c r="Q568" s="47">
        <f>IF($I568="","",IFERROR(INDEX(코드설정!$D$5:$D$24,MATCH($I568,코드설정!$C$5:$C$24,0)),""))</f>
        <v/>
      </c>
      <c r="R568" s="49" t="n"/>
      <c r="S568" s="50" t="n"/>
      <c r="T568" s="51" t="n"/>
      <c r="U568" s="43">
        <f>IF(OR($B568="",$C568=""),"",$C568-$B568+1)</f>
        <v/>
      </c>
      <c r="V568" s="52" t="n"/>
      <c r="W568" s="53">
        <f>IF(OR($V568="",$O568=""),"",$V568*$O568)</f>
        <v/>
      </c>
      <c r="X568" s="45" t="n"/>
      <c r="Y568" s="49" t="n"/>
    </row>
    <row r="569">
      <c r="A569" s="43">
        <f>IF($B569="","",COUNT($B$5:$B569))</f>
        <v/>
      </c>
      <c r="B569" s="44" t="n"/>
      <c r="C569" s="44" t="n"/>
      <c r="D569" s="45" t="n"/>
      <c r="E569" s="45" t="n"/>
      <c r="F569" s="45" t="n"/>
      <c r="G569" s="46">
        <f>IF($F569="","",IFERROR(INDEX(사건마스터!$B$5:$B$64,MATCH($F569,사건마스터!$A$5:$A$64,0)),""))</f>
        <v/>
      </c>
      <c r="H569" s="47">
        <f>IF($F569="","",IFERROR(INDEX(사건마스터!$C$5:$C$64,MATCH($F569,사건마스터!$A$5:$A$64,0)),""))</f>
        <v/>
      </c>
      <c r="I569" s="48">
        <f>IF($F569="","",IFERROR(INDEX(사건마스터!$H$5:$H$64,MATCH($F569,사건마스터!$A$5:$A$64,0)),""))</f>
        <v/>
      </c>
      <c r="J569" s="48">
        <f>IF($F569="","",IFERROR(INDEX(사건마스터!$AH$5:$AH$64,MATCH($F569,사건마스터!$A$5:$A$64,0)),""))</f>
        <v/>
      </c>
      <c r="K569" s="48">
        <f>IF($F569="","",IFERROR(INDEX(사건마스터!$AI$5:$AI$64,MATCH($F569,사건마스터!$A$5:$A$64,0)),""))</f>
        <v/>
      </c>
      <c r="L569" s="48">
        <f>IF($F569="","",IFERROR(INDEX(사건마스터!$AJ$5:$AJ$64,MATCH($F569,사건마스터!$A$5:$A$64,0)),""))</f>
        <v/>
      </c>
      <c r="M569" s="48">
        <f>IF($F569="","",IFERROR(INDEX(사건마스터!$AK$5:$AK$64,MATCH($F569,사건마스터!$A$5:$A$64,0)),""))</f>
        <v/>
      </c>
      <c r="N569" s="48">
        <f>IF($F569="","",IFERROR(INDEX(사건마스터!$AL$5:$AL$64,MATCH($F569,사건마스터!$A$5:$A$64,0)),""))</f>
        <v/>
      </c>
      <c r="O569" s="43">
        <f>IF($I569="","",COUNTIF($I569:$N569,"?*"))</f>
        <v/>
      </c>
      <c r="P569" s="46">
        <f>IF($I569="","",_xlfn.TEXTJOIN(", ",TRUE,$I569:$N569))</f>
        <v/>
      </c>
      <c r="Q569" s="47">
        <f>IF($I569="","",IFERROR(INDEX(코드설정!$D$5:$D$24,MATCH($I569,코드설정!$C$5:$C$24,0)),""))</f>
        <v/>
      </c>
      <c r="R569" s="49" t="n"/>
      <c r="S569" s="50" t="n"/>
      <c r="T569" s="51" t="n"/>
      <c r="U569" s="43">
        <f>IF(OR($B569="",$C569=""),"",$C569-$B569+1)</f>
        <v/>
      </c>
      <c r="V569" s="52" t="n"/>
      <c r="W569" s="53">
        <f>IF(OR($V569="",$O569=""),"",$V569*$O569)</f>
        <v/>
      </c>
      <c r="X569" s="45" t="n"/>
      <c r="Y569" s="49" t="n"/>
    </row>
    <row r="570">
      <c r="A570" s="43">
        <f>IF($B570="","",COUNT($B$5:$B570))</f>
        <v/>
      </c>
      <c r="B570" s="44" t="n"/>
      <c r="C570" s="44" t="n"/>
      <c r="D570" s="45" t="n"/>
      <c r="E570" s="45" t="n"/>
      <c r="F570" s="45" t="n"/>
      <c r="G570" s="46">
        <f>IF($F570="","",IFERROR(INDEX(사건마스터!$B$5:$B$64,MATCH($F570,사건마스터!$A$5:$A$64,0)),""))</f>
        <v/>
      </c>
      <c r="H570" s="47">
        <f>IF($F570="","",IFERROR(INDEX(사건마스터!$C$5:$C$64,MATCH($F570,사건마스터!$A$5:$A$64,0)),""))</f>
        <v/>
      </c>
      <c r="I570" s="48">
        <f>IF($F570="","",IFERROR(INDEX(사건마스터!$H$5:$H$64,MATCH($F570,사건마스터!$A$5:$A$64,0)),""))</f>
        <v/>
      </c>
      <c r="J570" s="48">
        <f>IF($F570="","",IFERROR(INDEX(사건마스터!$AH$5:$AH$64,MATCH($F570,사건마스터!$A$5:$A$64,0)),""))</f>
        <v/>
      </c>
      <c r="K570" s="48">
        <f>IF($F570="","",IFERROR(INDEX(사건마스터!$AI$5:$AI$64,MATCH($F570,사건마스터!$A$5:$A$64,0)),""))</f>
        <v/>
      </c>
      <c r="L570" s="48">
        <f>IF($F570="","",IFERROR(INDEX(사건마스터!$AJ$5:$AJ$64,MATCH($F570,사건마스터!$A$5:$A$64,0)),""))</f>
        <v/>
      </c>
      <c r="M570" s="48">
        <f>IF($F570="","",IFERROR(INDEX(사건마스터!$AK$5:$AK$64,MATCH($F570,사건마스터!$A$5:$A$64,0)),""))</f>
        <v/>
      </c>
      <c r="N570" s="48">
        <f>IF($F570="","",IFERROR(INDEX(사건마스터!$AL$5:$AL$64,MATCH($F570,사건마스터!$A$5:$A$64,0)),""))</f>
        <v/>
      </c>
      <c r="O570" s="43">
        <f>IF($I570="","",COUNTIF($I570:$N570,"?*"))</f>
        <v/>
      </c>
      <c r="P570" s="46">
        <f>IF($I570="","",_xlfn.TEXTJOIN(", ",TRUE,$I570:$N570))</f>
        <v/>
      </c>
      <c r="Q570" s="47">
        <f>IF($I570="","",IFERROR(INDEX(코드설정!$D$5:$D$24,MATCH($I570,코드설정!$C$5:$C$24,0)),""))</f>
        <v/>
      </c>
      <c r="R570" s="49" t="n"/>
      <c r="S570" s="50" t="n"/>
      <c r="T570" s="51" t="n"/>
      <c r="U570" s="43">
        <f>IF(OR($B570="",$C570=""),"",$C570-$B570+1)</f>
        <v/>
      </c>
      <c r="V570" s="52" t="n"/>
      <c r="W570" s="53">
        <f>IF(OR($V570="",$O570=""),"",$V570*$O570)</f>
        <v/>
      </c>
      <c r="X570" s="45" t="n"/>
      <c r="Y570" s="49" t="n"/>
    </row>
    <row r="571">
      <c r="A571" s="43">
        <f>IF($B571="","",COUNT($B$5:$B571))</f>
        <v/>
      </c>
      <c r="B571" s="44" t="n"/>
      <c r="C571" s="44" t="n"/>
      <c r="D571" s="45" t="n"/>
      <c r="E571" s="45" t="n"/>
      <c r="F571" s="45" t="n"/>
      <c r="G571" s="46">
        <f>IF($F571="","",IFERROR(INDEX(사건마스터!$B$5:$B$64,MATCH($F571,사건마스터!$A$5:$A$64,0)),""))</f>
        <v/>
      </c>
      <c r="H571" s="47">
        <f>IF($F571="","",IFERROR(INDEX(사건마스터!$C$5:$C$64,MATCH($F571,사건마스터!$A$5:$A$64,0)),""))</f>
        <v/>
      </c>
      <c r="I571" s="48">
        <f>IF($F571="","",IFERROR(INDEX(사건마스터!$H$5:$H$64,MATCH($F571,사건마스터!$A$5:$A$64,0)),""))</f>
        <v/>
      </c>
      <c r="J571" s="48">
        <f>IF($F571="","",IFERROR(INDEX(사건마스터!$AH$5:$AH$64,MATCH($F571,사건마스터!$A$5:$A$64,0)),""))</f>
        <v/>
      </c>
      <c r="K571" s="48">
        <f>IF($F571="","",IFERROR(INDEX(사건마스터!$AI$5:$AI$64,MATCH($F571,사건마스터!$A$5:$A$64,0)),""))</f>
        <v/>
      </c>
      <c r="L571" s="48">
        <f>IF($F571="","",IFERROR(INDEX(사건마스터!$AJ$5:$AJ$64,MATCH($F571,사건마스터!$A$5:$A$64,0)),""))</f>
        <v/>
      </c>
      <c r="M571" s="48">
        <f>IF($F571="","",IFERROR(INDEX(사건마스터!$AK$5:$AK$64,MATCH($F571,사건마스터!$A$5:$A$64,0)),""))</f>
        <v/>
      </c>
      <c r="N571" s="48">
        <f>IF($F571="","",IFERROR(INDEX(사건마스터!$AL$5:$AL$64,MATCH($F571,사건마스터!$A$5:$A$64,0)),""))</f>
        <v/>
      </c>
      <c r="O571" s="43">
        <f>IF($I571="","",COUNTIF($I571:$N571,"?*"))</f>
        <v/>
      </c>
      <c r="P571" s="46">
        <f>IF($I571="","",_xlfn.TEXTJOIN(", ",TRUE,$I571:$N571))</f>
        <v/>
      </c>
      <c r="Q571" s="47">
        <f>IF($I571="","",IFERROR(INDEX(코드설정!$D$5:$D$24,MATCH($I571,코드설정!$C$5:$C$24,0)),""))</f>
        <v/>
      </c>
      <c r="R571" s="49" t="n"/>
      <c r="S571" s="50" t="n"/>
      <c r="T571" s="51" t="n"/>
      <c r="U571" s="43">
        <f>IF(OR($B571="",$C571=""),"",$C571-$B571+1)</f>
        <v/>
      </c>
      <c r="V571" s="52" t="n"/>
      <c r="W571" s="53">
        <f>IF(OR($V571="",$O571=""),"",$V571*$O571)</f>
        <v/>
      </c>
      <c r="X571" s="45" t="n"/>
      <c r="Y571" s="49" t="n"/>
    </row>
    <row r="572">
      <c r="A572" s="43">
        <f>IF($B572="","",COUNT($B$5:$B572))</f>
        <v/>
      </c>
      <c r="B572" s="44" t="n"/>
      <c r="C572" s="44" t="n"/>
      <c r="D572" s="45" t="n"/>
      <c r="E572" s="45" t="n"/>
      <c r="F572" s="45" t="n"/>
      <c r="G572" s="46">
        <f>IF($F572="","",IFERROR(INDEX(사건마스터!$B$5:$B$64,MATCH($F572,사건마스터!$A$5:$A$64,0)),""))</f>
        <v/>
      </c>
      <c r="H572" s="47">
        <f>IF($F572="","",IFERROR(INDEX(사건마스터!$C$5:$C$64,MATCH($F572,사건마스터!$A$5:$A$64,0)),""))</f>
        <v/>
      </c>
      <c r="I572" s="48">
        <f>IF($F572="","",IFERROR(INDEX(사건마스터!$H$5:$H$64,MATCH($F572,사건마스터!$A$5:$A$64,0)),""))</f>
        <v/>
      </c>
      <c r="J572" s="48">
        <f>IF($F572="","",IFERROR(INDEX(사건마스터!$AH$5:$AH$64,MATCH($F572,사건마스터!$A$5:$A$64,0)),""))</f>
        <v/>
      </c>
      <c r="K572" s="48">
        <f>IF($F572="","",IFERROR(INDEX(사건마스터!$AI$5:$AI$64,MATCH($F572,사건마스터!$A$5:$A$64,0)),""))</f>
        <v/>
      </c>
      <c r="L572" s="48">
        <f>IF($F572="","",IFERROR(INDEX(사건마스터!$AJ$5:$AJ$64,MATCH($F572,사건마스터!$A$5:$A$64,0)),""))</f>
        <v/>
      </c>
      <c r="M572" s="48">
        <f>IF($F572="","",IFERROR(INDEX(사건마스터!$AK$5:$AK$64,MATCH($F572,사건마스터!$A$5:$A$64,0)),""))</f>
        <v/>
      </c>
      <c r="N572" s="48">
        <f>IF($F572="","",IFERROR(INDEX(사건마스터!$AL$5:$AL$64,MATCH($F572,사건마스터!$A$5:$A$64,0)),""))</f>
        <v/>
      </c>
      <c r="O572" s="43">
        <f>IF($I572="","",COUNTIF($I572:$N572,"?*"))</f>
        <v/>
      </c>
      <c r="P572" s="46">
        <f>IF($I572="","",_xlfn.TEXTJOIN(", ",TRUE,$I572:$N572))</f>
        <v/>
      </c>
      <c r="Q572" s="47">
        <f>IF($I572="","",IFERROR(INDEX(코드설정!$D$5:$D$24,MATCH($I572,코드설정!$C$5:$C$24,0)),""))</f>
        <v/>
      </c>
      <c r="R572" s="49" t="n"/>
      <c r="S572" s="50" t="n"/>
      <c r="T572" s="51" t="n"/>
      <c r="U572" s="43">
        <f>IF(OR($B572="",$C572=""),"",$C572-$B572+1)</f>
        <v/>
      </c>
      <c r="V572" s="52" t="n"/>
      <c r="W572" s="53">
        <f>IF(OR($V572="",$O572=""),"",$V572*$O572)</f>
        <v/>
      </c>
      <c r="X572" s="45" t="n"/>
      <c r="Y572" s="49" t="n"/>
    </row>
    <row r="573">
      <c r="A573" s="43">
        <f>IF($B573="","",COUNT($B$5:$B573))</f>
        <v/>
      </c>
      <c r="B573" s="44" t="n"/>
      <c r="C573" s="44" t="n"/>
      <c r="D573" s="45" t="n"/>
      <c r="E573" s="45" t="n"/>
      <c r="F573" s="45" t="n"/>
      <c r="G573" s="46">
        <f>IF($F573="","",IFERROR(INDEX(사건마스터!$B$5:$B$64,MATCH($F573,사건마스터!$A$5:$A$64,0)),""))</f>
        <v/>
      </c>
      <c r="H573" s="47">
        <f>IF($F573="","",IFERROR(INDEX(사건마스터!$C$5:$C$64,MATCH($F573,사건마스터!$A$5:$A$64,0)),""))</f>
        <v/>
      </c>
      <c r="I573" s="48">
        <f>IF($F573="","",IFERROR(INDEX(사건마스터!$H$5:$H$64,MATCH($F573,사건마스터!$A$5:$A$64,0)),""))</f>
        <v/>
      </c>
      <c r="J573" s="48">
        <f>IF($F573="","",IFERROR(INDEX(사건마스터!$AH$5:$AH$64,MATCH($F573,사건마스터!$A$5:$A$64,0)),""))</f>
        <v/>
      </c>
      <c r="K573" s="48">
        <f>IF($F573="","",IFERROR(INDEX(사건마스터!$AI$5:$AI$64,MATCH($F573,사건마스터!$A$5:$A$64,0)),""))</f>
        <v/>
      </c>
      <c r="L573" s="48">
        <f>IF($F573="","",IFERROR(INDEX(사건마스터!$AJ$5:$AJ$64,MATCH($F573,사건마스터!$A$5:$A$64,0)),""))</f>
        <v/>
      </c>
      <c r="M573" s="48">
        <f>IF($F573="","",IFERROR(INDEX(사건마스터!$AK$5:$AK$64,MATCH($F573,사건마스터!$A$5:$A$64,0)),""))</f>
        <v/>
      </c>
      <c r="N573" s="48">
        <f>IF($F573="","",IFERROR(INDEX(사건마스터!$AL$5:$AL$64,MATCH($F573,사건마스터!$A$5:$A$64,0)),""))</f>
        <v/>
      </c>
      <c r="O573" s="43">
        <f>IF($I573="","",COUNTIF($I573:$N573,"?*"))</f>
        <v/>
      </c>
      <c r="P573" s="46">
        <f>IF($I573="","",_xlfn.TEXTJOIN(", ",TRUE,$I573:$N573))</f>
        <v/>
      </c>
      <c r="Q573" s="47">
        <f>IF($I573="","",IFERROR(INDEX(코드설정!$D$5:$D$24,MATCH($I573,코드설정!$C$5:$C$24,0)),""))</f>
        <v/>
      </c>
      <c r="R573" s="49" t="n"/>
      <c r="S573" s="50" t="n"/>
      <c r="T573" s="51" t="n"/>
      <c r="U573" s="43">
        <f>IF(OR($B573="",$C573=""),"",$C573-$B573+1)</f>
        <v/>
      </c>
      <c r="V573" s="52" t="n"/>
      <c r="W573" s="53">
        <f>IF(OR($V573="",$O573=""),"",$V573*$O573)</f>
        <v/>
      </c>
      <c r="X573" s="45" t="n"/>
      <c r="Y573" s="49" t="n"/>
    </row>
    <row r="574">
      <c r="A574" s="43">
        <f>IF($B574="","",COUNT($B$5:$B574))</f>
        <v/>
      </c>
      <c r="B574" s="44" t="n"/>
      <c r="C574" s="44" t="n"/>
      <c r="D574" s="45" t="n"/>
      <c r="E574" s="45" t="n"/>
      <c r="F574" s="45" t="n"/>
      <c r="G574" s="46">
        <f>IF($F574="","",IFERROR(INDEX(사건마스터!$B$5:$B$64,MATCH($F574,사건마스터!$A$5:$A$64,0)),""))</f>
        <v/>
      </c>
      <c r="H574" s="47">
        <f>IF($F574="","",IFERROR(INDEX(사건마스터!$C$5:$C$64,MATCH($F574,사건마스터!$A$5:$A$64,0)),""))</f>
        <v/>
      </c>
      <c r="I574" s="48">
        <f>IF($F574="","",IFERROR(INDEX(사건마스터!$H$5:$H$64,MATCH($F574,사건마스터!$A$5:$A$64,0)),""))</f>
        <v/>
      </c>
      <c r="J574" s="48">
        <f>IF($F574="","",IFERROR(INDEX(사건마스터!$AH$5:$AH$64,MATCH($F574,사건마스터!$A$5:$A$64,0)),""))</f>
        <v/>
      </c>
      <c r="K574" s="48">
        <f>IF($F574="","",IFERROR(INDEX(사건마스터!$AI$5:$AI$64,MATCH($F574,사건마스터!$A$5:$A$64,0)),""))</f>
        <v/>
      </c>
      <c r="L574" s="48">
        <f>IF($F574="","",IFERROR(INDEX(사건마스터!$AJ$5:$AJ$64,MATCH($F574,사건마스터!$A$5:$A$64,0)),""))</f>
        <v/>
      </c>
      <c r="M574" s="48">
        <f>IF($F574="","",IFERROR(INDEX(사건마스터!$AK$5:$AK$64,MATCH($F574,사건마스터!$A$5:$A$64,0)),""))</f>
        <v/>
      </c>
      <c r="N574" s="48">
        <f>IF($F574="","",IFERROR(INDEX(사건마스터!$AL$5:$AL$64,MATCH($F574,사건마스터!$A$5:$A$64,0)),""))</f>
        <v/>
      </c>
      <c r="O574" s="43">
        <f>IF($I574="","",COUNTIF($I574:$N574,"?*"))</f>
        <v/>
      </c>
      <c r="P574" s="46">
        <f>IF($I574="","",_xlfn.TEXTJOIN(", ",TRUE,$I574:$N574))</f>
        <v/>
      </c>
      <c r="Q574" s="47">
        <f>IF($I574="","",IFERROR(INDEX(코드설정!$D$5:$D$24,MATCH($I574,코드설정!$C$5:$C$24,0)),""))</f>
        <v/>
      </c>
      <c r="R574" s="49" t="n"/>
      <c r="S574" s="50" t="n"/>
      <c r="T574" s="51" t="n"/>
      <c r="U574" s="43">
        <f>IF(OR($B574="",$C574=""),"",$C574-$B574+1)</f>
        <v/>
      </c>
      <c r="V574" s="52" t="n"/>
      <c r="W574" s="53">
        <f>IF(OR($V574="",$O574=""),"",$V574*$O574)</f>
        <v/>
      </c>
      <c r="X574" s="45" t="n"/>
      <c r="Y574" s="49" t="n"/>
    </row>
    <row r="575">
      <c r="A575" s="43">
        <f>IF($B575="","",COUNT($B$5:$B575))</f>
        <v/>
      </c>
      <c r="B575" s="44" t="n"/>
      <c r="C575" s="44" t="n"/>
      <c r="D575" s="45" t="n"/>
      <c r="E575" s="45" t="n"/>
      <c r="F575" s="45" t="n"/>
      <c r="G575" s="46">
        <f>IF($F575="","",IFERROR(INDEX(사건마스터!$B$5:$B$64,MATCH($F575,사건마스터!$A$5:$A$64,0)),""))</f>
        <v/>
      </c>
      <c r="H575" s="47">
        <f>IF($F575="","",IFERROR(INDEX(사건마스터!$C$5:$C$64,MATCH($F575,사건마스터!$A$5:$A$64,0)),""))</f>
        <v/>
      </c>
      <c r="I575" s="48">
        <f>IF($F575="","",IFERROR(INDEX(사건마스터!$H$5:$H$64,MATCH($F575,사건마스터!$A$5:$A$64,0)),""))</f>
        <v/>
      </c>
      <c r="J575" s="48">
        <f>IF($F575="","",IFERROR(INDEX(사건마스터!$AH$5:$AH$64,MATCH($F575,사건마스터!$A$5:$A$64,0)),""))</f>
        <v/>
      </c>
      <c r="K575" s="48">
        <f>IF($F575="","",IFERROR(INDEX(사건마스터!$AI$5:$AI$64,MATCH($F575,사건마스터!$A$5:$A$64,0)),""))</f>
        <v/>
      </c>
      <c r="L575" s="48">
        <f>IF($F575="","",IFERROR(INDEX(사건마스터!$AJ$5:$AJ$64,MATCH($F575,사건마스터!$A$5:$A$64,0)),""))</f>
        <v/>
      </c>
      <c r="M575" s="48">
        <f>IF($F575="","",IFERROR(INDEX(사건마스터!$AK$5:$AK$64,MATCH($F575,사건마스터!$A$5:$A$64,0)),""))</f>
        <v/>
      </c>
      <c r="N575" s="48">
        <f>IF($F575="","",IFERROR(INDEX(사건마스터!$AL$5:$AL$64,MATCH($F575,사건마스터!$A$5:$A$64,0)),""))</f>
        <v/>
      </c>
      <c r="O575" s="43">
        <f>IF($I575="","",COUNTIF($I575:$N575,"?*"))</f>
        <v/>
      </c>
      <c r="P575" s="46">
        <f>IF($I575="","",_xlfn.TEXTJOIN(", ",TRUE,$I575:$N575))</f>
        <v/>
      </c>
      <c r="Q575" s="47">
        <f>IF($I575="","",IFERROR(INDEX(코드설정!$D$5:$D$24,MATCH($I575,코드설정!$C$5:$C$24,0)),""))</f>
        <v/>
      </c>
      <c r="R575" s="49" t="n"/>
      <c r="S575" s="50" t="n"/>
      <c r="T575" s="51" t="n"/>
      <c r="U575" s="43">
        <f>IF(OR($B575="",$C575=""),"",$C575-$B575+1)</f>
        <v/>
      </c>
      <c r="V575" s="52" t="n"/>
      <c r="W575" s="53">
        <f>IF(OR($V575="",$O575=""),"",$V575*$O575)</f>
        <v/>
      </c>
      <c r="X575" s="45" t="n"/>
      <c r="Y575" s="49" t="n"/>
    </row>
    <row r="576">
      <c r="A576" s="43">
        <f>IF($B576="","",COUNT($B$5:$B576))</f>
        <v/>
      </c>
      <c r="B576" s="44" t="n"/>
      <c r="C576" s="44" t="n"/>
      <c r="D576" s="45" t="n"/>
      <c r="E576" s="45" t="n"/>
      <c r="F576" s="45" t="n"/>
      <c r="G576" s="46">
        <f>IF($F576="","",IFERROR(INDEX(사건마스터!$B$5:$B$64,MATCH($F576,사건마스터!$A$5:$A$64,0)),""))</f>
        <v/>
      </c>
      <c r="H576" s="47">
        <f>IF($F576="","",IFERROR(INDEX(사건마스터!$C$5:$C$64,MATCH($F576,사건마스터!$A$5:$A$64,0)),""))</f>
        <v/>
      </c>
      <c r="I576" s="48">
        <f>IF($F576="","",IFERROR(INDEX(사건마스터!$H$5:$H$64,MATCH($F576,사건마스터!$A$5:$A$64,0)),""))</f>
        <v/>
      </c>
      <c r="J576" s="48">
        <f>IF($F576="","",IFERROR(INDEX(사건마스터!$AH$5:$AH$64,MATCH($F576,사건마스터!$A$5:$A$64,0)),""))</f>
        <v/>
      </c>
      <c r="K576" s="48">
        <f>IF($F576="","",IFERROR(INDEX(사건마스터!$AI$5:$AI$64,MATCH($F576,사건마스터!$A$5:$A$64,0)),""))</f>
        <v/>
      </c>
      <c r="L576" s="48">
        <f>IF($F576="","",IFERROR(INDEX(사건마스터!$AJ$5:$AJ$64,MATCH($F576,사건마스터!$A$5:$A$64,0)),""))</f>
        <v/>
      </c>
      <c r="M576" s="48">
        <f>IF($F576="","",IFERROR(INDEX(사건마스터!$AK$5:$AK$64,MATCH($F576,사건마스터!$A$5:$A$64,0)),""))</f>
        <v/>
      </c>
      <c r="N576" s="48">
        <f>IF($F576="","",IFERROR(INDEX(사건마스터!$AL$5:$AL$64,MATCH($F576,사건마스터!$A$5:$A$64,0)),""))</f>
        <v/>
      </c>
      <c r="O576" s="43">
        <f>IF($I576="","",COUNTIF($I576:$N576,"?*"))</f>
        <v/>
      </c>
      <c r="P576" s="46">
        <f>IF($I576="","",_xlfn.TEXTJOIN(", ",TRUE,$I576:$N576))</f>
        <v/>
      </c>
      <c r="Q576" s="47">
        <f>IF($I576="","",IFERROR(INDEX(코드설정!$D$5:$D$24,MATCH($I576,코드설정!$C$5:$C$24,0)),""))</f>
        <v/>
      </c>
      <c r="R576" s="49" t="n"/>
      <c r="S576" s="50" t="n"/>
      <c r="T576" s="51" t="n"/>
      <c r="U576" s="43">
        <f>IF(OR($B576="",$C576=""),"",$C576-$B576+1)</f>
        <v/>
      </c>
      <c r="V576" s="52" t="n"/>
      <c r="W576" s="53">
        <f>IF(OR($V576="",$O576=""),"",$V576*$O576)</f>
        <v/>
      </c>
      <c r="X576" s="45" t="n"/>
      <c r="Y576" s="49" t="n"/>
    </row>
    <row r="577">
      <c r="A577" s="43">
        <f>IF($B577="","",COUNT($B$5:$B577))</f>
        <v/>
      </c>
      <c r="B577" s="44" t="n"/>
      <c r="C577" s="44" t="n"/>
      <c r="D577" s="45" t="n"/>
      <c r="E577" s="45" t="n"/>
      <c r="F577" s="45" t="n"/>
      <c r="G577" s="46">
        <f>IF($F577="","",IFERROR(INDEX(사건마스터!$B$5:$B$64,MATCH($F577,사건마스터!$A$5:$A$64,0)),""))</f>
        <v/>
      </c>
      <c r="H577" s="47">
        <f>IF($F577="","",IFERROR(INDEX(사건마스터!$C$5:$C$64,MATCH($F577,사건마스터!$A$5:$A$64,0)),""))</f>
        <v/>
      </c>
      <c r="I577" s="48">
        <f>IF($F577="","",IFERROR(INDEX(사건마스터!$H$5:$H$64,MATCH($F577,사건마스터!$A$5:$A$64,0)),""))</f>
        <v/>
      </c>
      <c r="J577" s="48">
        <f>IF($F577="","",IFERROR(INDEX(사건마스터!$AH$5:$AH$64,MATCH($F577,사건마스터!$A$5:$A$64,0)),""))</f>
        <v/>
      </c>
      <c r="K577" s="48">
        <f>IF($F577="","",IFERROR(INDEX(사건마스터!$AI$5:$AI$64,MATCH($F577,사건마스터!$A$5:$A$64,0)),""))</f>
        <v/>
      </c>
      <c r="L577" s="48">
        <f>IF($F577="","",IFERROR(INDEX(사건마스터!$AJ$5:$AJ$64,MATCH($F577,사건마스터!$A$5:$A$64,0)),""))</f>
        <v/>
      </c>
      <c r="M577" s="48">
        <f>IF($F577="","",IFERROR(INDEX(사건마스터!$AK$5:$AK$64,MATCH($F577,사건마스터!$A$5:$A$64,0)),""))</f>
        <v/>
      </c>
      <c r="N577" s="48">
        <f>IF($F577="","",IFERROR(INDEX(사건마스터!$AL$5:$AL$64,MATCH($F577,사건마스터!$A$5:$A$64,0)),""))</f>
        <v/>
      </c>
      <c r="O577" s="43">
        <f>IF($I577="","",COUNTIF($I577:$N577,"?*"))</f>
        <v/>
      </c>
      <c r="P577" s="46">
        <f>IF($I577="","",_xlfn.TEXTJOIN(", ",TRUE,$I577:$N577))</f>
        <v/>
      </c>
      <c r="Q577" s="47">
        <f>IF($I577="","",IFERROR(INDEX(코드설정!$D$5:$D$24,MATCH($I577,코드설정!$C$5:$C$24,0)),""))</f>
        <v/>
      </c>
      <c r="R577" s="49" t="n"/>
      <c r="S577" s="50" t="n"/>
      <c r="T577" s="51" t="n"/>
      <c r="U577" s="43">
        <f>IF(OR($B577="",$C577=""),"",$C577-$B577+1)</f>
        <v/>
      </c>
      <c r="V577" s="52" t="n"/>
      <c r="W577" s="53">
        <f>IF(OR($V577="",$O577=""),"",$V577*$O577)</f>
        <v/>
      </c>
      <c r="X577" s="45" t="n"/>
      <c r="Y577" s="49" t="n"/>
    </row>
    <row r="578">
      <c r="A578" s="43">
        <f>IF($B578="","",COUNT($B$5:$B578))</f>
        <v/>
      </c>
      <c r="B578" s="44" t="n"/>
      <c r="C578" s="44" t="n"/>
      <c r="D578" s="45" t="n"/>
      <c r="E578" s="45" t="n"/>
      <c r="F578" s="45" t="n"/>
      <c r="G578" s="46">
        <f>IF($F578="","",IFERROR(INDEX(사건마스터!$B$5:$B$64,MATCH($F578,사건마스터!$A$5:$A$64,0)),""))</f>
        <v/>
      </c>
      <c r="H578" s="47">
        <f>IF($F578="","",IFERROR(INDEX(사건마스터!$C$5:$C$64,MATCH($F578,사건마스터!$A$5:$A$64,0)),""))</f>
        <v/>
      </c>
      <c r="I578" s="48">
        <f>IF($F578="","",IFERROR(INDEX(사건마스터!$H$5:$H$64,MATCH($F578,사건마스터!$A$5:$A$64,0)),""))</f>
        <v/>
      </c>
      <c r="J578" s="48">
        <f>IF($F578="","",IFERROR(INDEX(사건마스터!$AH$5:$AH$64,MATCH($F578,사건마스터!$A$5:$A$64,0)),""))</f>
        <v/>
      </c>
      <c r="K578" s="48">
        <f>IF($F578="","",IFERROR(INDEX(사건마스터!$AI$5:$AI$64,MATCH($F578,사건마스터!$A$5:$A$64,0)),""))</f>
        <v/>
      </c>
      <c r="L578" s="48">
        <f>IF($F578="","",IFERROR(INDEX(사건마스터!$AJ$5:$AJ$64,MATCH($F578,사건마스터!$A$5:$A$64,0)),""))</f>
        <v/>
      </c>
      <c r="M578" s="48">
        <f>IF($F578="","",IFERROR(INDEX(사건마스터!$AK$5:$AK$64,MATCH($F578,사건마스터!$A$5:$A$64,0)),""))</f>
        <v/>
      </c>
      <c r="N578" s="48">
        <f>IF($F578="","",IFERROR(INDEX(사건마스터!$AL$5:$AL$64,MATCH($F578,사건마스터!$A$5:$A$64,0)),""))</f>
        <v/>
      </c>
      <c r="O578" s="43">
        <f>IF($I578="","",COUNTIF($I578:$N578,"?*"))</f>
        <v/>
      </c>
      <c r="P578" s="46">
        <f>IF($I578="","",_xlfn.TEXTJOIN(", ",TRUE,$I578:$N578))</f>
        <v/>
      </c>
      <c r="Q578" s="47">
        <f>IF($I578="","",IFERROR(INDEX(코드설정!$D$5:$D$24,MATCH($I578,코드설정!$C$5:$C$24,0)),""))</f>
        <v/>
      </c>
      <c r="R578" s="49" t="n"/>
      <c r="S578" s="50" t="n"/>
      <c r="T578" s="51" t="n"/>
      <c r="U578" s="43">
        <f>IF(OR($B578="",$C578=""),"",$C578-$B578+1)</f>
        <v/>
      </c>
      <c r="V578" s="52" t="n"/>
      <c r="W578" s="53">
        <f>IF(OR($V578="",$O578=""),"",$V578*$O578)</f>
        <v/>
      </c>
      <c r="X578" s="45" t="n"/>
      <c r="Y578" s="49" t="n"/>
    </row>
    <row r="579">
      <c r="A579" s="43">
        <f>IF($B579="","",COUNT($B$5:$B579))</f>
        <v/>
      </c>
      <c r="B579" s="44" t="n"/>
      <c r="C579" s="44" t="n"/>
      <c r="D579" s="45" t="n"/>
      <c r="E579" s="45" t="n"/>
      <c r="F579" s="45" t="n"/>
      <c r="G579" s="46">
        <f>IF($F579="","",IFERROR(INDEX(사건마스터!$B$5:$B$64,MATCH($F579,사건마스터!$A$5:$A$64,0)),""))</f>
        <v/>
      </c>
      <c r="H579" s="47">
        <f>IF($F579="","",IFERROR(INDEX(사건마스터!$C$5:$C$64,MATCH($F579,사건마스터!$A$5:$A$64,0)),""))</f>
        <v/>
      </c>
      <c r="I579" s="48">
        <f>IF($F579="","",IFERROR(INDEX(사건마스터!$H$5:$H$64,MATCH($F579,사건마스터!$A$5:$A$64,0)),""))</f>
        <v/>
      </c>
      <c r="J579" s="48">
        <f>IF($F579="","",IFERROR(INDEX(사건마스터!$AH$5:$AH$64,MATCH($F579,사건마스터!$A$5:$A$64,0)),""))</f>
        <v/>
      </c>
      <c r="K579" s="48">
        <f>IF($F579="","",IFERROR(INDEX(사건마스터!$AI$5:$AI$64,MATCH($F579,사건마스터!$A$5:$A$64,0)),""))</f>
        <v/>
      </c>
      <c r="L579" s="48">
        <f>IF($F579="","",IFERROR(INDEX(사건마스터!$AJ$5:$AJ$64,MATCH($F579,사건마스터!$A$5:$A$64,0)),""))</f>
        <v/>
      </c>
      <c r="M579" s="48">
        <f>IF($F579="","",IFERROR(INDEX(사건마스터!$AK$5:$AK$64,MATCH($F579,사건마스터!$A$5:$A$64,0)),""))</f>
        <v/>
      </c>
      <c r="N579" s="48">
        <f>IF($F579="","",IFERROR(INDEX(사건마스터!$AL$5:$AL$64,MATCH($F579,사건마스터!$A$5:$A$64,0)),""))</f>
        <v/>
      </c>
      <c r="O579" s="43">
        <f>IF($I579="","",COUNTIF($I579:$N579,"?*"))</f>
        <v/>
      </c>
      <c r="P579" s="46">
        <f>IF($I579="","",_xlfn.TEXTJOIN(", ",TRUE,$I579:$N579))</f>
        <v/>
      </c>
      <c r="Q579" s="47">
        <f>IF($I579="","",IFERROR(INDEX(코드설정!$D$5:$D$24,MATCH($I579,코드설정!$C$5:$C$24,0)),""))</f>
        <v/>
      </c>
      <c r="R579" s="49" t="n"/>
      <c r="S579" s="50" t="n"/>
      <c r="T579" s="51" t="n"/>
      <c r="U579" s="43">
        <f>IF(OR($B579="",$C579=""),"",$C579-$B579+1)</f>
        <v/>
      </c>
      <c r="V579" s="52" t="n"/>
      <c r="W579" s="53">
        <f>IF(OR($V579="",$O579=""),"",$V579*$O579)</f>
        <v/>
      </c>
      <c r="X579" s="45" t="n"/>
      <c r="Y579" s="49" t="n"/>
    </row>
    <row r="580">
      <c r="A580" s="43">
        <f>IF($B580="","",COUNT($B$5:$B580))</f>
        <v/>
      </c>
      <c r="B580" s="44" t="n"/>
      <c r="C580" s="44" t="n"/>
      <c r="D580" s="45" t="n"/>
      <c r="E580" s="45" t="n"/>
      <c r="F580" s="45" t="n"/>
      <c r="G580" s="46">
        <f>IF($F580="","",IFERROR(INDEX(사건마스터!$B$5:$B$64,MATCH($F580,사건마스터!$A$5:$A$64,0)),""))</f>
        <v/>
      </c>
      <c r="H580" s="47">
        <f>IF($F580="","",IFERROR(INDEX(사건마스터!$C$5:$C$64,MATCH($F580,사건마스터!$A$5:$A$64,0)),""))</f>
        <v/>
      </c>
      <c r="I580" s="48">
        <f>IF($F580="","",IFERROR(INDEX(사건마스터!$H$5:$H$64,MATCH($F580,사건마스터!$A$5:$A$64,0)),""))</f>
        <v/>
      </c>
      <c r="J580" s="48">
        <f>IF($F580="","",IFERROR(INDEX(사건마스터!$AH$5:$AH$64,MATCH($F580,사건마스터!$A$5:$A$64,0)),""))</f>
        <v/>
      </c>
      <c r="K580" s="48">
        <f>IF($F580="","",IFERROR(INDEX(사건마스터!$AI$5:$AI$64,MATCH($F580,사건마스터!$A$5:$A$64,0)),""))</f>
        <v/>
      </c>
      <c r="L580" s="48">
        <f>IF($F580="","",IFERROR(INDEX(사건마스터!$AJ$5:$AJ$64,MATCH($F580,사건마스터!$A$5:$A$64,0)),""))</f>
        <v/>
      </c>
      <c r="M580" s="48">
        <f>IF($F580="","",IFERROR(INDEX(사건마스터!$AK$5:$AK$64,MATCH($F580,사건마스터!$A$5:$A$64,0)),""))</f>
        <v/>
      </c>
      <c r="N580" s="48">
        <f>IF($F580="","",IFERROR(INDEX(사건마스터!$AL$5:$AL$64,MATCH($F580,사건마스터!$A$5:$A$64,0)),""))</f>
        <v/>
      </c>
      <c r="O580" s="43">
        <f>IF($I580="","",COUNTIF($I580:$N580,"?*"))</f>
        <v/>
      </c>
      <c r="P580" s="46">
        <f>IF($I580="","",_xlfn.TEXTJOIN(", ",TRUE,$I580:$N580))</f>
        <v/>
      </c>
      <c r="Q580" s="47">
        <f>IF($I580="","",IFERROR(INDEX(코드설정!$D$5:$D$24,MATCH($I580,코드설정!$C$5:$C$24,0)),""))</f>
        <v/>
      </c>
      <c r="R580" s="49" t="n"/>
      <c r="S580" s="50" t="n"/>
      <c r="T580" s="51" t="n"/>
      <c r="U580" s="43">
        <f>IF(OR($B580="",$C580=""),"",$C580-$B580+1)</f>
        <v/>
      </c>
      <c r="V580" s="52" t="n"/>
      <c r="W580" s="53">
        <f>IF(OR($V580="",$O580=""),"",$V580*$O580)</f>
        <v/>
      </c>
      <c r="X580" s="45" t="n"/>
      <c r="Y580" s="49" t="n"/>
    </row>
    <row r="581">
      <c r="A581" s="43">
        <f>IF($B581="","",COUNT($B$5:$B581))</f>
        <v/>
      </c>
      <c r="B581" s="44" t="n"/>
      <c r="C581" s="44" t="n"/>
      <c r="D581" s="45" t="n"/>
      <c r="E581" s="45" t="n"/>
      <c r="F581" s="45" t="n"/>
      <c r="G581" s="46">
        <f>IF($F581="","",IFERROR(INDEX(사건마스터!$B$5:$B$64,MATCH($F581,사건마스터!$A$5:$A$64,0)),""))</f>
        <v/>
      </c>
      <c r="H581" s="47">
        <f>IF($F581="","",IFERROR(INDEX(사건마스터!$C$5:$C$64,MATCH($F581,사건마스터!$A$5:$A$64,0)),""))</f>
        <v/>
      </c>
      <c r="I581" s="48">
        <f>IF($F581="","",IFERROR(INDEX(사건마스터!$H$5:$H$64,MATCH($F581,사건마스터!$A$5:$A$64,0)),""))</f>
        <v/>
      </c>
      <c r="J581" s="48">
        <f>IF($F581="","",IFERROR(INDEX(사건마스터!$AH$5:$AH$64,MATCH($F581,사건마스터!$A$5:$A$64,0)),""))</f>
        <v/>
      </c>
      <c r="K581" s="48">
        <f>IF($F581="","",IFERROR(INDEX(사건마스터!$AI$5:$AI$64,MATCH($F581,사건마스터!$A$5:$A$64,0)),""))</f>
        <v/>
      </c>
      <c r="L581" s="48">
        <f>IF($F581="","",IFERROR(INDEX(사건마스터!$AJ$5:$AJ$64,MATCH($F581,사건마스터!$A$5:$A$64,0)),""))</f>
        <v/>
      </c>
      <c r="M581" s="48">
        <f>IF($F581="","",IFERROR(INDEX(사건마스터!$AK$5:$AK$64,MATCH($F581,사건마스터!$A$5:$A$64,0)),""))</f>
        <v/>
      </c>
      <c r="N581" s="48">
        <f>IF($F581="","",IFERROR(INDEX(사건마스터!$AL$5:$AL$64,MATCH($F581,사건마스터!$A$5:$A$64,0)),""))</f>
        <v/>
      </c>
      <c r="O581" s="43">
        <f>IF($I581="","",COUNTIF($I581:$N581,"?*"))</f>
        <v/>
      </c>
      <c r="P581" s="46">
        <f>IF($I581="","",_xlfn.TEXTJOIN(", ",TRUE,$I581:$N581))</f>
        <v/>
      </c>
      <c r="Q581" s="47">
        <f>IF($I581="","",IFERROR(INDEX(코드설정!$D$5:$D$24,MATCH($I581,코드설정!$C$5:$C$24,0)),""))</f>
        <v/>
      </c>
      <c r="R581" s="49" t="n"/>
      <c r="S581" s="50" t="n"/>
      <c r="T581" s="51" t="n"/>
      <c r="U581" s="43">
        <f>IF(OR($B581="",$C581=""),"",$C581-$B581+1)</f>
        <v/>
      </c>
      <c r="V581" s="52" t="n"/>
      <c r="W581" s="53">
        <f>IF(OR($V581="",$O581=""),"",$V581*$O581)</f>
        <v/>
      </c>
      <c r="X581" s="45" t="n"/>
      <c r="Y581" s="49" t="n"/>
    </row>
    <row r="582">
      <c r="A582" s="43">
        <f>IF($B582="","",COUNT($B$5:$B582))</f>
        <v/>
      </c>
      <c r="B582" s="44" t="n"/>
      <c r="C582" s="44" t="n"/>
      <c r="D582" s="45" t="n"/>
      <c r="E582" s="45" t="n"/>
      <c r="F582" s="45" t="n"/>
      <c r="G582" s="46">
        <f>IF($F582="","",IFERROR(INDEX(사건마스터!$B$5:$B$64,MATCH($F582,사건마스터!$A$5:$A$64,0)),""))</f>
        <v/>
      </c>
      <c r="H582" s="47">
        <f>IF($F582="","",IFERROR(INDEX(사건마스터!$C$5:$C$64,MATCH($F582,사건마스터!$A$5:$A$64,0)),""))</f>
        <v/>
      </c>
      <c r="I582" s="48">
        <f>IF($F582="","",IFERROR(INDEX(사건마스터!$H$5:$H$64,MATCH($F582,사건마스터!$A$5:$A$64,0)),""))</f>
        <v/>
      </c>
      <c r="J582" s="48">
        <f>IF($F582="","",IFERROR(INDEX(사건마스터!$AH$5:$AH$64,MATCH($F582,사건마스터!$A$5:$A$64,0)),""))</f>
        <v/>
      </c>
      <c r="K582" s="48">
        <f>IF($F582="","",IFERROR(INDEX(사건마스터!$AI$5:$AI$64,MATCH($F582,사건마스터!$A$5:$A$64,0)),""))</f>
        <v/>
      </c>
      <c r="L582" s="48">
        <f>IF($F582="","",IFERROR(INDEX(사건마스터!$AJ$5:$AJ$64,MATCH($F582,사건마스터!$A$5:$A$64,0)),""))</f>
        <v/>
      </c>
      <c r="M582" s="48">
        <f>IF($F582="","",IFERROR(INDEX(사건마스터!$AK$5:$AK$64,MATCH($F582,사건마스터!$A$5:$A$64,0)),""))</f>
        <v/>
      </c>
      <c r="N582" s="48">
        <f>IF($F582="","",IFERROR(INDEX(사건마스터!$AL$5:$AL$64,MATCH($F582,사건마스터!$A$5:$A$64,0)),""))</f>
        <v/>
      </c>
      <c r="O582" s="43">
        <f>IF($I582="","",COUNTIF($I582:$N582,"?*"))</f>
        <v/>
      </c>
      <c r="P582" s="46">
        <f>IF($I582="","",_xlfn.TEXTJOIN(", ",TRUE,$I582:$N582))</f>
        <v/>
      </c>
      <c r="Q582" s="47">
        <f>IF($I582="","",IFERROR(INDEX(코드설정!$D$5:$D$24,MATCH($I582,코드설정!$C$5:$C$24,0)),""))</f>
        <v/>
      </c>
      <c r="R582" s="49" t="n"/>
      <c r="S582" s="50" t="n"/>
      <c r="T582" s="51" t="n"/>
      <c r="U582" s="43">
        <f>IF(OR($B582="",$C582=""),"",$C582-$B582+1)</f>
        <v/>
      </c>
      <c r="V582" s="52" t="n"/>
      <c r="W582" s="53">
        <f>IF(OR($V582="",$O582=""),"",$V582*$O582)</f>
        <v/>
      </c>
      <c r="X582" s="45" t="n"/>
      <c r="Y582" s="49" t="n"/>
    </row>
    <row r="583">
      <c r="A583" s="43">
        <f>IF($B583="","",COUNT($B$5:$B583))</f>
        <v/>
      </c>
      <c r="B583" s="44" t="n"/>
      <c r="C583" s="44" t="n"/>
      <c r="D583" s="45" t="n"/>
      <c r="E583" s="45" t="n"/>
      <c r="F583" s="45" t="n"/>
      <c r="G583" s="46">
        <f>IF($F583="","",IFERROR(INDEX(사건마스터!$B$5:$B$64,MATCH($F583,사건마스터!$A$5:$A$64,0)),""))</f>
        <v/>
      </c>
      <c r="H583" s="47">
        <f>IF($F583="","",IFERROR(INDEX(사건마스터!$C$5:$C$64,MATCH($F583,사건마스터!$A$5:$A$64,0)),""))</f>
        <v/>
      </c>
      <c r="I583" s="48">
        <f>IF($F583="","",IFERROR(INDEX(사건마스터!$H$5:$H$64,MATCH($F583,사건마스터!$A$5:$A$64,0)),""))</f>
        <v/>
      </c>
      <c r="J583" s="48">
        <f>IF($F583="","",IFERROR(INDEX(사건마스터!$AH$5:$AH$64,MATCH($F583,사건마스터!$A$5:$A$64,0)),""))</f>
        <v/>
      </c>
      <c r="K583" s="48">
        <f>IF($F583="","",IFERROR(INDEX(사건마스터!$AI$5:$AI$64,MATCH($F583,사건마스터!$A$5:$A$64,0)),""))</f>
        <v/>
      </c>
      <c r="L583" s="48">
        <f>IF($F583="","",IFERROR(INDEX(사건마스터!$AJ$5:$AJ$64,MATCH($F583,사건마스터!$A$5:$A$64,0)),""))</f>
        <v/>
      </c>
      <c r="M583" s="48">
        <f>IF($F583="","",IFERROR(INDEX(사건마스터!$AK$5:$AK$64,MATCH($F583,사건마스터!$A$5:$A$64,0)),""))</f>
        <v/>
      </c>
      <c r="N583" s="48">
        <f>IF($F583="","",IFERROR(INDEX(사건마스터!$AL$5:$AL$64,MATCH($F583,사건마스터!$A$5:$A$64,0)),""))</f>
        <v/>
      </c>
      <c r="O583" s="43">
        <f>IF($I583="","",COUNTIF($I583:$N583,"?*"))</f>
        <v/>
      </c>
      <c r="P583" s="46">
        <f>IF($I583="","",_xlfn.TEXTJOIN(", ",TRUE,$I583:$N583))</f>
        <v/>
      </c>
      <c r="Q583" s="47">
        <f>IF($I583="","",IFERROR(INDEX(코드설정!$D$5:$D$24,MATCH($I583,코드설정!$C$5:$C$24,0)),""))</f>
        <v/>
      </c>
      <c r="R583" s="49" t="n"/>
      <c r="S583" s="50" t="n"/>
      <c r="T583" s="51" t="n"/>
      <c r="U583" s="43">
        <f>IF(OR($B583="",$C583=""),"",$C583-$B583+1)</f>
        <v/>
      </c>
      <c r="V583" s="52" t="n"/>
      <c r="W583" s="53">
        <f>IF(OR($V583="",$O583=""),"",$V583*$O583)</f>
        <v/>
      </c>
      <c r="X583" s="45" t="n"/>
      <c r="Y583" s="49" t="n"/>
    </row>
    <row r="584">
      <c r="A584" s="43">
        <f>IF($B584="","",COUNT($B$5:$B584))</f>
        <v/>
      </c>
      <c r="B584" s="44" t="n"/>
      <c r="C584" s="44" t="n"/>
      <c r="D584" s="45" t="n"/>
      <c r="E584" s="45" t="n"/>
      <c r="F584" s="45" t="n"/>
      <c r="G584" s="46">
        <f>IF($F584="","",IFERROR(INDEX(사건마스터!$B$5:$B$64,MATCH($F584,사건마스터!$A$5:$A$64,0)),""))</f>
        <v/>
      </c>
      <c r="H584" s="47">
        <f>IF($F584="","",IFERROR(INDEX(사건마스터!$C$5:$C$64,MATCH($F584,사건마스터!$A$5:$A$64,0)),""))</f>
        <v/>
      </c>
      <c r="I584" s="48">
        <f>IF($F584="","",IFERROR(INDEX(사건마스터!$H$5:$H$64,MATCH($F584,사건마스터!$A$5:$A$64,0)),""))</f>
        <v/>
      </c>
      <c r="J584" s="48">
        <f>IF($F584="","",IFERROR(INDEX(사건마스터!$AH$5:$AH$64,MATCH($F584,사건마스터!$A$5:$A$64,0)),""))</f>
        <v/>
      </c>
      <c r="K584" s="48">
        <f>IF($F584="","",IFERROR(INDEX(사건마스터!$AI$5:$AI$64,MATCH($F584,사건마스터!$A$5:$A$64,0)),""))</f>
        <v/>
      </c>
      <c r="L584" s="48">
        <f>IF($F584="","",IFERROR(INDEX(사건마스터!$AJ$5:$AJ$64,MATCH($F584,사건마스터!$A$5:$A$64,0)),""))</f>
        <v/>
      </c>
      <c r="M584" s="48">
        <f>IF($F584="","",IFERROR(INDEX(사건마스터!$AK$5:$AK$64,MATCH($F584,사건마스터!$A$5:$A$64,0)),""))</f>
        <v/>
      </c>
      <c r="N584" s="48">
        <f>IF($F584="","",IFERROR(INDEX(사건마스터!$AL$5:$AL$64,MATCH($F584,사건마스터!$A$5:$A$64,0)),""))</f>
        <v/>
      </c>
      <c r="O584" s="43">
        <f>IF($I584="","",COUNTIF($I584:$N584,"?*"))</f>
        <v/>
      </c>
      <c r="P584" s="46">
        <f>IF($I584="","",_xlfn.TEXTJOIN(", ",TRUE,$I584:$N584))</f>
        <v/>
      </c>
      <c r="Q584" s="47">
        <f>IF($I584="","",IFERROR(INDEX(코드설정!$D$5:$D$24,MATCH($I584,코드설정!$C$5:$C$24,0)),""))</f>
        <v/>
      </c>
      <c r="R584" s="49" t="n"/>
      <c r="S584" s="50" t="n"/>
      <c r="T584" s="51" t="n"/>
      <c r="U584" s="43">
        <f>IF(OR($B584="",$C584=""),"",$C584-$B584+1)</f>
        <v/>
      </c>
      <c r="V584" s="52" t="n"/>
      <c r="W584" s="53">
        <f>IF(OR($V584="",$O584=""),"",$V584*$O584)</f>
        <v/>
      </c>
      <c r="X584" s="45" t="n"/>
      <c r="Y584" s="49" t="n"/>
    </row>
    <row r="585">
      <c r="A585" s="43">
        <f>IF($B585="","",COUNT($B$5:$B585))</f>
        <v/>
      </c>
      <c r="B585" s="44" t="n"/>
      <c r="C585" s="44" t="n"/>
      <c r="D585" s="45" t="n"/>
      <c r="E585" s="45" t="n"/>
      <c r="F585" s="45" t="n"/>
      <c r="G585" s="46">
        <f>IF($F585="","",IFERROR(INDEX(사건마스터!$B$5:$B$64,MATCH($F585,사건마스터!$A$5:$A$64,0)),""))</f>
        <v/>
      </c>
      <c r="H585" s="47">
        <f>IF($F585="","",IFERROR(INDEX(사건마스터!$C$5:$C$64,MATCH($F585,사건마스터!$A$5:$A$64,0)),""))</f>
        <v/>
      </c>
      <c r="I585" s="48">
        <f>IF($F585="","",IFERROR(INDEX(사건마스터!$H$5:$H$64,MATCH($F585,사건마스터!$A$5:$A$64,0)),""))</f>
        <v/>
      </c>
      <c r="J585" s="48">
        <f>IF($F585="","",IFERROR(INDEX(사건마스터!$AH$5:$AH$64,MATCH($F585,사건마스터!$A$5:$A$64,0)),""))</f>
        <v/>
      </c>
      <c r="K585" s="48">
        <f>IF($F585="","",IFERROR(INDEX(사건마스터!$AI$5:$AI$64,MATCH($F585,사건마스터!$A$5:$A$64,0)),""))</f>
        <v/>
      </c>
      <c r="L585" s="48">
        <f>IF($F585="","",IFERROR(INDEX(사건마스터!$AJ$5:$AJ$64,MATCH($F585,사건마스터!$A$5:$A$64,0)),""))</f>
        <v/>
      </c>
      <c r="M585" s="48">
        <f>IF($F585="","",IFERROR(INDEX(사건마스터!$AK$5:$AK$64,MATCH($F585,사건마스터!$A$5:$A$64,0)),""))</f>
        <v/>
      </c>
      <c r="N585" s="48">
        <f>IF($F585="","",IFERROR(INDEX(사건마스터!$AL$5:$AL$64,MATCH($F585,사건마스터!$A$5:$A$64,0)),""))</f>
        <v/>
      </c>
      <c r="O585" s="43">
        <f>IF($I585="","",COUNTIF($I585:$N585,"?*"))</f>
        <v/>
      </c>
      <c r="P585" s="46">
        <f>IF($I585="","",_xlfn.TEXTJOIN(", ",TRUE,$I585:$N585))</f>
        <v/>
      </c>
      <c r="Q585" s="47">
        <f>IF($I585="","",IFERROR(INDEX(코드설정!$D$5:$D$24,MATCH($I585,코드설정!$C$5:$C$24,0)),""))</f>
        <v/>
      </c>
      <c r="R585" s="49" t="n"/>
      <c r="S585" s="50" t="n"/>
      <c r="T585" s="51" t="n"/>
      <c r="U585" s="43">
        <f>IF(OR($B585="",$C585=""),"",$C585-$B585+1)</f>
        <v/>
      </c>
      <c r="V585" s="52" t="n"/>
      <c r="W585" s="53">
        <f>IF(OR($V585="",$O585=""),"",$V585*$O585)</f>
        <v/>
      </c>
      <c r="X585" s="45" t="n"/>
      <c r="Y585" s="49" t="n"/>
    </row>
    <row r="586">
      <c r="A586" s="43">
        <f>IF($B586="","",COUNT($B$5:$B586))</f>
        <v/>
      </c>
      <c r="B586" s="44" t="n"/>
      <c r="C586" s="44" t="n"/>
      <c r="D586" s="45" t="n"/>
      <c r="E586" s="45" t="n"/>
      <c r="F586" s="45" t="n"/>
      <c r="G586" s="46">
        <f>IF($F586="","",IFERROR(INDEX(사건마스터!$B$5:$B$64,MATCH($F586,사건마스터!$A$5:$A$64,0)),""))</f>
        <v/>
      </c>
      <c r="H586" s="47">
        <f>IF($F586="","",IFERROR(INDEX(사건마스터!$C$5:$C$64,MATCH($F586,사건마스터!$A$5:$A$64,0)),""))</f>
        <v/>
      </c>
      <c r="I586" s="48">
        <f>IF($F586="","",IFERROR(INDEX(사건마스터!$H$5:$H$64,MATCH($F586,사건마스터!$A$5:$A$64,0)),""))</f>
        <v/>
      </c>
      <c r="J586" s="48">
        <f>IF($F586="","",IFERROR(INDEX(사건마스터!$AH$5:$AH$64,MATCH($F586,사건마스터!$A$5:$A$64,0)),""))</f>
        <v/>
      </c>
      <c r="K586" s="48">
        <f>IF($F586="","",IFERROR(INDEX(사건마스터!$AI$5:$AI$64,MATCH($F586,사건마스터!$A$5:$A$64,0)),""))</f>
        <v/>
      </c>
      <c r="L586" s="48">
        <f>IF($F586="","",IFERROR(INDEX(사건마스터!$AJ$5:$AJ$64,MATCH($F586,사건마스터!$A$5:$A$64,0)),""))</f>
        <v/>
      </c>
      <c r="M586" s="48">
        <f>IF($F586="","",IFERROR(INDEX(사건마스터!$AK$5:$AK$64,MATCH($F586,사건마스터!$A$5:$A$64,0)),""))</f>
        <v/>
      </c>
      <c r="N586" s="48">
        <f>IF($F586="","",IFERROR(INDEX(사건마스터!$AL$5:$AL$64,MATCH($F586,사건마스터!$A$5:$A$64,0)),""))</f>
        <v/>
      </c>
      <c r="O586" s="43">
        <f>IF($I586="","",COUNTIF($I586:$N586,"?*"))</f>
        <v/>
      </c>
      <c r="P586" s="46">
        <f>IF($I586="","",_xlfn.TEXTJOIN(", ",TRUE,$I586:$N586))</f>
        <v/>
      </c>
      <c r="Q586" s="47">
        <f>IF($I586="","",IFERROR(INDEX(코드설정!$D$5:$D$24,MATCH($I586,코드설정!$C$5:$C$24,0)),""))</f>
        <v/>
      </c>
      <c r="R586" s="49" t="n"/>
      <c r="S586" s="50" t="n"/>
      <c r="T586" s="51" t="n"/>
      <c r="U586" s="43">
        <f>IF(OR($B586="",$C586=""),"",$C586-$B586+1)</f>
        <v/>
      </c>
      <c r="V586" s="52" t="n"/>
      <c r="W586" s="53">
        <f>IF(OR($V586="",$O586=""),"",$V586*$O586)</f>
        <v/>
      </c>
      <c r="X586" s="45" t="n"/>
      <c r="Y586" s="49" t="n"/>
    </row>
    <row r="587">
      <c r="A587" s="43">
        <f>IF($B587="","",COUNT($B$5:$B587))</f>
        <v/>
      </c>
      <c r="B587" s="44" t="n"/>
      <c r="C587" s="44" t="n"/>
      <c r="D587" s="45" t="n"/>
      <c r="E587" s="45" t="n"/>
      <c r="F587" s="45" t="n"/>
      <c r="G587" s="46">
        <f>IF($F587="","",IFERROR(INDEX(사건마스터!$B$5:$B$64,MATCH($F587,사건마스터!$A$5:$A$64,0)),""))</f>
        <v/>
      </c>
      <c r="H587" s="47">
        <f>IF($F587="","",IFERROR(INDEX(사건마스터!$C$5:$C$64,MATCH($F587,사건마스터!$A$5:$A$64,0)),""))</f>
        <v/>
      </c>
      <c r="I587" s="48">
        <f>IF($F587="","",IFERROR(INDEX(사건마스터!$H$5:$H$64,MATCH($F587,사건마스터!$A$5:$A$64,0)),""))</f>
        <v/>
      </c>
      <c r="J587" s="48">
        <f>IF($F587="","",IFERROR(INDEX(사건마스터!$AH$5:$AH$64,MATCH($F587,사건마스터!$A$5:$A$64,0)),""))</f>
        <v/>
      </c>
      <c r="K587" s="48">
        <f>IF($F587="","",IFERROR(INDEX(사건마스터!$AI$5:$AI$64,MATCH($F587,사건마스터!$A$5:$A$64,0)),""))</f>
        <v/>
      </c>
      <c r="L587" s="48">
        <f>IF($F587="","",IFERROR(INDEX(사건마스터!$AJ$5:$AJ$64,MATCH($F587,사건마스터!$A$5:$A$64,0)),""))</f>
        <v/>
      </c>
      <c r="M587" s="48">
        <f>IF($F587="","",IFERROR(INDEX(사건마스터!$AK$5:$AK$64,MATCH($F587,사건마스터!$A$5:$A$64,0)),""))</f>
        <v/>
      </c>
      <c r="N587" s="48">
        <f>IF($F587="","",IFERROR(INDEX(사건마스터!$AL$5:$AL$64,MATCH($F587,사건마스터!$A$5:$A$64,0)),""))</f>
        <v/>
      </c>
      <c r="O587" s="43">
        <f>IF($I587="","",COUNTIF($I587:$N587,"?*"))</f>
        <v/>
      </c>
      <c r="P587" s="46">
        <f>IF($I587="","",_xlfn.TEXTJOIN(", ",TRUE,$I587:$N587))</f>
        <v/>
      </c>
      <c r="Q587" s="47">
        <f>IF($I587="","",IFERROR(INDEX(코드설정!$D$5:$D$24,MATCH($I587,코드설정!$C$5:$C$24,0)),""))</f>
        <v/>
      </c>
      <c r="R587" s="49" t="n"/>
      <c r="S587" s="50" t="n"/>
      <c r="T587" s="51" t="n"/>
      <c r="U587" s="43">
        <f>IF(OR($B587="",$C587=""),"",$C587-$B587+1)</f>
        <v/>
      </c>
      <c r="V587" s="52" t="n"/>
      <c r="W587" s="53">
        <f>IF(OR($V587="",$O587=""),"",$V587*$O587)</f>
        <v/>
      </c>
      <c r="X587" s="45" t="n"/>
      <c r="Y587" s="49" t="n"/>
    </row>
    <row r="588">
      <c r="A588" s="43">
        <f>IF($B588="","",COUNT($B$5:$B588))</f>
        <v/>
      </c>
      <c r="B588" s="44" t="n"/>
      <c r="C588" s="44" t="n"/>
      <c r="D588" s="45" t="n"/>
      <c r="E588" s="45" t="n"/>
      <c r="F588" s="45" t="n"/>
      <c r="G588" s="46">
        <f>IF($F588="","",IFERROR(INDEX(사건마스터!$B$5:$B$64,MATCH($F588,사건마스터!$A$5:$A$64,0)),""))</f>
        <v/>
      </c>
      <c r="H588" s="47">
        <f>IF($F588="","",IFERROR(INDEX(사건마스터!$C$5:$C$64,MATCH($F588,사건마스터!$A$5:$A$64,0)),""))</f>
        <v/>
      </c>
      <c r="I588" s="48">
        <f>IF($F588="","",IFERROR(INDEX(사건마스터!$H$5:$H$64,MATCH($F588,사건마스터!$A$5:$A$64,0)),""))</f>
        <v/>
      </c>
      <c r="J588" s="48">
        <f>IF($F588="","",IFERROR(INDEX(사건마스터!$AH$5:$AH$64,MATCH($F588,사건마스터!$A$5:$A$64,0)),""))</f>
        <v/>
      </c>
      <c r="K588" s="48">
        <f>IF($F588="","",IFERROR(INDEX(사건마스터!$AI$5:$AI$64,MATCH($F588,사건마스터!$A$5:$A$64,0)),""))</f>
        <v/>
      </c>
      <c r="L588" s="48">
        <f>IF($F588="","",IFERROR(INDEX(사건마스터!$AJ$5:$AJ$64,MATCH($F588,사건마스터!$A$5:$A$64,0)),""))</f>
        <v/>
      </c>
      <c r="M588" s="48">
        <f>IF($F588="","",IFERROR(INDEX(사건마스터!$AK$5:$AK$64,MATCH($F588,사건마스터!$A$5:$A$64,0)),""))</f>
        <v/>
      </c>
      <c r="N588" s="48">
        <f>IF($F588="","",IFERROR(INDEX(사건마스터!$AL$5:$AL$64,MATCH($F588,사건마스터!$A$5:$A$64,0)),""))</f>
        <v/>
      </c>
      <c r="O588" s="43">
        <f>IF($I588="","",COUNTIF($I588:$N588,"?*"))</f>
        <v/>
      </c>
      <c r="P588" s="46">
        <f>IF($I588="","",_xlfn.TEXTJOIN(", ",TRUE,$I588:$N588))</f>
        <v/>
      </c>
      <c r="Q588" s="47">
        <f>IF($I588="","",IFERROR(INDEX(코드설정!$D$5:$D$24,MATCH($I588,코드설정!$C$5:$C$24,0)),""))</f>
        <v/>
      </c>
      <c r="R588" s="49" t="n"/>
      <c r="S588" s="50" t="n"/>
      <c r="T588" s="51" t="n"/>
      <c r="U588" s="43">
        <f>IF(OR($B588="",$C588=""),"",$C588-$B588+1)</f>
        <v/>
      </c>
      <c r="V588" s="52" t="n"/>
      <c r="W588" s="53">
        <f>IF(OR($V588="",$O588=""),"",$V588*$O588)</f>
        <v/>
      </c>
      <c r="X588" s="45" t="n"/>
      <c r="Y588" s="49" t="n"/>
    </row>
    <row r="589">
      <c r="A589" s="43">
        <f>IF($B589="","",COUNT($B$5:$B589))</f>
        <v/>
      </c>
      <c r="B589" s="44" t="n"/>
      <c r="C589" s="44" t="n"/>
      <c r="D589" s="45" t="n"/>
      <c r="E589" s="45" t="n"/>
      <c r="F589" s="45" t="n"/>
      <c r="G589" s="46">
        <f>IF($F589="","",IFERROR(INDEX(사건마스터!$B$5:$B$64,MATCH($F589,사건마스터!$A$5:$A$64,0)),""))</f>
        <v/>
      </c>
      <c r="H589" s="47">
        <f>IF($F589="","",IFERROR(INDEX(사건마스터!$C$5:$C$64,MATCH($F589,사건마스터!$A$5:$A$64,0)),""))</f>
        <v/>
      </c>
      <c r="I589" s="48">
        <f>IF($F589="","",IFERROR(INDEX(사건마스터!$H$5:$H$64,MATCH($F589,사건마스터!$A$5:$A$64,0)),""))</f>
        <v/>
      </c>
      <c r="J589" s="48">
        <f>IF($F589="","",IFERROR(INDEX(사건마스터!$AH$5:$AH$64,MATCH($F589,사건마스터!$A$5:$A$64,0)),""))</f>
        <v/>
      </c>
      <c r="K589" s="48">
        <f>IF($F589="","",IFERROR(INDEX(사건마스터!$AI$5:$AI$64,MATCH($F589,사건마스터!$A$5:$A$64,0)),""))</f>
        <v/>
      </c>
      <c r="L589" s="48">
        <f>IF($F589="","",IFERROR(INDEX(사건마스터!$AJ$5:$AJ$64,MATCH($F589,사건마스터!$A$5:$A$64,0)),""))</f>
        <v/>
      </c>
      <c r="M589" s="48">
        <f>IF($F589="","",IFERROR(INDEX(사건마스터!$AK$5:$AK$64,MATCH($F589,사건마스터!$A$5:$A$64,0)),""))</f>
        <v/>
      </c>
      <c r="N589" s="48">
        <f>IF($F589="","",IFERROR(INDEX(사건마스터!$AL$5:$AL$64,MATCH($F589,사건마스터!$A$5:$A$64,0)),""))</f>
        <v/>
      </c>
      <c r="O589" s="43">
        <f>IF($I589="","",COUNTIF($I589:$N589,"?*"))</f>
        <v/>
      </c>
      <c r="P589" s="46">
        <f>IF($I589="","",_xlfn.TEXTJOIN(", ",TRUE,$I589:$N589))</f>
        <v/>
      </c>
      <c r="Q589" s="47">
        <f>IF($I589="","",IFERROR(INDEX(코드설정!$D$5:$D$24,MATCH($I589,코드설정!$C$5:$C$24,0)),""))</f>
        <v/>
      </c>
      <c r="R589" s="49" t="n"/>
      <c r="S589" s="50" t="n"/>
      <c r="T589" s="51" t="n"/>
      <c r="U589" s="43">
        <f>IF(OR($B589="",$C589=""),"",$C589-$B589+1)</f>
        <v/>
      </c>
      <c r="V589" s="52" t="n"/>
      <c r="W589" s="53">
        <f>IF(OR($V589="",$O589=""),"",$V589*$O589)</f>
        <v/>
      </c>
      <c r="X589" s="45" t="n"/>
      <c r="Y589" s="49" t="n"/>
    </row>
    <row r="590">
      <c r="A590" s="43">
        <f>IF($B590="","",COUNT($B$5:$B590))</f>
        <v/>
      </c>
      <c r="B590" s="44" t="n"/>
      <c r="C590" s="44" t="n"/>
      <c r="D590" s="45" t="n"/>
      <c r="E590" s="45" t="n"/>
      <c r="F590" s="45" t="n"/>
      <c r="G590" s="46">
        <f>IF($F590="","",IFERROR(INDEX(사건마스터!$B$5:$B$64,MATCH($F590,사건마스터!$A$5:$A$64,0)),""))</f>
        <v/>
      </c>
      <c r="H590" s="47">
        <f>IF($F590="","",IFERROR(INDEX(사건마스터!$C$5:$C$64,MATCH($F590,사건마스터!$A$5:$A$64,0)),""))</f>
        <v/>
      </c>
      <c r="I590" s="48">
        <f>IF($F590="","",IFERROR(INDEX(사건마스터!$H$5:$H$64,MATCH($F590,사건마스터!$A$5:$A$64,0)),""))</f>
        <v/>
      </c>
      <c r="J590" s="48">
        <f>IF($F590="","",IFERROR(INDEX(사건마스터!$AH$5:$AH$64,MATCH($F590,사건마스터!$A$5:$A$64,0)),""))</f>
        <v/>
      </c>
      <c r="K590" s="48">
        <f>IF($F590="","",IFERROR(INDEX(사건마스터!$AI$5:$AI$64,MATCH($F590,사건마스터!$A$5:$A$64,0)),""))</f>
        <v/>
      </c>
      <c r="L590" s="48">
        <f>IF($F590="","",IFERROR(INDEX(사건마스터!$AJ$5:$AJ$64,MATCH($F590,사건마스터!$A$5:$A$64,0)),""))</f>
        <v/>
      </c>
      <c r="M590" s="48">
        <f>IF($F590="","",IFERROR(INDEX(사건마스터!$AK$5:$AK$64,MATCH($F590,사건마스터!$A$5:$A$64,0)),""))</f>
        <v/>
      </c>
      <c r="N590" s="48">
        <f>IF($F590="","",IFERROR(INDEX(사건마스터!$AL$5:$AL$64,MATCH($F590,사건마스터!$A$5:$A$64,0)),""))</f>
        <v/>
      </c>
      <c r="O590" s="43">
        <f>IF($I590="","",COUNTIF($I590:$N590,"?*"))</f>
        <v/>
      </c>
      <c r="P590" s="46">
        <f>IF($I590="","",_xlfn.TEXTJOIN(", ",TRUE,$I590:$N590))</f>
        <v/>
      </c>
      <c r="Q590" s="47">
        <f>IF($I590="","",IFERROR(INDEX(코드설정!$D$5:$D$24,MATCH($I590,코드설정!$C$5:$C$24,0)),""))</f>
        <v/>
      </c>
      <c r="R590" s="49" t="n"/>
      <c r="S590" s="50" t="n"/>
      <c r="T590" s="51" t="n"/>
      <c r="U590" s="43">
        <f>IF(OR($B590="",$C590=""),"",$C590-$B590+1)</f>
        <v/>
      </c>
      <c r="V590" s="52" t="n"/>
      <c r="W590" s="53">
        <f>IF(OR($V590="",$O590=""),"",$V590*$O590)</f>
        <v/>
      </c>
      <c r="X590" s="45" t="n"/>
      <c r="Y590" s="49" t="n"/>
    </row>
    <row r="591">
      <c r="A591" s="43">
        <f>IF($B591="","",COUNT($B$5:$B591))</f>
        <v/>
      </c>
      <c r="B591" s="44" t="n"/>
      <c r="C591" s="44" t="n"/>
      <c r="D591" s="45" t="n"/>
      <c r="E591" s="45" t="n"/>
      <c r="F591" s="45" t="n"/>
      <c r="G591" s="46">
        <f>IF($F591="","",IFERROR(INDEX(사건마스터!$B$5:$B$64,MATCH($F591,사건마스터!$A$5:$A$64,0)),""))</f>
        <v/>
      </c>
      <c r="H591" s="47">
        <f>IF($F591="","",IFERROR(INDEX(사건마스터!$C$5:$C$64,MATCH($F591,사건마스터!$A$5:$A$64,0)),""))</f>
        <v/>
      </c>
      <c r="I591" s="48">
        <f>IF($F591="","",IFERROR(INDEX(사건마스터!$H$5:$H$64,MATCH($F591,사건마스터!$A$5:$A$64,0)),""))</f>
        <v/>
      </c>
      <c r="J591" s="48">
        <f>IF($F591="","",IFERROR(INDEX(사건마스터!$AH$5:$AH$64,MATCH($F591,사건마스터!$A$5:$A$64,0)),""))</f>
        <v/>
      </c>
      <c r="K591" s="48">
        <f>IF($F591="","",IFERROR(INDEX(사건마스터!$AI$5:$AI$64,MATCH($F591,사건마스터!$A$5:$A$64,0)),""))</f>
        <v/>
      </c>
      <c r="L591" s="48">
        <f>IF($F591="","",IFERROR(INDEX(사건마스터!$AJ$5:$AJ$64,MATCH($F591,사건마스터!$A$5:$A$64,0)),""))</f>
        <v/>
      </c>
      <c r="M591" s="48">
        <f>IF($F591="","",IFERROR(INDEX(사건마스터!$AK$5:$AK$64,MATCH($F591,사건마스터!$A$5:$A$64,0)),""))</f>
        <v/>
      </c>
      <c r="N591" s="48">
        <f>IF($F591="","",IFERROR(INDEX(사건마스터!$AL$5:$AL$64,MATCH($F591,사건마스터!$A$5:$A$64,0)),""))</f>
        <v/>
      </c>
      <c r="O591" s="43">
        <f>IF($I591="","",COUNTIF($I591:$N591,"?*"))</f>
        <v/>
      </c>
      <c r="P591" s="46">
        <f>IF($I591="","",_xlfn.TEXTJOIN(", ",TRUE,$I591:$N591))</f>
        <v/>
      </c>
      <c r="Q591" s="47">
        <f>IF($I591="","",IFERROR(INDEX(코드설정!$D$5:$D$24,MATCH($I591,코드설정!$C$5:$C$24,0)),""))</f>
        <v/>
      </c>
      <c r="R591" s="49" t="n"/>
      <c r="S591" s="50" t="n"/>
      <c r="T591" s="51" t="n"/>
      <c r="U591" s="43">
        <f>IF(OR($B591="",$C591=""),"",$C591-$B591+1)</f>
        <v/>
      </c>
      <c r="V591" s="52" t="n"/>
      <c r="W591" s="53">
        <f>IF(OR($V591="",$O591=""),"",$V591*$O591)</f>
        <v/>
      </c>
      <c r="X591" s="45" t="n"/>
      <c r="Y591" s="49" t="n"/>
    </row>
    <row r="592">
      <c r="A592" s="43">
        <f>IF($B592="","",COUNT($B$5:$B592))</f>
        <v/>
      </c>
      <c r="B592" s="44" t="n"/>
      <c r="C592" s="44" t="n"/>
      <c r="D592" s="45" t="n"/>
      <c r="E592" s="45" t="n"/>
      <c r="F592" s="45" t="n"/>
      <c r="G592" s="46">
        <f>IF($F592="","",IFERROR(INDEX(사건마스터!$B$5:$B$64,MATCH($F592,사건마스터!$A$5:$A$64,0)),""))</f>
        <v/>
      </c>
      <c r="H592" s="47">
        <f>IF($F592="","",IFERROR(INDEX(사건마스터!$C$5:$C$64,MATCH($F592,사건마스터!$A$5:$A$64,0)),""))</f>
        <v/>
      </c>
      <c r="I592" s="48">
        <f>IF($F592="","",IFERROR(INDEX(사건마스터!$H$5:$H$64,MATCH($F592,사건마스터!$A$5:$A$64,0)),""))</f>
        <v/>
      </c>
      <c r="J592" s="48">
        <f>IF($F592="","",IFERROR(INDEX(사건마스터!$AH$5:$AH$64,MATCH($F592,사건마스터!$A$5:$A$64,0)),""))</f>
        <v/>
      </c>
      <c r="K592" s="48">
        <f>IF($F592="","",IFERROR(INDEX(사건마스터!$AI$5:$AI$64,MATCH($F592,사건마스터!$A$5:$A$64,0)),""))</f>
        <v/>
      </c>
      <c r="L592" s="48">
        <f>IF($F592="","",IFERROR(INDEX(사건마스터!$AJ$5:$AJ$64,MATCH($F592,사건마스터!$A$5:$A$64,0)),""))</f>
        <v/>
      </c>
      <c r="M592" s="48">
        <f>IF($F592="","",IFERROR(INDEX(사건마스터!$AK$5:$AK$64,MATCH($F592,사건마스터!$A$5:$A$64,0)),""))</f>
        <v/>
      </c>
      <c r="N592" s="48">
        <f>IF($F592="","",IFERROR(INDEX(사건마스터!$AL$5:$AL$64,MATCH($F592,사건마스터!$A$5:$A$64,0)),""))</f>
        <v/>
      </c>
      <c r="O592" s="43">
        <f>IF($I592="","",COUNTIF($I592:$N592,"?*"))</f>
        <v/>
      </c>
      <c r="P592" s="46">
        <f>IF($I592="","",_xlfn.TEXTJOIN(", ",TRUE,$I592:$N592))</f>
        <v/>
      </c>
      <c r="Q592" s="47">
        <f>IF($I592="","",IFERROR(INDEX(코드설정!$D$5:$D$24,MATCH($I592,코드설정!$C$5:$C$24,0)),""))</f>
        <v/>
      </c>
      <c r="R592" s="49" t="n"/>
      <c r="S592" s="50" t="n"/>
      <c r="T592" s="51" t="n"/>
      <c r="U592" s="43">
        <f>IF(OR($B592="",$C592=""),"",$C592-$B592+1)</f>
        <v/>
      </c>
      <c r="V592" s="52" t="n"/>
      <c r="W592" s="53">
        <f>IF(OR($V592="",$O592=""),"",$V592*$O592)</f>
        <v/>
      </c>
      <c r="X592" s="45" t="n"/>
      <c r="Y592" s="49" t="n"/>
    </row>
    <row r="593">
      <c r="A593" s="43">
        <f>IF($B593="","",COUNT($B$5:$B593))</f>
        <v/>
      </c>
      <c r="B593" s="44" t="n"/>
      <c r="C593" s="44" t="n"/>
      <c r="D593" s="45" t="n"/>
      <c r="E593" s="45" t="n"/>
      <c r="F593" s="45" t="n"/>
      <c r="G593" s="46">
        <f>IF($F593="","",IFERROR(INDEX(사건마스터!$B$5:$B$64,MATCH($F593,사건마스터!$A$5:$A$64,0)),""))</f>
        <v/>
      </c>
      <c r="H593" s="47">
        <f>IF($F593="","",IFERROR(INDEX(사건마스터!$C$5:$C$64,MATCH($F593,사건마스터!$A$5:$A$64,0)),""))</f>
        <v/>
      </c>
      <c r="I593" s="48">
        <f>IF($F593="","",IFERROR(INDEX(사건마스터!$H$5:$H$64,MATCH($F593,사건마스터!$A$5:$A$64,0)),""))</f>
        <v/>
      </c>
      <c r="J593" s="48">
        <f>IF($F593="","",IFERROR(INDEX(사건마스터!$AH$5:$AH$64,MATCH($F593,사건마스터!$A$5:$A$64,0)),""))</f>
        <v/>
      </c>
      <c r="K593" s="48">
        <f>IF($F593="","",IFERROR(INDEX(사건마스터!$AI$5:$AI$64,MATCH($F593,사건마스터!$A$5:$A$64,0)),""))</f>
        <v/>
      </c>
      <c r="L593" s="48">
        <f>IF($F593="","",IFERROR(INDEX(사건마스터!$AJ$5:$AJ$64,MATCH($F593,사건마스터!$A$5:$A$64,0)),""))</f>
        <v/>
      </c>
      <c r="M593" s="48">
        <f>IF($F593="","",IFERROR(INDEX(사건마스터!$AK$5:$AK$64,MATCH($F593,사건마스터!$A$5:$A$64,0)),""))</f>
        <v/>
      </c>
      <c r="N593" s="48">
        <f>IF($F593="","",IFERROR(INDEX(사건마스터!$AL$5:$AL$64,MATCH($F593,사건마스터!$A$5:$A$64,0)),""))</f>
        <v/>
      </c>
      <c r="O593" s="43">
        <f>IF($I593="","",COUNTIF($I593:$N593,"?*"))</f>
        <v/>
      </c>
      <c r="P593" s="46">
        <f>IF($I593="","",_xlfn.TEXTJOIN(", ",TRUE,$I593:$N593))</f>
        <v/>
      </c>
      <c r="Q593" s="47">
        <f>IF($I593="","",IFERROR(INDEX(코드설정!$D$5:$D$24,MATCH($I593,코드설정!$C$5:$C$24,0)),""))</f>
        <v/>
      </c>
      <c r="R593" s="49" t="n"/>
      <c r="S593" s="50" t="n"/>
      <c r="T593" s="51" t="n"/>
      <c r="U593" s="43">
        <f>IF(OR($B593="",$C593=""),"",$C593-$B593+1)</f>
        <v/>
      </c>
      <c r="V593" s="52" t="n"/>
      <c r="W593" s="53">
        <f>IF(OR($V593="",$O593=""),"",$V593*$O593)</f>
        <v/>
      </c>
      <c r="X593" s="45" t="n"/>
      <c r="Y593" s="49" t="n"/>
    </row>
    <row r="594">
      <c r="A594" s="43">
        <f>IF($B594="","",COUNT($B$5:$B594))</f>
        <v/>
      </c>
      <c r="B594" s="44" t="n"/>
      <c r="C594" s="44" t="n"/>
      <c r="D594" s="45" t="n"/>
      <c r="E594" s="45" t="n"/>
      <c r="F594" s="45" t="n"/>
      <c r="G594" s="46">
        <f>IF($F594="","",IFERROR(INDEX(사건마스터!$B$5:$B$64,MATCH($F594,사건마스터!$A$5:$A$64,0)),""))</f>
        <v/>
      </c>
      <c r="H594" s="47">
        <f>IF($F594="","",IFERROR(INDEX(사건마스터!$C$5:$C$64,MATCH($F594,사건마스터!$A$5:$A$64,0)),""))</f>
        <v/>
      </c>
      <c r="I594" s="48">
        <f>IF($F594="","",IFERROR(INDEX(사건마스터!$H$5:$H$64,MATCH($F594,사건마스터!$A$5:$A$64,0)),""))</f>
        <v/>
      </c>
      <c r="J594" s="48">
        <f>IF($F594="","",IFERROR(INDEX(사건마스터!$AH$5:$AH$64,MATCH($F594,사건마스터!$A$5:$A$64,0)),""))</f>
        <v/>
      </c>
      <c r="K594" s="48">
        <f>IF($F594="","",IFERROR(INDEX(사건마스터!$AI$5:$AI$64,MATCH($F594,사건마스터!$A$5:$A$64,0)),""))</f>
        <v/>
      </c>
      <c r="L594" s="48">
        <f>IF($F594="","",IFERROR(INDEX(사건마스터!$AJ$5:$AJ$64,MATCH($F594,사건마스터!$A$5:$A$64,0)),""))</f>
        <v/>
      </c>
      <c r="M594" s="48">
        <f>IF($F594="","",IFERROR(INDEX(사건마스터!$AK$5:$AK$64,MATCH($F594,사건마스터!$A$5:$A$64,0)),""))</f>
        <v/>
      </c>
      <c r="N594" s="48">
        <f>IF($F594="","",IFERROR(INDEX(사건마스터!$AL$5:$AL$64,MATCH($F594,사건마스터!$A$5:$A$64,0)),""))</f>
        <v/>
      </c>
      <c r="O594" s="43">
        <f>IF($I594="","",COUNTIF($I594:$N594,"?*"))</f>
        <v/>
      </c>
      <c r="P594" s="46">
        <f>IF($I594="","",_xlfn.TEXTJOIN(", ",TRUE,$I594:$N594))</f>
        <v/>
      </c>
      <c r="Q594" s="47">
        <f>IF($I594="","",IFERROR(INDEX(코드설정!$D$5:$D$24,MATCH($I594,코드설정!$C$5:$C$24,0)),""))</f>
        <v/>
      </c>
      <c r="R594" s="49" t="n"/>
      <c r="S594" s="50" t="n"/>
      <c r="T594" s="51" t="n"/>
      <c r="U594" s="43">
        <f>IF(OR($B594="",$C594=""),"",$C594-$B594+1)</f>
        <v/>
      </c>
      <c r="V594" s="52" t="n"/>
      <c r="W594" s="53">
        <f>IF(OR($V594="",$O594=""),"",$V594*$O594)</f>
        <v/>
      </c>
      <c r="X594" s="45" t="n"/>
      <c r="Y594" s="49" t="n"/>
    </row>
    <row r="595">
      <c r="A595" s="43">
        <f>IF($B595="","",COUNT($B$5:$B595))</f>
        <v/>
      </c>
      <c r="B595" s="44" t="n"/>
      <c r="C595" s="44" t="n"/>
      <c r="D595" s="45" t="n"/>
      <c r="E595" s="45" t="n"/>
      <c r="F595" s="45" t="n"/>
      <c r="G595" s="46">
        <f>IF($F595="","",IFERROR(INDEX(사건마스터!$B$5:$B$64,MATCH($F595,사건마스터!$A$5:$A$64,0)),""))</f>
        <v/>
      </c>
      <c r="H595" s="47">
        <f>IF($F595="","",IFERROR(INDEX(사건마스터!$C$5:$C$64,MATCH($F595,사건마스터!$A$5:$A$64,0)),""))</f>
        <v/>
      </c>
      <c r="I595" s="48">
        <f>IF($F595="","",IFERROR(INDEX(사건마스터!$H$5:$H$64,MATCH($F595,사건마스터!$A$5:$A$64,0)),""))</f>
        <v/>
      </c>
      <c r="J595" s="48">
        <f>IF($F595="","",IFERROR(INDEX(사건마스터!$AH$5:$AH$64,MATCH($F595,사건마스터!$A$5:$A$64,0)),""))</f>
        <v/>
      </c>
      <c r="K595" s="48">
        <f>IF($F595="","",IFERROR(INDEX(사건마스터!$AI$5:$AI$64,MATCH($F595,사건마스터!$A$5:$A$64,0)),""))</f>
        <v/>
      </c>
      <c r="L595" s="48">
        <f>IF($F595="","",IFERROR(INDEX(사건마스터!$AJ$5:$AJ$64,MATCH($F595,사건마스터!$A$5:$A$64,0)),""))</f>
        <v/>
      </c>
      <c r="M595" s="48">
        <f>IF($F595="","",IFERROR(INDEX(사건마스터!$AK$5:$AK$64,MATCH($F595,사건마스터!$A$5:$A$64,0)),""))</f>
        <v/>
      </c>
      <c r="N595" s="48">
        <f>IF($F595="","",IFERROR(INDEX(사건마스터!$AL$5:$AL$64,MATCH($F595,사건마스터!$A$5:$A$64,0)),""))</f>
        <v/>
      </c>
      <c r="O595" s="43">
        <f>IF($I595="","",COUNTIF($I595:$N595,"?*"))</f>
        <v/>
      </c>
      <c r="P595" s="46">
        <f>IF($I595="","",_xlfn.TEXTJOIN(", ",TRUE,$I595:$N595))</f>
        <v/>
      </c>
      <c r="Q595" s="47">
        <f>IF($I595="","",IFERROR(INDEX(코드설정!$D$5:$D$24,MATCH($I595,코드설정!$C$5:$C$24,0)),""))</f>
        <v/>
      </c>
      <c r="R595" s="49" t="n"/>
      <c r="S595" s="50" t="n"/>
      <c r="T595" s="51" t="n"/>
      <c r="U595" s="43">
        <f>IF(OR($B595="",$C595=""),"",$C595-$B595+1)</f>
        <v/>
      </c>
      <c r="V595" s="52" t="n"/>
      <c r="W595" s="53">
        <f>IF(OR($V595="",$O595=""),"",$V595*$O595)</f>
        <v/>
      </c>
      <c r="X595" s="45" t="n"/>
      <c r="Y595" s="49" t="n"/>
    </row>
    <row r="596">
      <c r="A596" s="43">
        <f>IF($B596="","",COUNT($B$5:$B596))</f>
        <v/>
      </c>
      <c r="B596" s="44" t="n"/>
      <c r="C596" s="44" t="n"/>
      <c r="D596" s="45" t="n"/>
      <c r="E596" s="45" t="n"/>
      <c r="F596" s="45" t="n"/>
      <c r="G596" s="46">
        <f>IF($F596="","",IFERROR(INDEX(사건마스터!$B$5:$B$64,MATCH($F596,사건마스터!$A$5:$A$64,0)),""))</f>
        <v/>
      </c>
      <c r="H596" s="47">
        <f>IF($F596="","",IFERROR(INDEX(사건마스터!$C$5:$C$64,MATCH($F596,사건마스터!$A$5:$A$64,0)),""))</f>
        <v/>
      </c>
      <c r="I596" s="48">
        <f>IF($F596="","",IFERROR(INDEX(사건마스터!$H$5:$H$64,MATCH($F596,사건마스터!$A$5:$A$64,0)),""))</f>
        <v/>
      </c>
      <c r="J596" s="48">
        <f>IF($F596="","",IFERROR(INDEX(사건마스터!$AH$5:$AH$64,MATCH($F596,사건마스터!$A$5:$A$64,0)),""))</f>
        <v/>
      </c>
      <c r="K596" s="48">
        <f>IF($F596="","",IFERROR(INDEX(사건마스터!$AI$5:$AI$64,MATCH($F596,사건마스터!$A$5:$A$64,0)),""))</f>
        <v/>
      </c>
      <c r="L596" s="48">
        <f>IF($F596="","",IFERROR(INDEX(사건마스터!$AJ$5:$AJ$64,MATCH($F596,사건마스터!$A$5:$A$64,0)),""))</f>
        <v/>
      </c>
      <c r="M596" s="48">
        <f>IF($F596="","",IFERROR(INDEX(사건마스터!$AK$5:$AK$64,MATCH($F596,사건마스터!$A$5:$A$64,0)),""))</f>
        <v/>
      </c>
      <c r="N596" s="48">
        <f>IF($F596="","",IFERROR(INDEX(사건마스터!$AL$5:$AL$64,MATCH($F596,사건마스터!$A$5:$A$64,0)),""))</f>
        <v/>
      </c>
      <c r="O596" s="43">
        <f>IF($I596="","",COUNTIF($I596:$N596,"?*"))</f>
        <v/>
      </c>
      <c r="P596" s="46">
        <f>IF($I596="","",_xlfn.TEXTJOIN(", ",TRUE,$I596:$N596))</f>
        <v/>
      </c>
      <c r="Q596" s="47">
        <f>IF($I596="","",IFERROR(INDEX(코드설정!$D$5:$D$24,MATCH($I596,코드설정!$C$5:$C$24,0)),""))</f>
        <v/>
      </c>
      <c r="R596" s="49" t="n"/>
      <c r="S596" s="50" t="n"/>
      <c r="T596" s="51" t="n"/>
      <c r="U596" s="43">
        <f>IF(OR($B596="",$C596=""),"",$C596-$B596+1)</f>
        <v/>
      </c>
      <c r="V596" s="52" t="n"/>
      <c r="W596" s="53">
        <f>IF(OR($V596="",$O596=""),"",$V596*$O596)</f>
        <v/>
      </c>
      <c r="X596" s="45" t="n"/>
      <c r="Y596" s="49" t="n"/>
    </row>
    <row r="597">
      <c r="A597" s="43">
        <f>IF($B597="","",COUNT($B$5:$B597))</f>
        <v/>
      </c>
      <c r="B597" s="44" t="n"/>
      <c r="C597" s="44" t="n"/>
      <c r="D597" s="45" t="n"/>
      <c r="E597" s="45" t="n"/>
      <c r="F597" s="45" t="n"/>
      <c r="G597" s="46">
        <f>IF($F597="","",IFERROR(INDEX(사건마스터!$B$5:$B$64,MATCH($F597,사건마스터!$A$5:$A$64,0)),""))</f>
        <v/>
      </c>
      <c r="H597" s="47">
        <f>IF($F597="","",IFERROR(INDEX(사건마스터!$C$5:$C$64,MATCH($F597,사건마스터!$A$5:$A$64,0)),""))</f>
        <v/>
      </c>
      <c r="I597" s="48">
        <f>IF($F597="","",IFERROR(INDEX(사건마스터!$H$5:$H$64,MATCH($F597,사건마스터!$A$5:$A$64,0)),""))</f>
        <v/>
      </c>
      <c r="J597" s="48">
        <f>IF($F597="","",IFERROR(INDEX(사건마스터!$AH$5:$AH$64,MATCH($F597,사건마스터!$A$5:$A$64,0)),""))</f>
        <v/>
      </c>
      <c r="K597" s="48">
        <f>IF($F597="","",IFERROR(INDEX(사건마스터!$AI$5:$AI$64,MATCH($F597,사건마스터!$A$5:$A$64,0)),""))</f>
        <v/>
      </c>
      <c r="L597" s="48">
        <f>IF($F597="","",IFERROR(INDEX(사건마스터!$AJ$5:$AJ$64,MATCH($F597,사건마스터!$A$5:$A$64,0)),""))</f>
        <v/>
      </c>
      <c r="M597" s="48">
        <f>IF($F597="","",IFERROR(INDEX(사건마스터!$AK$5:$AK$64,MATCH($F597,사건마스터!$A$5:$A$64,0)),""))</f>
        <v/>
      </c>
      <c r="N597" s="48">
        <f>IF($F597="","",IFERROR(INDEX(사건마스터!$AL$5:$AL$64,MATCH($F597,사건마스터!$A$5:$A$64,0)),""))</f>
        <v/>
      </c>
      <c r="O597" s="43">
        <f>IF($I597="","",COUNTIF($I597:$N597,"?*"))</f>
        <v/>
      </c>
      <c r="P597" s="46">
        <f>IF($I597="","",_xlfn.TEXTJOIN(", ",TRUE,$I597:$N597))</f>
        <v/>
      </c>
      <c r="Q597" s="47">
        <f>IF($I597="","",IFERROR(INDEX(코드설정!$D$5:$D$24,MATCH($I597,코드설정!$C$5:$C$24,0)),""))</f>
        <v/>
      </c>
      <c r="R597" s="49" t="n"/>
      <c r="S597" s="50" t="n"/>
      <c r="T597" s="51" t="n"/>
      <c r="U597" s="43">
        <f>IF(OR($B597="",$C597=""),"",$C597-$B597+1)</f>
        <v/>
      </c>
      <c r="V597" s="52" t="n"/>
      <c r="W597" s="53">
        <f>IF(OR($V597="",$O597=""),"",$V597*$O597)</f>
        <v/>
      </c>
      <c r="X597" s="45" t="n"/>
      <c r="Y597" s="49" t="n"/>
    </row>
    <row r="598">
      <c r="A598" s="43">
        <f>IF($B598="","",COUNT($B$5:$B598))</f>
        <v/>
      </c>
      <c r="B598" s="44" t="n"/>
      <c r="C598" s="44" t="n"/>
      <c r="D598" s="45" t="n"/>
      <c r="E598" s="45" t="n"/>
      <c r="F598" s="45" t="n"/>
      <c r="G598" s="46">
        <f>IF($F598="","",IFERROR(INDEX(사건마스터!$B$5:$B$64,MATCH($F598,사건마스터!$A$5:$A$64,0)),""))</f>
        <v/>
      </c>
      <c r="H598" s="47">
        <f>IF($F598="","",IFERROR(INDEX(사건마스터!$C$5:$C$64,MATCH($F598,사건마스터!$A$5:$A$64,0)),""))</f>
        <v/>
      </c>
      <c r="I598" s="48">
        <f>IF($F598="","",IFERROR(INDEX(사건마스터!$H$5:$H$64,MATCH($F598,사건마스터!$A$5:$A$64,0)),""))</f>
        <v/>
      </c>
      <c r="J598" s="48">
        <f>IF($F598="","",IFERROR(INDEX(사건마스터!$AH$5:$AH$64,MATCH($F598,사건마스터!$A$5:$A$64,0)),""))</f>
        <v/>
      </c>
      <c r="K598" s="48">
        <f>IF($F598="","",IFERROR(INDEX(사건마스터!$AI$5:$AI$64,MATCH($F598,사건마스터!$A$5:$A$64,0)),""))</f>
        <v/>
      </c>
      <c r="L598" s="48">
        <f>IF($F598="","",IFERROR(INDEX(사건마스터!$AJ$5:$AJ$64,MATCH($F598,사건마스터!$A$5:$A$64,0)),""))</f>
        <v/>
      </c>
      <c r="M598" s="48">
        <f>IF($F598="","",IFERROR(INDEX(사건마스터!$AK$5:$AK$64,MATCH($F598,사건마스터!$A$5:$A$64,0)),""))</f>
        <v/>
      </c>
      <c r="N598" s="48">
        <f>IF($F598="","",IFERROR(INDEX(사건마스터!$AL$5:$AL$64,MATCH($F598,사건마스터!$A$5:$A$64,0)),""))</f>
        <v/>
      </c>
      <c r="O598" s="43">
        <f>IF($I598="","",COUNTIF($I598:$N598,"?*"))</f>
        <v/>
      </c>
      <c r="P598" s="46">
        <f>IF($I598="","",_xlfn.TEXTJOIN(", ",TRUE,$I598:$N598))</f>
        <v/>
      </c>
      <c r="Q598" s="47">
        <f>IF($I598="","",IFERROR(INDEX(코드설정!$D$5:$D$24,MATCH($I598,코드설정!$C$5:$C$24,0)),""))</f>
        <v/>
      </c>
      <c r="R598" s="49" t="n"/>
      <c r="S598" s="50" t="n"/>
      <c r="T598" s="51" t="n"/>
      <c r="U598" s="43">
        <f>IF(OR($B598="",$C598=""),"",$C598-$B598+1)</f>
        <v/>
      </c>
      <c r="V598" s="52" t="n"/>
      <c r="W598" s="53">
        <f>IF(OR($V598="",$O598=""),"",$V598*$O598)</f>
        <v/>
      </c>
      <c r="X598" s="45" t="n"/>
      <c r="Y598" s="49" t="n"/>
    </row>
    <row r="599">
      <c r="A599" s="43">
        <f>IF($B599="","",COUNT($B$5:$B599))</f>
        <v/>
      </c>
      <c r="B599" s="44" t="n"/>
      <c r="C599" s="44" t="n"/>
      <c r="D599" s="45" t="n"/>
      <c r="E599" s="45" t="n"/>
      <c r="F599" s="45" t="n"/>
      <c r="G599" s="46">
        <f>IF($F599="","",IFERROR(INDEX(사건마스터!$B$5:$B$64,MATCH($F599,사건마스터!$A$5:$A$64,0)),""))</f>
        <v/>
      </c>
      <c r="H599" s="47">
        <f>IF($F599="","",IFERROR(INDEX(사건마스터!$C$5:$C$64,MATCH($F599,사건마스터!$A$5:$A$64,0)),""))</f>
        <v/>
      </c>
      <c r="I599" s="48">
        <f>IF($F599="","",IFERROR(INDEX(사건마스터!$H$5:$H$64,MATCH($F599,사건마스터!$A$5:$A$64,0)),""))</f>
        <v/>
      </c>
      <c r="J599" s="48">
        <f>IF($F599="","",IFERROR(INDEX(사건마스터!$AH$5:$AH$64,MATCH($F599,사건마스터!$A$5:$A$64,0)),""))</f>
        <v/>
      </c>
      <c r="K599" s="48">
        <f>IF($F599="","",IFERROR(INDEX(사건마스터!$AI$5:$AI$64,MATCH($F599,사건마스터!$A$5:$A$64,0)),""))</f>
        <v/>
      </c>
      <c r="L599" s="48">
        <f>IF($F599="","",IFERROR(INDEX(사건마스터!$AJ$5:$AJ$64,MATCH($F599,사건마스터!$A$5:$A$64,0)),""))</f>
        <v/>
      </c>
      <c r="M599" s="48">
        <f>IF($F599="","",IFERROR(INDEX(사건마스터!$AK$5:$AK$64,MATCH($F599,사건마스터!$A$5:$A$64,0)),""))</f>
        <v/>
      </c>
      <c r="N599" s="48">
        <f>IF($F599="","",IFERROR(INDEX(사건마스터!$AL$5:$AL$64,MATCH($F599,사건마스터!$A$5:$A$64,0)),""))</f>
        <v/>
      </c>
      <c r="O599" s="43">
        <f>IF($I599="","",COUNTIF($I599:$N599,"?*"))</f>
        <v/>
      </c>
      <c r="P599" s="46">
        <f>IF($I599="","",_xlfn.TEXTJOIN(", ",TRUE,$I599:$N599))</f>
        <v/>
      </c>
      <c r="Q599" s="47">
        <f>IF($I599="","",IFERROR(INDEX(코드설정!$D$5:$D$24,MATCH($I599,코드설정!$C$5:$C$24,0)),""))</f>
        <v/>
      </c>
      <c r="R599" s="49" t="n"/>
      <c r="S599" s="50" t="n"/>
      <c r="T599" s="51" t="n"/>
      <c r="U599" s="43">
        <f>IF(OR($B599="",$C599=""),"",$C599-$B599+1)</f>
        <v/>
      </c>
      <c r="V599" s="52" t="n"/>
      <c r="W599" s="53">
        <f>IF(OR($V599="",$O599=""),"",$V599*$O599)</f>
        <v/>
      </c>
      <c r="X599" s="45" t="n"/>
      <c r="Y599" s="49" t="n"/>
    </row>
    <row r="600">
      <c r="A600" s="43">
        <f>IF($B600="","",COUNT($B$5:$B600))</f>
        <v/>
      </c>
      <c r="B600" s="44" t="n"/>
      <c r="C600" s="44" t="n"/>
      <c r="D600" s="45" t="n"/>
      <c r="E600" s="45" t="n"/>
      <c r="F600" s="45" t="n"/>
      <c r="G600" s="46">
        <f>IF($F600="","",IFERROR(INDEX(사건마스터!$B$5:$B$64,MATCH($F600,사건마스터!$A$5:$A$64,0)),""))</f>
        <v/>
      </c>
      <c r="H600" s="47">
        <f>IF($F600="","",IFERROR(INDEX(사건마스터!$C$5:$C$64,MATCH($F600,사건마스터!$A$5:$A$64,0)),""))</f>
        <v/>
      </c>
      <c r="I600" s="48">
        <f>IF($F600="","",IFERROR(INDEX(사건마스터!$H$5:$H$64,MATCH($F600,사건마스터!$A$5:$A$64,0)),""))</f>
        <v/>
      </c>
      <c r="J600" s="48">
        <f>IF($F600="","",IFERROR(INDEX(사건마스터!$AH$5:$AH$64,MATCH($F600,사건마스터!$A$5:$A$64,0)),""))</f>
        <v/>
      </c>
      <c r="K600" s="48">
        <f>IF($F600="","",IFERROR(INDEX(사건마스터!$AI$5:$AI$64,MATCH($F600,사건마스터!$A$5:$A$64,0)),""))</f>
        <v/>
      </c>
      <c r="L600" s="48">
        <f>IF($F600="","",IFERROR(INDEX(사건마스터!$AJ$5:$AJ$64,MATCH($F600,사건마스터!$A$5:$A$64,0)),""))</f>
        <v/>
      </c>
      <c r="M600" s="48">
        <f>IF($F600="","",IFERROR(INDEX(사건마스터!$AK$5:$AK$64,MATCH($F600,사건마스터!$A$5:$A$64,0)),""))</f>
        <v/>
      </c>
      <c r="N600" s="48">
        <f>IF($F600="","",IFERROR(INDEX(사건마스터!$AL$5:$AL$64,MATCH($F600,사건마스터!$A$5:$A$64,0)),""))</f>
        <v/>
      </c>
      <c r="O600" s="43">
        <f>IF($I600="","",COUNTIF($I600:$N600,"?*"))</f>
        <v/>
      </c>
      <c r="P600" s="46">
        <f>IF($I600="","",_xlfn.TEXTJOIN(", ",TRUE,$I600:$N600))</f>
        <v/>
      </c>
      <c r="Q600" s="47">
        <f>IF($I600="","",IFERROR(INDEX(코드설정!$D$5:$D$24,MATCH($I600,코드설정!$C$5:$C$24,0)),""))</f>
        <v/>
      </c>
      <c r="R600" s="49" t="n"/>
      <c r="S600" s="50" t="n"/>
      <c r="T600" s="51" t="n"/>
      <c r="U600" s="43">
        <f>IF(OR($B600="",$C600=""),"",$C600-$B600+1)</f>
        <v/>
      </c>
      <c r="V600" s="52" t="n"/>
      <c r="W600" s="53">
        <f>IF(OR($V600="",$O600=""),"",$V600*$O600)</f>
        <v/>
      </c>
      <c r="X600" s="45" t="n"/>
      <c r="Y600" s="49" t="n"/>
    </row>
    <row r="601">
      <c r="A601" s="43">
        <f>IF($B601="","",COUNT($B$5:$B601))</f>
        <v/>
      </c>
      <c r="B601" s="44" t="n"/>
      <c r="C601" s="44" t="n"/>
      <c r="D601" s="45" t="n"/>
      <c r="E601" s="45" t="n"/>
      <c r="F601" s="45" t="n"/>
      <c r="G601" s="46">
        <f>IF($F601="","",IFERROR(INDEX(사건마스터!$B$5:$B$64,MATCH($F601,사건마스터!$A$5:$A$64,0)),""))</f>
        <v/>
      </c>
      <c r="H601" s="47">
        <f>IF($F601="","",IFERROR(INDEX(사건마스터!$C$5:$C$64,MATCH($F601,사건마스터!$A$5:$A$64,0)),""))</f>
        <v/>
      </c>
      <c r="I601" s="48">
        <f>IF($F601="","",IFERROR(INDEX(사건마스터!$H$5:$H$64,MATCH($F601,사건마스터!$A$5:$A$64,0)),""))</f>
        <v/>
      </c>
      <c r="J601" s="48">
        <f>IF($F601="","",IFERROR(INDEX(사건마스터!$AH$5:$AH$64,MATCH($F601,사건마스터!$A$5:$A$64,0)),""))</f>
        <v/>
      </c>
      <c r="K601" s="48">
        <f>IF($F601="","",IFERROR(INDEX(사건마스터!$AI$5:$AI$64,MATCH($F601,사건마스터!$A$5:$A$64,0)),""))</f>
        <v/>
      </c>
      <c r="L601" s="48">
        <f>IF($F601="","",IFERROR(INDEX(사건마스터!$AJ$5:$AJ$64,MATCH($F601,사건마스터!$A$5:$A$64,0)),""))</f>
        <v/>
      </c>
      <c r="M601" s="48">
        <f>IF($F601="","",IFERROR(INDEX(사건마스터!$AK$5:$AK$64,MATCH($F601,사건마스터!$A$5:$A$64,0)),""))</f>
        <v/>
      </c>
      <c r="N601" s="48">
        <f>IF($F601="","",IFERROR(INDEX(사건마스터!$AL$5:$AL$64,MATCH($F601,사건마스터!$A$5:$A$64,0)),""))</f>
        <v/>
      </c>
      <c r="O601" s="43">
        <f>IF($I601="","",COUNTIF($I601:$N601,"?*"))</f>
        <v/>
      </c>
      <c r="P601" s="46">
        <f>IF($I601="","",_xlfn.TEXTJOIN(", ",TRUE,$I601:$N601))</f>
        <v/>
      </c>
      <c r="Q601" s="47">
        <f>IF($I601="","",IFERROR(INDEX(코드설정!$D$5:$D$24,MATCH($I601,코드설정!$C$5:$C$24,0)),""))</f>
        <v/>
      </c>
      <c r="R601" s="49" t="n"/>
      <c r="S601" s="50" t="n"/>
      <c r="T601" s="51" t="n"/>
      <c r="U601" s="43">
        <f>IF(OR($B601="",$C601=""),"",$C601-$B601+1)</f>
        <v/>
      </c>
      <c r="V601" s="52" t="n"/>
      <c r="W601" s="53">
        <f>IF(OR($V601="",$O601=""),"",$V601*$O601)</f>
        <v/>
      </c>
      <c r="X601" s="45" t="n"/>
      <c r="Y601" s="49" t="n"/>
    </row>
    <row r="602">
      <c r="A602" s="43">
        <f>IF($B602="","",COUNT($B$5:$B602))</f>
        <v/>
      </c>
      <c r="B602" s="44" t="n"/>
      <c r="C602" s="44" t="n"/>
      <c r="D602" s="45" t="n"/>
      <c r="E602" s="45" t="n"/>
      <c r="F602" s="45" t="n"/>
      <c r="G602" s="46">
        <f>IF($F602="","",IFERROR(INDEX(사건마스터!$B$5:$B$64,MATCH($F602,사건마스터!$A$5:$A$64,0)),""))</f>
        <v/>
      </c>
      <c r="H602" s="47">
        <f>IF($F602="","",IFERROR(INDEX(사건마스터!$C$5:$C$64,MATCH($F602,사건마스터!$A$5:$A$64,0)),""))</f>
        <v/>
      </c>
      <c r="I602" s="48">
        <f>IF($F602="","",IFERROR(INDEX(사건마스터!$H$5:$H$64,MATCH($F602,사건마스터!$A$5:$A$64,0)),""))</f>
        <v/>
      </c>
      <c r="J602" s="48">
        <f>IF($F602="","",IFERROR(INDEX(사건마스터!$AH$5:$AH$64,MATCH($F602,사건마스터!$A$5:$A$64,0)),""))</f>
        <v/>
      </c>
      <c r="K602" s="48">
        <f>IF($F602="","",IFERROR(INDEX(사건마스터!$AI$5:$AI$64,MATCH($F602,사건마스터!$A$5:$A$64,0)),""))</f>
        <v/>
      </c>
      <c r="L602" s="48">
        <f>IF($F602="","",IFERROR(INDEX(사건마스터!$AJ$5:$AJ$64,MATCH($F602,사건마스터!$A$5:$A$64,0)),""))</f>
        <v/>
      </c>
      <c r="M602" s="48">
        <f>IF($F602="","",IFERROR(INDEX(사건마스터!$AK$5:$AK$64,MATCH($F602,사건마스터!$A$5:$A$64,0)),""))</f>
        <v/>
      </c>
      <c r="N602" s="48">
        <f>IF($F602="","",IFERROR(INDEX(사건마스터!$AL$5:$AL$64,MATCH($F602,사건마스터!$A$5:$A$64,0)),""))</f>
        <v/>
      </c>
      <c r="O602" s="43">
        <f>IF($I602="","",COUNTIF($I602:$N602,"?*"))</f>
        <v/>
      </c>
      <c r="P602" s="46">
        <f>IF($I602="","",_xlfn.TEXTJOIN(", ",TRUE,$I602:$N602))</f>
        <v/>
      </c>
      <c r="Q602" s="47">
        <f>IF($I602="","",IFERROR(INDEX(코드설정!$D$5:$D$24,MATCH($I602,코드설정!$C$5:$C$24,0)),""))</f>
        <v/>
      </c>
      <c r="R602" s="49" t="n"/>
      <c r="S602" s="50" t="n"/>
      <c r="T602" s="51" t="n"/>
      <c r="U602" s="43">
        <f>IF(OR($B602="",$C602=""),"",$C602-$B602+1)</f>
        <v/>
      </c>
      <c r="V602" s="52" t="n"/>
      <c r="W602" s="53">
        <f>IF(OR($V602="",$O602=""),"",$V602*$O602)</f>
        <v/>
      </c>
      <c r="X602" s="45" t="n"/>
      <c r="Y602" s="49" t="n"/>
    </row>
    <row r="603">
      <c r="A603" s="43">
        <f>IF($B603="","",COUNT($B$5:$B603))</f>
        <v/>
      </c>
      <c r="B603" s="44" t="n"/>
      <c r="C603" s="44" t="n"/>
      <c r="D603" s="45" t="n"/>
      <c r="E603" s="45" t="n"/>
      <c r="F603" s="45" t="n"/>
      <c r="G603" s="46">
        <f>IF($F603="","",IFERROR(INDEX(사건마스터!$B$5:$B$64,MATCH($F603,사건마스터!$A$5:$A$64,0)),""))</f>
        <v/>
      </c>
      <c r="H603" s="47">
        <f>IF($F603="","",IFERROR(INDEX(사건마스터!$C$5:$C$64,MATCH($F603,사건마스터!$A$5:$A$64,0)),""))</f>
        <v/>
      </c>
      <c r="I603" s="48">
        <f>IF($F603="","",IFERROR(INDEX(사건마스터!$H$5:$H$64,MATCH($F603,사건마스터!$A$5:$A$64,0)),""))</f>
        <v/>
      </c>
      <c r="J603" s="48">
        <f>IF($F603="","",IFERROR(INDEX(사건마스터!$AH$5:$AH$64,MATCH($F603,사건마스터!$A$5:$A$64,0)),""))</f>
        <v/>
      </c>
      <c r="K603" s="48">
        <f>IF($F603="","",IFERROR(INDEX(사건마스터!$AI$5:$AI$64,MATCH($F603,사건마스터!$A$5:$A$64,0)),""))</f>
        <v/>
      </c>
      <c r="L603" s="48">
        <f>IF($F603="","",IFERROR(INDEX(사건마스터!$AJ$5:$AJ$64,MATCH($F603,사건마스터!$A$5:$A$64,0)),""))</f>
        <v/>
      </c>
      <c r="M603" s="48">
        <f>IF($F603="","",IFERROR(INDEX(사건마스터!$AK$5:$AK$64,MATCH($F603,사건마스터!$A$5:$A$64,0)),""))</f>
        <v/>
      </c>
      <c r="N603" s="48">
        <f>IF($F603="","",IFERROR(INDEX(사건마스터!$AL$5:$AL$64,MATCH($F603,사건마스터!$A$5:$A$64,0)),""))</f>
        <v/>
      </c>
      <c r="O603" s="43">
        <f>IF($I603="","",COUNTIF($I603:$N603,"?*"))</f>
        <v/>
      </c>
      <c r="P603" s="46">
        <f>IF($I603="","",_xlfn.TEXTJOIN(", ",TRUE,$I603:$N603))</f>
        <v/>
      </c>
      <c r="Q603" s="47">
        <f>IF($I603="","",IFERROR(INDEX(코드설정!$D$5:$D$24,MATCH($I603,코드설정!$C$5:$C$24,0)),""))</f>
        <v/>
      </c>
      <c r="R603" s="49" t="n"/>
      <c r="S603" s="50" t="n"/>
      <c r="T603" s="51" t="n"/>
      <c r="U603" s="43">
        <f>IF(OR($B603="",$C603=""),"",$C603-$B603+1)</f>
        <v/>
      </c>
      <c r="V603" s="52" t="n"/>
      <c r="W603" s="53">
        <f>IF(OR($V603="",$O603=""),"",$V603*$O603)</f>
        <v/>
      </c>
      <c r="X603" s="45" t="n"/>
      <c r="Y603" s="49" t="n"/>
    </row>
    <row r="604">
      <c r="A604" s="43">
        <f>IF($B604="","",COUNT($B$5:$B604))</f>
        <v/>
      </c>
      <c r="B604" s="44" t="n"/>
      <c r="C604" s="44" t="n"/>
      <c r="D604" s="45" t="n"/>
      <c r="E604" s="45" t="n"/>
      <c r="F604" s="45" t="n"/>
      <c r="G604" s="46">
        <f>IF($F604="","",IFERROR(INDEX(사건마스터!$B$5:$B$64,MATCH($F604,사건마스터!$A$5:$A$64,0)),""))</f>
        <v/>
      </c>
      <c r="H604" s="47">
        <f>IF($F604="","",IFERROR(INDEX(사건마스터!$C$5:$C$64,MATCH($F604,사건마스터!$A$5:$A$64,0)),""))</f>
        <v/>
      </c>
      <c r="I604" s="48">
        <f>IF($F604="","",IFERROR(INDEX(사건마스터!$H$5:$H$64,MATCH($F604,사건마스터!$A$5:$A$64,0)),""))</f>
        <v/>
      </c>
      <c r="J604" s="48">
        <f>IF($F604="","",IFERROR(INDEX(사건마스터!$AH$5:$AH$64,MATCH($F604,사건마스터!$A$5:$A$64,0)),""))</f>
        <v/>
      </c>
      <c r="K604" s="48">
        <f>IF($F604="","",IFERROR(INDEX(사건마스터!$AI$5:$AI$64,MATCH($F604,사건마스터!$A$5:$A$64,0)),""))</f>
        <v/>
      </c>
      <c r="L604" s="48">
        <f>IF($F604="","",IFERROR(INDEX(사건마스터!$AJ$5:$AJ$64,MATCH($F604,사건마스터!$A$5:$A$64,0)),""))</f>
        <v/>
      </c>
      <c r="M604" s="48">
        <f>IF($F604="","",IFERROR(INDEX(사건마스터!$AK$5:$AK$64,MATCH($F604,사건마스터!$A$5:$A$64,0)),""))</f>
        <v/>
      </c>
      <c r="N604" s="48">
        <f>IF($F604="","",IFERROR(INDEX(사건마스터!$AL$5:$AL$64,MATCH($F604,사건마스터!$A$5:$A$64,0)),""))</f>
        <v/>
      </c>
      <c r="O604" s="43">
        <f>IF($I604="","",COUNTIF($I604:$N604,"?*"))</f>
        <v/>
      </c>
      <c r="P604" s="46">
        <f>IF($I604="","",_xlfn.TEXTJOIN(", ",TRUE,$I604:$N604))</f>
        <v/>
      </c>
      <c r="Q604" s="47">
        <f>IF($I604="","",IFERROR(INDEX(코드설정!$D$5:$D$24,MATCH($I604,코드설정!$C$5:$C$24,0)),""))</f>
        <v/>
      </c>
      <c r="R604" s="49" t="n"/>
      <c r="S604" s="50" t="n"/>
      <c r="T604" s="51" t="n"/>
      <c r="U604" s="43">
        <f>IF(OR($B604="",$C604=""),"",$C604-$B604+1)</f>
        <v/>
      </c>
      <c r="V604" s="52" t="n"/>
      <c r="W604" s="53">
        <f>IF(OR($V604="",$O604=""),"",$V604*$O604)</f>
        <v/>
      </c>
      <c r="X604" s="45" t="n"/>
      <c r="Y604" s="49" t="n"/>
    </row>
    <row r="605">
      <c r="A605" s="43">
        <f>IF($B605="","",COUNT($B$5:$B605))</f>
        <v/>
      </c>
      <c r="B605" s="44" t="n"/>
      <c r="C605" s="44" t="n"/>
      <c r="D605" s="45" t="n"/>
      <c r="E605" s="45" t="n"/>
      <c r="F605" s="45" t="n"/>
      <c r="G605" s="46">
        <f>IF($F605="","",IFERROR(INDEX(사건마스터!$B$5:$B$64,MATCH($F605,사건마스터!$A$5:$A$64,0)),""))</f>
        <v/>
      </c>
      <c r="H605" s="47">
        <f>IF($F605="","",IFERROR(INDEX(사건마스터!$C$5:$C$64,MATCH($F605,사건마스터!$A$5:$A$64,0)),""))</f>
        <v/>
      </c>
      <c r="I605" s="48">
        <f>IF($F605="","",IFERROR(INDEX(사건마스터!$H$5:$H$64,MATCH($F605,사건마스터!$A$5:$A$64,0)),""))</f>
        <v/>
      </c>
      <c r="J605" s="48">
        <f>IF($F605="","",IFERROR(INDEX(사건마스터!$AH$5:$AH$64,MATCH($F605,사건마스터!$A$5:$A$64,0)),""))</f>
        <v/>
      </c>
      <c r="K605" s="48">
        <f>IF($F605="","",IFERROR(INDEX(사건마스터!$AI$5:$AI$64,MATCH($F605,사건마스터!$A$5:$A$64,0)),""))</f>
        <v/>
      </c>
      <c r="L605" s="48">
        <f>IF($F605="","",IFERROR(INDEX(사건마스터!$AJ$5:$AJ$64,MATCH($F605,사건마스터!$A$5:$A$64,0)),""))</f>
        <v/>
      </c>
      <c r="M605" s="48">
        <f>IF($F605="","",IFERROR(INDEX(사건마스터!$AK$5:$AK$64,MATCH($F605,사건마스터!$A$5:$A$64,0)),""))</f>
        <v/>
      </c>
      <c r="N605" s="48">
        <f>IF($F605="","",IFERROR(INDEX(사건마스터!$AL$5:$AL$64,MATCH($F605,사건마스터!$A$5:$A$64,0)),""))</f>
        <v/>
      </c>
      <c r="O605" s="43">
        <f>IF($I605="","",COUNTIF($I605:$N605,"?*"))</f>
        <v/>
      </c>
      <c r="P605" s="46">
        <f>IF($I605="","",_xlfn.TEXTJOIN(", ",TRUE,$I605:$N605))</f>
        <v/>
      </c>
      <c r="Q605" s="47">
        <f>IF($I605="","",IFERROR(INDEX(코드설정!$D$5:$D$24,MATCH($I605,코드설정!$C$5:$C$24,0)),""))</f>
        <v/>
      </c>
      <c r="R605" s="49" t="n"/>
      <c r="S605" s="50" t="n"/>
      <c r="T605" s="51" t="n"/>
      <c r="U605" s="43">
        <f>IF(OR($B605="",$C605=""),"",$C605-$B605+1)</f>
        <v/>
      </c>
      <c r="V605" s="52" t="n"/>
      <c r="W605" s="53">
        <f>IF(OR($V605="",$O605=""),"",$V605*$O605)</f>
        <v/>
      </c>
      <c r="X605" s="45" t="n"/>
      <c r="Y605" s="49" t="n"/>
    </row>
    <row r="606">
      <c r="A606" s="43">
        <f>IF($B606="","",COUNT($B$5:$B606))</f>
        <v/>
      </c>
      <c r="B606" s="44" t="n"/>
      <c r="C606" s="44" t="n"/>
      <c r="D606" s="45" t="n"/>
      <c r="E606" s="45" t="n"/>
      <c r="F606" s="45" t="n"/>
      <c r="G606" s="46">
        <f>IF($F606="","",IFERROR(INDEX(사건마스터!$B$5:$B$64,MATCH($F606,사건마스터!$A$5:$A$64,0)),""))</f>
        <v/>
      </c>
      <c r="H606" s="47">
        <f>IF($F606="","",IFERROR(INDEX(사건마스터!$C$5:$C$64,MATCH($F606,사건마스터!$A$5:$A$64,0)),""))</f>
        <v/>
      </c>
      <c r="I606" s="48">
        <f>IF($F606="","",IFERROR(INDEX(사건마스터!$H$5:$H$64,MATCH($F606,사건마스터!$A$5:$A$64,0)),""))</f>
        <v/>
      </c>
      <c r="J606" s="48">
        <f>IF($F606="","",IFERROR(INDEX(사건마스터!$AH$5:$AH$64,MATCH($F606,사건마스터!$A$5:$A$64,0)),""))</f>
        <v/>
      </c>
      <c r="K606" s="48">
        <f>IF($F606="","",IFERROR(INDEX(사건마스터!$AI$5:$AI$64,MATCH($F606,사건마스터!$A$5:$A$64,0)),""))</f>
        <v/>
      </c>
      <c r="L606" s="48">
        <f>IF($F606="","",IFERROR(INDEX(사건마스터!$AJ$5:$AJ$64,MATCH($F606,사건마스터!$A$5:$A$64,0)),""))</f>
        <v/>
      </c>
      <c r="M606" s="48">
        <f>IF($F606="","",IFERROR(INDEX(사건마스터!$AK$5:$AK$64,MATCH($F606,사건마스터!$A$5:$A$64,0)),""))</f>
        <v/>
      </c>
      <c r="N606" s="48">
        <f>IF($F606="","",IFERROR(INDEX(사건마스터!$AL$5:$AL$64,MATCH($F606,사건마스터!$A$5:$A$64,0)),""))</f>
        <v/>
      </c>
      <c r="O606" s="43">
        <f>IF($I606="","",COUNTIF($I606:$N606,"?*"))</f>
        <v/>
      </c>
      <c r="P606" s="46">
        <f>IF($I606="","",_xlfn.TEXTJOIN(", ",TRUE,$I606:$N606))</f>
        <v/>
      </c>
      <c r="Q606" s="47">
        <f>IF($I606="","",IFERROR(INDEX(코드설정!$D$5:$D$24,MATCH($I606,코드설정!$C$5:$C$24,0)),""))</f>
        <v/>
      </c>
      <c r="R606" s="49" t="n"/>
      <c r="S606" s="50" t="n"/>
      <c r="T606" s="51" t="n"/>
      <c r="U606" s="43">
        <f>IF(OR($B606="",$C606=""),"",$C606-$B606+1)</f>
        <v/>
      </c>
      <c r="V606" s="52" t="n"/>
      <c r="W606" s="53">
        <f>IF(OR($V606="",$O606=""),"",$V606*$O606)</f>
        <v/>
      </c>
      <c r="X606" s="45" t="n"/>
      <c r="Y606" s="49" t="n"/>
    </row>
    <row r="607">
      <c r="A607" s="43">
        <f>IF($B607="","",COUNT($B$5:$B607))</f>
        <v/>
      </c>
      <c r="B607" s="44" t="n"/>
      <c r="C607" s="44" t="n"/>
      <c r="D607" s="45" t="n"/>
      <c r="E607" s="45" t="n"/>
      <c r="F607" s="45" t="n"/>
      <c r="G607" s="46">
        <f>IF($F607="","",IFERROR(INDEX(사건마스터!$B$5:$B$64,MATCH($F607,사건마스터!$A$5:$A$64,0)),""))</f>
        <v/>
      </c>
      <c r="H607" s="47">
        <f>IF($F607="","",IFERROR(INDEX(사건마스터!$C$5:$C$64,MATCH($F607,사건마스터!$A$5:$A$64,0)),""))</f>
        <v/>
      </c>
      <c r="I607" s="48">
        <f>IF($F607="","",IFERROR(INDEX(사건마스터!$H$5:$H$64,MATCH($F607,사건마스터!$A$5:$A$64,0)),""))</f>
        <v/>
      </c>
      <c r="J607" s="48">
        <f>IF($F607="","",IFERROR(INDEX(사건마스터!$AH$5:$AH$64,MATCH($F607,사건마스터!$A$5:$A$64,0)),""))</f>
        <v/>
      </c>
      <c r="K607" s="48">
        <f>IF($F607="","",IFERROR(INDEX(사건마스터!$AI$5:$AI$64,MATCH($F607,사건마스터!$A$5:$A$64,0)),""))</f>
        <v/>
      </c>
      <c r="L607" s="48">
        <f>IF($F607="","",IFERROR(INDEX(사건마스터!$AJ$5:$AJ$64,MATCH($F607,사건마스터!$A$5:$A$64,0)),""))</f>
        <v/>
      </c>
      <c r="M607" s="48">
        <f>IF($F607="","",IFERROR(INDEX(사건마스터!$AK$5:$AK$64,MATCH($F607,사건마스터!$A$5:$A$64,0)),""))</f>
        <v/>
      </c>
      <c r="N607" s="48">
        <f>IF($F607="","",IFERROR(INDEX(사건마스터!$AL$5:$AL$64,MATCH($F607,사건마스터!$A$5:$A$64,0)),""))</f>
        <v/>
      </c>
      <c r="O607" s="43">
        <f>IF($I607="","",COUNTIF($I607:$N607,"?*"))</f>
        <v/>
      </c>
      <c r="P607" s="46">
        <f>IF($I607="","",_xlfn.TEXTJOIN(", ",TRUE,$I607:$N607))</f>
        <v/>
      </c>
      <c r="Q607" s="47">
        <f>IF($I607="","",IFERROR(INDEX(코드설정!$D$5:$D$24,MATCH($I607,코드설정!$C$5:$C$24,0)),""))</f>
        <v/>
      </c>
      <c r="R607" s="49" t="n"/>
      <c r="S607" s="50" t="n"/>
      <c r="T607" s="51" t="n"/>
      <c r="U607" s="43">
        <f>IF(OR($B607="",$C607=""),"",$C607-$B607+1)</f>
        <v/>
      </c>
      <c r="V607" s="52" t="n"/>
      <c r="W607" s="53">
        <f>IF(OR($V607="",$O607=""),"",$V607*$O607)</f>
        <v/>
      </c>
      <c r="X607" s="45" t="n"/>
      <c r="Y607" s="49" t="n"/>
    </row>
    <row r="608">
      <c r="A608" s="43">
        <f>IF($B608="","",COUNT($B$5:$B608))</f>
        <v/>
      </c>
      <c r="B608" s="44" t="n"/>
      <c r="C608" s="44" t="n"/>
      <c r="D608" s="45" t="n"/>
      <c r="E608" s="45" t="n"/>
      <c r="F608" s="45" t="n"/>
      <c r="G608" s="46">
        <f>IF($F608="","",IFERROR(INDEX(사건마스터!$B$5:$B$64,MATCH($F608,사건마스터!$A$5:$A$64,0)),""))</f>
        <v/>
      </c>
      <c r="H608" s="47">
        <f>IF($F608="","",IFERROR(INDEX(사건마스터!$C$5:$C$64,MATCH($F608,사건마스터!$A$5:$A$64,0)),""))</f>
        <v/>
      </c>
      <c r="I608" s="48">
        <f>IF($F608="","",IFERROR(INDEX(사건마스터!$H$5:$H$64,MATCH($F608,사건마스터!$A$5:$A$64,0)),""))</f>
        <v/>
      </c>
      <c r="J608" s="48">
        <f>IF($F608="","",IFERROR(INDEX(사건마스터!$AH$5:$AH$64,MATCH($F608,사건마스터!$A$5:$A$64,0)),""))</f>
        <v/>
      </c>
      <c r="K608" s="48">
        <f>IF($F608="","",IFERROR(INDEX(사건마스터!$AI$5:$AI$64,MATCH($F608,사건마스터!$A$5:$A$64,0)),""))</f>
        <v/>
      </c>
      <c r="L608" s="48">
        <f>IF($F608="","",IFERROR(INDEX(사건마스터!$AJ$5:$AJ$64,MATCH($F608,사건마스터!$A$5:$A$64,0)),""))</f>
        <v/>
      </c>
      <c r="M608" s="48">
        <f>IF($F608="","",IFERROR(INDEX(사건마스터!$AK$5:$AK$64,MATCH($F608,사건마스터!$A$5:$A$64,0)),""))</f>
        <v/>
      </c>
      <c r="N608" s="48">
        <f>IF($F608="","",IFERROR(INDEX(사건마스터!$AL$5:$AL$64,MATCH($F608,사건마스터!$A$5:$A$64,0)),""))</f>
        <v/>
      </c>
      <c r="O608" s="43">
        <f>IF($I608="","",COUNTIF($I608:$N608,"?*"))</f>
        <v/>
      </c>
      <c r="P608" s="46">
        <f>IF($I608="","",_xlfn.TEXTJOIN(", ",TRUE,$I608:$N608))</f>
        <v/>
      </c>
      <c r="Q608" s="47">
        <f>IF($I608="","",IFERROR(INDEX(코드설정!$D$5:$D$24,MATCH($I608,코드설정!$C$5:$C$24,0)),""))</f>
        <v/>
      </c>
      <c r="R608" s="49" t="n"/>
      <c r="S608" s="50" t="n"/>
      <c r="T608" s="51" t="n"/>
      <c r="U608" s="43">
        <f>IF(OR($B608="",$C608=""),"",$C608-$B608+1)</f>
        <v/>
      </c>
      <c r="V608" s="52" t="n"/>
      <c r="W608" s="53">
        <f>IF(OR($V608="",$O608=""),"",$V608*$O608)</f>
        <v/>
      </c>
      <c r="X608" s="45" t="n"/>
      <c r="Y608" s="49" t="n"/>
    </row>
    <row r="609">
      <c r="A609" s="43">
        <f>IF($B609="","",COUNT($B$5:$B609))</f>
        <v/>
      </c>
      <c r="B609" s="44" t="n"/>
      <c r="C609" s="44" t="n"/>
      <c r="D609" s="45" t="n"/>
      <c r="E609" s="45" t="n"/>
      <c r="F609" s="45" t="n"/>
      <c r="G609" s="46">
        <f>IF($F609="","",IFERROR(INDEX(사건마스터!$B$5:$B$64,MATCH($F609,사건마스터!$A$5:$A$64,0)),""))</f>
        <v/>
      </c>
      <c r="H609" s="47">
        <f>IF($F609="","",IFERROR(INDEX(사건마스터!$C$5:$C$64,MATCH($F609,사건마스터!$A$5:$A$64,0)),""))</f>
        <v/>
      </c>
      <c r="I609" s="48">
        <f>IF($F609="","",IFERROR(INDEX(사건마스터!$H$5:$H$64,MATCH($F609,사건마스터!$A$5:$A$64,0)),""))</f>
        <v/>
      </c>
      <c r="J609" s="48">
        <f>IF($F609="","",IFERROR(INDEX(사건마스터!$AH$5:$AH$64,MATCH($F609,사건마스터!$A$5:$A$64,0)),""))</f>
        <v/>
      </c>
      <c r="K609" s="48">
        <f>IF($F609="","",IFERROR(INDEX(사건마스터!$AI$5:$AI$64,MATCH($F609,사건마스터!$A$5:$A$64,0)),""))</f>
        <v/>
      </c>
      <c r="L609" s="48">
        <f>IF($F609="","",IFERROR(INDEX(사건마스터!$AJ$5:$AJ$64,MATCH($F609,사건마스터!$A$5:$A$64,0)),""))</f>
        <v/>
      </c>
      <c r="M609" s="48">
        <f>IF($F609="","",IFERROR(INDEX(사건마스터!$AK$5:$AK$64,MATCH($F609,사건마스터!$A$5:$A$64,0)),""))</f>
        <v/>
      </c>
      <c r="N609" s="48">
        <f>IF($F609="","",IFERROR(INDEX(사건마스터!$AL$5:$AL$64,MATCH($F609,사건마스터!$A$5:$A$64,0)),""))</f>
        <v/>
      </c>
      <c r="O609" s="43">
        <f>IF($I609="","",COUNTIF($I609:$N609,"?*"))</f>
        <v/>
      </c>
      <c r="P609" s="46">
        <f>IF($I609="","",_xlfn.TEXTJOIN(", ",TRUE,$I609:$N609))</f>
        <v/>
      </c>
      <c r="Q609" s="47">
        <f>IF($I609="","",IFERROR(INDEX(코드설정!$D$5:$D$24,MATCH($I609,코드설정!$C$5:$C$24,0)),""))</f>
        <v/>
      </c>
      <c r="R609" s="49" t="n"/>
      <c r="S609" s="50" t="n"/>
      <c r="T609" s="51" t="n"/>
      <c r="U609" s="43">
        <f>IF(OR($B609="",$C609=""),"",$C609-$B609+1)</f>
        <v/>
      </c>
      <c r="V609" s="52" t="n"/>
      <c r="W609" s="53">
        <f>IF(OR($V609="",$O609=""),"",$V609*$O609)</f>
        <v/>
      </c>
      <c r="X609" s="45" t="n"/>
      <c r="Y609" s="49" t="n"/>
    </row>
    <row r="610">
      <c r="A610" s="43">
        <f>IF($B610="","",COUNT($B$5:$B610))</f>
        <v/>
      </c>
      <c r="B610" s="44" t="n"/>
      <c r="C610" s="44" t="n"/>
      <c r="D610" s="45" t="n"/>
      <c r="E610" s="45" t="n"/>
      <c r="F610" s="45" t="n"/>
      <c r="G610" s="46">
        <f>IF($F610="","",IFERROR(INDEX(사건마스터!$B$5:$B$64,MATCH($F610,사건마스터!$A$5:$A$64,0)),""))</f>
        <v/>
      </c>
      <c r="H610" s="47">
        <f>IF($F610="","",IFERROR(INDEX(사건마스터!$C$5:$C$64,MATCH($F610,사건마스터!$A$5:$A$64,0)),""))</f>
        <v/>
      </c>
      <c r="I610" s="48">
        <f>IF($F610="","",IFERROR(INDEX(사건마스터!$H$5:$H$64,MATCH($F610,사건마스터!$A$5:$A$64,0)),""))</f>
        <v/>
      </c>
      <c r="J610" s="48">
        <f>IF($F610="","",IFERROR(INDEX(사건마스터!$AH$5:$AH$64,MATCH($F610,사건마스터!$A$5:$A$64,0)),""))</f>
        <v/>
      </c>
      <c r="K610" s="48">
        <f>IF($F610="","",IFERROR(INDEX(사건마스터!$AI$5:$AI$64,MATCH($F610,사건마스터!$A$5:$A$64,0)),""))</f>
        <v/>
      </c>
      <c r="L610" s="48">
        <f>IF($F610="","",IFERROR(INDEX(사건마스터!$AJ$5:$AJ$64,MATCH($F610,사건마스터!$A$5:$A$64,0)),""))</f>
        <v/>
      </c>
      <c r="M610" s="48">
        <f>IF($F610="","",IFERROR(INDEX(사건마스터!$AK$5:$AK$64,MATCH($F610,사건마스터!$A$5:$A$64,0)),""))</f>
        <v/>
      </c>
      <c r="N610" s="48">
        <f>IF($F610="","",IFERROR(INDEX(사건마스터!$AL$5:$AL$64,MATCH($F610,사건마스터!$A$5:$A$64,0)),""))</f>
        <v/>
      </c>
      <c r="O610" s="43">
        <f>IF($I610="","",COUNTIF($I610:$N610,"?*"))</f>
        <v/>
      </c>
      <c r="P610" s="46">
        <f>IF($I610="","",_xlfn.TEXTJOIN(", ",TRUE,$I610:$N610))</f>
        <v/>
      </c>
      <c r="Q610" s="47">
        <f>IF($I610="","",IFERROR(INDEX(코드설정!$D$5:$D$24,MATCH($I610,코드설정!$C$5:$C$24,0)),""))</f>
        <v/>
      </c>
      <c r="R610" s="49" t="n"/>
      <c r="S610" s="50" t="n"/>
      <c r="T610" s="51" t="n"/>
      <c r="U610" s="43">
        <f>IF(OR($B610="",$C610=""),"",$C610-$B610+1)</f>
        <v/>
      </c>
      <c r="V610" s="52" t="n"/>
      <c r="W610" s="53">
        <f>IF(OR($V610="",$O610=""),"",$V610*$O610)</f>
        <v/>
      </c>
      <c r="X610" s="45" t="n"/>
      <c r="Y610" s="49" t="n"/>
    </row>
    <row r="611">
      <c r="A611" s="43">
        <f>IF($B611="","",COUNT($B$5:$B611))</f>
        <v/>
      </c>
      <c r="B611" s="44" t="n"/>
      <c r="C611" s="44" t="n"/>
      <c r="D611" s="45" t="n"/>
      <c r="E611" s="45" t="n"/>
      <c r="F611" s="45" t="n"/>
      <c r="G611" s="46">
        <f>IF($F611="","",IFERROR(INDEX(사건마스터!$B$5:$B$64,MATCH($F611,사건마스터!$A$5:$A$64,0)),""))</f>
        <v/>
      </c>
      <c r="H611" s="47">
        <f>IF($F611="","",IFERROR(INDEX(사건마스터!$C$5:$C$64,MATCH($F611,사건마스터!$A$5:$A$64,0)),""))</f>
        <v/>
      </c>
      <c r="I611" s="48">
        <f>IF($F611="","",IFERROR(INDEX(사건마스터!$H$5:$H$64,MATCH($F611,사건마스터!$A$5:$A$64,0)),""))</f>
        <v/>
      </c>
      <c r="J611" s="48">
        <f>IF($F611="","",IFERROR(INDEX(사건마스터!$AH$5:$AH$64,MATCH($F611,사건마스터!$A$5:$A$64,0)),""))</f>
        <v/>
      </c>
      <c r="K611" s="48">
        <f>IF($F611="","",IFERROR(INDEX(사건마스터!$AI$5:$AI$64,MATCH($F611,사건마스터!$A$5:$A$64,0)),""))</f>
        <v/>
      </c>
      <c r="L611" s="48">
        <f>IF($F611="","",IFERROR(INDEX(사건마스터!$AJ$5:$AJ$64,MATCH($F611,사건마스터!$A$5:$A$64,0)),""))</f>
        <v/>
      </c>
      <c r="M611" s="48">
        <f>IF($F611="","",IFERROR(INDEX(사건마스터!$AK$5:$AK$64,MATCH($F611,사건마스터!$A$5:$A$64,0)),""))</f>
        <v/>
      </c>
      <c r="N611" s="48">
        <f>IF($F611="","",IFERROR(INDEX(사건마스터!$AL$5:$AL$64,MATCH($F611,사건마스터!$A$5:$A$64,0)),""))</f>
        <v/>
      </c>
      <c r="O611" s="43">
        <f>IF($I611="","",COUNTIF($I611:$N611,"?*"))</f>
        <v/>
      </c>
      <c r="P611" s="46">
        <f>IF($I611="","",_xlfn.TEXTJOIN(", ",TRUE,$I611:$N611))</f>
        <v/>
      </c>
      <c r="Q611" s="47">
        <f>IF($I611="","",IFERROR(INDEX(코드설정!$D$5:$D$24,MATCH($I611,코드설정!$C$5:$C$24,0)),""))</f>
        <v/>
      </c>
      <c r="R611" s="49" t="n"/>
      <c r="S611" s="50" t="n"/>
      <c r="T611" s="51" t="n"/>
      <c r="U611" s="43">
        <f>IF(OR($B611="",$C611=""),"",$C611-$B611+1)</f>
        <v/>
      </c>
      <c r="V611" s="52" t="n"/>
      <c r="W611" s="53">
        <f>IF(OR($V611="",$O611=""),"",$V611*$O611)</f>
        <v/>
      </c>
      <c r="X611" s="45" t="n"/>
      <c r="Y611" s="49" t="n"/>
    </row>
    <row r="612">
      <c r="A612" s="43">
        <f>IF($B612="","",COUNT($B$5:$B612))</f>
        <v/>
      </c>
      <c r="B612" s="44" t="n"/>
      <c r="C612" s="44" t="n"/>
      <c r="D612" s="45" t="n"/>
      <c r="E612" s="45" t="n"/>
      <c r="F612" s="45" t="n"/>
      <c r="G612" s="46">
        <f>IF($F612="","",IFERROR(INDEX(사건마스터!$B$5:$B$64,MATCH($F612,사건마스터!$A$5:$A$64,0)),""))</f>
        <v/>
      </c>
      <c r="H612" s="47">
        <f>IF($F612="","",IFERROR(INDEX(사건마스터!$C$5:$C$64,MATCH($F612,사건마스터!$A$5:$A$64,0)),""))</f>
        <v/>
      </c>
      <c r="I612" s="48">
        <f>IF($F612="","",IFERROR(INDEX(사건마스터!$H$5:$H$64,MATCH($F612,사건마스터!$A$5:$A$64,0)),""))</f>
        <v/>
      </c>
      <c r="J612" s="48">
        <f>IF($F612="","",IFERROR(INDEX(사건마스터!$AH$5:$AH$64,MATCH($F612,사건마스터!$A$5:$A$64,0)),""))</f>
        <v/>
      </c>
      <c r="K612" s="48">
        <f>IF($F612="","",IFERROR(INDEX(사건마스터!$AI$5:$AI$64,MATCH($F612,사건마스터!$A$5:$A$64,0)),""))</f>
        <v/>
      </c>
      <c r="L612" s="48">
        <f>IF($F612="","",IFERROR(INDEX(사건마스터!$AJ$5:$AJ$64,MATCH($F612,사건마스터!$A$5:$A$64,0)),""))</f>
        <v/>
      </c>
      <c r="M612" s="48">
        <f>IF($F612="","",IFERROR(INDEX(사건마스터!$AK$5:$AK$64,MATCH($F612,사건마스터!$A$5:$A$64,0)),""))</f>
        <v/>
      </c>
      <c r="N612" s="48">
        <f>IF($F612="","",IFERROR(INDEX(사건마스터!$AL$5:$AL$64,MATCH($F612,사건마스터!$A$5:$A$64,0)),""))</f>
        <v/>
      </c>
      <c r="O612" s="43">
        <f>IF($I612="","",COUNTIF($I612:$N612,"?*"))</f>
        <v/>
      </c>
      <c r="P612" s="46">
        <f>IF($I612="","",_xlfn.TEXTJOIN(", ",TRUE,$I612:$N612))</f>
        <v/>
      </c>
      <c r="Q612" s="47">
        <f>IF($I612="","",IFERROR(INDEX(코드설정!$D$5:$D$24,MATCH($I612,코드설정!$C$5:$C$24,0)),""))</f>
        <v/>
      </c>
      <c r="R612" s="49" t="n"/>
      <c r="S612" s="50" t="n"/>
      <c r="T612" s="51" t="n"/>
      <c r="U612" s="43">
        <f>IF(OR($B612="",$C612=""),"",$C612-$B612+1)</f>
        <v/>
      </c>
      <c r="V612" s="52" t="n"/>
      <c r="W612" s="53">
        <f>IF(OR($V612="",$O612=""),"",$V612*$O612)</f>
        <v/>
      </c>
      <c r="X612" s="45" t="n"/>
      <c r="Y612" s="49" t="n"/>
    </row>
    <row r="613">
      <c r="A613" s="43">
        <f>IF($B613="","",COUNT($B$5:$B613))</f>
        <v/>
      </c>
      <c r="B613" s="44" t="n"/>
      <c r="C613" s="44" t="n"/>
      <c r="D613" s="45" t="n"/>
      <c r="E613" s="45" t="n"/>
      <c r="F613" s="45" t="n"/>
      <c r="G613" s="46">
        <f>IF($F613="","",IFERROR(INDEX(사건마스터!$B$5:$B$64,MATCH($F613,사건마스터!$A$5:$A$64,0)),""))</f>
        <v/>
      </c>
      <c r="H613" s="47">
        <f>IF($F613="","",IFERROR(INDEX(사건마스터!$C$5:$C$64,MATCH($F613,사건마스터!$A$5:$A$64,0)),""))</f>
        <v/>
      </c>
      <c r="I613" s="48">
        <f>IF($F613="","",IFERROR(INDEX(사건마스터!$H$5:$H$64,MATCH($F613,사건마스터!$A$5:$A$64,0)),""))</f>
        <v/>
      </c>
      <c r="J613" s="48">
        <f>IF($F613="","",IFERROR(INDEX(사건마스터!$AH$5:$AH$64,MATCH($F613,사건마스터!$A$5:$A$64,0)),""))</f>
        <v/>
      </c>
      <c r="K613" s="48">
        <f>IF($F613="","",IFERROR(INDEX(사건마스터!$AI$5:$AI$64,MATCH($F613,사건마스터!$A$5:$A$64,0)),""))</f>
        <v/>
      </c>
      <c r="L613" s="48">
        <f>IF($F613="","",IFERROR(INDEX(사건마스터!$AJ$5:$AJ$64,MATCH($F613,사건마스터!$A$5:$A$64,0)),""))</f>
        <v/>
      </c>
      <c r="M613" s="48">
        <f>IF($F613="","",IFERROR(INDEX(사건마스터!$AK$5:$AK$64,MATCH($F613,사건마스터!$A$5:$A$64,0)),""))</f>
        <v/>
      </c>
      <c r="N613" s="48">
        <f>IF($F613="","",IFERROR(INDEX(사건마스터!$AL$5:$AL$64,MATCH($F613,사건마스터!$A$5:$A$64,0)),""))</f>
        <v/>
      </c>
      <c r="O613" s="43">
        <f>IF($I613="","",COUNTIF($I613:$N613,"?*"))</f>
        <v/>
      </c>
      <c r="P613" s="46">
        <f>IF($I613="","",_xlfn.TEXTJOIN(", ",TRUE,$I613:$N613))</f>
        <v/>
      </c>
      <c r="Q613" s="47">
        <f>IF($I613="","",IFERROR(INDEX(코드설정!$D$5:$D$24,MATCH($I613,코드설정!$C$5:$C$24,0)),""))</f>
        <v/>
      </c>
      <c r="R613" s="49" t="n"/>
      <c r="S613" s="50" t="n"/>
      <c r="T613" s="51" t="n"/>
      <c r="U613" s="43">
        <f>IF(OR($B613="",$C613=""),"",$C613-$B613+1)</f>
        <v/>
      </c>
      <c r="V613" s="52" t="n"/>
      <c r="W613" s="53">
        <f>IF(OR($V613="",$O613=""),"",$V613*$O613)</f>
        <v/>
      </c>
      <c r="X613" s="45" t="n"/>
      <c r="Y613" s="49" t="n"/>
    </row>
    <row r="614">
      <c r="A614" s="43">
        <f>IF($B614="","",COUNT($B$5:$B614))</f>
        <v/>
      </c>
      <c r="B614" s="44" t="n"/>
      <c r="C614" s="44" t="n"/>
      <c r="D614" s="45" t="n"/>
      <c r="E614" s="45" t="n"/>
      <c r="F614" s="45" t="n"/>
      <c r="G614" s="46">
        <f>IF($F614="","",IFERROR(INDEX(사건마스터!$B$5:$B$64,MATCH($F614,사건마스터!$A$5:$A$64,0)),""))</f>
        <v/>
      </c>
      <c r="H614" s="47">
        <f>IF($F614="","",IFERROR(INDEX(사건마스터!$C$5:$C$64,MATCH($F614,사건마스터!$A$5:$A$64,0)),""))</f>
        <v/>
      </c>
      <c r="I614" s="48">
        <f>IF($F614="","",IFERROR(INDEX(사건마스터!$H$5:$H$64,MATCH($F614,사건마스터!$A$5:$A$64,0)),""))</f>
        <v/>
      </c>
      <c r="J614" s="48">
        <f>IF($F614="","",IFERROR(INDEX(사건마스터!$AH$5:$AH$64,MATCH($F614,사건마스터!$A$5:$A$64,0)),""))</f>
        <v/>
      </c>
      <c r="K614" s="48">
        <f>IF($F614="","",IFERROR(INDEX(사건마스터!$AI$5:$AI$64,MATCH($F614,사건마스터!$A$5:$A$64,0)),""))</f>
        <v/>
      </c>
      <c r="L614" s="48">
        <f>IF($F614="","",IFERROR(INDEX(사건마스터!$AJ$5:$AJ$64,MATCH($F614,사건마스터!$A$5:$A$64,0)),""))</f>
        <v/>
      </c>
      <c r="M614" s="48">
        <f>IF($F614="","",IFERROR(INDEX(사건마스터!$AK$5:$AK$64,MATCH($F614,사건마스터!$A$5:$A$64,0)),""))</f>
        <v/>
      </c>
      <c r="N614" s="48">
        <f>IF($F614="","",IFERROR(INDEX(사건마스터!$AL$5:$AL$64,MATCH($F614,사건마스터!$A$5:$A$64,0)),""))</f>
        <v/>
      </c>
      <c r="O614" s="43">
        <f>IF($I614="","",COUNTIF($I614:$N614,"?*"))</f>
        <v/>
      </c>
      <c r="P614" s="46">
        <f>IF($I614="","",_xlfn.TEXTJOIN(", ",TRUE,$I614:$N614))</f>
        <v/>
      </c>
      <c r="Q614" s="47">
        <f>IF($I614="","",IFERROR(INDEX(코드설정!$D$5:$D$24,MATCH($I614,코드설정!$C$5:$C$24,0)),""))</f>
        <v/>
      </c>
      <c r="R614" s="49" t="n"/>
      <c r="S614" s="50" t="n"/>
      <c r="T614" s="51" t="n"/>
      <c r="U614" s="43">
        <f>IF(OR($B614="",$C614=""),"",$C614-$B614+1)</f>
        <v/>
      </c>
      <c r="V614" s="52" t="n"/>
      <c r="W614" s="53">
        <f>IF(OR($V614="",$O614=""),"",$V614*$O614)</f>
        <v/>
      </c>
      <c r="X614" s="45" t="n"/>
      <c r="Y614" s="49" t="n"/>
    </row>
    <row r="615">
      <c r="A615" s="43">
        <f>IF($B615="","",COUNT($B$5:$B615))</f>
        <v/>
      </c>
      <c r="B615" s="44" t="n"/>
      <c r="C615" s="44" t="n"/>
      <c r="D615" s="45" t="n"/>
      <c r="E615" s="45" t="n"/>
      <c r="F615" s="45" t="n"/>
      <c r="G615" s="46">
        <f>IF($F615="","",IFERROR(INDEX(사건마스터!$B$5:$B$64,MATCH($F615,사건마스터!$A$5:$A$64,0)),""))</f>
        <v/>
      </c>
      <c r="H615" s="47">
        <f>IF($F615="","",IFERROR(INDEX(사건마스터!$C$5:$C$64,MATCH($F615,사건마스터!$A$5:$A$64,0)),""))</f>
        <v/>
      </c>
      <c r="I615" s="48">
        <f>IF($F615="","",IFERROR(INDEX(사건마스터!$H$5:$H$64,MATCH($F615,사건마스터!$A$5:$A$64,0)),""))</f>
        <v/>
      </c>
      <c r="J615" s="48">
        <f>IF($F615="","",IFERROR(INDEX(사건마스터!$AH$5:$AH$64,MATCH($F615,사건마스터!$A$5:$A$64,0)),""))</f>
        <v/>
      </c>
      <c r="K615" s="48">
        <f>IF($F615="","",IFERROR(INDEX(사건마스터!$AI$5:$AI$64,MATCH($F615,사건마스터!$A$5:$A$64,0)),""))</f>
        <v/>
      </c>
      <c r="L615" s="48">
        <f>IF($F615="","",IFERROR(INDEX(사건마스터!$AJ$5:$AJ$64,MATCH($F615,사건마스터!$A$5:$A$64,0)),""))</f>
        <v/>
      </c>
      <c r="M615" s="48">
        <f>IF($F615="","",IFERROR(INDEX(사건마스터!$AK$5:$AK$64,MATCH($F615,사건마스터!$A$5:$A$64,0)),""))</f>
        <v/>
      </c>
      <c r="N615" s="48">
        <f>IF($F615="","",IFERROR(INDEX(사건마스터!$AL$5:$AL$64,MATCH($F615,사건마스터!$A$5:$A$64,0)),""))</f>
        <v/>
      </c>
      <c r="O615" s="43">
        <f>IF($I615="","",COUNTIF($I615:$N615,"?*"))</f>
        <v/>
      </c>
      <c r="P615" s="46">
        <f>IF($I615="","",_xlfn.TEXTJOIN(", ",TRUE,$I615:$N615))</f>
        <v/>
      </c>
      <c r="Q615" s="47">
        <f>IF($I615="","",IFERROR(INDEX(코드설정!$D$5:$D$24,MATCH($I615,코드설정!$C$5:$C$24,0)),""))</f>
        <v/>
      </c>
      <c r="R615" s="49" t="n"/>
      <c r="S615" s="50" t="n"/>
      <c r="T615" s="51" t="n"/>
      <c r="U615" s="43">
        <f>IF(OR($B615="",$C615=""),"",$C615-$B615+1)</f>
        <v/>
      </c>
      <c r="V615" s="52" t="n"/>
      <c r="W615" s="53">
        <f>IF(OR($V615="",$O615=""),"",$V615*$O615)</f>
        <v/>
      </c>
      <c r="X615" s="45" t="n"/>
      <c r="Y615" s="49" t="n"/>
    </row>
    <row r="616">
      <c r="A616" s="43">
        <f>IF($B616="","",COUNT($B$5:$B616))</f>
        <v/>
      </c>
      <c r="B616" s="44" t="n"/>
      <c r="C616" s="44" t="n"/>
      <c r="D616" s="45" t="n"/>
      <c r="E616" s="45" t="n"/>
      <c r="F616" s="45" t="n"/>
      <c r="G616" s="46">
        <f>IF($F616="","",IFERROR(INDEX(사건마스터!$B$5:$B$64,MATCH($F616,사건마스터!$A$5:$A$64,0)),""))</f>
        <v/>
      </c>
      <c r="H616" s="47">
        <f>IF($F616="","",IFERROR(INDEX(사건마스터!$C$5:$C$64,MATCH($F616,사건마스터!$A$5:$A$64,0)),""))</f>
        <v/>
      </c>
      <c r="I616" s="48">
        <f>IF($F616="","",IFERROR(INDEX(사건마스터!$H$5:$H$64,MATCH($F616,사건마스터!$A$5:$A$64,0)),""))</f>
        <v/>
      </c>
      <c r="J616" s="48">
        <f>IF($F616="","",IFERROR(INDEX(사건마스터!$AH$5:$AH$64,MATCH($F616,사건마스터!$A$5:$A$64,0)),""))</f>
        <v/>
      </c>
      <c r="K616" s="48">
        <f>IF($F616="","",IFERROR(INDEX(사건마스터!$AI$5:$AI$64,MATCH($F616,사건마스터!$A$5:$A$64,0)),""))</f>
        <v/>
      </c>
      <c r="L616" s="48">
        <f>IF($F616="","",IFERROR(INDEX(사건마스터!$AJ$5:$AJ$64,MATCH($F616,사건마스터!$A$5:$A$64,0)),""))</f>
        <v/>
      </c>
      <c r="M616" s="48">
        <f>IF($F616="","",IFERROR(INDEX(사건마스터!$AK$5:$AK$64,MATCH($F616,사건마스터!$A$5:$A$64,0)),""))</f>
        <v/>
      </c>
      <c r="N616" s="48">
        <f>IF($F616="","",IFERROR(INDEX(사건마스터!$AL$5:$AL$64,MATCH($F616,사건마스터!$A$5:$A$64,0)),""))</f>
        <v/>
      </c>
      <c r="O616" s="43">
        <f>IF($I616="","",COUNTIF($I616:$N616,"?*"))</f>
        <v/>
      </c>
      <c r="P616" s="46">
        <f>IF($I616="","",_xlfn.TEXTJOIN(", ",TRUE,$I616:$N616))</f>
        <v/>
      </c>
      <c r="Q616" s="47">
        <f>IF($I616="","",IFERROR(INDEX(코드설정!$D$5:$D$24,MATCH($I616,코드설정!$C$5:$C$24,0)),""))</f>
        <v/>
      </c>
      <c r="R616" s="49" t="n"/>
      <c r="S616" s="50" t="n"/>
      <c r="T616" s="51" t="n"/>
      <c r="U616" s="43">
        <f>IF(OR($B616="",$C616=""),"",$C616-$B616+1)</f>
        <v/>
      </c>
      <c r="V616" s="52" t="n"/>
      <c r="W616" s="53">
        <f>IF(OR($V616="",$O616=""),"",$V616*$O616)</f>
        <v/>
      </c>
      <c r="X616" s="45" t="n"/>
      <c r="Y616" s="49" t="n"/>
    </row>
    <row r="617">
      <c r="A617" s="43">
        <f>IF($B617="","",COUNT($B$5:$B617))</f>
        <v/>
      </c>
      <c r="B617" s="44" t="n"/>
      <c r="C617" s="44" t="n"/>
      <c r="D617" s="45" t="n"/>
      <c r="E617" s="45" t="n"/>
      <c r="F617" s="45" t="n"/>
      <c r="G617" s="46">
        <f>IF($F617="","",IFERROR(INDEX(사건마스터!$B$5:$B$64,MATCH($F617,사건마스터!$A$5:$A$64,0)),""))</f>
        <v/>
      </c>
      <c r="H617" s="47">
        <f>IF($F617="","",IFERROR(INDEX(사건마스터!$C$5:$C$64,MATCH($F617,사건마스터!$A$5:$A$64,0)),""))</f>
        <v/>
      </c>
      <c r="I617" s="48">
        <f>IF($F617="","",IFERROR(INDEX(사건마스터!$H$5:$H$64,MATCH($F617,사건마스터!$A$5:$A$64,0)),""))</f>
        <v/>
      </c>
      <c r="J617" s="48">
        <f>IF($F617="","",IFERROR(INDEX(사건마스터!$AH$5:$AH$64,MATCH($F617,사건마스터!$A$5:$A$64,0)),""))</f>
        <v/>
      </c>
      <c r="K617" s="48">
        <f>IF($F617="","",IFERROR(INDEX(사건마스터!$AI$5:$AI$64,MATCH($F617,사건마스터!$A$5:$A$64,0)),""))</f>
        <v/>
      </c>
      <c r="L617" s="48">
        <f>IF($F617="","",IFERROR(INDEX(사건마스터!$AJ$5:$AJ$64,MATCH($F617,사건마스터!$A$5:$A$64,0)),""))</f>
        <v/>
      </c>
      <c r="M617" s="48">
        <f>IF($F617="","",IFERROR(INDEX(사건마스터!$AK$5:$AK$64,MATCH($F617,사건마스터!$A$5:$A$64,0)),""))</f>
        <v/>
      </c>
      <c r="N617" s="48">
        <f>IF($F617="","",IFERROR(INDEX(사건마스터!$AL$5:$AL$64,MATCH($F617,사건마스터!$A$5:$A$64,0)),""))</f>
        <v/>
      </c>
      <c r="O617" s="43">
        <f>IF($I617="","",COUNTIF($I617:$N617,"?*"))</f>
        <v/>
      </c>
      <c r="P617" s="46">
        <f>IF($I617="","",_xlfn.TEXTJOIN(", ",TRUE,$I617:$N617))</f>
        <v/>
      </c>
      <c r="Q617" s="47">
        <f>IF($I617="","",IFERROR(INDEX(코드설정!$D$5:$D$24,MATCH($I617,코드설정!$C$5:$C$24,0)),""))</f>
        <v/>
      </c>
      <c r="R617" s="49" t="n"/>
      <c r="S617" s="50" t="n"/>
      <c r="T617" s="51" t="n"/>
      <c r="U617" s="43">
        <f>IF(OR($B617="",$C617=""),"",$C617-$B617+1)</f>
        <v/>
      </c>
      <c r="V617" s="52" t="n"/>
      <c r="W617" s="53">
        <f>IF(OR($V617="",$O617=""),"",$V617*$O617)</f>
        <v/>
      </c>
      <c r="X617" s="45" t="n"/>
      <c r="Y617" s="49" t="n"/>
    </row>
    <row r="618">
      <c r="A618" s="43">
        <f>IF($B618="","",COUNT($B$5:$B618))</f>
        <v/>
      </c>
      <c r="B618" s="44" t="n"/>
      <c r="C618" s="44" t="n"/>
      <c r="D618" s="45" t="n"/>
      <c r="E618" s="45" t="n"/>
      <c r="F618" s="45" t="n"/>
      <c r="G618" s="46">
        <f>IF($F618="","",IFERROR(INDEX(사건마스터!$B$5:$B$64,MATCH($F618,사건마스터!$A$5:$A$64,0)),""))</f>
        <v/>
      </c>
      <c r="H618" s="47">
        <f>IF($F618="","",IFERROR(INDEX(사건마스터!$C$5:$C$64,MATCH($F618,사건마스터!$A$5:$A$64,0)),""))</f>
        <v/>
      </c>
      <c r="I618" s="48">
        <f>IF($F618="","",IFERROR(INDEX(사건마스터!$H$5:$H$64,MATCH($F618,사건마스터!$A$5:$A$64,0)),""))</f>
        <v/>
      </c>
      <c r="J618" s="48">
        <f>IF($F618="","",IFERROR(INDEX(사건마스터!$AH$5:$AH$64,MATCH($F618,사건마스터!$A$5:$A$64,0)),""))</f>
        <v/>
      </c>
      <c r="K618" s="48">
        <f>IF($F618="","",IFERROR(INDEX(사건마스터!$AI$5:$AI$64,MATCH($F618,사건마스터!$A$5:$A$64,0)),""))</f>
        <v/>
      </c>
      <c r="L618" s="48">
        <f>IF($F618="","",IFERROR(INDEX(사건마스터!$AJ$5:$AJ$64,MATCH($F618,사건마스터!$A$5:$A$64,0)),""))</f>
        <v/>
      </c>
      <c r="M618" s="48">
        <f>IF($F618="","",IFERROR(INDEX(사건마스터!$AK$5:$AK$64,MATCH($F618,사건마스터!$A$5:$A$64,0)),""))</f>
        <v/>
      </c>
      <c r="N618" s="48">
        <f>IF($F618="","",IFERROR(INDEX(사건마스터!$AL$5:$AL$64,MATCH($F618,사건마스터!$A$5:$A$64,0)),""))</f>
        <v/>
      </c>
      <c r="O618" s="43">
        <f>IF($I618="","",COUNTIF($I618:$N618,"?*"))</f>
        <v/>
      </c>
      <c r="P618" s="46">
        <f>IF($I618="","",_xlfn.TEXTJOIN(", ",TRUE,$I618:$N618))</f>
        <v/>
      </c>
      <c r="Q618" s="47">
        <f>IF($I618="","",IFERROR(INDEX(코드설정!$D$5:$D$24,MATCH($I618,코드설정!$C$5:$C$24,0)),""))</f>
        <v/>
      </c>
      <c r="R618" s="49" t="n"/>
      <c r="S618" s="50" t="n"/>
      <c r="T618" s="51" t="n"/>
      <c r="U618" s="43">
        <f>IF(OR($B618="",$C618=""),"",$C618-$B618+1)</f>
        <v/>
      </c>
      <c r="V618" s="52" t="n"/>
      <c r="W618" s="53">
        <f>IF(OR($V618="",$O618=""),"",$V618*$O618)</f>
        <v/>
      </c>
      <c r="X618" s="45" t="n"/>
      <c r="Y618" s="49" t="n"/>
    </row>
    <row r="619">
      <c r="A619" s="43">
        <f>IF($B619="","",COUNT($B$5:$B619))</f>
        <v/>
      </c>
      <c r="B619" s="44" t="n"/>
      <c r="C619" s="44" t="n"/>
      <c r="D619" s="45" t="n"/>
      <c r="E619" s="45" t="n"/>
      <c r="F619" s="45" t="n"/>
      <c r="G619" s="46">
        <f>IF($F619="","",IFERROR(INDEX(사건마스터!$B$5:$B$64,MATCH($F619,사건마스터!$A$5:$A$64,0)),""))</f>
        <v/>
      </c>
      <c r="H619" s="47">
        <f>IF($F619="","",IFERROR(INDEX(사건마스터!$C$5:$C$64,MATCH($F619,사건마스터!$A$5:$A$64,0)),""))</f>
        <v/>
      </c>
      <c r="I619" s="48">
        <f>IF($F619="","",IFERROR(INDEX(사건마스터!$H$5:$H$64,MATCH($F619,사건마스터!$A$5:$A$64,0)),""))</f>
        <v/>
      </c>
      <c r="J619" s="48">
        <f>IF($F619="","",IFERROR(INDEX(사건마스터!$AH$5:$AH$64,MATCH($F619,사건마스터!$A$5:$A$64,0)),""))</f>
        <v/>
      </c>
      <c r="K619" s="48">
        <f>IF($F619="","",IFERROR(INDEX(사건마스터!$AI$5:$AI$64,MATCH($F619,사건마스터!$A$5:$A$64,0)),""))</f>
        <v/>
      </c>
      <c r="L619" s="48">
        <f>IF($F619="","",IFERROR(INDEX(사건마스터!$AJ$5:$AJ$64,MATCH($F619,사건마스터!$A$5:$A$64,0)),""))</f>
        <v/>
      </c>
      <c r="M619" s="48">
        <f>IF($F619="","",IFERROR(INDEX(사건마스터!$AK$5:$AK$64,MATCH($F619,사건마스터!$A$5:$A$64,0)),""))</f>
        <v/>
      </c>
      <c r="N619" s="48">
        <f>IF($F619="","",IFERROR(INDEX(사건마스터!$AL$5:$AL$64,MATCH($F619,사건마스터!$A$5:$A$64,0)),""))</f>
        <v/>
      </c>
      <c r="O619" s="43">
        <f>IF($I619="","",COUNTIF($I619:$N619,"?*"))</f>
        <v/>
      </c>
      <c r="P619" s="46">
        <f>IF($I619="","",_xlfn.TEXTJOIN(", ",TRUE,$I619:$N619))</f>
        <v/>
      </c>
      <c r="Q619" s="47">
        <f>IF($I619="","",IFERROR(INDEX(코드설정!$D$5:$D$24,MATCH($I619,코드설정!$C$5:$C$24,0)),""))</f>
        <v/>
      </c>
      <c r="R619" s="49" t="n"/>
      <c r="S619" s="50" t="n"/>
      <c r="T619" s="51" t="n"/>
      <c r="U619" s="43">
        <f>IF(OR($B619="",$C619=""),"",$C619-$B619+1)</f>
        <v/>
      </c>
      <c r="V619" s="52" t="n"/>
      <c r="W619" s="53">
        <f>IF(OR($V619="",$O619=""),"",$V619*$O619)</f>
        <v/>
      </c>
      <c r="X619" s="45" t="n"/>
      <c r="Y619" s="49" t="n"/>
    </row>
    <row r="620">
      <c r="A620" s="43">
        <f>IF($B620="","",COUNT($B$5:$B620))</f>
        <v/>
      </c>
      <c r="B620" s="44" t="n"/>
      <c r="C620" s="44" t="n"/>
      <c r="D620" s="45" t="n"/>
      <c r="E620" s="45" t="n"/>
      <c r="F620" s="45" t="n"/>
      <c r="G620" s="46">
        <f>IF($F620="","",IFERROR(INDEX(사건마스터!$B$5:$B$64,MATCH($F620,사건마스터!$A$5:$A$64,0)),""))</f>
        <v/>
      </c>
      <c r="H620" s="47">
        <f>IF($F620="","",IFERROR(INDEX(사건마스터!$C$5:$C$64,MATCH($F620,사건마스터!$A$5:$A$64,0)),""))</f>
        <v/>
      </c>
      <c r="I620" s="48">
        <f>IF($F620="","",IFERROR(INDEX(사건마스터!$H$5:$H$64,MATCH($F620,사건마스터!$A$5:$A$64,0)),""))</f>
        <v/>
      </c>
      <c r="J620" s="48">
        <f>IF($F620="","",IFERROR(INDEX(사건마스터!$AH$5:$AH$64,MATCH($F620,사건마스터!$A$5:$A$64,0)),""))</f>
        <v/>
      </c>
      <c r="K620" s="48">
        <f>IF($F620="","",IFERROR(INDEX(사건마스터!$AI$5:$AI$64,MATCH($F620,사건마스터!$A$5:$A$64,0)),""))</f>
        <v/>
      </c>
      <c r="L620" s="48">
        <f>IF($F620="","",IFERROR(INDEX(사건마스터!$AJ$5:$AJ$64,MATCH($F620,사건마스터!$A$5:$A$64,0)),""))</f>
        <v/>
      </c>
      <c r="M620" s="48">
        <f>IF($F620="","",IFERROR(INDEX(사건마스터!$AK$5:$AK$64,MATCH($F620,사건마스터!$A$5:$A$64,0)),""))</f>
        <v/>
      </c>
      <c r="N620" s="48">
        <f>IF($F620="","",IFERROR(INDEX(사건마스터!$AL$5:$AL$64,MATCH($F620,사건마스터!$A$5:$A$64,0)),""))</f>
        <v/>
      </c>
      <c r="O620" s="43">
        <f>IF($I620="","",COUNTIF($I620:$N620,"?*"))</f>
        <v/>
      </c>
      <c r="P620" s="46">
        <f>IF($I620="","",_xlfn.TEXTJOIN(", ",TRUE,$I620:$N620))</f>
        <v/>
      </c>
      <c r="Q620" s="47">
        <f>IF($I620="","",IFERROR(INDEX(코드설정!$D$5:$D$24,MATCH($I620,코드설정!$C$5:$C$24,0)),""))</f>
        <v/>
      </c>
      <c r="R620" s="49" t="n"/>
      <c r="S620" s="50" t="n"/>
      <c r="T620" s="51" t="n"/>
      <c r="U620" s="43">
        <f>IF(OR($B620="",$C620=""),"",$C620-$B620+1)</f>
        <v/>
      </c>
      <c r="V620" s="52" t="n"/>
      <c r="W620" s="53">
        <f>IF(OR($V620="",$O620=""),"",$V620*$O620)</f>
        <v/>
      </c>
      <c r="X620" s="45" t="n"/>
      <c r="Y620" s="49" t="n"/>
    </row>
    <row r="621">
      <c r="A621" s="43">
        <f>IF($B621="","",COUNT($B$5:$B621))</f>
        <v/>
      </c>
      <c r="B621" s="44" t="n"/>
      <c r="C621" s="44" t="n"/>
      <c r="D621" s="45" t="n"/>
      <c r="E621" s="45" t="n"/>
      <c r="F621" s="45" t="n"/>
      <c r="G621" s="46">
        <f>IF($F621="","",IFERROR(INDEX(사건마스터!$B$5:$B$64,MATCH($F621,사건마스터!$A$5:$A$64,0)),""))</f>
        <v/>
      </c>
      <c r="H621" s="47">
        <f>IF($F621="","",IFERROR(INDEX(사건마스터!$C$5:$C$64,MATCH($F621,사건마스터!$A$5:$A$64,0)),""))</f>
        <v/>
      </c>
      <c r="I621" s="48">
        <f>IF($F621="","",IFERROR(INDEX(사건마스터!$H$5:$H$64,MATCH($F621,사건마스터!$A$5:$A$64,0)),""))</f>
        <v/>
      </c>
      <c r="J621" s="48">
        <f>IF($F621="","",IFERROR(INDEX(사건마스터!$AH$5:$AH$64,MATCH($F621,사건마스터!$A$5:$A$64,0)),""))</f>
        <v/>
      </c>
      <c r="K621" s="48">
        <f>IF($F621="","",IFERROR(INDEX(사건마스터!$AI$5:$AI$64,MATCH($F621,사건마스터!$A$5:$A$64,0)),""))</f>
        <v/>
      </c>
      <c r="L621" s="48">
        <f>IF($F621="","",IFERROR(INDEX(사건마스터!$AJ$5:$AJ$64,MATCH($F621,사건마스터!$A$5:$A$64,0)),""))</f>
        <v/>
      </c>
      <c r="M621" s="48">
        <f>IF($F621="","",IFERROR(INDEX(사건마스터!$AK$5:$AK$64,MATCH($F621,사건마스터!$A$5:$A$64,0)),""))</f>
        <v/>
      </c>
      <c r="N621" s="48">
        <f>IF($F621="","",IFERROR(INDEX(사건마스터!$AL$5:$AL$64,MATCH($F621,사건마스터!$A$5:$A$64,0)),""))</f>
        <v/>
      </c>
      <c r="O621" s="43">
        <f>IF($I621="","",COUNTIF($I621:$N621,"?*"))</f>
        <v/>
      </c>
      <c r="P621" s="46">
        <f>IF($I621="","",_xlfn.TEXTJOIN(", ",TRUE,$I621:$N621))</f>
        <v/>
      </c>
      <c r="Q621" s="47">
        <f>IF($I621="","",IFERROR(INDEX(코드설정!$D$5:$D$24,MATCH($I621,코드설정!$C$5:$C$24,0)),""))</f>
        <v/>
      </c>
      <c r="R621" s="49" t="n"/>
      <c r="S621" s="50" t="n"/>
      <c r="T621" s="51" t="n"/>
      <c r="U621" s="43">
        <f>IF(OR($B621="",$C621=""),"",$C621-$B621+1)</f>
        <v/>
      </c>
      <c r="V621" s="52" t="n"/>
      <c r="W621" s="53">
        <f>IF(OR($V621="",$O621=""),"",$V621*$O621)</f>
        <v/>
      </c>
      <c r="X621" s="45" t="n"/>
      <c r="Y621" s="49" t="n"/>
    </row>
    <row r="622">
      <c r="A622" s="43">
        <f>IF($B622="","",COUNT($B$5:$B622))</f>
        <v/>
      </c>
      <c r="B622" s="44" t="n"/>
      <c r="C622" s="44" t="n"/>
      <c r="D622" s="45" t="n"/>
      <c r="E622" s="45" t="n"/>
      <c r="F622" s="45" t="n"/>
      <c r="G622" s="46">
        <f>IF($F622="","",IFERROR(INDEX(사건마스터!$B$5:$B$64,MATCH($F622,사건마스터!$A$5:$A$64,0)),""))</f>
        <v/>
      </c>
      <c r="H622" s="47">
        <f>IF($F622="","",IFERROR(INDEX(사건마스터!$C$5:$C$64,MATCH($F622,사건마스터!$A$5:$A$64,0)),""))</f>
        <v/>
      </c>
      <c r="I622" s="48">
        <f>IF($F622="","",IFERROR(INDEX(사건마스터!$H$5:$H$64,MATCH($F622,사건마스터!$A$5:$A$64,0)),""))</f>
        <v/>
      </c>
      <c r="J622" s="48">
        <f>IF($F622="","",IFERROR(INDEX(사건마스터!$AH$5:$AH$64,MATCH($F622,사건마스터!$A$5:$A$64,0)),""))</f>
        <v/>
      </c>
      <c r="K622" s="48">
        <f>IF($F622="","",IFERROR(INDEX(사건마스터!$AI$5:$AI$64,MATCH($F622,사건마스터!$A$5:$A$64,0)),""))</f>
        <v/>
      </c>
      <c r="L622" s="48">
        <f>IF($F622="","",IFERROR(INDEX(사건마스터!$AJ$5:$AJ$64,MATCH($F622,사건마스터!$A$5:$A$64,0)),""))</f>
        <v/>
      </c>
      <c r="M622" s="48">
        <f>IF($F622="","",IFERROR(INDEX(사건마스터!$AK$5:$AK$64,MATCH($F622,사건마스터!$A$5:$A$64,0)),""))</f>
        <v/>
      </c>
      <c r="N622" s="48">
        <f>IF($F622="","",IFERROR(INDEX(사건마스터!$AL$5:$AL$64,MATCH($F622,사건마스터!$A$5:$A$64,0)),""))</f>
        <v/>
      </c>
      <c r="O622" s="43">
        <f>IF($I622="","",COUNTIF($I622:$N622,"?*"))</f>
        <v/>
      </c>
      <c r="P622" s="46">
        <f>IF($I622="","",_xlfn.TEXTJOIN(", ",TRUE,$I622:$N622))</f>
        <v/>
      </c>
      <c r="Q622" s="47">
        <f>IF($I622="","",IFERROR(INDEX(코드설정!$D$5:$D$24,MATCH($I622,코드설정!$C$5:$C$24,0)),""))</f>
        <v/>
      </c>
      <c r="R622" s="49" t="n"/>
      <c r="S622" s="50" t="n"/>
      <c r="T622" s="51" t="n"/>
      <c r="U622" s="43">
        <f>IF(OR($B622="",$C622=""),"",$C622-$B622+1)</f>
        <v/>
      </c>
      <c r="V622" s="52" t="n"/>
      <c r="W622" s="53">
        <f>IF(OR($V622="",$O622=""),"",$V622*$O622)</f>
        <v/>
      </c>
      <c r="X622" s="45" t="n"/>
      <c r="Y622" s="49" t="n"/>
    </row>
    <row r="623">
      <c r="A623" s="43">
        <f>IF($B623="","",COUNT($B$5:$B623))</f>
        <v/>
      </c>
      <c r="B623" s="44" t="n"/>
      <c r="C623" s="44" t="n"/>
      <c r="D623" s="45" t="n"/>
      <c r="E623" s="45" t="n"/>
      <c r="F623" s="45" t="n"/>
      <c r="G623" s="46">
        <f>IF($F623="","",IFERROR(INDEX(사건마스터!$B$5:$B$64,MATCH($F623,사건마스터!$A$5:$A$64,0)),""))</f>
        <v/>
      </c>
      <c r="H623" s="47">
        <f>IF($F623="","",IFERROR(INDEX(사건마스터!$C$5:$C$64,MATCH($F623,사건마스터!$A$5:$A$64,0)),""))</f>
        <v/>
      </c>
      <c r="I623" s="48">
        <f>IF($F623="","",IFERROR(INDEX(사건마스터!$H$5:$H$64,MATCH($F623,사건마스터!$A$5:$A$64,0)),""))</f>
        <v/>
      </c>
      <c r="J623" s="48">
        <f>IF($F623="","",IFERROR(INDEX(사건마스터!$AH$5:$AH$64,MATCH($F623,사건마스터!$A$5:$A$64,0)),""))</f>
        <v/>
      </c>
      <c r="K623" s="48">
        <f>IF($F623="","",IFERROR(INDEX(사건마스터!$AI$5:$AI$64,MATCH($F623,사건마스터!$A$5:$A$64,0)),""))</f>
        <v/>
      </c>
      <c r="L623" s="48">
        <f>IF($F623="","",IFERROR(INDEX(사건마스터!$AJ$5:$AJ$64,MATCH($F623,사건마스터!$A$5:$A$64,0)),""))</f>
        <v/>
      </c>
      <c r="M623" s="48">
        <f>IF($F623="","",IFERROR(INDEX(사건마스터!$AK$5:$AK$64,MATCH($F623,사건마스터!$A$5:$A$64,0)),""))</f>
        <v/>
      </c>
      <c r="N623" s="48">
        <f>IF($F623="","",IFERROR(INDEX(사건마스터!$AL$5:$AL$64,MATCH($F623,사건마스터!$A$5:$A$64,0)),""))</f>
        <v/>
      </c>
      <c r="O623" s="43">
        <f>IF($I623="","",COUNTIF($I623:$N623,"?*"))</f>
        <v/>
      </c>
      <c r="P623" s="46">
        <f>IF($I623="","",_xlfn.TEXTJOIN(", ",TRUE,$I623:$N623))</f>
        <v/>
      </c>
      <c r="Q623" s="47">
        <f>IF($I623="","",IFERROR(INDEX(코드설정!$D$5:$D$24,MATCH($I623,코드설정!$C$5:$C$24,0)),""))</f>
        <v/>
      </c>
      <c r="R623" s="49" t="n"/>
      <c r="S623" s="50" t="n"/>
      <c r="T623" s="51" t="n"/>
      <c r="U623" s="43">
        <f>IF(OR($B623="",$C623=""),"",$C623-$B623+1)</f>
        <v/>
      </c>
      <c r="V623" s="52" t="n"/>
      <c r="W623" s="53">
        <f>IF(OR($V623="",$O623=""),"",$V623*$O623)</f>
        <v/>
      </c>
      <c r="X623" s="45" t="n"/>
      <c r="Y623" s="49" t="n"/>
    </row>
    <row r="624">
      <c r="A624" s="43">
        <f>IF($B624="","",COUNT($B$5:$B624))</f>
        <v/>
      </c>
      <c r="B624" s="44" t="n"/>
      <c r="C624" s="44" t="n"/>
      <c r="D624" s="45" t="n"/>
      <c r="E624" s="45" t="n"/>
      <c r="F624" s="45" t="n"/>
      <c r="G624" s="46">
        <f>IF($F624="","",IFERROR(INDEX(사건마스터!$B$5:$B$64,MATCH($F624,사건마스터!$A$5:$A$64,0)),""))</f>
        <v/>
      </c>
      <c r="H624" s="47">
        <f>IF($F624="","",IFERROR(INDEX(사건마스터!$C$5:$C$64,MATCH($F624,사건마스터!$A$5:$A$64,0)),""))</f>
        <v/>
      </c>
      <c r="I624" s="48">
        <f>IF($F624="","",IFERROR(INDEX(사건마스터!$H$5:$H$64,MATCH($F624,사건마스터!$A$5:$A$64,0)),""))</f>
        <v/>
      </c>
      <c r="J624" s="48">
        <f>IF($F624="","",IFERROR(INDEX(사건마스터!$AH$5:$AH$64,MATCH($F624,사건마스터!$A$5:$A$64,0)),""))</f>
        <v/>
      </c>
      <c r="K624" s="48">
        <f>IF($F624="","",IFERROR(INDEX(사건마스터!$AI$5:$AI$64,MATCH($F624,사건마스터!$A$5:$A$64,0)),""))</f>
        <v/>
      </c>
      <c r="L624" s="48">
        <f>IF($F624="","",IFERROR(INDEX(사건마스터!$AJ$5:$AJ$64,MATCH($F624,사건마스터!$A$5:$A$64,0)),""))</f>
        <v/>
      </c>
      <c r="M624" s="48">
        <f>IF($F624="","",IFERROR(INDEX(사건마스터!$AK$5:$AK$64,MATCH($F624,사건마스터!$A$5:$A$64,0)),""))</f>
        <v/>
      </c>
      <c r="N624" s="48">
        <f>IF($F624="","",IFERROR(INDEX(사건마스터!$AL$5:$AL$64,MATCH($F624,사건마스터!$A$5:$A$64,0)),""))</f>
        <v/>
      </c>
      <c r="O624" s="43">
        <f>IF($I624="","",COUNTIF($I624:$N624,"?*"))</f>
        <v/>
      </c>
      <c r="P624" s="46">
        <f>IF($I624="","",_xlfn.TEXTJOIN(", ",TRUE,$I624:$N624))</f>
        <v/>
      </c>
      <c r="Q624" s="47">
        <f>IF($I624="","",IFERROR(INDEX(코드설정!$D$5:$D$24,MATCH($I624,코드설정!$C$5:$C$24,0)),""))</f>
        <v/>
      </c>
      <c r="R624" s="49" t="n"/>
      <c r="S624" s="50" t="n"/>
      <c r="T624" s="51" t="n"/>
      <c r="U624" s="43">
        <f>IF(OR($B624="",$C624=""),"",$C624-$B624+1)</f>
        <v/>
      </c>
      <c r="V624" s="52" t="n"/>
      <c r="W624" s="53">
        <f>IF(OR($V624="",$O624=""),"",$V624*$O624)</f>
        <v/>
      </c>
      <c r="X624" s="45" t="n"/>
      <c r="Y624" s="49" t="n"/>
    </row>
    <row r="625">
      <c r="A625" s="43">
        <f>IF($B625="","",COUNT($B$5:$B625))</f>
        <v/>
      </c>
      <c r="B625" s="44" t="n"/>
      <c r="C625" s="44" t="n"/>
      <c r="D625" s="45" t="n"/>
      <c r="E625" s="45" t="n"/>
      <c r="F625" s="45" t="n"/>
      <c r="G625" s="46">
        <f>IF($F625="","",IFERROR(INDEX(사건마스터!$B$5:$B$64,MATCH($F625,사건마스터!$A$5:$A$64,0)),""))</f>
        <v/>
      </c>
      <c r="H625" s="47">
        <f>IF($F625="","",IFERROR(INDEX(사건마스터!$C$5:$C$64,MATCH($F625,사건마스터!$A$5:$A$64,0)),""))</f>
        <v/>
      </c>
      <c r="I625" s="48">
        <f>IF($F625="","",IFERROR(INDEX(사건마스터!$H$5:$H$64,MATCH($F625,사건마스터!$A$5:$A$64,0)),""))</f>
        <v/>
      </c>
      <c r="J625" s="48">
        <f>IF($F625="","",IFERROR(INDEX(사건마스터!$AH$5:$AH$64,MATCH($F625,사건마스터!$A$5:$A$64,0)),""))</f>
        <v/>
      </c>
      <c r="K625" s="48">
        <f>IF($F625="","",IFERROR(INDEX(사건마스터!$AI$5:$AI$64,MATCH($F625,사건마스터!$A$5:$A$64,0)),""))</f>
        <v/>
      </c>
      <c r="L625" s="48">
        <f>IF($F625="","",IFERROR(INDEX(사건마스터!$AJ$5:$AJ$64,MATCH($F625,사건마스터!$A$5:$A$64,0)),""))</f>
        <v/>
      </c>
      <c r="M625" s="48">
        <f>IF($F625="","",IFERROR(INDEX(사건마스터!$AK$5:$AK$64,MATCH($F625,사건마스터!$A$5:$A$64,0)),""))</f>
        <v/>
      </c>
      <c r="N625" s="48">
        <f>IF($F625="","",IFERROR(INDEX(사건마스터!$AL$5:$AL$64,MATCH($F625,사건마스터!$A$5:$A$64,0)),""))</f>
        <v/>
      </c>
      <c r="O625" s="43">
        <f>IF($I625="","",COUNTIF($I625:$N625,"?*"))</f>
        <v/>
      </c>
      <c r="P625" s="46">
        <f>IF($I625="","",_xlfn.TEXTJOIN(", ",TRUE,$I625:$N625))</f>
        <v/>
      </c>
      <c r="Q625" s="47">
        <f>IF($I625="","",IFERROR(INDEX(코드설정!$D$5:$D$24,MATCH($I625,코드설정!$C$5:$C$24,0)),""))</f>
        <v/>
      </c>
      <c r="R625" s="49" t="n"/>
      <c r="S625" s="50" t="n"/>
      <c r="T625" s="51" t="n"/>
      <c r="U625" s="43">
        <f>IF(OR($B625="",$C625=""),"",$C625-$B625+1)</f>
        <v/>
      </c>
      <c r="V625" s="52" t="n"/>
      <c r="W625" s="53">
        <f>IF(OR($V625="",$O625=""),"",$V625*$O625)</f>
        <v/>
      </c>
      <c r="X625" s="45" t="n"/>
      <c r="Y625" s="49" t="n"/>
    </row>
    <row r="626">
      <c r="A626" s="43">
        <f>IF($B626="","",COUNT($B$5:$B626))</f>
        <v/>
      </c>
      <c r="B626" s="44" t="n"/>
      <c r="C626" s="44" t="n"/>
      <c r="D626" s="45" t="n"/>
      <c r="E626" s="45" t="n"/>
      <c r="F626" s="45" t="n"/>
      <c r="G626" s="46">
        <f>IF($F626="","",IFERROR(INDEX(사건마스터!$B$5:$B$64,MATCH($F626,사건마스터!$A$5:$A$64,0)),""))</f>
        <v/>
      </c>
      <c r="H626" s="47">
        <f>IF($F626="","",IFERROR(INDEX(사건마스터!$C$5:$C$64,MATCH($F626,사건마스터!$A$5:$A$64,0)),""))</f>
        <v/>
      </c>
      <c r="I626" s="48">
        <f>IF($F626="","",IFERROR(INDEX(사건마스터!$H$5:$H$64,MATCH($F626,사건마스터!$A$5:$A$64,0)),""))</f>
        <v/>
      </c>
      <c r="J626" s="48">
        <f>IF($F626="","",IFERROR(INDEX(사건마스터!$AH$5:$AH$64,MATCH($F626,사건마스터!$A$5:$A$64,0)),""))</f>
        <v/>
      </c>
      <c r="K626" s="48">
        <f>IF($F626="","",IFERROR(INDEX(사건마스터!$AI$5:$AI$64,MATCH($F626,사건마스터!$A$5:$A$64,0)),""))</f>
        <v/>
      </c>
      <c r="L626" s="48">
        <f>IF($F626="","",IFERROR(INDEX(사건마스터!$AJ$5:$AJ$64,MATCH($F626,사건마스터!$A$5:$A$64,0)),""))</f>
        <v/>
      </c>
      <c r="M626" s="48">
        <f>IF($F626="","",IFERROR(INDEX(사건마스터!$AK$5:$AK$64,MATCH($F626,사건마스터!$A$5:$A$64,0)),""))</f>
        <v/>
      </c>
      <c r="N626" s="48">
        <f>IF($F626="","",IFERROR(INDEX(사건마스터!$AL$5:$AL$64,MATCH($F626,사건마스터!$A$5:$A$64,0)),""))</f>
        <v/>
      </c>
      <c r="O626" s="43">
        <f>IF($I626="","",COUNTIF($I626:$N626,"?*"))</f>
        <v/>
      </c>
      <c r="P626" s="46">
        <f>IF($I626="","",_xlfn.TEXTJOIN(", ",TRUE,$I626:$N626))</f>
        <v/>
      </c>
      <c r="Q626" s="47">
        <f>IF($I626="","",IFERROR(INDEX(코드설정!$D$5:$D$24,MATCH($I626,코드설정!$C$5:$C$24,0)),""))</f>
        <v/>
      </c>
      <c r="R626" s="49" t="n"/>
      <c r="S626" s="50" t="n"/>
      <c r="T626" s="51" t="n"/>
      <c r="U626" s="43">
        <f>IF(OR($B626="",$C626=""),"",$C626-$B626+1)</f>
        <v/>
      </c>
      <c r="V626" s="52" t="n"/>
      <c r="W626" s="53">
        <f>IF(OR($V626="",$O626=""),"",$V626*$O626)</f>
        <v/>
      </c>
      <c r="X626" s="45" t="n"/>
      <c r="Y626" s="49" t="n"/>
    </row>
    <row r="627">
      <c r="A627" s="43">
        <f>IF($B627="","",COUNT($B$5:$B627))</f>
        <v/>
      </c>
      <c r="B627" s="44" t="n"/>
      <c r="C627" s="44" t="n"/>
      <c r="D627" s="45" t="n"/>
      <c r="E627" s="45" t="n"/>
      <c r="F627" s="45" t="n"/>
      <c r="G627" s="46">
        <f>IF($F627="","",IFERROR(INDEX(사건마스터!$B$5:$B$64,MATCH($F627,사건마스터!$A$5:$A$64,0)),""))</f>
        <v/>
      </c>
      <c r="H627" s="47">
        <f>IF($F627="","",IFERROR(INDEX(사건마스터!$C$5:$C$64,MATCH($F627,사건마스터!$A$5:$A$64,0)),""))</f>
        <v/>
      </c>
      <c r="I627" s="48">
        <f>IF($F627="","",IFERROR(INDEX(사건마스터!$H$5:$H$64,MATCH($F627,사건마스터!$A$5:$A$64,0)),""))</f>
        <v/>
      </c>
      <c r="J627" s="48">
        <f>IF($F627="","",IFERROR(INDEX(사건마스터!$AH$5:$AH$64,MATCH($F627,사건마스터!$A$5:$A$64,0)),""))</f>
        <v/>
      </c>
      <c r="K627" s="48">
        <f>IF($F627="","",IFERROR(INDEX(사건마스터!$AI$5:$AI$64,MATCH($F627,사건마스터!$A$5:$A$64,0)),""))</f>
        <v/>
      </c>
      <c r="L627" s="48">
        <f>IF($F627="","",IFERROR(INDEX(사건마스터!$AJ$5:$AJ$64,MATCH($F627,사건마스터!$A$5:$A$64,0)),""))</f>
        <v/>
      </c>
      <c r="M627" s="48">
        <f>IF($F627="","",IFERROR(INDEX(사건마스터!$AK$5:$AK$64,MATCH($F627,사건마스터!$A$5:$A$64,0)),""))</f>
        <v/>
      </c>
      <c r="N627" s="48">
        <f>IF($F627="","",IFERROR(INDEX(사건마스터!$AL$5:$AL$64,MATCH($F627,사건마스터!$A$5:$A$64,0)),""))</f>
        <v/>
      </c>
      <c r="O627" s="43">
        <f>IF($I627="","",COUNTIF($I627:$N627,"?*"))</f>
        <v/>
      </c>
      <c r="P627" s="46">
        <f>IF($I627="","",_xlfn.TEXTJOIN(", ",TRUE,$I627:$N627))</f>
        <v/>
      </c>
      <c r="Q627" s="47">
        <f>IF($I627="","",IFERROR(INDEX(코드설정!$D$5:$D$24,MATCH($I627,코드설정!$C$5:$C$24,0)),""))</f>
        <v/>
      </c>
      <c r="R627" s="49" t="n"/>
      <c r="S627" s="50" t="n"/>
      <c r="T627" s="51" t="n"/>
      <c r="U627" s="43">
        <f>IF(OR($B627="",$C627=""),"",$C627-$B627+1)</f>
        <v/>
      </c>
      <c r="V627" s="52" t="n"/>
      <c r="W627" s="53">
        <f>IF(OR($V627="",$O627=""),"",$V627*$O627)</f>
        <v/>
      </c>
      <c r="X627" s="45" t="n"/>
      <c r="Y627" s="49" t="n"/>
    </row>
    <row r="628">
      <c r="A628" s="43">
        <f>IF($B628="","",COUNT($B$5:$B628))</f>
        <v/>
      </c>
      <c r="B628" s="44" t="n"/>
      <c r="C628" s="44" t="n"/>
      <c r="D628" s="45" t="n"/>
      <c r="E628" s="45" t="n"/>
      <c r="F628" s="45" t="n"/>
      <c r="G628" s="46">
        <f>IF($F628="","",IFERROR(INDEX(사건마스터!$B$5:$B$64,MATCH($F628,사건마스터!$A$5:$A$64,0)),""))</f>
        <v/>
      </c>
      <c r="H628" s="47">
        <f>IF($F628="","",IFERROR(INDEX(사건마스터!$C$5:$C$64,MATCH($F628,사건마스터!$A$5:$A$64,0)),""))</f>
        <v/>
      </c>
      <c r="I628" s="48">
        <f>IF($F628="","",IFERROR(INDEX(사건마스터!$H$5:$H$64,MATCH($F628,사건마스터!$A$5:$A$64,0)),""))</f>
        <v/>
      </c>
      <c r="J628" s="48">
        <f>IF($F628="","",IFERROR(INDEX(사건마스터!$AH$5:$AH$64,MATCH($F628,사건마스터!$A$5:$A$64,0)),""))</f>
        <v/>
      </c>
      <c r="K628" s="48">
        <f>IF($F628="","",IFERROR(INDEX(사건마스터!$AI$5:$AI$64,MATCH($F628,사건마스터!$A$5:$A$64,0)),""))</f>
        <v/>
      </c>
      <c r="L628" s="48">
        <f>IF($F628="","",IFERROR(INDEX(사건마스터!$AJ$5:$AJ$64,MATCH($F628,사건마스터!$A$5:$A$64,0)),""))</f>
        <v/>
      </c>
      <c r="M628" s="48">
        <f>IF($F628="","",IFERROR(INDEX(사건마스터!$AK$5:$AK$64,MATCH($F628,사건마스터!$A$5:$A$64,0)),""))</f>
        <v/>
      </c>
      <c r="N628" s="48">
        <f>IF($F628="","",IFERROR(INDEX(사건마스터!$AL$5:$AL$64,MATCH($F628,사건마스터!$A$5:$A$64,0)),""))</f>
        <v/>
      </c>
      <c r="O628" s="43">
        <f>IF($I628="","",COUNTIF($I628:$N628,"?*"))</f>
        <v/>
      </c>
      <c r="P628" s="46">
        <f>IF($I628="","",_xlfn.TEXTJOIN(", ",TRUE,$I628:$N628))</f>
        <v/>
      </c>
      <c r="Q628" s="47">
        <f>IF($I628="","",IFERROR(INDEX(코드설정!$D$5:$D$24,MATCH($I628,코드설정!$C$5:$C$24,0)),""))</f>
        <v/>
      </c>
      <c r="R628" s="49" t="n"/>
      <c r="S628" s="50" t="n"/>
      <c r="T628" s="51" t="n"/>
      <c r="U628" s="43">
        <f>IF(OR($B628="",$C628=""),"",$C628-$B628+1)</f>
        <v/>
      </c>
      <c r="V628" s="52" t="n"/>
      <c r="W628" s="53">
        <f>IF(OR($V628="",$O628=""),"",$V628*$O628)</f>
        <v/>
      </c>
      <c r="X628" s="45" t="n"/>
      <c r="Y628" s="49" t="n"/>
    </row>
    <row r="629">
      <c r="A629" s="43">
        <f>IF($B629="","",COUNT($B$5:$B629))</f>
        <v/>
      </c>
      <c r="B629" s="44" t="n"/>
      <c r="C629" s="44" t="n"/>
      <c r="D629" s="45" t="n"/>
      <c r="E629" s="45" t="n"/>
      <c r="F629" s="45" t="n"/>
      <c r="G629" s="46">
        <f>IF($F629="","",IFERROR(INDEX(사건마스터!$B$5:$B$64,MATCH($F629,사건마스터!$A$5:$A$64,0)),""))</f>
        <v/>
      </c>
      <c r="H629" s="47">
        <f>IF($F629="","",IFERROR(INDEX(사건마스터!$C$5:$C$64,MATCH($F629,사건마스터!$A$5:$A$64,0)),""))</f>
        <v/>
      </c>
      <c r="I629" s="48">
        <f>IF($F629="","",IFERROR(INDEX(사건마스터!$H$5:$H$64,MATCH($F629,사건마스터!$A$5:$A$64,0)),""))</f>
        <v/>
      </c>
      <c r="J629" s="48">
        <f>IF($F629="","",IFERROR(INDEX(사건마스터!$AH$5:$AH$64,MATCH($F629,사건마스터!$A$5:$A$64,0)),""))</f>
        <v/>
      </c>
      <c r="K629" s="48">
        <f>IF($F629="","",IFERROR(INDEX(사건마스터!$AI$5:$AI$64,MATCH($F629,사건마스터!$A$5:$A$64,0)),""))</f>
        <v/>
      </c>
      <c r="L629" s="48">
        <f>IF($F629="","",IFERROR(INDEX(사건마스터!$AJ$5:$AJ$64,MATCH($F629,사건마스터!$A$5:$A$64,0)),""))</f>
        <v/>
      </c>
      <c r="M629" s="48">
        <f>IF($F629="","",IFERROR(INDEX(사건마스터!$AK$5:$AK$64,MATCH($F629,사건마스터!$A$5:$A$64,0)),""))</f>
        <v/>
      </c>
      <c r="N629" s="48">
        <f>IF($F629="","",IFERROR(INDEX(사건마스터!$AL$5:$AL$64,MATCH($F629,사건마스터!$A$5:$A$64,0)),""))</f>
        <v/>
      </c>
      <c r="O629" s="43">
        <f>IF($I629="","",COUNTIF($I629:$N629,"?*"))</f>
        <v/>
      </c>
      <c r="P629" s="46">
        <f>IF($I629="","",_xlfn.TEXTJOIN(", ",TRUE,$I629:$N629))</f>
        <v/>
      </c>
      <c r="Q629" s="47">
        <f>IF($I629="","",IFERROR(INDEX(코드설정!$D$5:$D$24,MATCH($I629,코드설정!$C$5:$C$24,0)),""))</f>
        <v/>
      </c>
      <c r="R629" s="49" t="n"/>
      <c r="S629" s="50" t="n"/>
      <c r="T629" s="51" t="n"/>
      <c r="U629" s="43">
        <f>IF(OR($B629="",$C629=""),"",$C629-$B629+1)</f>
        <v/>
      </c>
      <c r="V629" s="52" t="n"/>
      <c r="W629" s="53">
        <f>IF(OR($V629="",$O629=""),"",$V629*$O629)</f>
        <v/>
      </c>
      <c r="X629" s="45" t="n"/>
      <c r="Y629" s="49" t="n"/>
    </row>
    <row r="630">
      <c r="A630" s="43">
        <f>IF($B630="","",COUNT($B$5:$B630))</f>
        <v/>
      </c>
      <c r="B630" s="44" t="n"/>
      <c r="C630" s="44" t="n"/>
      <c r="D630" s="45" t="n"/>
      <c r="E630" s="45" t="n"/>
      <c r="F630" s="45" t="n"/>
      <c r="G630" s="46">
        <f>IF($F630="","",IFERROR(INDEX(사건마스터!$B$5:$B$64,MATCH($F630,사건마스터!$A$5:$A$64,0)),""))</f>
        <v/>
      </c>
      <c r="H630" s="47">
        <f>IF($F630="","",IFERROR(INDEX(사건마스터!$C$5:$C$64,MATCH($F630,사건마스터!$A$5:$A$64,0)),""))</f>
        <v/>
      </c>
      <c r="I630" s="48">
        <f>IF($F630="","",IFERROR(INDEX(사건마스터!$H$5:$H$64,MATCH($F630,사건마스터!$A$5:$A$64,0)),""))</f>
        <v/>
      </c>
      <c r="J630" s="48">
        <f>IF($F630="","",IFERROR(INDEX(사건마스터!$AH$5:$AH$64,MATCH($F630,사건마스터!$A$5:$A$64,0)),""))</f>
        <v/>
      </c>
      <c r="K630" s="48">
        <f>IF($F630="","",IFERROR(INDEX(사건마스터!$AI$5:$AI$64,MATCH($F630,사건마스터!$A$5:$A$64,0)),""))</f>
        <v/>
      </c>
      <c r="L630" s="48">
        <f>IF($F630="","",IFERROR(INDEX(사건마스터!$AJ$5:$AJ$64,MATCH($F630,사건마스터!$A$5:$A$64,0)),""))</f>
        <v/>
      </c>
      <c r="M630" s="48">
        <f>IF($F630="","",IFERROR(INDEX(사건마스터!$AK$5:$AK$64,MATCH($F630,사건마스터!$A$5:$A$64,0)),""))</f>
        <v/>
      </c>
      <c r="N630" s="48">
        <f>IF($F630="","",IFERROR(INDEX(사건마스터!$AL$5:$AL$64,MATCH($F630,사건마스터!$A$5:$A$64,0)),""))</f>
        <v/>
      </c>
      <c r="O630" s="43">
        <f>IF($I630="","",COUNTIF($I630:$N630,"?*"))</f>
        <v/>
      </c>
      <c r="P630" s="46">
        <f>IF($I630="","",_xlfn.TEXTJOIN(", ",TRUE,$I630:$N630))</f>
        <v/>
      </c>
      <c r="Q630" s="47">
        <f>IF($I630="","",IFERROR(INDEX(코드설정!$D$5:$D$24,MATCH($I630,코드설정!$C$5:$C$24,0)),""))</f>
        <v/>
      </c>
      <c r="R630" s="49" t="n"/>
      <c r="S630" s="50" t="n"/>
      <c r="T630" s="51" t="n"/>
      <c r="U630" s="43">
        <f>IF(OR($B630="",$C630=""),"",$C630-$B630+1)</f>
        <v/>
      </c>
      <c r="V630" s="52" t="n"/>
      <c r="W630" s="53">
        <f>IF(OR($V630="",$O630=""),"",$V630*$O630)</f>
        <v/>
      </c>
      <c r="X630" s="45" t="n"/>
      <c r="Y630" s="49" t="n"/>
    </row>
    <row r="631">
      <c r="A631" s="43">
        <f>IF($B631="","",COUNT($B$5:$B631))</f>
        <v/>
      </c>
      <c r="B631" s="44" t="n"/>
      <c r="C631" s="44" t="n"/>
      <c r="D631" s="45" t="n"/>
      <c r="E631" s="45" t="n"/>
      <c r="F631" s="45" t="n"/>
      <c r="G631" s="46">
        <f>IF($F631="","",IFERROR(INDEX(사건마스터!$B$5:$B$64,MATCH($F631,사건마스터!$A$5:$A$64,0)),""))</f>
        <v/>
      </c>
      <c r="H631" s="47">
        <f>IF($F631="","",IFERROR(INDEX(사건마스터!$C$5:$C$64,MATCH($F631,사건마스터!$A$5:$A$64,0)),""))</f>
        <v/>
      </c>
      <c r="I631" s="48">
        <f>IF($F631="","",IFERROR(INDEX(사건마스터!$H$5:$H$64,MATCH($F631,사건마스터!$A$5:$A$64,0)),""))</f>
        <v/>
      </c>
      <c r="J631" s="48">
        <f>IF($F631="","",IFERROR(INDEX(사건마스터!$AH$5:$AH$64,MATCH($F631,사건마스터!$A$5:$A$64,0)),""))</f>
        <v/>
      </c>
      <c r="K631" s="48">
        <f>IF($F631="","",IFERROR(INDEX(사건마스터!$AI$5:$AI$64,MATCH($F631,사건마스터!$A$5:$A$64,0)),""))</f>
        <v/>
      </c>
      <c r="L631" s="48">
        <f>IF($F631="","",IFERROR(INDEX(사건마스터!$AJ$5:$AJ$64,MATCH($F631,사건마스터!$A$5:$A$64,0)),""))</f>
        <v/>
      </c>
      <c r="M631" s="48">
        <f>IF($F631="","",IFERROR(INDEX(사건마스터!$AK$5:$AK$64,MATCH($F631,사건마스터!$A$5:$A$64,0)),""))</f>
        <v/>
      </c>
      <c r="N631" s="48">
        <f>IF($F631="","",IFERROR(INDEX(사건마스터!$AL$5:$AL$64,MATCH($F631,사건마스터!$A$5:$A$64,0)),""))</f>
        <v/>
      </c>
      <c r="O631" s="43">
        <f>IF($I631="","",COUNTIF($I631:$N631,"?*"))</f>
        <v/>
      </c>
      <c r="P631" s="46">
        <f>IF($I631="","",_xlfn.TEXTJOIN(", ",TRUE,$I631:$N631))</f>
        <v/>
      </c>
      <c r="Q631" s="47">
        <f>IF($I631="","",IFERROR(INDEX(코드설정!$D$5:$D$24,MATCH($I631,코드설정!$C$5:$C$24,0)),""))</f>
        <v/>
      </c>
      <c r="R631" s="49" t="n"/>
      <c r="S631" s="50" t="n"/>
      <c r="T631" s="51" t="n"/>
      <c r="U631" s="43">
        <f>IF(OR($B631="",$C631=""),"",$C631-$B631+1)</f>
        <v/>
      </c>
      <c r="V631" s="52" t="n"/>
      <c r="W631" s="53">
        <f>IF(OR($V631="",$O631=""),"",$V631*$O631)</f>
        <v/>
      </c>
      <c r="X631" s="45" t="n"/>
      <c r="Y631" s="49" t="n"/>
    </row>
    <row r="632">
      <c r="A632" s="43">
        <f>IF($B632="","",COUNT($B$5:$B632))</f>
        <v/>
      </c>
      <c r="B632" s="44" t="n"/>
      <c r="C632" s="44" t="n"/>
      <c r="D632" s="45" t="n"/>
      <c r="E632" s="45" t="n"/>
      <c r="F632" s="45" t="n"/>
      <c r="G632" s="46">
        <f>IF($F632="","",IFERROR(INDEX(사건마스터!$B$5:$B$64,MATCH($F632,사건마스터!$A$5:$A$64,0)),""))</f>
        <v/>
      </c>
      <c r="H632" s="47">
        <f>IF($F632="","",IFERROR(INDEX(사건마스터!$C$5:$C$64,MATCH($F632,사건마스터!$A$5:$A$64,0)),""))</f>
        <v/>
      </c>
      <c r="I632" s="48">
        <f>IF($F632="","",IFERROR(INDEX(사건마스터!$H$5:$H$64,MATCH($F632,사건마스터!$A$5:$A$64,0)),""))</f>
        <v/>
      </c>
      <c r="J632" s="48">
        <f>IF($F632="","",IFERROR(INDEX(사건마스터!$AH$5:$AH$64,MATCH($F632,사건마스터!$A$5:$A$64,0)),""))</f>
        <v/>
      </c>
      <c r="K632" s="48">
        <f>IF($F632="","",IFERROR(INDEX(사건마스터!$AI$5:$AI$64,MATCH($F632,사건마스터!$A$5:$A$64,0)),""))</f>
        <v/>
      </c>
      <c r="L632" s="48">
        <f>IF($F632="","",IFERROR(INDEX(사건마스터!$AJ$5:$AJ$64,MATCH($F632,사건마스터!$A$5:$A$64,0)),""))</f>
        <v/>
      </c>
      <c r="M632" s="48">
        <f>IF($F632="","",IFERROR(INDEX(사건마스터!$AK$5:$AK$64,MATCH($F632,사건마스터!$A$5:$A$64,0)),""))</f>
        <v/>
      </c>
      <c r="N632" s="48">
        <f>IF($F632="","",IFERROR(INDEX(사건마스터!$AL$5:$AL$64,MATCH($F632,사건마스터!$A$5:$A$64,0)),""))</f>
        <v/>
      </c>
      <c r="O632" s="43">
        <f>IF($I632="","",COUNTIF($I632:$N632,"?*"))</f>
        <v/>
      </c>
      <c r="P632" s="46">
        <f>IF($I632="","",_xlfn.TEXTJOIN(", ",TRUE,$I632:$N632))</f>
        <v/>
      </c>
      <c r="Q632" s="47">
        <f>IF($I632="","",IFERROR(INDEX(코드설정!$D$5:$D$24,MATCH($I632,코드설정!$C$5:$C$24,0)),""))</f>
        <v/>
      </c>
      <c r="R632" s="49" t="n"/>
      <c r="S632" s="50" t="n"/>
      <c r="T632" s="51" t="n"/>
      <c r="U632" s="43">
        <f>IF(OR($B632="",$C632=""),"",$C632-$B632+1)</f>
        <v/>
      </c>
      <c r="V632" s="52" t="n"/>
      <c r="W632" s="53">
        <f>IF(OR($V632="",$O632=""),"",$V632*$O632)</f>
        <v/>
      </c>
      <c r="X632" s="45" t="n"/>
      <c r="Y632" s="49" t="n"/>
    </row>
    <row r="633">
      <c r="A633" s="43">
        <f>IF($B633="","",COUNT($B$5:$B633))</f>
        <v/>
      </c>
      <c r="B633" s="44" t="n"/>
      <c r="C633" s="44" t="n"/>
      <c r="D633" s="45" t="n"/>
      <c r="E633" s="45" t="n"/>
      <c r="F633" s="45" t="n"/>
      <c r="G633" s="46">
        <f>IF($F633="","",IFERROR(INDEX(사건마스터!$B$5:$B$64,MATCH($F633,사건마스터!$A$5:$A$64,0)),""))</f>
        <v/>
      </c>
      <c r="H633" s="47">
        <f>IF($F633="","",IFERROR(INDEX(사건마스터!$C$5:$C$64,MATCH($F633,사건마스터!$A$5:$A$64,0)),""))</f>
        <v/>
      </c>
      <c r="I633" s="48">
        <f>IF($F633="","",IFERROR(INDEX(사건마스터!$H$5:$H$64,MATCH($F633,사건마스터!$A$5:$A$64,0)),""))</f>
        <v/>
      </c>
      <c r="J633" s="48">
        <f>IF($F633="","",IFERROR(INDEX(사건마스터!$AH$5:$AH$64,MATCH($F633,사건마스터!$A$5:$A$64,0)),""))</f>
        <v/>
      </c>
      <c r="K633" s="48">
        <f>IF($F633="","",IFERROR(INDEX(사건마스터!$AI$5:$AI$64,MATCH($F633,사건마스터!$A$5:$A$64,0)),""))</f>
        <v/>
      </c>
      <c r="L633" s="48">
        <f>IF($F633="","",IFERROR(INDEX(사건마스터!$AJ$5:$AJ$64,MATCH($F633,사건마스터!$A$5:$A$64,0)),""))</f>
        <v/>
      </c>
      <c r="M633" s="48">
        <f>IF($F633="","",IFERROR(INDEX(사건마스터!$AK$5:$AK$64,MATCH($F633,사건마스터!$A$5:$A$64,0)),""))</f>
        <v/>
      </c>
      <c r="N633" s="48">
        <f>IF($F633="","",IFERROR(INDEX(사건마스터!$AL$5:$AL$64,MATCH($F633,사건마스터!$A$5:$A$64,0)),""))</f>
        <v/>
      </c>
      <c r="O633" s="43">
        <f>IF($I633="","",COUNTIF($I633:$N633,"?*"))</f>
        <v/>
      </c>
      <c r="P633" s="46">
        <f>IF($I633="","",_xlfn.TEXTJOIN(", ",TRUE,$I633:$N633))</f>
        <v/>
      </c>
      <c r="Q633" s="47">
        <f>IF($I633="","",IFERROR(INDEX(코드설정!$D$5:$D$24,MATCH($I633,코드설정!$C$5:$C$24,0)),""))</f>
        <v/>
      </c>
      <c r="R633" s="49" t="n"/>
      <c r="S633" s="50" t="n"/>
      <c r="T633" s="51" t="n"/>
      <c r="U633" s="43">
        <f>IF(OR($B633="",$C633=""),"",$C633-$B633+1)</f>
        <v/>
      </c>
      <c r="V633" s="52" t="n"/>
      <c r="W633" s="53">
        <f>IF(OR($V633="",$O633=""),"",$V633*$O633)</f>
        <v/>
      </c>
      <c r="X633" s="45" t="n"/>
      <c r="Y633" s="49" t="n"/>
    </row>
    <row r="634">
      <c r="A634" s="43">
        <f>IF($B634="","",COUNT($B$5:$B634))</f>
        <v/>
      </c>
      <c r="B634" s="44" t="n"/>
      <c r="C634" s="44" t="n"/>
      <c r="D634" s="45" t="n"/>
      <c r="E634" s="45" t="n"/>
      <c r="F634" s="45" t="n"/>
      <c r="G634" s="46">
        <f>IF($F634="","",IFERROR(INDEX(사건마스터!$B$5:$B$64,MATCH($F634,사건마스터!$A$5:$A$64,0)),""))</f>
        <v/>
      </c>
      <c r="H634" s="47">
        <f>IF($F634="","",IFERROR(INDEX(사건마스터!$C$5:$C$64,MATCH($F634,사건마스터!$A$5:$A$64,0)),""))</f>
        <v/>
      </c>
      <c r="I634" s="48">
        <f>IF($F634="","",IFERROR(INDEX(사건마스터!$H$5:$H$64,MATCH($F634,사건마스터!$A$5:$A$64,0)),""))</f>
        <v/>
      </c>
      <c r="J634" s="48">
        <f>IF($F634="","",IFERROR(INDEX(사건마스터!$AH$5:$AH$64,MATCH($F634,사건마스터!$A$5:$A$64,0)),""))</f>
        <v/>
      </c>
      <c r="K634" s="48">
        <f>IF($F634="","",IFERROR(INDEX(사건마스터!$AI$5:$AI$64,MATCH($F634,사건마스터!$A$5:$A$64,0)),""))</f>
        <v/>
      </c>
      <c r="L634" s="48">
        <f>IF($F634="","",IFERROR(INDEX(사건마스터!$AJ$5:$AJ$64,MATCH($F634,사건마스터!$A$5:$A$64,0)),""))</f>
        <v/>
      </c>
      <c r="M634" s="48">
        <f>IF($F634="","",IFERROR(INDEX(사건마스터!$AK$5:$AK$64,MATCH($F634,사건마스터!$A$5:$A$64,0)),""))</f>
        <v/>
      </c>
      <c r="N634" s="48">
        <f>IF($F634="","",IFERROR(INDEX(사건마스터!$AL$5:$AL$64,MATCH($F634,사건마스터!$A$5:$A$64,0)),""))</f>
        <v/>
      </c>
      <c r="O634" s="43">
        <f>IF($I634="","",COUNTIF($I634:$N634,"?*"))</f>
        <v/>
      </c>
      <c r="P634" s="46">
        <f>IF($I634="","",_xlfn.TEXTJOIN(", ",TRUE,$I634:$N634))</f>
        <v/>
      </c>
      <c r="Q634" s="47">
        <f>IF($I634="","",IFERROR(INDEX(코드설정!$D$5:$D$24,MATCH($I634,코드설정!$C$5:$C$24,0)),""))</f>
        <v/>
      </c>
      <c r="R634" s="49" t="n"/>
      <c r="S634" s="50" t="n"/>
      <c r="T634" s="51" t="n"/>
      <c r="U634" s="43">
        <f>IF(OR($B634="",$C634=""),"",$C634-$B634+1)</f>
        <v/>
      </c>
      <c r="V634" s="52" t="n"/>
      <c r="W634" s="53">
        <f>IF(OR($V634="",$O634=""),"",$V634*$O634)</f>
        <v/>
      </c>
      <c r="X634" s="45" t="n"/>
      <c r="Y634" s="49" t="n"/>
    </row>
    <row r="635">
      <c r="A635" s="43">
        <f>IF($B635="","",COUNT($B$5:$B635))</f>
        <v/>
      </c>
      <c r="B635" s="44" t="n"/>
      <c r="C635" s="44" t="n"/>
      <c r="D635" s="45" t="n"/>
      <c r="E635" s="45" t="n"/>
      <c r="F635" s="45" t="n"/>
      <c r="G635" s="46">
        <f>IF($F635="","",IFERROR(INDEX(사건마스터!$B$5:$B$64,MATCH($F635,사건마스터!$A$5:$A$64,0)),""))</f>
        <v/>
      </c>
      <c r="H635" s="47">
        <f>IF($F635="","",IFERROR(INDEX(사건마스터!$C$5:$C$64,MATCH($F635,사건마스터!$A$5:$A$64,0)),""))</f>
        <v/>
      </c>
      <c r="I635" s="48">
        <f>IF($F635="","",IFERROR(INDEX(사건마스터!$H$5:$H$64,MATCH($F635,사건마스터!$A$5:$A$64,0)),""))</f>
        <v/>
      </c>
      <c r="J635" s="48">
        <f>IF($F635="","",IFERROR(INDEX(사건마스터!$AH$5:$AH$64,MATCH($F635,사건마스터!$A$5:$A$64,0)),""))</f>
        <v/>
      </c>
      <c r="K635" s="48">
        <f>IF($F635="","",IFERROR(INDEX(사건마스터!$AI$5:$AI$64,MATCH($F635,사건마스터!$A$5:$A$64,0)),""))</f>
        <v/>
      </c>
      <c r="L635" s="48">
        <f>IF($F635="","",IFERROR(INDEX(사건마스터!$AJ$5:$AJ$64,MATCH($F635,사건마스터!$A$5:$A$64,0)),""))</f>
        <v/>
      </c>
      <c r="M635" s="48">
        <f>IF($F635="","",IFERROR(INDEX(사건마스터!$AK$5:$AK$64,MATCH($F635,사건마스터!$A$5:$A$64,0)),""))</f>
        <v/>
      </c>
      <c r="N635" s="48">
        <f>IF($F635="","",IFERROR(INDEX(사건마스터!$AL$5:$AL$64,MATCH($F635,사건마스터!$A$5:$A$64,0)),""))</f>
        <v/>
      </c>
      <c r="O635" s="43">
        <f>IF($I635="","",COUNTIF($I635:$N635,"?*"))</f>
        <v/>
      </c>
      <c r="P635" s="46">
        <f>IF($I635="","",_xlfn.TEXTJOIN(", ",TRUE,$I635:$N635))</f>
        <v/>
      </c>
      <c r="Q635" s="47">
        <f>IF($I635="","",IFERROR(INDEX(코드설정!$D$5:$D$24,MATCH($I635,코드설정!$C$5:$C$24,0)),""))</f>
        <v/>
      </c>
      <c r="R635" s="49" t="n"/>
      <c r="S635" s="50" t="n"/>
      <c r="T635" s="51" t="n"/>
      <c r="U635" s="43">
        <f>IF(OR($B635="",$C635=""),"",$C635-$B635+1)</f>
        <v/>
      </c>
      <c r="V635" s="52" t="n"/>
      <c r="W635" s="53">
        <f>IF(OR($V635="",$O635=""),"",$V635*$O635)</f>
        <v/>
      </c>
      <c r="X635" s="45" t="n"/>
      <c r="Y635" s="49" t="n"/>
    </row>
    <row r="636">
      <c r="A636" s="43">
        <f>IF($B636="","",COUNT($B$5:$B636))</f>
        <v/>
      </c>
      <c r="B636" s="44" t="n"/>
      <c r="C636" s="44" t="n"/>
      <c r="D636" s="45" t="n"/>
      <c r="E636" s="45" t="n"/>
      <c r="F636" s="45" t="n"/>
      <c r="G636" s="46">
        <f>IF($F636="","",IFERROR(INDEX(사건마스터!$B$5:$B$64,MATCH($F636,사건마스터!$A$5:$A$64,0)),""))</f>
        <v/>
      </c>
      <c r="H636" s="47">
        <f>IF($F636="","",IFERROR(INDEX(사건마스터!$C$5:$C$64,MATCH($F636,사건마스터!$A$5:$A$64,0)),""))</f>
        <v/>
      </c>
      <c r="I636" s="48">
        <f>IF($F636="","",IFERROR(INDEX(사건마스터!$H$5:$H$64,MATCH($F636,사건마스터!$A$5:$A$64,0)),""))</f>
        <v/>
      </c>
      <c r="J636" s="48">
        <f>IF($F636="","",IFERROR(INDEX(사건마스터!$AH$5:$AH$64,MATCH($F636,사건마스터!$A$5:$A$64,0)),""))</f>
        <v/>
      </c>
      <c r="K636" s="48">
        <f>IF($F636="","",IFERROR(INDEX(사건마스터!$AI$5:$AI$64,MATCH($F636,사건마스터!$A$5:$A$64,0)),""))</f>
        <v/>
      </c>
      <c r="L636" s="48">
        <f>IF($F636="","",IFERROR(INDEX(사건마스터!$AJ$5:$AJ$64,MATCH($F636,사건마스터!$A$5:$A$64,0)),""))</f>
        <v/>
      </c>
      <c r="M636" s="48">
        <f>IF($F636="","",IFERROR(INDEX(사건마스터!$AK$5:$AK$64,MATCH($F636,사건마스터!$A$5:$A$64,0)),""))</f>
        <v/>
      </c>
      <c r="N636" s="48">
        <f>IF($F636="","",IFERROR(INDEX(사건마스터!$AL$5:$AL$64,MATCH($F636,사건마스터!$A$5:$A$64,0)),""))</f>
        <v/>
      </c>
      <c r="O636" s="43">
        <f>IF($I636="","",COUNTIF($I636:$N636,"?*"))</f>
        <v/>
      </c>
      <c r="P636" s="46">
        <f>IF($I636="","",_xlfn.TEXTJOIN(", ",TRUE,$I636:$N636))</f>
        <v/>
      </c>
      <c r="Q636" s="47">
        <f>IF($I636="","",IFERROR(INDEX(코드설정!$D$5:$D$24,MATCH($I636,코드설정!$C$5:$C$24,0)),""))</f>
        <v/>
      </c>
      <c r="R636" s="49" t="n"/>
      <c r="S636" s="50" t="n"/>
      <c r="T636" s="51" t="n"/>
      <c r="U636" s="43">
        <f>IF(OR($B636="",$C636=""),"",$C636-$B636+1)</f>
        <v/>
      </c>
      <c r="V636" s="52" t="n"/>
      <c r="W636" s="53">
        <f>IF(OR($V636="",$O636=""),"",$V636*$O636)</f>
        <v/>
      </c>
      <c r="X636" s="45" t="n"/>
      <c r="Y636" s="49" t="n"/>
    </row>
    <row r="637">
      <c r="A637" s="43">
        <f>IF($B637="","",COUNT($B$5:$B637))</f>
        <v/>
      </c>
      <c r="B637" s="44" t="n"/>
      <c r="C637" s="44" t="n"/>
      <c r="D637" s="45" t="n"/>
      <c r="E637" s="45" t="n"/>
      <c r="F637" s="45" t="n"/>
      <c r="G637" s="46">
        <f>IF($F637="","",IFERROR(INDEX(사건마스터!$B$5:$B$64,MATCH($F637,사건마스터!$A$5:$A$64,0)),""))</f>
        <v/>
      </c>
      <c r="H637" s="47">
        <f>IF($F637="","",IFERROR(INDEX(사건마스터!$C$5:$C$64,MATCH($F637,사건마스터!$A$5:$A$64,0)),""))</f>
        <v/>
      </c>
      <c r="I637" s="48">
        <f>IF($F637="","",IFERROR(INDEX(사건마스터!$H$5:$H$64,MATCH($F637,사건마스터!$A$5:$A$64,0)),""))</f>
        <v/>
      </c>
      <c r="J637" s="48">
        <f>IF($F637="","",IFERROR(INDEX(사건마스터!$AH$5:$AH$64,MATCH($F637,사건마스터!$A$5:$A$64,0)),""))</f>
        <v/>
      </c>
      <c r="K637" s="48">
        <f>IF($F637="","",IFERROR(INDEX(사건마스터!$AI$5:$AI$64,MATCH($F637,사건마스터!$A$5:$A$64,0)),""))</f>
        <v/>
      </c>
      <c r="L637" s="48">
        <f>IF($F637="","",IFERROR(INDEX(사건마스터!$AJ$5:$AJ$64,MATCH($F637,사건마스터!$A$5:$A$64,0)),""))</f>
        <v/>
      </c>
      <c r="M637" s="48">
        <f>IF($F637="","",IFERROR(INDEX(사건마스터!$AK$5:$AK$64,MATCH($F637,사건마스터!$A$5:$A$64,0)),""))</f>
        <v/>
      </c>
      <c r="N637" s="48">
        <f>IF($F637="","",IFERROR(INDEX(사건마스터!$AL$5:$AL$64,MATCH($F637,사건마스터!$A$5:$A$64,0)),""))</f>
        <v/>
      </c>
      <c r="O637" s="43">
        <f>IF($I637="","",COUNTIF($I637:$N637,"?*"))</f>
        <v/>
      </c>
      <c r="P637" s="46">
        <f>IF($I637="","",_xlfn.TEXTJOIN(", ",TRUE,$I637:$N637))</f>
        <v/>
      </c>
      <c r="Q637" s="47">
        <f>IF($I637="","",IFERROR(INDEX(코드설정!$D$5:$D$24,MATCH($I637,코드설정!$C$5:$C$24,0)),""))</f>
        <v/>
      </c>
      <c r="R637" s="49" t="n"/>
      <c r="S637" s="50" t="n"/>
      <c r="T637" s="51" t="n"/>
      <c r="U637" s="43">
        <f>IF(OR($B637="",$C637=""),"",$C637-$B637+1)</f>
        <v/>
      </c>
      <c r="V637" s="52" t="n"/>
      <c r="W637" s="53">
        <f>IF(OR($V637="",$O637=""),"",$V637*$O637)</f>
        <v/>
      </c>
      <c r="X637" s="45" t="n"/>
      <c r="Y637" s="49" t="n"/>
    </row>
    <row r="638">
      <c r="A638" s="43">
        <f>IF($B638="","",COUNT($B$5:$B638))</f>
        <v/>
      </c>
      <c r="B638" s="44" t="n"/>
      <c r="C638" s="44" t="n"/>
      <c r="D638" s="45" t="n"/>
      <c r="E638" s="45" t="n"/>
      <c r="F638" s="45" t="n"/>
      <c r="G638" s="46">
        <f>IF($F638="","",IFERROR(INDEX(사건마스터!$B$5:$B$64,MATCH($F638,사건마스터!$A$5:$A$64,0)),""))</f>
        <v/>
      </c>
      <c r="H638" s="47">
        <f>IF($F638="","",IFERROR(INDEX(사건마스터!$C$5:$C$64,MATCH($F638,사건마스터!$A$5:$A$64,0)),""))</f>
        <v/>
      </c>
      <c r="I638" s="48">
        <f>IF($F638="","",IFERROR(INDEX(사건마스터!$H$5:$H$64,MATCH($F638,사건마스터!$A$5:$A$64,0)),""))</f>
        <v/>
      </c>
      <c r="J638" s="48">
        <f>IF($F638="","",IFERROR(INDEX(사건마스터!$AH$5:$AH$64,MATCH($F638,사건마스터!$A$5:$A$64,0)),""))</f>
        <v/>
      </c>
      <c r="K638" s="48">
        <f>IF($F638="","",IFERROR(INDEX(사건마스터!$AI$5:$AI$64,MATCH($F638,사건마스터!$A$5:$A$64,0)),""))</f>
        <v/>
      </c>
      <c r="L638" s="48">
        <f>IF($F638="","",IFERROR(INDEX(사건마스터!$AJ$5:$AJ$64,MATCH($F638,사건마스터!$A$5:$A$64,0)),""))</f>
        <v/>
      </c>
      <c r="M638" s="48">
        <f>IF($F638="","",IFERROR(INDEX(사건마스터!$AK$5:$AK$64,MATCH($F638,사건마스터!$A$5:$A$64,0)),""))</f>
        <v/>
      </c>
      <c r="N638" s="48">
        <f>IF($F638="","",IFERROR(INDEX(사건마스터!$AL$5:$AL$64,MATCH($F638,사건마스터!$A$5:$A$64,0)),""))</f>
        <v/>
      </c>
      <c r="O638" s="43">
        <f>IF($I638="","",COUNTIF($I638:$N638,"?*"))</f>
        <v/>
      </c>
      <c r="P638" s="46">
        <f>IF($I638="","",_xlfn.TEXTJOIN(", ",TRUE,$I638:$N638))</f>
        <v/>
      </c>
      <c r="Q638" s="47">
        <f>IF($I638="","",IFERROR(INDEX(코드설정!$D$5:$D$24,MATCH($I638,코드설정!$C$5:$C$24,0)),""))</f>
        <v/>
      </c>
      <c r="R638" s="49" t="n"/>
      <c r="S638" s="50" t="n"/>
      <c r="T638" s="51" t="n"/>
      <c r="U638" s="43">
        <f>IF(OR($B638="",$C638=""),"",$C638-$B638+1)</f>
        <v/>
      </c>
      <c r="V638" s="52" t="n"/>
      <c r="W638" s="53">
        <f>IF(OR($V638="",$O638=""),"",$V638*$O638)</f>
        <v/>
      </c>
      <c r="X638" s="45" t="n"/>
      <c r="Y638" s="49" t="n"/>
    </row>
    <row r="639">
      <c r="A639" s="43">
        <f>IF($B639="","",COUNT($B$5:$B639))</f>
        <v/>
      </c>
      <c r="B639" s="44" t="n"/>
      <c r="C639" s="44" t="n"/>
      <c r="D639" s="45" t="n"/>
      <c r="E639" s="45" t="n"/>
      <c r="F639" s="45" t="n"/>
      <c r="G639" s="46">
        <f>IF($F639="","",IFERROR(INDEX(사건마스터!$B$5:$B$64,MATCH($F639,사건마스터!$A$5:$A$64,0)),""))</f>
        <v/>
      </c>
      <c r="H639" s="47">
        <f>IF($F639="","",IFERROR(INDEX(사건마스터!$C$5:$C$64,MATCH($F639,사건마스터!$A$5:$A$64,0)),""))</f>
        <v/>
      </c>
      <c r="I639" s="48">
        <f>IF($F639="","",IFERROR(INDEX(사건마스터!$H$5:$H$64,MATCH($F639,사건마스터!$A$5:$A$64,0)),""))</f>
        <v/>
      </c>
      <c r="J639" s="48">
        <f>IF($F639="","",IFERROR(INDEX(사건마스터!$AH$5:$AH$64,MATCH($F639,사건마스터!$A$5:$A$64,0)),""))</f>
        <v/>
      </c>
      <c r="K639" s="48">
        <f>IF($F639="","",IFERROR(INDEX(사건마스터!$AI$5:$AI$64,MATCH($F639,사건마스터!$A$5:$A$64,0)),""))</f>
        <v/>
      </c>
      <c r="L639" s="48">
        <f>IF($F639="","",IFERROR(INDEX(사건마스터!$AJ$5:$AJ$64,MATCH($F639,사건마스터!$A$5:$A$64,0)),""))</f>
        <v/>
      </c>
      <c r="M639" s="48">
        <f>IF($F639="","",IFERROR(INDEX(사건마스터!$AK$5:$AK$64,MATCH($F639,사건마스터!$A$5:$A$64,0)),""))</f>
        <v/>
      </c>
      <c r="N639" s="48">
        <f>IF($F639="","",IFERROR(INDEX(사건마스터!$AL$5:$AL$64,MATCH($F639,사건마스터!$A$5:$A$64,0)),""))</f>
        <v/>
      </c>
      <c r="O639" s="43">
        <f>IF($I639="","",COUNTIF($I639:$N639,"?*"))</f>
        <v/>
      </c>
      <c r="P639" s="46">
        <f>IF($I639="","",_xlfn.TEXTJOIN(", ",TRUE,$I639:$N639))</f>
        <v/>
      </c>
      <c r="Q639" s="47">
        <f>IF($I639="","",IFERROR(INDEX(코드설정!$D$5:$D$24,MATCH($I639,코드설정!$C$5:$C$24,0)),""))</f>
        <v/>
      </c>
      <c r="R639" s="49" t="n"/>
      <c r="S639" s="50" t="n"/>
      <c r="T639" s="51" t="n"/>
      <c r="U639" s="43">
        <f>IF(OR($B639="",$C639=""),"",$C639-$B639+1)</f>
        <v/>
      </c>
      <c r="V639" s="52" t="n"/>
      <c r="W639" s="53">
        <f>IF(OR($V639="",$O639=""),"",$V639*$O639)</f>
        <v/>
      </c>
      <c r="X639" s="45" t="n"/>
      <c r="Y639" s="49" t="n"/>
    </row>
    <row r="640">
      <c r="A640" s="43">
        <f>IF($B640="","",COUNT($B$5:$B640))</f>
        <v/>
      </c>
      <c r="B640" s="44" t="n"/>
      <c r="C640" s="44" t="n"/>
      <c r="D640" s="45" t="n"/>
      <c r="E640" s="45" t="n"/>
      <c r="F640" s="45" t="n"/>
      <c r="G640" s="46">
        <f>IF($F640="","",IFERROR(INDEX(사건마스터!$B$5:$B$64,MATCH($F640,사건마스터!$A$5:$A$64,0)),""))</f>
        <v/>
      </c>
      <c r="H640" s="47">
        <f>IF($F640="","",IFERROR(INDEX(사건마스터!$C$5:$C$64,MATCH($F640,사건마스터!$A$5:$A$64,0)),""))</f>
        <v/>
      </c>
      <c r="I640" s="48">
        <f>IF($F640="","",IFERROR(INDEX(사건마스터!$H$5:$H$64,MATCH($F640,사건마스터!$A$5:$A$64,0)),""))</f>
        <v/>
      </c>
      <c r="J640" s="48">
        <f>IF($F640="","",IFERROR(INDEX(사건마스터!$AH$5:$AH$64,MATCH($F640,사건마스터!$A$5:$A$64,0)),""))</f>
        <v/>
      </c>
      <c r="K640" s="48">
        <f>IF($F640="","",IFERROR(INDEX(사건마스터!$AI$5:$AI$64,MATCH($F640,사건마스터!$A$5:$A$64,0)),""))</f>
        <v/>
      </c>
      <c r="L640" s="48">
        <f>IF($F640="","",IFERROR(INDEX(사건마스터!$AJ$5:$AJ$64,MATCH($F640,사건마스터!$A$5:$A$64,0)),""))</f>
        <v/>
      </c>
      <c r="M640" s="48">
        <f>IF($F640="","",IFERROR(INDEX(사건마스터!$AK$5:$AK$64,MATCH($F640,사건마스터!$A$5:$A$64,0)),""))</f>
        <v/>
      </c>
      <c r="N640" s="48">
        <f>IF($F640="","",IFERROR(INDEX(사건마스터!$AL$5:$AL$64,MATCH($F640,사건마스터!$A$5:$A$64,0)),""))</f>
        <v/>
      </c>
      <c r="O640" s="43">
        <f>IF($I640="","",COUNTIF($I640:$N640,"?*"))</f>
        <v/>
      </c>
      <c r="P640" s="46">
        <f>IF($I640="","",_xlfn.TEXTJOIN(", ",TRUE,$I640:$N640))</f>
        <v/>
      </c>
      <c r="Q640" s="47">
        <f>IF($I640="","",IFERROR(INDEX(코드설정!$D$5:$D$24,MATCH($I640,코드설정!$C$5:$C$24,0)),""))</f>
        <v/>
      </c>
      <c r="R640" s="49" t="n"/>
      <c r="S640" s="50" t="n"/>
      <c r="T640" s="51" t="n"/>
      <c r="U640" s="43">
        <f>IF(OR($B640="",$C640=""),"",$C640-$B640+1)</f>
        <v/>
      </c>
      <c r="V640" s="52" t="n"/>
      <c r="W640" s="53">
        <f>IF(OR($V640="",$O640=""),"",$V640*$O640)</f>
        <v/>
      </c>
      <c r="X640" s="45" t="n"/>
      <c r="Y640" s="49" t="n"/>
    </row>
    <row r="641">
      <c r="A641" s="43">
        <f>IF($B641="","",COUNT($B$5:$B641))</f>
        <v/>
      </c>
      <c r="B641" s="44" t="n"/>
      <c r="C641" s="44" t="n"/>
      <c r="D641" s="45" t="n"/>
      <c r="E641" s="45" t="n"/>
      <c r="F641" s="45" t="n"/>
      <c r="G641" s="46">
        <f>IF($F641="","",IFERROR(INDEX(사건마스터!$B$5:$B$64,MATCH($F641,사건마스터!$A$5:$A$64,0)),""))</f>
        <v/>
      </c>
      <c r="H641" s="47">
        <f>IF($F641="","",IFERROR(INDEX(사건마스터!$C$5:$C$64,MATCH($F641,사건마스터!$A$5:$A$64,0)),""))</f>
        <v/>
      </c>
      <c r="I641" s="48">
        <f>IF($F641="","",IFERROR(INDEX(사건마스터!$H$5:$H$64,MATCH($F641,사건마스터!$A$5:$A$64,0)),""))</f>
        <v/>
      </c>
      <c r="J641" s="48">
        <f>IF($F641="","",IFERROR(INDEX(사건마스터!$AH$5:$AH$64,MATCH($F641,사건마스터!$A$5:$A$64,0)),""))</f>
        <v/>
      </c>
      <c r="K641" s="48">
        <f>IF($F641="","",IFERROR(INDEX(사건마스터!$AI$5:$AI$64,MATCH($F641,사건마스터!$A$5:$A$64,0)),""))</f>
        <v/>
      </c>
      <c r="L641" s="48">
        <f>IF($F641="","",IFERROR(INDEX(사건마스터!$AJ$5:$AJ$64,MATCH($F641,사건마스터!$A$5:$A$64,0)),""))</f>
        <v/>
      </c>
      <c r="M641" s="48">
        <f>IF($F641="","",IFERROR(INDEX(사건마스터!$AK$5:$AK$64,MATCH($F641,사건마스터!$A$5:$A$64,0)),""))</f>
        <v/>
      </c>
      <c r="N641" s="48">
        <f>IF($F641="","",IFERROR(INDEX(사건마스터!$AL$5:$AL$64,MATCH($F641,사건마스터!$A$5:$A$64,0)),""))</f>
        <v/>
      </c>
      <c r="O641" s="43">
        <f>IF($I641="","",COUNTIF($I641:$N641,"?*"))</f>
        <v/>
      </c>
      <c r="P641" s="46">
        <f>IF($I641="","",_xlfn.TEXTJOIN(", ",TRUE,$I641:$N641))</f>
        <v/>
      </c>
      <c r="Q641" s="47">
        <f>IF($I641="","",IFERROR(INDEX(코드설정!$D$5:$D$24,MATCH($I641,코드설정!$C$5:$C$24,0)),""))</f>
        <v/>
      </c>
      <c r="R641" s="49" t="n"/>
      <c r="S641" s="50" t="n"/>
      <c r="T641" s="51" t="n"/>
      <c r="U641" s="43">
        <f>IF(OR($B641="",$C641=""),"",$C641-$B641+1)</f>
        <v/>
      </c>
      <c r="V641" s="52" t="n"/>
      <c r="W641" s="53">
        <f>IF(OR($V641="",$O641=""),"",$V641*$O641)</f>
        <v/>
      </c>
      <c r="X641" s="45" t="n"/>
      <c r="Y641" s="49" t="n"/>
    </row>
    <row r="642">
      <c r="A642" s="43">
        <f>IF($B642="","",COUNT($B$5:$B642))</f>
        <v/>
      </c>
      <c r="B642" s="44" t="n"/>
      <c r="C642" s="44" t="n"/>
      <c r="D642" s="45" t="n"/>
      <c r="E642" s="45" t="n"/>
      <c r="F642" s="45" t="n"/>
      <c r="G642" s="46">
        <f>IF($F642="","",IFERROR(INDEX(사건마스터!$B$5:$B$64,MATCH($F642,사건마스터!$A$5:$A$64,0)),""))</f>
        <v/>
      </c>
      <c r="H642" s="47">
        <f>IF($F642="","",IFERROR(INDEX(사건마스터!$C$5:$C$64,MATCH($F642,사건마스터!$A$5:$A$64,0)),""))</f>
        <v/>
      </c>
      <c r="I642" s="48">
        <f>IF($F642="","",IFERROR(INDEX(사건마스터!$H$5:$H$64,MATCH($F642,사건마스터!$A$5:$A$64,0)),""))</f>
        <v/>
      </c>
      <c r="J642" s="48">
        <f>IF($F642="","",IFERROR(INDEX(사건마스터!$AH$5:$AH$64,MATCH($F642,사건마스터!$A$5:$A$64,0)),""))</f>
        <v/>
      </c>
      <c r="K642" s="48">
        <f>IF($F642="","",IFERROR(INDEX(사건마스터!$AI$5:$AI$64,MATCH($F642,사건마스터!$A$5:$A$64,0)),""))</f>
        <v/>
      </c>
      <c r="L642" s="48">
        <f>IF($F642="","",IFERROR(INDEX(사건마스터!$AJ$5:$AJ$64,MATCH($F642,사건마스터!$A$5:$A$64,0)),""))</f>
        <v/>
      </c>
      <c r="M642" s="48">
        <f>IF($F642="","",IFERROR(INDEX(사건마스터!$AK$5:$AK$64,MATCH($F642,사건마스터!$A$5:$A$64,0)),""))</f>
        <v/>
      </c>
      <c r="N642" s="48">
        <f>IF($F642="","",IFERROR(INDEX(사건마스터!$AL$5:$AL$64,MATCH($F642,사건마스터!$A$5:$A$64,0)),""))</f>
        <v/>
      </c>
      <c r="O642" s="43">
        <f>IF($I642="","",COUNTIF($I642:$N642,"?*"))</f>
        <v/>
      </c>
      <c r="P642" s="46">
        <f>IF($I642="","",_xlfn.TEXTJOIN(", ",TRUE,$I642:$N642))</f>
        <v/>
      </c>
      <c r="Q642" s="47">
        <f>IF($I642="","",IFERROR(INDEX(코드설정!$D$5:$D$24,MATCH($I642,코드설정!$C$5:$C$24,0)),""))</f>
        <v/>
      </c>
      <c r="R642" s="49" t="n"/>
      <c r="S642" s="50" t="n"/>
      <c r="T642" s="51" t="n"/>
      <c r="U642" s="43">
        <f>IF(OR($B642="",$C642=""),"",$C642-$B642+1)</f>
        <v/>
      </c>
      <c r="V642" s="52" t="n"/>
      <c r="W642" s="53">
        <f>IF(OR($V642="",$O642=""),"",$V642*$O642)</f>
        <v/>
      </c>
      <c r="X642" s="45" t="n"/>
      <c r="Y642" s="49" t="n"/>
    </row>
    <row r="643">
      <c r="A643" s="43">
        <f>IF($B643="","",COUNT($B$5:$B643))</f>
        <v/>
      </c>
      <c r="B643" s="44" t="n"/>
      <c r="C643" s="44" t="n"/>
      <c r="D643" s="45" t="n"/>
      <c r="E643" s="45" t="n"/>
      <c r="F643" s="45" t="n"/>
      <c r="G643" s="46">
        <f>IF($F643="","",IFERROR(INDEX(사건마스터!$B$5:$B$64,MATCH($F643,사건마스터!$A$5:$A$64,0)),""))</f>
        <v/>
      </c>
      <c r="H643" s="47">
        <f>IF($F643="","",IFERROR(INDEX(사건마스터!$C$5:$C$64,MATCH($F643,사건마스터!$A$5:$A$64,0)),""))</f>
        <v/>
      </c>
      <c r="I643" s="48">
        <f>IF($F643="","",IFERROR(INDEX(사건마스터!$H$5:$H$64,MATCH($F643,사건마스터!$A$5:$A$64,0)),""))</f>
        <v/>
      </c>
      <c r="J643" s="48">
        <f>IF($F643="","",IFERROR(INDEX(사건마스터!$AH$5:$AH$64,MATCH($F643,사건마스터!$A$5:$A$64,0)),""))</f>
        <v/>
      </c>
      <c r="K643" s="48">
        <f>IF($F643="","",IFERROR(INDEX(사건마스터!$AI$5:$AI$64,MATCH($F643,사건마스터!$A$5:$A$64,0)),""))</f>
        <v/>
      </c>
      <c r="L643" s="48">
        <f>IF($F643="","",IFERROR(INDEX(사건마스터!$AJ$5:$AJ$64,MATCH($F643,사건마스터!$A$5:$A$64,0)),""))</f>
        <v/>
      </c>
      <c r="M643" s="48">
        <f>IF($F643="","",IFERROR(INDEX(사건마스터!$AK$5:$AK$64,MATCH($F643,사건마스터!$A$5:$A$64,0)),""))</f>
        <v/>
      </c>
      <c r="N643" s="48">
        <f>IF($F643="","",IFERROR(INDEX(사건마스터!$AL$5:$AL$64,MATCH($F643,사건마스터!$A$5:$A$64,0)),""))</f>
        <v/>
      </c>
      <c r="O643" s="43">
        <f>IF($I643="","",COUNTIF($I643:$N643,"?*"))</f>
        <v/>
      </c>
      <c r="P643" s="46">
        <f>IF($I643="","",_xlfn.TEXTJOIN(", ",TRUE,$I643:$N643))</f>
        <v/>
      </c>
      <c r="Q643" s="47">
        <f>IF($I643="","",IFERROR(INDEX(코드설정!$D$5:$D$24,MATCH($I643,코드설정!$C$5:$C$24,0)),""))</f>
        <v/>
      </c>
      <c r="R643" s="49" t="n"/>
      <c r="S643" s="50" t="n"/>
      <c r="T643" s="51" t="n"/>
      <c r="U643" s="43">
        <f>IF(OR($B643="",$C643=""),"",$C643-$B643+1)</f>
        <v/>
      </c>
      <c r="V643" s="52" t="n"/>
      <c r="W643" s="53">
        <f>IF(OR($V643="",$O643=""),"",$V643*$O643)</f>
        <v/>
      </c>
      <c r="X643" s="45" t="n"/>
      <c r="Y643" s="49" t="n"/>
    </row>
    <row r="644">
      <c r="A644" s="43">
        <f>IF($B644="","",COUNT($B$5:$B644))</f>
        <v/>
      </c>
      <c r="B644" s="44" t="n"/>
      <c r="C644" s="44" t="n"/>
      <c r="D644" s="45" t="n"/>
      <c r="E644" s="45" t="n"/>
      <c r="F644" s="45" t="n"/>
      <c r="G644" s="46">
        <f>IF($F644="","",IFERROR(INDEX(사건마스터!$B$5:$B$64,MATCH($F644,사건마스터!$A$5:$A$64,0)),""))</f>
        <v/>
      </c>
      <c r="H644" s="47">
        <f>IF($F644="","",IFERROR(INDEX(사건마스터!$C$5:$C$64,MATCH($F644,사건마스터!$A$5:$A$64,0)),""))</f>
        <v/>
      </c>
      <c r="I644" s="48">
        <f>IF($F644="","",IFERROR(INDEX(사건마스터!$H$5:$H$64,MATCH($F644,사건마스터!$A$5:$A$64,0)),""))</f>
        <v/>
      </c>
      <c r="J644" s="48">
        <f>IF($F644="","",IFERROR(INDEX(사건마스터!$AH$5:$AH$64,MATCH($F644,사건마스터!$A$5:$A$64,0)),""))</f>
        <v/>
      </c>
      <c r="K644" s="48">
        <f>IF($F644="","",IFERROR(INDEX(사건마스터!$AI$5:$AI$64,MATCH($F644,사건마스터!$A$5:$A$64,0)),""))</f>
        <v/>
      </c>
      <c r="L644" s="48">
        <f>IF($F644="","",IFERROR(INDEX(사건마스터!$AJ$5:$AJ$64,MATCH($F644,사건마스터!$A$5:$A$64,0)),""))</f>
        <v/>
      </c>
      <c r="M644" s="48">
        <f>IF($F644="","",IFERROR(INDEX(사건마스터!$AK$5:$AK$64,MATCH($F644,사건마스터!$A$5:$A$64,0)),""))</f>
        <v/>
      </c>
      <c r="N644" s="48">
        <f>IF($F644="","",IFERROR(INDEX(사건마스터!$AL$5:$AL$64,MATCH($F644,사건마스터!$A$5:$A$64,0)),""))</f>
        <v/>
      </c>
      <c r="O644" s="43">
        <f>IF($I644="","",COUNTIF($I644:$N644,"?*"))</f>
        <v/>
      </c>
      <c r="P644" s="46">
        <f>IF($I644="","",_xlfn.TEXTJOIN(", ",TRUE,$I644:$N644))</f>
        <v/>
      </c>
      <c r="Q644" s="47">
        <f>IF($I644="","",IFERROR(INDEX(코드설정!$D$5:$D$24,MATCH($I644,코드설정!$C$5:$C$24,0)),""))</f>
        <v/>
      </c>
      <c r="R644" s="49" t="n"/>
      <c r="S644" s="50" t="n"/>
      <c r="T644" s="51" t="n"/>
      <c r="U644" s="43">
        <f>IF(OR($B644="",$C644=""),"",$C644-$B644+1)</f>
        <v/>
      </c>
      <c r="V644" s="52" t="n"/>
      <c r="W644" s="53">
        <f>IF(OR($V644="",$O644=""),"",$V644*$O644)</f>
        <v/>
      </c>
      <c r="X644" s="45" t="n"/>
      <c r="Y644" s="49" t="n"/>
    </row>
    <row r="645">
      <c r="A645" s="43">
        <f>IF($B645="","",COUNT($B$5:$B645))</f>
        <v/>
      </c>
      <c r="B645" s="44" t="n"/>
      <c r="C645" s="44" t="n"/>
      <c r="D645" s="45" t="n"/>
      <c r="E645" s="45" t="n"/>
      <c r="F645" s="45" t="n"/>
      <c r="G645" s="46">
        <f>IF($F645="","",IFERROR(INDEX(사건마스터!$B$5:$B$64,MATCH($F645,사건마스터!$A$5:$A$64,0)),""))</f>
        <v/>
      </c>
      <c r="H645" s="47">
        <f>IF($F645="","",IFERROR(INDEX(사건마스터!$C$5:$C$64,MATCH($F645,사건마스터!$A$5:$A$64,0)),""))</f>
        <v/>
      </c>
      <c r="I645" s="48">
        <f>IF($F645="","",IFERROR(INDEX(사건마스터!$H$5:$H$64,MATCH($F645,사건마스터!$A$5:$A$64,0)),""))</f>
        <v/>
      </c>
      <c r="J645" s="48">
        <f>IF($F645="","",IFERROR(INDEX(사건마스터!$AH$5:$AH$64,MATCH($F645,사건마스터!$A$5:$A$64,0)),""))</f>
        <v/>
      </c>
      <c r="K645" s="48">
        <f>IF($F645="","",IFERROR(INDEX(사건마스터!$AI$5:$AI$64,MATCH($F645,사건마스터!$A$5:$A$64,0)),""))</f>
        <v/>
      </c>
      <c r="L645" s="48">
        <f>IF($F645="","",IFERROR(INDEX(사건마스터!$AJ$5:$AJ$64,MATCH($F645,사건마스터!$A$5:$A$64,0)),""))</f>
        <v/>
      </c>
      <c r="M645" s="48">
        <f>IF($F645="","",IFERROR(INDEX(사건마스터!$AK$5:$AK$64,MATCH($F645,사건마스터!$A$5:$A$64,0)),""))</f>
        <v/>
      </c>
      <c r="N645" s="48">
        <f>IF($F645="","",IFERROR(INDEX(사건마스터!$AL$5:$AL$64,MATCH($F645,사건마스터!$A$5:$A$64,0)),""))</f>
        <v/>
      </c>
      <c r="O645" s="43">
        <f>IF($I645="","",COUNTIF($I645:$N645,"?*"))</f>
        <v/>
      </c>
      <c r="P645" s="46">
        <f>IF($I645="","",_xlfn.TEXTJOIN(", ",TRUE,$I645:$N645))</f>
        <v/>
      </c>
      <c r="Q645" s="47">
        <f>IF($I645="","",IFERROR(INDEX(코드설정!$D$5:$D$24,MATCH($I645,코드설정!$C$5:$C$24,0)),""))</f>
        <v/>
      </c>
      <c r="R645" s="49" t="n"/>
      <c r="S645" s="50" t="n"/>
      <c r="T645" s="51" t="n"/>
      <c r="U645" s="43">
        <f>IF(OR($B645="",$C645=""),"",$C645-$B645+1)</f>
        <v/>
      </c>
      <c r="V645" s="52" t="n"/>
      <c r="W645" s="53">
        <f>IF(OR($V645="",$O645=""),"",$V645*$O645)</f>
        <v/>
      </c>
      <c r="X645" s="45" t="n"/>
      <c r="Y645" s="49" t="n"/>
    </row>
    <row r="646">
      <c r="A646" s="43">
        <f>IF($B646="","",COUNT($B$5:$B646))</f>
        <v/>
      </c>
      <c r="B646" s="44" t="n"/>
      <c r="C646" s="44" t="n"/>
      <c r="D646" s="45" t="n"/>
      <c r="E646" s="45" t="n"/>
      <c r="F646" s="45" t="n"/>
      <c r="G646" s="46">
        <f>IF($F646="","",IFERROR(INDEX(사건마스터!$B$5:$B$64,MATCH($F646,사건마스터!$A$5:$A$64,0)),""))</f>
        <v/>
      </c>
      <c r="H646" s="47">
        <f>IF($F646="","",IFERROR(INDEX(사건마스터!$C$5:$C$64,MATCH($F646,사건마스터!$A$5:$A$64,0)),""))</f>
        <v/>
      </c>
      <c r="I646" s="48">
        <f>IF($F646="","",IFERROR(INDEX(사건마스터!$H$5:$H$64,MATCH($F646,사건마스터!$A$5:$A$64,0)),""))</f>
        <v/>
      </c>
      <c r="J646" s="48">
        <f>IF($F646="","",IFERROR(INDEX(사건마스터!$AH$5:$AH$64,MATCH($F646,사건마스터!$A$5:$A$64,0)),""))</f>
        <v/>
      </c>
      <c r="K646" s="48">
        <f>IF($F646="","",IFERROR(INDEX(사건마스터!$AI$5:$AI$64,MATCH($F646,사건마스터!$A$5:$A$64,0)),""))</f>
        <v/>
      </c>
      <c r="L646" s="48">
        <f>IF($F646="","",IFERROR(INDEX(사건마스터!$AJ$5:$AJ$64,MATCH($F646,사건마스터!$A$5:$A$64,0)),""))</f>
        <v/>
      </c>
      <c r="M646" s="48">
        <f>IF($F646="","",IFERROR(INDEX(사건마스터!$AK$5:$AK$64,MATCH($F646,사건마스터!$A$5:$A$64,0)),""))</f>
        <v/>
      </c>
      <c r="N646" s="48">
        <f>IF($F646="","",IFERROR(INDEX(사건마스터!$AL$5:$AL$64,MATCH($F646,사건마스터!$A$5:$A$64,0)),""))</f>
        <v/>
      </c>
      <c r="O646" s="43">
        <f>IF($I646="","",COUNTIF($I646:$N646,"?*"))</f>
        <v/>
      </c>
      <c r="P646" s="46">
        <f>IF($I646="","",_xlfn.TEXTJOIN(", ",TRUE,$I646:$N646))</f>
        <v/>
      </c>
      <c r="Q646" s="47">
        <f>IF($I646="","",IFERROR(INDEX(코드설정!$D$5:$D$24,MATCH($I646,코드설정!$C$5:$C$24,0)),""))</f>
        <v/>
      </c>
      <c r="R646" s="49" t="n"/>
      <c r="S646" s="50" t="n"/>
      <c r="T646" s="51" t="n"/>
      <c r="U646" s="43">
        <f>IF(OR($B646="",$C646=""),"",$C646-$B646+1)</f>
        <v/>
      </c>
      <c r="V646" s="52" t="n"/>
      <c r="W646" s="53">
        <f>IF(OR($V646="",$O646=""),"",$V646*$O646)</f>
        <v/>
      </c>
      <c r="X646" s="45" t="n"/>
      <c r="Y646" s="49" t="n"/>
    </row>
    <row r="647">
      <c r="A647" s="43">
        <f>IF($B647="","",COUNT($B$5:$B647))</f>
        <v/>
      </c>
      <c r="B647" s="44" t="n"/>
      <c r="C647" s="44" t="n"/>
      <c r="D647" s="45" t="n"/>
      <c r="E647" s="45" t="n"/>
      <c r="F647" s="45" t="n"/>
      <c r="G647" s="46">
        <f>IF($F647="","",IFERROR(INDEX(사건마스터!$B$5:$B$64,MATCH($F647,사건마스터!$A$5:$A$64,0)),""))</f>
        <v/>
      </c>
      <c r="H647" s="47">
        <f>IF($F647="","",IFERROR(INDEX(사건마스터!$C$5:$C$64,MATCH($F647,사건마스터!$A$5:$A$64,0)),""))</f>
        <v/>
      </c>
      <c r="I647" s="48">
        <f>IF($F647="","",IFERROR(INDEX(사건마스터!$H$5:$H$64,MATCH($F647,사건마스터!$A$5:$A$64,0)),""))</f>
        <v/>
      </c>
      <c r="J647" s="48">
        <f>IF($F647="","",IFERROR(INDEX(사건마스터!$AH$5:$AH$64,MATCH($F647,사건마스터!$A$5:$A$64,0)),""))</f>
        <v/>
      </c>
      <c r="K647" s="48">
        <f>IF($F647="","",IFERROR(INDEX(사건마스터!$AI$5:$AI$64,MATCH($F647,사건마스터!$A$5:$A$64,0)),""))</f>
        <v/>
      </c>
      <c r="L647" s="48">
        <f>IF($F647="","",IFERROR(INDEX(사건마스터!$AJ$5:$AJ$64,MATCH($F647,사건마스터!$A$5:$A$64,0)),""))</f>
        <v/>
      </c>
      <c r="M647" s="48">
        <f>IF($F647="","",IFERROR(INDEX(사건마스터!$AK$5:$AK$64,MATCH($F647,사건마스터!$A$5:$A$64,0)),""))</f>
        <v/>
      </c>
      <c r="N647" s="48">
        <f>IF($F647="","",IFERROR(INDEX(사건마스터!$AL$5:$AL$64,MATCH($F647,사건마스터!$A$5:$A$64,0)),""))</f>
        <v/>
      </c>
      <c r="O647" s="43">
        <f>IF($I647="","",COUNTIF($I647:$N647,"?*"))</f>
        <v/>
      </c>
      <c r="P647" s="46">
        <f>IF($I647="","",_xlfn.TEXTJOIN(", ",TRUE,$I647:$N647))</f>
        <v/>
      </c>
      <c r="Q647" s="47">
        <f>IF($I647="","",IFERROR(INDEX(코드설정!$D$5:$D$24,MATCH($I647,코드설정!$C$5:$C$24,0)),""))</f>
        <v/>
      </c>
      <c r="R647" s="49" t="n"/>
      <c r="S647" s="50" t="n"/>
      <c r="T647" s="51" t="n"/>
      <c r="U647" s="43">
        <f>IF(OR($B647="",$C647=""),"",$C647-$B647+1)</f>
        <v/>
      </c>
      <c r="V647" s="52" t="n"/>
      <c r="W647" s="53">
        <f>IF(OR($V647="",$O647=""),"",$V647*$O647)</f>
        <v/>
      </c>
      <c r="X647" s="45" t="n"/>
      <c r="Y647" s="49" t="n"/>
    </row>
    <row r="648">
      <c r="A648" s="43">
        <f>IF($B648="","",COUNT($B$5:$B648))</f>
        <v/>
      </c>
      <c r="B648" s="44" t="n"/>
      <c r="C648" s="44" t="n"/>
      <c r="D648" s="45" t="n"/>
      <c r="E648" s="45" t="n"/>
      <c r="F648" s="45" t="n"/>
      <c r="G648" s="46">
        <f>IF($F648="","",IFERROR(INDEX(사건마스터!$B$5:$B$64,MATCH($F648,사건마스터!$A$5:$A$64,0)),""))</f>
        <v/>
      </c>
      <c r="H648" s="47">
        <f>IF($F648="","",IFERROR(INDEX(사건마스터!$C$5:$C$64,MATCH($F648,사건마스터!$A$5:$A$64,0)),""))</f>
        <v/>
      </c>
      <c r="I648" s="48">
        <f>IF($F648="","",IFERROR(INDEX(사건마스터!$H$5:$H$64,MATCH($F648,사건마스터!$A$5:$A$64,0)),""))</f>
        <v/>
      </c>
      <c r="J648" s="48">
        <f>IF($F648="","",IFERROR(INDEX(사건마스터!$AH$5:$AH$64,MATCH($F648,사건마스터!$A$5:$A$64,0)),""))</f>
        <v/>
      </c>
      <c r="K648" s="48">
        <f>IF($F648="","",IFERROR(INDEX(사건마스터!$AI$5:$AI$64,MATCH($F648,사건마스터!$A$5:$A$64,0)),""))</f>
        <v/>
      </c>
      <c r="L648" s="48">
        <f>IF($F648="","",IFERROR(INDEX(사건마스터!$AJ$5:$AJ$64,MATCH($F648,사건마스터!$A$5:$A$64,0)),""))</f>
        <v/>
      </c>
      <c r="M648" s="48">
        <f>IF($F648="","",IFERROR(INDEX(사건마스터!$AK$5:$AK$64,MATCH($F648,사건마스터!$A$5:$A$64,0)),""))</f>
        <v/>
      </c>
      <c r="N648" s="48">
        <f>IF($F648="","",IFERROR(INDEX(사건마스터!$AL$5:$AL$64,MATCH($F648,사건마스터!$A$5:$A$64,0)),""))</f>
        <v/>
      </c>
      <c r="O648" s="43">
        <f>IF($I648="","",COUNTIF($I648:$N648,"?*"))</f>
        <v/>
      </c>
      <c r="P648" s="46">
        <f>IF($I648="","",_xlfn.TEXTJOIN(", ",TRUE,$I648:$N648))</f>
        <v/>
      </c>
      <c r="Q648" s="47">
        <f>IF($I648="","",IFERROR(INDEX(코드설정!$D$5:$D$24,MATCH($I648,코드설정!$C$5:$C$24,0)),""))</f>
        <v/>
      </c>
      <c r="R648" s="49" t="n"/>
      <c r="S648" s="50" t="n"/>
      <c r="T648" s="51" t="n"/>
      <c r="U648" s="43">
        <f>IF(OR($B648="",$C648=""),"",$C648-$B648+1)</f>
        <v/>
      </c>
      <c r="V648" s="52" t="n"/>
      <c r="W648" s="53">
        <f>IF(OR($V648="",$O648=""),"",$V648*$O648)</f>
        <v/>
      </c>
      <c r="X648" s="45" t="n"/>
      <c r="Y648" s="49" t="n"/>
    </row>
    <row r="649">
      <c r="A649" s="43">
        <f>IF($B649="","",COUNT($B$5:$B649))</f>
        <v/>
      </c>
      <c r="B649" s="44" t="n"/>
      <c r="C649" s="44" t="n"/>
      <c r="D649" s="45" t="n"/>
      <c r="E649" s="45" t="n"/>
      <c r="F649" s="45" t="n"/>
      <c r="G649" s="46">
        <f>IF($F649="","",IFERROR(INDEX(사건마스터!$B$5:$B$64,MATCH($F649,사건마스터!$A$5:$A$64,0)),""))</f>
        <v/>
      </c>
      <c r="H649" s="47">
        <f>IF($F649="","",IFERROR(INDEX(사건마스터!$C$5:$C$64,MATCH($F649,사건마스터!$A$5:$A$64,0)),""))</f>
        <v/>
      </c>
      <c r="I649" s="48">
        <f>IF($F649="","",IFERROR(INDEX(사건마스터!$H$5:$H$64,MATCH($F649,사건마스터!$A$5:$A$64,0)),""))</f>
        <v/>
      </c>
      <c r="J649" s="48">
        <f>IF($F649="","",IFERROR(INDEX(사건마스터!$AH$5:$AH$64,MATCH($F649,사건마스터!$A$5:$A$64,0)),""))</f>
        <v/>
      </c>
      <c r="K649" s="48">
        <f>IF($F649="","",IFERROR(INDEX(사건마스터!$AI$5:$AI$64,MATCH($F649,사건마스터!$A$5:$A$64,0)),""))</f>
        <v/>
      </c>
      <c r="L649" s="48">
        <f>IF($F649="","",IFERROR(INDEX(사건마스터!$AJ$5:$AJ$64,MATCH($F649,사건마스터!$A$5:$A$64,0)),""))</f>
        <v/>
      </c>
      <c r="M649" s="48">
        <f>IF($F649="","",IFERROR(INDEX(사건마스터!$AK$5:$AK$64,MATCH($F649,사건마스터!$A$5:$A$64,0)),""))</f>
        <v/>
      </c>
      <c r="N649" s="48">
        <f>IF($F649="","",IFERROR(INDEX(사건마스터!$AL$5:$AL$64,MATCH($F649,사건마스터!$A$5:$A$64,0)),""))</f>
        <v/>
      </c>
      <c r="O649" s="43">
        <f>IF($I649="","",COUNTIF($I649:$N649,"?*"))</f>
        <v/>
      </c>
      <c r="P649" s="46">
        <f>IF($I649="","",_xlfn.TEXTJOIN(", ",TRUE,$I649:$N649))</f>
        <v/>
      </c>
      <c r="Q649" s="47">
        <f>IF($I649="","",IFERROR(INDEX(코드설정!$D$5:$D$24,MATCH($I649,코드설정!$C$5:$C$24,0)),""))</f>
        <v/>
      </c>
      <c r="R649" s="49" t="n"/>
      <c r="S649" s="50" t="n"/>
      <c r="T649" s="51" t="n"/>
      <c r="U649" s="43">
        <f>IF(OR($B649="",$C649=""),"",$C649-$B649+1)</f>
        <v/>
      </c>
      <c r="V649" s="52" t="n"/>
      <c r="W649" s="53">
        <f>IF(OR($V649="",$O649=""),"",$V649*$O649)</f>
        <v/>
      </c>
      <c r="X649" s="45" t="n"/>
      <c r="Y649" s="49" t="n"/>
    </row>
    <row r="650">
      <c r="A650" s="43">
        <f>IF($B650="","",COUNT($B$5:$B650))</f>
        <v/>
      </c>
      <c r="B650" s="44" t="n"/>
      <c r="C650" s="44" t="n"/>
      <c r="D650" s="45" t="n"/>
      <c r="E650" s="45" t="n"/>
      <c r="F650" s="45" t="n"/>
      <c r="G650" s="46">
        <f>IF($F650="","",IFERROR(INDEX(사건마스터!$B$5:$B$64,MATCH($F650,사건마스터!$A$5:$A$64,0)),""))</f>
        <v/>
      </c>
      <c r="H650" s="47">
        <f>IF($F650="","",IFERROR(INDEX(사건마스터!$C$5:$C$64,MATCH($F650,사건마스터!$A$5:$A$64,0)),""))</f>
        <v/>
      </c>
      <c r="I650" s="48">
        <f>IF($F650="","",IFERROR(INDEX(사건마스터!$H$5:$H$64,MATCH($F650,사건마스터!$A$5:$A$64,0)),""))</f>
        <v/>
      </c>
      <c r="J650" s="48">
        <f>IF($F650="","",IFERROR(INDEX(사건마스터!$AH$5:$AH$64,MATCH($F650,사건마스터!$A$5:$A$64,0)),""))</f>
        <v/>
      </c>
      <c r="K650" s="48">
        <f>IF($F650="","",IFERROR(INDEX(사건마스터!$AI$5:$AI$64,MATCH($F650,사건마스터!$A$5:$A$64,0)),""))</f>
        <v/>
      </c>
      <c r="L650" s="48">
        <f>IF($F650="","",IFERROR(INDEX(사건마스터!$AJ$5:$AJ$64,MATCH($F650,사건마스터!$A$5:$A$64,0)),""))</f>
        <v/>
      </c>
      <c r="M650" s="48">
        <f>IF($F650="","",IFERROR(INDEX(사건마스터!$AK$5:$AK$64,MATCH($F650,사건마스터!$A$5:$A$64,0)),""))</f>
        <v/>
      </c>
      <c r="N650" s="48">
        <f>IF($F650="","",IFERROR(INDEX(사건마스터!$AL$5:$AL$64,MATCH($F650,사건마스터!$A$5:$A$64,0)),""))</f>
        <v/>
      </c>
      <c r="O650" s="43">
        <f>IF($I650="","",COUNTIF($I650:$N650,"?*"))</f>
        <v/>
      </c>
      <c r="P650" s="46">
        <f>IF($I650="","",_xlfn.TEXTJOIN(", ",TRUE,$I650:$N650))</f>
        <v/>
      </c>
      <c r="Q650" s="47">
        <f>IF($I650="","",IFERROR(INDEX(코드설정!$D$5:$D$24,MATCH($I650,코드설정!$C$5:$C$24,0)),""))</f>
        <v/>
      </c>
      <c r="R650" s="49" t="n"/>
      <c r="S650" s="50" t="n"/>
      <c r="T650" s="51" t="n"/>
      <c r="U650" s="43">
        <f>IF(OR($B650="",$C650=""),"",$C650-$B650+1)</f>
        <v/>
      </c>
      <c r="V650" s="52" t="n"/>
      <c r="W650" s="53">
        <f>IF(OR($V650="",$O650=""),"",$V650*$O650)</f>
        <v/>
      </c>
      <c r="X650" s="45" t="n"/>
      <c r="Y650" s="49" t="n"/>
    </row>
    <row r="651">
      <c r="A651" s="43">
        <f>IF($B651="","",COUNT($B$5:$B651))</f>
        <v/>
      </c>
      <c r="B651" s="44" t="n"/>
      <c r="C651" s="44" t="n"/>
      <c r="D651" s="45" t="n"/>
      <c r="E651" s="45" t="n"/>
      <c r="F651" s="45" t="n"/>
      <c r="G651" s="46">
        <f>IF($F651="","",IFERROR(INDEX(사건마스터!$B$5:$B$64,MATCH($F651,사건마스터!$A$5:$A$64,0)),""))</f>
        <v/>
      </c>
      <c r="H651" s="47">
        <f>IF($F651="","",IFERROR(INDEX(사건마스터!$C$5:$C$64,MATCH($F651,사건마스터!$A$5:$A$64,0)),""))</f>
        <v/>
      </c>
      <c r="I651" s="48">
        <f>IF($F651="","",IFERROR(INDEX(사건마스터!$H$5:$H$64,MATCH($F651,사건마스터!$A$5:$A$64,0)),""))</f>
        <v/>
      </c>
      <c r="J651" s="48">
        <f>IF($F651="","",IFERROR(INDEX(사건마스터!$AH$5:$AH$64,MATCH($F651,사건마스터!$A$5:$A$64,0)),""))</f>
        <v/>
      </c>
      <c r="K651" s="48">
        <f>IF($F651="","",IFERROR(INDEX(사건마스터!$AI$5:$AI$64,MATCH($F651,사건마스터!$A$5:$A$64,0)),""))</f>
        <v/>
      </c>
      <c r="L651" s="48">
        <f>IF($F651="","",IFERROR(INDEX(사건마스터!$AJ$5:$AJ$64,MATCH($F651,사건마스터!$A$5:$A$64,0)),""))</f>
        <v/>
      </c>
      <c r="M651" s="48">
        <f>IF($F651="","",IFERROR(INDEX(사건마스터!$AK$5:$AK$64,MATCH($F651,사건마스터!$A$5:$A$64,0)),""))</f>
        <v/>
      </c>
      <c r="N651" s="48">
        <f>IF($F651="","",IFERROR(INDEX(사건마스터!$AL$5:$AL$64,MATCH($F651,사건마스터!$A$5:$A$64,0)),""))</f>
        <v/>
      </c>
      <c r="O651" s="43">
        <f>IF($I651="","",COUNTIF($I651:$N651,"?*"))</f>
        <v/>
      </c>
      <c r="P651" s="46">
        <f>IF($I651="","",_xlfn.TEXTJOIN(", ",TRUE,$I651:$N651))</f>
        <v/>
      </c>
      <c r="Q651" s="47">
        <f>IF($I651="","",IFERROR(INDEX(코드설정!$D$5:$D$24,MATCH($I651,코드설정!$C$5:$C$24,0)),""))</f>
        <v/>
      </c>
      <c r="R651" s="49" t="n"/>
      <c r="S651" s="50" t="n"/>
      <c r="T651" s="51" t="n"/>
      <c r="U651" s="43">
        <f>IF(OR($B651="",$C651=""),"",$C651-$B651+1)</f>
        <v/>
      </c>
      <c r="V651" s="52" t="n"/>
      <c r="W651" s="53">
        <f>IF(OR($V651="",$O651=""),"",$V651*$O651)</f>
        <v/>
      </c>
      <c r="X651" s="45" t="n"/>
      <c r="Y651" s="49" t="n"/>
    </row>
    <row r="652">
      <c r="A652" s="43">
        <f>IF($B652="","",COUNT($B$5:$B652))</f>
        <v/>
      </c>
      <c r="B652" s="44" t="n"/>
      <c r="C652" s="44" t="n"/>
      <c r="D652" s="45" t="n"/>
      <c r="E652" s="45" t="n"/>
      <c r="F652" s="45" t="n"/>
      <c r="G652" s="46">
        <f>IF($F652="","",IFERROR(INDEX(사건마스터!$B$5:$B$64,MATCH($F652,사건마스터!$A$5:$A$64,0)),""))</f>
        <v/>
      </c>
      <c r="H652" s="47">
        <f>IF($F652="","",IFERROR(INDEX(사건마스터!$C$5:$C$64,MATCH($F652,사건마스터!$A$5:$A$64,0)),""))</f>
        <v/>
      </c>
      <c r="I652" s="48">
        <f>IF($F652="","",IFERROR(INDEX(사건마스터!$H$5:$H$64,MATCH($F652,사건마스터!$A$5:$A$64,0)),""))</f>
        <v/>
      </c>
      <c r="J652" s="48">
        <f>IF($F652="","",IFERROR(INDEX(사건마스터!$AH$5:$AH$64,MATCH($F652,사건마스터!$A$5:$A$64,0)),""))</f>
        <v/>
      </c>
      <c r="K652" s="48">
        <f>IF($F652="","",IFERROR(INDEX(사건마스터!$AI$5:$AI$64,MATCH($F652,사건마스터!$A$5:$A$64,0)),""))</f>
        <v/>
      </c>
      <c r="L652" s="48">
        <f>IF($F652="","",IFERROR(INDEX(사건마스터!$AJ$5:$AJ$64,MATCH($F652,사건마스터!$A$5:$A$64,0)),""))</f>
        <v/>
      </c>
      <c r="M652" s="48">
        <f>IF($F652="","",IFERROR(INDEX(사건마스터!$AK$5:$AK$64,MATCH($F652,사건마스터!$A$5:$A$64,0)),""))</f>
        <v/>
      </c>
      <c r="N652" s="48">
        <f>IF($F652="","",IFERROR(INDEX(사건마스터!$AL$5:$AL$64,MATCH($F652,사건마스터!$A$5:$A$64,0)),""))</f>
        <v/>
      </c>
      <c r="O652" s="43">
        <f>IF($I652="","",COUNTIF($I652:$N652,"?*"))</f>
        <v/>
      </c>
      <c r="P652" s="46">
        <f>IF($I652="","",_xlfn.TEXTJOIN(", ",TRUE,$I652:$N652))</f>
        <v/>
      </c>
      <c r="Q652" s="47">
        <f>IF($I652="","",IFERROR(INDEX(코드설정!$D$5:$D$24,MATCH($I652,코드설정!$C$5:$C$24,0)),""))</f>
        <v/>
      </c>
      <c r="R652" s="49" t="n"/>
      <c r="S652" s="50" t="n"/>
      <c r="T652" s="51" t="n"/>
      <c r="U652" s="43">
        <f>IF(OR($B652="",$C652=""),"",$C652-$B652+1)</f>
        <v/>
      </c>
      <c r="V652" s="52" t="n"/>
      <c r="W652" s="53">
        <f>IF(OR($V652="",$O652=""),"",$V652*$O652)</f>
        <v/>
      </c>
      <c r="X652" s="45" t="n"/>
      <c r="Y652" s="49" t="n"/>
    </row>
    <row r="653">
      <c r="A653" s="43">
        <f>IF($B653="","",COUNT($B$5:$B653))</f>
        <v/>
      </c>
      <c r="B653" s="44" t="n"/>
      <c r="C653" s="44" t="n"/>
      <c r="D653" s="45" t="n"/>
      <c r="E653" s="45" t="n"/>
      <c r="F653" s="45" t="n"/>
      <c r="G653" s="46">
        <f>IF($F653="","",IFERROR(INDEX(사건마스터!$B$5:$B$64,MATCH($F653,사건마스터!$A$5:$A$64,0)),""))</f>
        <v/>
      </c>
      <c r="H653" s="47">
        <f>IF($F653="","",IFERROR(INDEX(사건마스터!$C$5:$C$64,MATCH($F653,사건마스터!$A$5:$A$64,0)),""))</f>
        <v/>
      </c>
      <c r="I653" s="48">
        <f>IF($F653="","",IFERROR(INDEX(사건마스터!$H$5:$H$64,MATCH($F653,사건마스터!$A$5:$A$64,0)),""))</f>
        <v/>
      </c>
      <c r="J653" s="48">
        <f>IF($F653="","",IFERROR(INDEX(사건마스터!$AH$5:$AH$64,MATCH($F653,사건마스터!$A$5:$A$64,0)),""))</f>
        <v/>
      </c>
      <c r="K653" s="48">
        <f>IF($F653="","",IFERROR(INDEX(사건마스터!$AI$5:$AI$64,MATCH($F653,사건마스터!$A$5:$A$64,0)),""))</f>
        <v/>
      </c>
      <c r="L653" s="48">
        <f>IF($F653="","",IFERROR(INDEX(사건마스터!$AJ$5:$AJ$64,MATCH($F653,사건마스터!$A$5:$A$64,0)),""))</f>
        <v/>
      </c>
      <c r="M653" s="48">
        <f>IF($F653="","",IFERROR(INDEX(사건마스터!$AK$5:$AK$64,MATCH($F653,사건마스터!$A$5:$A$64,0)),""))</f>
        <v/>
      </c>
      <c r="N653" s="48">
        <f>IF($F653="","",IFERROR(INDEX(사건마스터!$AL$5:$AL$64,MATCH($F653,사건마스터!$A$5:$A$64,0)),""))</f>
        <v/>
      </c>
      <c r="O653" s="43">
        <f>IF($I653="","",COUNTIF($I653:$N653,"?*"))</f>
        <v/>
      </c>
      <c r="P653" s="46">
        <f>IF($I653="","",_xlfn.TEXTJOIN(", ",TRUE,$I653:$N653))</f>
        <v/>
      </c>
      <c r="Q653" s="47">
        <f>IF($I653="","",IFERROR(INDEX(코드설정!$D$5:$D$24,MATCH($I653,코드설정!$C$5:$C$24,0)),""))</f>
        <v/>
      </c>
      <c r="R653" s="49" t="n"/>
      <c r="S653" s="50" t="n"/>
      <c r="T653" s="51" t="n"/>
      <c r="U653" s="43">
        <f>IF(OR($B653="",$C653=""),"",$C653-$B653+1)</f>
        <v/>
      </c>
      <c r="V653" s="52" t="n"/>
      <c r="W653" s="53">
        <f>IF(OR($V653="",$O653=""),"",$V653*$O653)</f>
        <v/>
      </c>
      <c r="X653" s="45" t="n"/>
      <c r="Y653" s="49" t="n"/>
    </row>
    <row r="654">
      <c r="A654" s="43">
        <f>IF($B654="","",COUNT($B$5:$B654))</f>
        <v/>
      </c>
      <c r="B654" s="44" t="n"/>
      <c r="C654" s="44" t="n"/>
      <c r="D654" s="45" t="n"/>
      <c r="E654" s="45" t="n"/>
      <c r="F654" s="45" t="n"/>
      <c r="G654" s="46">
        <f>IF($F654="","",IFERROR(INDEX(사건마스터!$B$5:$B$64,MATCH($F654,사건마스터!$A$5:$A$64,0)),""))</f>
        <v/>
      </c>
      <c r="H654" s="47">
        <f>IF($F654="","",IFERROR(INDEX(사건마스터!$C$5:$C$64,MATCH($F654,사건마스터!$A$5:$A$64,0)),""))</f>
        <v/>
      </c>
      <c r="I654" s="48">
        <f>IF($F654="","",IFERROR(INDEX(사건마스터!$H$5:$H$64,MATCH($F654,사건마스터!$A$5:$A$64,0)),""))</f>
        <v/>
      </c>
      <c r="J654" s="48">
        <f>IF($F654="","",IFERROR(INDEX(사건마스터!$AH$5:$AH$64,MATCH($F654,사건마스터!$A$5:$A$64,0)),""))</f>
        <v/>
      </c>
      <c r="K654" s="48">
        <f>IF($F654="","",IFERROR(INDEX(사건마스터!$AI$5:$AI$64,MATCH($F654,사건마스터!$A$5:$A$64,0)),""))</f>
        <v/>
      </c>
      <c r="L654" s="48">
        <f>IF($F654="","",IFERROR(INDEX(사건마스터!$AJ$5:$AJ$64,MATCH($F654,사건마스터!$A$5:$A$64,0)),""))</f>
        <v/>
      </c>
      <c r="M654" s="48">
        <f>IF($F654="","",IFERROR(INDEX(사건마스터!$AK$5:$AK$64,MATCH($F654,사건마스터!$A$5:$A$64,0)),""))</f>
        <v/>
      </c>
      <c r="N654" s="48">
        <f>IF($F654="","",IFERROR(INDEX(사건마스터!$AL$5:$AL$64,MATCH($F654,사건마스터!$A$5:$A$64,0)),""))</f>
        <v/>
      </c>
      <c r="O654" s="43">
        <f>IF($I654="","",COUNTIF($I654:$N654,"?*"))</f>
        <v/>
      </c>
      <c r="P654" s="46">
        <f>IF($I654="","",_xlfn.TEXTJOIN(", ",TRUE,$I654:$N654))</f>
        <v/>
      </c>
      <c r="Q654" s="47">
        <f>IF($I654="","",IFERROR(INDEX(코드설정!$D$5:$D$24,MATCH($I654,코드설정!$C$5:$C$24,0)),""))</f>
        <v/>
      </c>
      <c r="R654" s="49" t="n"/>
      <c r="S654" s="50" t="n"/>
      <c r="T654" s="51" t="n"/>
      <c r="U654" s="43">
        <f>IF(OR($B654="",$C654=""),"",$C654-$B654+1)</f>
        <v/>
      </c>
      <c r="V654" s="52" t="n"/>
      <c r="W654" s="53">
        <f>IF(OR($V654="",$O654=""),"",$V654*$O654)</f>
        <v/>
      </c>
      <c r="X654" s="45" t="n"/>
      <c r="Y654" s="49" t="n"/>
    </row>
    <row r="655">
      <c r="A655" s="43">
        <f>IF($B655="","",COUNT($B$5:$B655))</f>
        <v/>
      </c>
      <c r="B655" s="44" t="n"/>
      <c r="C655" s="44" t="n"/>
      <c r="D655" s="45" t="n"/>
      <c r="E655" s="45" t="n"/>
      <c r="F655" s="45" t="n"/>
      <c r="G655" s="46">
        <f>IF($F655="","",IFERROR(INDEX(사건마스터!$B$5:$B$64,MATCH($F655,사건마스터!$A$5:$A$64,0)),""))</f>
        <v/>
      </c>
      <c r="H655" s="47">
        <f>IF($F655="","",IFERROR(INDEX(사건마스터!$C$5:$C$64,MATCH($F655,사건마스터!$A$5:$A$64,0)),""))</f>
        <v/>
      </c>
      <c r="I655" s="48">
        <f>IF($F655="","",IFERROR(INDEX(사건마스터!$H$5:$H$64,MATCH($F655,사건마스터!$A$5:$A$64,0)),""))</f>
        <v/>
      </c>
      <c r="J655" s="48">
        <f>IF($F655="","",IFERROR(INDEX(사건마스터!$AH$5:$AH$64,MATCH($F655,사건마스터!$A$5:$A$64,0)),""))</f>
        <v/>
      </c>
      <c r="K655" s="48">
        <f>IF($F655="","",IFERROR(INDEX(사건마스터!$AI$5:$AI$64,MATCH($F655,사건마스터!$A$5:$A$64,0)),""))</f>
        <v/>
      </c>
      <c r="L655" s="48">
        <f>IF($F655="","",IFERROR(INDEX(사건마스터!$AJ$5:$AJ$64,MATCH($F655,사건마스터!$A$5:$A$64,0)),""))</f>
        <v/>
      </c>
      <c r="M655" s="48">
        <f>IF($F655="","",IFERROR(INDEX(사건마스터!$AK$5:$AK$64,MATCH($F655,사건마스터!$A$5:$A$64,0)),""))</f>
        <v/>
      </c>
      <c r="N655" s="48">
        <f>IF($F655="","",IFERROR(INDEX(사건마스터!$AL$5:$AL$64,MATCH($F655,사건마스터!$A$5:$A$64,0)),""))</f>
        <v/>
      </c>
      <c r="O655" s="43">
        <f>IF($I655="","",COUNTIF($I655:$N655,"?*"))</f>
        <v/>
      </c>
      <c r="P655" s="46">
        <f>IF($I655="","",_xlfn.TEXTJOIN(", ",TRUE,$I655:$N655))</f>
        <v/>
      </c>
      <c r="Q655" s="47">
        <f>IF($I655="","",IFERROR(INDEX(코드설정!$D$5:$D$24,MATCH($I655,코드설정!$C$5:$C$24,0)),""))</f>
        <v/>
      </c>
      <c r="R655" s="49" t="n"/>
      <c r="S655" s="50" t="n"/>
      <c r="T655" s="51" t="n"/>
      <c r="U655" s="43">
        <f>IF(OR($B655="",$C655=""),"",$C655-$B655+1)</f>
        <v/>
      </c>
      <c r="V655" s="52" t="n"/>
      <c r="W655" s="53">
        <f>IF(OR($V655="",$O655=""),"",$V655*$O655)</f>
        <v/>
      </c>
      <c r="X655" s="45" t="n"/>
      <c r="Y655" s="49" t="n"/>
    </row>
    <row r="656">
      <c r="A656" s="43">
        <f>IF($B656="","",COUNT($B$5:$B656))</f>
        <v/>
      </c>
      <c r="B656" s="44" t="n"/>
      <c r="C656" s="44" t="n"/>
      <c r="D656" s="45" t="n"/>
      <c r="E656" s="45" t="n"/>
      <c r="F656" s="45" t="n"/>
      <c r="G656" s="46">
        <f>IF($F656="","",IFERROR(INDEX(사건마스터!$B$5:$B$64,MATCH($F656,사건마스터!$A$5:$A$64,0)),""))</f>
        <v/>
      </c>
      <c r="H656" s="47">
        <f>IF($F656="","",IFERROR(INDEX(사건마스터!$C$5:$C$64,MATCH($F656,사건마스터!$A$5:$A$64,0)),""))</f>
        <v/>
      </c>
      <c r="I656" s="48">
        <f>IF($F656="","",IFERROR(INDEX(사건마스터!$H$5:$H$64,MATCH($F656,사건마스터!$A$5:$A$64,0)),""))</f>
        <v/>
      </c>
      <c r="J656" s="48">
        <f>IF($F656="","",IFERROR(INDEX(사건마스터!$AH$5:$AH$64,MATCH($F656,사건마스터!$A$5:$A$64,0)),""))</f>
        <v/>
      </c>
      <c r="K656" s="48">
        <f>IF($F656="","",IFERROR(INDEX(사건마스터!$AI$5:$AI$64,MATCH($F656,사건마스터!$A$5:$A$64,0)),""))</f>
        <v/>
      </c>
      <c r="L656" s="48">
        <f>IF($F656="","",IFERROR(INDEX(사건마스터!$AJ$5:$AJ$64,MATCH($F656,사건마스터!$A$5:$A$64,0)),""))</f>
        <v/>
      </c>
      <c r="M656" s="48">
        <f>IF($F656="","",IFERROR(INDEX(사건마스터!$AK$5:$AK$64,MATCH($F656,사건마스터!$A$5:$A$64,0)),""))</f>
        <v/>
      </c>
      <c r="N656" s="48">
        <f>IF($F656="","",IFERROR(INDEX(사건마스터!$AL$5:$AL$64,MATCH($F656,사건마스터!$A$5:$A$64,0)),""))</f>
        <v/>
      </c>
      <c r="O656" s="43">
        <f>IF($I656="","",COUNTIF($I656:$N656,"?*"))</f>
        <v/>
      </c>
      <c r="P656" s="46">
        <f>IF($I656="","",_xlfn.TEXTJOIN(", ",TRUE,$I656:$N656))</f>
        <v/>
      </c>
      <c r="Q656" s="47">
        <f>IF($I656="","",IFERROR(INDEX(코드설정!$D$5:$D$24,MATCH($I656,코드설정!$C$5:$C$24,0)),""))</f>
        <v/>
      </c>
      <c r="R656" s="49" t="n"/>
      <c r="S656" s="50" t="n"/>
      <c r="T656" s="51" t="n"/>
      <c r="U656" s="43">
        <f>IF(OR($B656="",$C656=""),"",$C656-$B656+1)</f>
        <v/>
      </c>
      <c r="V656" s="52" t="n"/>
      <c r="W656" s="53">
        <f>IF(OR($V656="",$O656=""),"",$V656*$O656)</f>
        <v/>
      </c>
      <c r="X656" s="45" t="n"/>
      <c r="Y656" s="49" t="n"/>
    </row>
    <row r="657">
      <c r="A657" s="43">
        <f>IF($B657="","",COUNT($B$5:$B657))</f>
        <v/>
      </c>
      <c r="B657" s="44" t="n"/>
      <c r="C657" s="44" t="n"/>
      <c r="D657" s="45" t="n"/>
      <c r="E657" s="45" t="n"/>
      <c r="F657" s="45" t="n"/>
      <c r="G657" s="46">
        <f>IF($F657="","",IFERROR(INDEX(사건마스터!$B$5:$B$64,MATCH($F657,사건마스터!$A$5:$A$64,0)),""))</f>
        <v/>
      </c>
      <c r="H657" s="47">
        <f>IF($F657="","",IFERROR(INDEX(사건마스터!$C$5:$C$64,MATCH($F657,사건마스터!$A$5:$A$64,0)),""))</f>
        <v/>
      </c>
      <c r="I657" s="48">
        <f>IF($F657="","",IFERROR(INDEX(사건마스터!$H$5:$H$64,MATCH($F657,사건마스터!$A$5:$A$64,0)),""))</f>
        <v/>
      </c>
      <c r="J657" s="48">
        <f>IF($F657="","",IFERROR(INDEX(사건마스터!$AH$5:$AH$64,MATCH($F657,사건마스터!$A$5:$A$64,0)),""))</f>
        <v/>
      </c>
      <c r="K657" s="48">
        <f>IF($F657="","",IFERROR(INDEX(사건마스터!$AI$5:$AI$64,MATCH($F657,사건마스터!$A$5:$A$64,0)),""))</f>
        <v/>
      </c>
      <c r="L657" s="48">
        <f>IF($F657="","",IFERROR(INDEX(사건마스터!$AJ$5:$AJ$64,MATCH($F657,사건마스터!$A$5:$A$64,0)),""))</f>
        <v/>
      </c>
      <c r="M657" s="48">
        <f>IF($F657="","",IFERROR(INDEX(사건마스터!$AK$5:$AK$64,MATCH($F657,사건마스터!$A$5:$A$64,0)),""))</f>
        <v/>
      </c>
      <c r="N657" s="48">
        <f>IF($F657="","",IFERROR(INDEX(사건마스터!$AL$5:$AL$64,MATCH($F657,사건마스터!$A$5:$A$64,0)),""))</f>
        <v/>
      </c>
      <c r="O657" s="43">
        <f>IF($I657="","",COUNTIF($I657:$N657,"?*"))</f>
        <v/>
      </c>
      <c r="P657" s="46">
        <f>IF($I657="","",_xlfn.TEXTJOIN(", ",TRUE,$I657:$N657))</f>
        <v/>
      </c>
      <c r="Q657" s="47">
        <f>IF($I657="","",IFERROR(INDEX(코드설정!$D$5:$D$24,MATCH($I657,코드설정!$C$5:$C$24,0)),""))</f>
        <v/>
      </c>
      <c r="R657" s="49" t="n"/>
      <c r="S657" s="50" t="n"/>
      <c r="T657" s="51" t="n"/>
      <c r="U657" s="43">
        <f>IF(OR($B657="",$C657=""),"",$C657-$B657+1)</f>
        <v/>
      </c>
      <c r="V657" s="52" t="n"/>
      <c r="W657" s="53">
        <f>IF(OR($V657="",$O657=""),"",$V657*$O657)</f>
        <v/>
      </c>
      <c r="X657" s="45" t="n"/>
      <c r="Y657" s="49" t="n"/>
    </row>
    <row r="658">
      <c r="A658" s="43">
        <f>IF($B658="","",COUNT($B$5:$B658))</f>
        <v/>
      </c>
      <c r="B658" s="44" t="n"/>
      <c r="C658" s="44" t="n"/>
      <c r="D658" s="45" t="n"/>
      <c r="E658" s="45" t="n"/>
      <c r="F658" s="45" t="n"/>
      <c r="G658" s="46">
        <f>IF($F658="","",IFERROR(INDEX(사건마스터!$B$5:$B$64,MATCH($F658,사건마스터!$A$5:$A$64,0)),""))</f>
        <v/>
      </c>
      <c r="H658" s="47">
        <f>IF($F658="","",IFERROR(INDEX(사건마스터!$C$5:$C$64,MATCH($F658,사건마스터!$A$5:$A$64,0)),""))</f>
        <v/>
      </c>
      <c r="I658" s="48">
        <f>IF($F658="","",IFERROR(INDEX(사건마스터!$H$5:$H$64,MATCH($F658,사건마스터!$A$5:$A$64,0)),""))</f>
        <v/>
      </c>
      <c r="J658" s="48">
        <f>IF($F658="","",IFERROR(INDEX(사건마스터!$AH$5:$AH$64,MATCH($F658,사건마스터!$A$5:$A$64,0)),""))</f>
        <v/>
      </c>
      <c r="K658" s="48">
        <f>IF($F658="","",IFERROR(INDEX(사건마스터!$AI$5:$AI$64,MATCH($F658,사건마스터!$A$5:$A$64,0)),""))</f>
        <v/>
      </c>
      <c r="L658" s="48">
        <f>IF($F658="","",IFERROR(INDEX(사건마스터!$AJ$5:$AJ$64,MATCH($F658,사건마스터!$A$5:$A$64,0)),""))</f>
        <v/>
      </c>
      <c r="M658" s="48">
        <f>IF($F658="","",IFERROR(INDEX(사건마스터!$AK$5:$AK$64,MATCH($F658,사건마스터!$A$5:$A$64,0)),""))</f>
        <v/>
      </c>
      <c r="N658" s="48">
        <f>IF($F658="","",IFERROR(INDEX(사건마스터!$AL$5:$AL$64,MATCH($F658,사건마스터!$A$5:$A$64,0)),""))</f>
        <v/>
      </c>
      <c r="O658" s="43">
        <f>IF($I658="","",COUNTIF($I658:$N658,"?*"))</f>
        <v/>
      </c>
      <c r="P658" s="46">
        <f>IF($I658="","",_xlfn.TEXTJOIN(", ",TRUE,$I658:$N658))</f>
        <v/>
      </c>
      <c r="Q658" s="47">
        <f>IF($I658="","",IFERROR(INDEX(코드설정!$D$5:$D$24,MATCH($I658,코드설정!$C$5:$C$24,0)),""))</f>
        <v/>
      </c>
      <c r="R658" s="49" t="n"/>
      <c r="S658" s="50" t="n"/>
      <c r="T658" s="51" t="n"/>
      <c r="U658" s="43">
        <f>IF(OR($B658="",$C658=""),"",$C658-$B658+1)</f>
        <v/>
      </c>
      <c r="V658" s="52" t="n"/>
      <c r="W658" s="53">
        <f>IF(OR($V658="",$O658=""),"",$V658*$O658)</f>
        <v/>
      </c>
      <c r="X658" s="45" t="n"/>
      <c r="Y658" s="49" t="n"/>
    </row>
    <row r="659">
      <c r="A659" s="43">
        <f>IF($B659="","",COUNT($B$5:$B659))</f>
        <v/>
      </c>
      <c r="B659" s="44" t="n"/>
      <c r="C659" s="44" t="n"/>
      <c r="D659" s="45" t="n"/>
      <c r="E659" s="45" t="n"/>
      <c r="F659" s="45" t="n"/>
      <c r="G659" s="46">
        <f>IF($F659="","",IFERROR(INDEX(사건마스터!$B$5:$B$64,MATCH($F659,사건마스터!$A$5:$A$64,0)),""))</f>
        <v/>
      </c>
      <c r="H659" s="47">
        <f>IF($F659="","",IFERROR(INDEX(사건마스터!$C$5:$C$64,MATCH($F659,사건마스터!$A$5:$A$64,0)),""))</f>
        <v/>
      </c>
      <c r="I659" s="48">
        <f>IF($F659="","",IFERROR(INDEX(사건마스터!$H$5:$H$64,MATCH($F659,사건마스터!$A$5:$A$64,0)),""))</f>
        <v/>
      </c>
      <c r="J659" s="48">
        <f>IF($F659="","",IFERROR(INDEX(사건마스터!$AH$5:$AH$64,MATCH($F659,사건마스터!$A$5:$A$64,0)),""))</f>
        <v/>
      </c>
      <c r="K659" s="48">
        <f>IF($F659="","",IFERROR(INDEX(사건마스터!$AI$5:$AI$64,MATCH($F659,사건마스터!$A$5:$A$64,0)),""))</f>
        <v/>
      </c>
      <c r="L659" s="48">
        <f>IF($F659="","",IFERROR(INDEX(사건마스터!$AJ$5:$AJ$64,MATCH($F659,사건마스터!$A$5:$A$64,0)),""))</f>
        <v/>
      </c>
      <c r="M659" s="48">
        <f>IF($F659="","",IFERROR(INDEX(사건마스터!$AK$5:$AK$64,MATCH($F659,사건마스터!$A$5:$A$64,0)),""))</f>
        <v/>
      </c>
      <c r="N659" s="48">
        <f>IF($F659="","",IFERROR(INDEX(사건마스터!$AL$5:$AL$64,MATCH($F659,사건마스터!$A$5:$A$64,0)),""))</f>
        <v/>
      </c>
      <c r="O659" s="43">
        <f>IF($I659="","",COUNTIF($I659:$N659,"?*"))</f>
        <v/>
      </c>
      <c r="P659" s="46">
        <f>IF($I659="","",_xlfn.TEXTJOIN(", ",TRUE,$I659:$N659))</f>
        <v/>
      </c>
      <c r="Q659" s="47">
        <f>IF($I659="","",IFERROR(INDEX(코드설정!$D$5:$D$24,MATCH($I659,코드설정!$C$5:$C$24,0)),""))</f>
        <v/>
      </c>
      <c r="R659" s="49" t="n"/>
      <c r="S659" s="50" t="n"/>
      <c r="T659" s="51" t="n"/>
      <c r="U659" s="43">
        <f>IF(OR($B659="",$C659=""),"",$C659-$B659+1)</f>
        <v/>
      </c>
      <c r="V659" s="52" t="n"/>
      <c r="W659" s="53">
        <f>IF(OR($V659="",$O659=""),"",$V659*$O659)</f>
        <v/>
      </c>
      <c r="X659" s="45" t="n"/>
      <c r="Y659" s="49" t="n"/>
    </row>
    <row r="660">
      <c r="A660" s="43">
        <f>IF($B660="","",COUNT($B$5:$B660))</f>
        <v/>
      </c>
      <c r="B660" s="44" t="n"/>
      <c r="C660" s="44" t="n"/>
      <c r="D660" s="45" t="n"/>
      <c r="E660" s="45" t="n"/>
      <c r="F660" s="45" t="n"/>
      <c r="G660" s="46">
        <f>IF($F660="","",IFERROR(INDEX(사건마스터!$B$5:$B$64,MATCH($F660,사건마스터!$A$5:$A$64,0)),""))</f>
        <v/>
      </c>
      <c r="H660" s="47">
        <f>IF($F660="","",IFERROR(INDEX(사건마스터!$C$5:$C$64,MATCH($F660,사건마스터!$A$5:$A$64,0)),""))</f>
        <v/>
      </c>
      <c r="I660" s="48">
        <f>IF($F660="","",IFERROR(INDEX(사건마스터!$H$5:$H$64,MATCH($F660,사건마스터!$A$5:$A$64,0)),""))</f>
        <v/>
      </c>
      <c r="J660" s="48">
        <f>IF($F660="","",IFERROR(INDEX(사건마스터!$AH$5:$AH$64,MATCH($F660,사건마스터!$A$5:$A$64,0)),""))</f>
        <v/>
      </c>
      <c r="K660" s="48">
        <f>IF($F660="","",IFERROR(INDEX(사건마스터!$AI$5:$AI$64,MATCH($F660,사건마스터!$A$5:$A$64,0)),""))</f>
        <v/>
      </c>
      <c r="L660" s="48">
        <f>IF($F660="","",IFERROR(INDEX(사건마스터!$AJ$5:$AJ$64,MATCH($F660,사건마스터!$A$5:$A$64,0)),""))</f>
        <v/>
      </c>
      <c r="M660" s="48">
        <f>IF($F660="","",IFERROR(INDEX(사건마스터!$AK$5:$AK$64,MATCH($F660,사건마스터!$A$5:$A$64,0)),""))</f>
        <v/>
      </c>
      <c r="N660" s="48">
        <f>IF($F660="","",IFERROR(INDEX(사건마스터!$AL$5:$AL$64,MATCH($F660,사건마스터!$A$5:$A$64,0)),""))</f>
        <v/>
      </c>
      <c r="O660" s="43">
        <f>IF($I660="","",COUNTIF($I660:$N660,"?*"))</f>
        <v/>
      </c>
      <c r="P660" s="46">
        <f>IF($I660="","",_xlfn.TEXTJOIN(", ",TRUE,$I660:$N660))</f>
        <v/>
      </c>
      <c r="Q660" s="47">
        <f>IF($I660="","",IFERROR(INDEX(코드설정!$D$5:$D$24,MATCH($I660,코드설정!$C$5:$C$24,0)),""))</f>
        <v/>
      </c>
      <c r="R660" s="49" t="n"/>
      <c r="S660" s="50" t="n"/>
      <c r="T660" s="51" t="n"/>
      <c r="U660" s="43">
        <f>IF(OR($B660="",$C660=""),"",$C660-$B660+1)</f>
        <v/>
      </c>
      <c r="V660" s="52" t="n"/>
      <c r="W660" s="53">
        <f>IF(OR($V660="",$O660=""),"",$V660*$O660)</f>
        <v/>
      </c>
      <c r="X660" s="45" t="n"/>
      <c r="Y660" s="49" t="n"/>
    </row>
    <row r="661">
      <c r="A661" s="43">
        <f>IF($B661="","",COUNT($B$5:$B661))</f>
        <v/>
      </c>
      <c r="B661" s="44" t="n"/>
      <c r="C661" s="44" t="n"/>
      <c r="D661" s="45" t="n"/>
      <c r="E661" s="45" t="n"/>
      <c r="F661" s="45" t="n"/>
      <c r="G661" s="46">
        <f>IF($F661="","",IFERROR(INDEX(사건마스터!$B$5:$B$64,MATCH($F661,사건마스터!$A$5:$A$64,0)),""))</f>
        <v/>
      </c>
      <c r="H661" s="47">
        <f>IF($F661="","",IFERROR(INDEX(사건마스터!$C$5:$C$64,MATCH($F661,사건마스터!$A$5:$A$64,0)),""))</f>
        <v/>
      </c>
      <c r="I661" s="48">
        <f>IF($F661="","",IFERROR(INDEX(사건마스터!$H$5:$H$64,MATCH($F661,사건마스터!$A$5:$A$64,0)),""))</f>
        <v/>
      </c>
      <c r="J661" s="48">
        <f>IF($F661="","",IFERROR(INDEX(사건마스터!$AH$5:$AH$64,MATCH($F661,사건마스터!$A$5:$A$64,0)),""))</f>
        <v/>
      </c>
      <c r="K661" s="48">
        <f>IF($F661="","",IFERROR(INDEX(사건마스터!$AI$5:$AI$64,MATCH($F661,사건마스터!$A$5:$A$64,0)),""))</f>
        <v/>
      </c>
      <c r="L661" s="48">
        <f>IF($F661="","",IFERROR(INDEX(사건마스터!$AJ$5:$AJ$64,MATCH($F661,사건마스터!$A$5:$A$64,0)),""))</f>
        <v/>
      </c>
      <c r="M661" s="48">
        <f>IF($F661="","",IFERROR(INDEX(사건마스터!$AK$5:$AK$64,MATCH($F661,사건마스터!$A$5:$A$64,0)),""))</f>
        <v/>
      </c>
      <c r="N661" s="48">
        <f>IF($F661="","",IFERROR(INDEX(사건마스터!$AL$5:$AL$64,MATCH($F661,사건마스터!$A$5:$A$64,0)),""))</f>
        <v/>
      </c>
      <c r="O661" s="43">
        <f>IF($I661="","",COUNTIF($I661:$N661,"?*"))</f>
        <v/>
      </c>
      <c r="P661" s="46">
        <f>IF($I661="","",_xlfn.TEXTJOIN(", ",TRUE,$I661:$N661))</f>
        <v/>
      </c>
      <c r="Q661" s="47">
        <f>IF($I661="","",IFERROR(INDEX(코드설정!$D$5:$D$24,MATCH($I661,코드설정!$C$5:$C$24,0)),""))</f>
        <v/>
      </c>
      <c r="R661" s="49" t="n"/>
      <c r="S661" s="50" t="n"/>
      <c r="T661" s="51" t="n"/>
      <c r="U661" s="43">
        <f>IF(OR($B661="",$C661=""),"",$C661-$B661+1)</f>
        <v/>
      </c>
      <c r="V661" s="52" t="n"/>
      <c r="W661" s="53">
        <f>IF(OR($V661="",$O661=""),"",$V661*$O661)</f>
        <v/>
      </c>
      <c r="X661" s="45" t="n"/>
      <c r="Y661" s="49" t="n"/>
    </row>
    <row r="662">
      <c r="A662" s="43">
        <f>IF($B662="","",COUNT($B$5:$B662))</f>
        <v/>
      </c>
      <c r="B662" s="44" t="n"/>
      <c r="C662" s="44" t="n"/>
      <c r="D662" s="45" t="n"/>
      <c r="E662" s="45" t="n"/>
      <c r="F662" s="45" t="n"/>
      <c r="G662" s="46">
        <f>IF($F662="","",IFERROR(INDEX(사건마스터!$B$5:$B$64,MATCH($F662,사건마스터!$A$5:$A$64,0)),""))</f>
        <v/>
      </c>
      <c r="H662" s="47">
        <f>IF($F662="","",IFERROR(INDEX(사건마스터!$C$5:$C$64,MATCH($F662,사건마스터!$A$5:$A$64,0)),""))</f>
        <v/>
      </c>
      <c r="I662" s="48">
        <f>IF($F662="","",IFERROR(INDEX(사건마스터!$H$5:$H$64,MATCH($F662,사건마스터!$A$5:$A$64,0)),""))</f>
        <v/>
      </c>
      <c r="J662" s="48">
        <f>IF($F662="","",IFERROR(INDEX(사건마스터!$AH$5:$AH$64,MATCH($F662,사건마스터!$A$5:$A$64,0)),""))</f>
        <v/>
      </c>
      <c r="K662" s="48">
        <f>IF($F662="","",IFERROR(INDEX(사건마스터!$AI$5:$AI$64,MATCH($F662,사건마스터!$A$5:$A$64,0)),""))</f>
        <v/>
      </c>
      <c r="L662" s="48">
        <f>IF($F662="","",IFERROR(INDEX(사건마스터!$AJ$5:$AJ$64,MATCH($F662,사건마스터!$A$5:$A$64,0)),""))</f>
        <v/>
      </c>
      <c r="M662" s="48">
        <f>IF($F662="","",IFERROR(INDEX(사건마스터!$AK$5:$AK$64,MATCH($F662,사건마스터!$A$5:$A$64,0)),""))</f>
        <v/>
      </c>
      <c r="N662" s="48">
        <f>IF($F662="","",IFERROR(INDEX(사건마스터!$AL$5:$AL$64,MATCH($F662,사건마스터!$A$5:$A$64,0)),""))</f>
        <v/>
      </c>
      <c r="O662" s="43">
        <f>IF($I662="","",COUNTIF($I662:$N662,"?*"))</f>
        <v/>
      </c>
      <c r="P662" s="46">
        <f>IF($I662="","",_xlfn.TEXTJOIN(", ",TRUE,$I662:$N662))</f>
        <v/>
      </c>
      <c r="Q662" s="47">
        <f>IF($I662="","",IFERROR(INDEX(코드설정!$D$5:$D$24,MATCH($I662,코드설정!$C$5:$C$24,0)),""))</f>
        <v/>
      </c>
      <c r="R662" s="49" t="n"/>
      <c r="S662" s="50" t="n"/>
      <c r="T662" s="51" t="n"/>
      <c r="U662" s="43">
        <f>IF(OR($B662="",$C662=""),"",$C662-$B662+1)</f>
        <v/>
      </c>
      <c r="V662" s="52" t="n"/>
      <c r="W662" s="53">
        <f>IF(OR($V662="",$O662=""),"",$V662*$O662)</f>
        <v/>
      </c>
      <c r="X662" s="45" t="n"/>
      <c r="Y662" s="49" t="n"/>
    </row>
    <row r="663">
      <c r="A663" s="43">
        <f>IF($B663="","",COUNT($B$5:$B663))</f>
        <v/>
      </c>
      <c r="B663" s="44" t="n"/>
      <c r="C663" s="44" t="n"/>
      <c r="D663" s="45" t="n"/>
      <c r="E663" s="45" t="n"/>
      <c r="F663" s="45" t="n"/>
      <c r="G663" s="46">
        <f>IF($F663="","",IFERROR(INDEX(사건마스터!$B$5:$B$64,MATCH($F663,사건마스터!$A$5:$A$64,0)),""))</f>
        <v/>
      </c>
      <c r="H663" s="47">
        <f>IF($F663="","",IFERROR(INDEX(사건마스터!$C$5:$C$64,MATCH($F663,사건마스터!$A$5:$A$64,0)),""))</f>
        <v/>
      </c>
      <c r="I663" s="48">
        <f>IF($F663="","",IFERROR(INDEX(사건마스터!$H$5:$H$64,MATCH($F663,사건마스터!$A$5:$A$64,0)),""))</f>
        <v/>
      </c>
      <c r="J663" s="48">
        <f>IF($F663="","",IFERROR(INDEX(사건마스터!$AH$5:$AH$64,MATCH($F663,사건마스터!$A$5:$A$64,0)),""))</f>
        <v/>
      </c>
      <c r="K663" s="48">
        <f>IF($F663="","",IFERROR(INDEX(사건마스터!$AI$5:$AI$64,MATCH($F663,사건마스터!$A$5:$A$64,0)),""))</f>
        <v/>
      </c>
      <c r="L663" s="48">
        <f>IF($F663="","",IFERROR(INDEX(사건마스터!$AJ$5:$AJ$64,MATCH($F663,사건마스터!$A$5:$A$64,0)),""))</f>
        <v/>
      </c>
      <c r="M663" s="48">
        <f>IF($F663="","",IFERROR(INDEX(사건마스터!$AK$5:$AK$64,MATCH($F663,사건마스터!$A$5:$A$64,0)),""))</f>
        <v/>
      </c>
      <c r="N663" s="48">
        <f>IF($F663="","",IFERROR(INDEX(사건마스터!$AL$5:$AL$64,MATCH($F663,사건마스터!$A$5:$A$64,0)),""))</f>
        <v/>
      </c>
      <c r="O663" s="43">
        <f>IF($I663="","",COUNTIF($I663:$N663,"?*"))</f>
        <v/>
      </c>
      <c r="P663" s="46">
        <f>IF($I663="","",_xlfn.TEXTJOIN(", ",TRUE,$I663:$N663))</f>
        <v/>
      </c>
      <c r="Q663" s="47">
        <f>IF($I663="","",IFERROR(INDEX(코드설정!$D$5:$D$24,MATCH($I663,코드설정!$C$5:$C$24,0)),""))</f>
        <v/>
      </c>
      <c r="R663" s="49" t="n"/>
      <c r="S663" s="50" t="n"/>
      <c r="T663" s="51" t="n"/>
      <c r="U663" s="43">
        <f>IF(OR($B663="",$C663=""),"",$C663-$B663+1)</f>
        <v/>
      </c>
      <c r="V663" s="52" t="n"/>
      <c r="W663" s="53">
        <f>IF(OR($V663="",$O663=""),"",$V663*$O663)</f>
        <v/>
      </c>
      <c r="X663" s="45" t="n"/>
      <c r="Y663" s="49" t="n"/>
    </row>
    <row r="664">
      <c r="A664" s="43">
        <f>IF($B664="","",COUNT($B$5:$B664))</f>
        <v/>
      </c>
      <c r="B664" s="44" t="n"/>
      <c r="C664" s="44" t="n"/>
      <c r="D664" s="45" t="n"/>
      <c r="E664" s="45" t="n"/>
      <c r="F664" s="45" t="n"/>
      <c r="G664" s="46">
        <f>IF($F664="","",IFERROR(INDEX(사건마스터!$B$5:$B$64,MATCH($F664,사건마스터!$A$5:$A$64,0)),""))</f>
        <v/>
      </c>
      <c r="H664" s="47">
        <f>IF($F664="","",IFERROR(INDEX(사건마스터!$C$5:$C$64,MATCH($F664,사건마스터!$A$5:$A$64,0)),""))</f>
        <v/>
      </c>
      <c r="I664" s="48">
        <f>IF($F664="","",IFERROR(INDEX(사건마스터!$H$5:$H$64,MATCH($F664,사건마스터!$A$5:$A$64,0)),""))</f>
        <v/>
      </c>
      <c r="J664" s="48">
        <f>IF($F664="","",IFERROR(INDEX(사건마스터!$AH$5:$AH$64,MATCH($F664,사건마스터!$A$5:$A$64,0)),""))</f>
        <v/>
      </c>
      <c r="K664" s="48">
        <f>IF($F664="","",IFERROR(INDEX(사건마스터!$AI$5:$AI$64,MATCH($F664,사건마스터!$A$5:$A$64,0)),""))</f>
        <v/>
      </c>
      <c r="L664" s="48">
        <f>IF($F664="","",IFERROR(INDEX(사건마스터!$AJ$5:$AJ$64,MATCH($F664,사건마스터!$A$5:$A$64,0)),""))</f>
        <v/>
      </c>
      <c r="M664" s="48">
        <f>IF($F664="","",IFERROR(INDEX(사건마스터!$AK$5:$AK$64,MATCH($F664,사건마스터!$A$5:$A$64,0)),""))</f>
        <v/>
      </c>
      <c r="N664" s="48">
        <f>IF($F664="","",IFERROR(INDEX(사건마스터!$AL$5:$AL$64,MATCH($F664,사건마스터!$A$5:$A$64,0)),""))</f>
        <v/>
      </c>
      <c r="O664" s="43">
        <f>IF($I664="","",COUNTIF($I664:$N664,"?*"))</f>
        <v/>
      </c>
      <c r="P664" s="46">
        <f>IF($I664="","",_xlfn.TEXTJOIN(", ",TRUE,$I664:$N664))</f>
        <v/>
      </c>
      <c r="Q664" s="47">
        <f>IF($I664="","",IFERROR(INDEX(코드설정!$D$5:$D$24,MATCH($I664,코드설정!$C$5:$C$24,0)),""))</f>
        <v/>
      </c>
      <c r="R664" s="49" t="n"/>
      <c r="S664" s="50" t="n"/>
      <c r="T664" s="51" t="n"/>
      <c r="U664" s="43">
        <f>IF(OR($B664="",$C664=""),"",$C664-$B664+1)</f>
        <v/>
      </c>
      <c r="V664" s="52" t="n"/>
      <c r="W664" s="53">
        <f>IF(OR($V664="",$O664=""),"",$V664*$O664)</f>
        <v/>
      </c>
      <c r="X664" s="45" t="n"/>
      <c r="Y664" s="49" t="n"/>
    </row>
    <row r="665">
      <c r="A665" s="43">
        <f>IF($B665="","",COUNT($B$5:$B665))</f>
        <v/>
      </c>
      <c r="B665" s="44" t="n"/>
      <c r="C665" s="44" t="n"/>
      <c r="D665" s="45" t="n"/>
      <c r="E665" s="45" t="n"/>
      <c r="F665" s="45" t="n"/>
      <c r="G665" s="46">
        <f>IF($F665="","",IFERROR(INDEX(사건마스터!$B$5:$B$64,MATCH($F665,사건마스터!$A$5:$A$64,0)),""))</f>
        <v/>
      </c>
      <c r="H665" s="47">
        <f>IF($F665="","",IFERROR(INDEX(사건마스터!$C$5:$C$64,MATCH($F665,사건마스터!$A$5:$A$64,0)),""))</f>
        <v/>
      </c>
      <c r="I665" s="48">
        <f>IF($F665="","",IFERROR(INDEX(사건마스터!$H$5:$H$64,MATCH($F665,사건마스터!$A$5:$A$64,0)),""))</f>
        <v/>
      </c>
      <c r="J665" s="48">
        <f>IF($F665="","",IFERROR(INDEX(사건마스터!$AH$5:$AH$64,MATCH($F665,사건마스터!$A$5:$A$64,0)),""))</f>
        <v/>
      </c>
      <c r="K665" s="48">
        <f>IF($F665="","",IFERROR(INDEX(사건마스터!$AI$5:$AI$64,MATCH($F665,사건마스터!$A$5:$A$64,0)),""))</f>
        <v/>
      </c>
      <c r="L665" s="48">
        <f>IF($F665="","",IFERROR(INDEX(사건마스터!$AJ$5:$AJ$64,MATCH($F665,사건마스터!$A$5:$A$64,0)),""))</f>
        <v/>
      </c>
      <c r="M665" s="48">
        <f>IF($F665="","",IFERROR(INDEX(사건마스터!$AK$5:$AK$64,MATCH($F665,사건마스터!$A$5:$A$64,0)),""))</f>
        <v/>
      </c>
      <c r="N665" s="48">
        <f>IF($F665="","",IFERROR(INDEX(사건마스터!$AL$5:$AL$64,MATCH($F665,사건마스터!$A$5:$A$64,0)),""))</f>
        <v/>
      </c>
      <c r="O665" s="43">
        <f>IF($I665="","",COUNTIF($I665:$N665,"?*"))</f>
        <v/>
      </c>
      <c r="P665" s="46">
        <f>IF($I665="","",_xlfn.TEXTJOIN(", ",TRUE,$I665:$N665))</f>
        <v/>
      </c>
      <c r="Q665" s="47">
        <f>IF($I665="","",IFERROR(INDEX(코드설정!$D$5:$D$24,MATCH($I665,코드설정!$C$5:$C$24,0)),""))</f>
        <v/>
      </c>
      <c r="R665" s="49" t="n"/>
      <c r="S665" s="50" t="n"/>
      <c r="T665" s="51" t="n"/>
      <c r="U665" s="43">
        <f>IF(OR($B665="",$C665=""),"",$C665-$B665+1)</f>
        <v/>
      </c>
      <c r="V665" s="52" t="n"/>
      <c r="W665" s="53">
        <f>IF(OR($V665="",$O665=""),"",$V665*$O665)</f>
        <v/>
      </c>
      <c r="X665" s="45" t="n"/>
      <c r="Y665" s="49" t="n"/>
    </row>
    <row r="666">
      <c r="A666" s="43">
        <f>IF($B666="","",COUNT($B$5:$B666))</f>
        <v/>
      </c>
      <c r="B666" s="44" t="n"/>
      <c r="C666" s="44" t="n"/>
      <c r="D666" s="45" t="n"/>
      <c r="E666" s="45" t="n"/>
      <c r="F666" s="45" t="n"/>
      <c r="G666" s="46">
        <f>IF($F666="","",IFERROR(INDEX(사건마스터!$B$5:$B$64,MATCH($F666,사건마스터!$A$5:$A$64,0)),""))</f>
        <v/>
      </c>
      <c r="H666" s="47">
        <f>IF($F666="","",IFERROR(INDEX(사건마스터!$C$5:$C$64,MATCH($F666,사건마스터!$A$5:$A$64,0)),""))</f>
        <v/>
      </c>
      <c r="I666" s="48">
        <f>IF($F666="","",IFERROR(INDEX(사건마스터!$H$5:$H$64,MATCH($F666,사건마스터!$A$5:$A$64,0)),""))</f>
        <v/>
      </c>
      <c r="J666" s="48">
        <f>IF($F666="","",IFERROR(INDEX(사건마스터!$AH$5:$AH$64,MATCH($F666,사건마스터!$A$5:$A$64,0)),""))</f>
        <v/>
      </c>
      <c r="K666" s="48">
        <f>IF($F666="","",IFERROR(INDEX(사건마스터!$AI$5:$AI$64,MATCH($F666,사건마스터!$A$5:$A$64,0)),""))</f>
        <v/>
      </c>
      <c r="L666" s="48">
        <f>IF($F666="","",IFERROR(INDEX(사건마스터!$AJ$5:$AJ$64,MATCH($F666,사건마스터!$A$5:$A$64,0)),""))</f>
        <v/>
      </c>
      <c r="M666" s="48">
        <f>IF($F666="","",IFERROR(INDEX(사건마스터!$AK$5:$AK$64,MATCH($F666,사건마스터!$A$5:$A$64,0)),""))</f>
        <v/>
      </c>
      <c r="N666" s="48">
        <f>IF($F666="","",IFERROR(INDEX(사건마스터!$AL$5:$AL$64,MATCH($F666,사건마스터!$A$5:$A$64,0)),""))</f>
        <v/>
      </c>
      <c r="O666" s="43">
        <f>IF($I666="","",COUNTIF($I666:$N666,"?*"))</f>
        <v/>
      </c>
      <c r="P666" s="46">
        <f>IF($I666="","",_xlfn.TEXTJOIN(", ",TRUE,$I666:$N666))</f>
        <v/>
      </c>
      <c r="Q666" s="47">
        <f>IF($I666="","",IFERROR(INDEX(코드설정!$D$5:$D$24,MATCH($I666,코드설정!$C$5:$C$24,0)),""))</f>
        <v/>
      </c>
      <c r="R666" s="49" t="n"/>
      <c r="S666" s="50" t="n"/>
      <c r="T666" s="51" t="n"/>
      <c r="U666" s="43">
        <f>IF(OR($B666="",$C666=""),"",$C666-$B666+1)</f>
        <v/>
      </c>
      <c r="V666" s="52" t="n"/>
      <c r="W666" s="53">
        <f>IF(OR($V666="",$O666=""),"",$V666*$O666)</f>
        <v/>
      </c>
      <c r="X666" s="45" t="n"/>
      <c r="Y666" s="49" t="n"/>
    </row>
    <row r="667">
      <c r="A667" s="43">
        <f>IF($B667="","",COUNT($B$5:$B667))</f>
        <v/>
      </c>
      <c r="B667" s="44" t="n"/>
      <c r="C667" s="44" t="n"/>
      <c r="D667" s="45" t="n"/>
      <c r="E667" s="45" t="n"/>
      <c r="F667" s="45" t="n"/>
      <c r="G667" s="46">
        <f>IF($F667="","",IFERROR(INDEX(사건마스터!$B$5:$B$64,MATCH($F667,사건마스터!$A$5:$A$64,0)),""))</f>
        <v/>
      </c>
      <c r="H667" s="47">
        <f>IF($F667="","",IFERROR(INDEX(사건마스터!$C$5:$C$64,MATCH($F667,사건마스터!$A$5:$A$64,0)),""))</f>
        <v/>
      </c>
      <c r="I667" s="48">
        <f>IF($F667="","",IFERROR(INDEX(사건마스터!$H$5:$H$64,MATCH($F667,사건마스터!$A$5:$A$64,0)),""))</f>
        <v/>
      </c>
      <c r="J667" s="48">
        <f>IF($F667="","",IFERROR(INDEX(사건마스터!$AH$5:$AH$64,MATCH($F667,사건마스터!$A$5:$A$64,0)),""))</f>
        <v/>
      </c>
      <c r="K667" s="48">
        <f>IF($F667="","",IFERROR(INDEX(사건마스터!$AI$5:$AI$64,MATCH($F667,사건마스터!$A$5:$A$64,0)),""))</f>
        <v/>
      </c>
      <c r="L667" s="48">
        <f>IF($F667="","",IFERROR(INDEX(사건마스터!$AJ$5:$AJ$64,MATCH($F667,사건마스터!$A$5:$A$64,0)),""))</f>
        <v/>
      </c>
      <c r="M667" s="48">
        <f>IF($F667="","",IFERROR(INDEX(사건마스터!$AK$5:$AK$64,MATCH($F667,사건마스터!$A$5:$A$64,0)),""))</f>
        <v/>
      </c>
      <c r="N667" s="48">
        <f>IF($F667="","",IFERROR(INDEX(사건마스터!$AL$5:$AL$64,MATCH($F667,사건마스터!$A$5:$A$64,0)),""))</f>
        <v/>
      </c>
      <c r="O667" s="43">
        <f>IF($I667="","",COUNTIF($I667:$N667,"?*"))</f>
        <v/>
      </c>
      <c r="P667" s="46">
        <f>IF($I667="","",_xlfn.TEXTJOIN(", ",TRUE,$I667:$N667))</f>
        <v/>
      </c>
      <c r="Q667" s="47">
        <f>IF($I667="","",IFERROR(INDEX(코드설정!$D$5:$D$24,MATCH($I667,코드설정!$C$5:$C$24,0)),""))</f>
        <v/>
      </c>
      <c r="R667" s="49" t="n"/>
      <c r="S667" s="50" t="n"/>
      <c r="T667" s="51" t="n"/>
      <c r="U667" s="43">
        <f>IF(OR($B667="",$C667=""),"",$C667-$B667+1)</f>
        <v/>
      </c>
      <c r="V667" s="52" t="n"/>
      <c r="W667" s="53">
        <f>IF(OR($V667="",$O667=""),"",$V667*$O667)</f>
        <v/>
      </c>
      <c r="X667" s="45" t="n"/>
      <c r="Y667" s="49" t="n"/>
    </row>
    <row r="668">
      <c r="A668" s="43">
        <f>IF($B668="","",COUNT($B$5:$B668))</f>
        <v/>
      </c>
      <c r="B668" s="44" t="n"/>
      <c r="C668" s="44" t="n"/>
      <c r="D668" s="45" t="n"/>
      <c r="E668" s="45" t="n"/>
      <c r="F668" s="45" t="n"/>
      <c r="G668" s="46">
        <f>IF($F668="","",IFERROR(INDEX(사건마스터!$B$5:$B$64,MATCH($F668,사건마스터!$A$5:$A$64,0)),""))</f>
        <v/>
      </c>
      <c r="H668" s="47">
        <f>IF($F668="","",IFERROR(INDEX(사건마스터!$C$5:$C$64,MATCH($F668,사건마스터!$A$5:$A$64,0)),""))</f>
        <v/>
      </c>
      <c r="I668" s="48">
        <f>IF($F668="","",IFERROR(INDEX(사건마스터!$H$5:$H$64,MATCH($F668,사건마스터!$A$5:$A$64,0)),""))</f>
        <v/>
      </c>
      <c r="J668" s="48">
        <f>IF($F668="","",IFERROR(INDEX(사건마스터!$AH$5:$AH$64,MATCH($F668,사건마스터!$A$5:$A$64,0)),""))</f>
        <v/>
      </c>
      <c r="K668" s="48">
        <f>IF($F668="","",IFERROR(INDEX(사건마스터!$AI$5:$AI$64,MATCH($F668,사건마스터!$A$5:$A$64,0)),""))</f>
        <v/>
      </c>
      <c r="L668" s="48">
        <f>IF($F668="","",IFERROR(INDEX(사건마스터!$AJ$5:$AJ$64,MATCH($F668,사건마스터!$A$5:$A$64,0)),""))</f>
        <v/>
      </c>
      <c r="M668" s="48">
        <f>IF($F668="","",IFERROR(INDEX(사건마스터!$AK$5:$AK$64,MATCH($F668,사건마스터!$A$5:$A$64,0)),""))</f>
        <v/>
      </c>
      <c r="N668" s="48">
        <f>IF($F668="","",IFERROR(INDEX(사건마스터!$AL$5:$AL$64,MATCH($F668,사건마스터!$A$5:$A$64,0)),""))</f>
        <v/>
      </c>
      <c r="O668" s="43">
        <f>IF($I668="","",COUNTIF($I668:$N668,"?*"))</f>
        <v/>
      </c>
      <c r="P668" s="46">
        <f>IF($I668="","",_xlfn.TEXTJOIN(", ",TRUE,$I668:$N668))</f>
        <v/>
      </c>
      <c r="Q668" s="47">
        <f>IF($I668="","",IFERROR(INDEX(코드설정!$D$5:$D$24,MATCH($I668,코드설정!$C$5:$C$24,0)),""))</f>
        <v/>
      </c>
      <c r="R668" s="49" t="n"/>
      <c r="S668" s="50" t="n"/>
      <c r="T668" s="51" t="n"/>
      <c r="U668" s="43">
        <f>IF(OR($B668="",$C668=""),"",$C668-$B668+1)</f>
        <v/>
      </c>
      <c r="V668" s="52" t="n"/>
      <c r="W668" s="53">
        <f>IF(OR($V668="",$O668=""),"",$V668*$O668)</f>
        <v/>
      </c>
      <c r="X668" s="45" t="n"/>
      <c r="Y668" s="49" t="n"/>
    </row>
    <row r="669">
      <c r="A669" s="43">
        <f>IF($B669="","",COUNT($B$5:$B669))</f>
        <v/>
      </c>
      <c r="B669" s="44" t="n"/>
      <c r="C669" s="44" t="n"/>
      <c r="D669" s="45" t="n"/>
      <c r="E669" s="45" t="n"/>
      <c r="F669" s="45" t="n"/>
      <c r="G669" s="46">
        <f>IF($F669="","",IFERROR(INDEX(사건마스터!$B$5:$B$64,MATCH($F669,사건마스터!$A$5:$A$64,0)),""))</f>
        <v/>
      </c>
      <c r="H669" s="47">
        <f>IF($F669="","",IFERROR(INDEX(사건마스터!$C$5:$C$64,MATCH($F669,사건마스터!$A$5:$A$64,0)),""))</f>
        <v/>
      </c>
      <c r="I669" s="48">
        <f>IF($F669="","",IFERROR(INDEX(사건마스터!$H$5:$H$64,MATCH($F669,사건마스터!$A$5:$A$64,0)),""))</f>
        <v/>
      </c>
      <c r="J669" s="48">
        <f>IF($F669="","",IFERROR(INDEX(사건마스터!$AH$5:$AH$64,MATCH($F669,사건마스터!$A$5:$A$64,0)),""))</f>
        <v/>
      </c>
      <c r="K669" s="48">
        <f>IF($F669="","",IFERROR(INDEX(사건마스터!$AI$5:$AI$64,MATCH($F669,사건마스터!$A$5:$A$64,0)),""))</f>
        <v/>
      </c>
      <c r="L669" s="48">
        <f>IF($F669="","",IFERROR(INDEX(사건마스터!$AJ$5:$AJ$64,MATCH($F669,사건마스터!$A$5:$A$64,0)),""))</f>
        <v/>
      </c>
      <c r="M669" s="48">
        <f>IF($F669="","",IFERROR(INDEX(사건마스터!$AK$5:$AK$64,MATCH($F669,사건마스터!$A$5:$A$64,0)),""))</f>
        <v/>
      </c>
      <c r="N669" s="48">
        <f>IF($F669="","",IFERROR(INDEX(사건마스터!$AL$5:$AL$64,MATCH($F669,사건마스터!$A$5:$A$64,0)),""))</f>
        <v/>
      </c>
      <c r="O669" s="43">
        <f>IF($I669="","",COUNTIF($I669:$N669,"?*"))</f>
        <v/>
      </c>
      <c r="P669" s="46">
        <f>IF($I669="","",_xlfn.TEXTJOIN(", ",TRUE,$I669:$N669))</f>
        <v/>
      </c>
      <c r="Q669" s="47">
        <f>IF($I669="","",IFERROR(INDEX(코드설정!$D$5:$D$24,MATCH($I669,코드설정!$C$5:$C$24,0)),""))</f>
        <v/>
      </c>
      <c r="R669" s="49" t="n"/>
      <c r="S669" s="50" t="n"/>
      <c r="T669" s="51" t="n"/>
      <c r="U669" s="43">
        <f>IF(OR($B669="",$C669=""),"",$C669-$B669+1)</f>
        <v/>
      </c>
      <c r="V669" s="52" t="n"/>
      <c r="W669" s="53">
        <f>IF(OR($V669="",$O669=""),"",$V669*$O669)</f>
        <v/>
      </c>
      <c r="X669" s="45" t="n"/>
      <c r="Y669" s="49" t="n"/>
    </row>
    <row r="670">
      <c r="A670" s="43">
        <f>IF($B670="","",COUNT($B$5:$B670))</f>
        <v/>
      </c>
      <c r="B670" s="44" t="n"/>
      <c r="C670" s="44" t="n"/>
      <c r="D670" s="45" t="n"/>
      <c r="E670" s="45" t="n"/>
      <c r="F670" s="45" t="n"/>
      <c r="G670" s="46">
        <f>IF($F670="","",IFERROR(INDEX(사건마스터!$B$5:$B$64,MATCH($F670,사건마스터!$A$5:$A$64,0)),""))</f>
        <v/>
      </c>
      <c r="H670" s="47">
        <f>IF($F670="","",IFERROR(INDEX(사건마스터!$C$5:$C$64,MATCH($F670,사건마스터!$A$5:$A$64,0)),""))</f>
        <v/>
      </c>
      <c r="I670" s="48">
        <f>IF($F670="","",IFERROR(INDEX(사건마스터!$H$5:$H$64,MATCH($F670,사건마스터!$A$5:$A$64,0)),""))</f>
        <v/>
      </c>
      <c r="J670" s="48">
        <f>IF($F670="","",IFERROR(INDEX(사건마스터!$AH$5:$AH$64,MATCH($F670,사건마스터!$A$5:$A$64,0)),""))</f>
        <v/>
      </c>
      <c r="K670" s="48">
        <f>IF($F670="","",IFERROR(INDEX(사건마스터!$AI$5:$AI$64,MATCH($F670,사건마스터!$A$5:$A$64,0)),""))</f>
        <v/>
      </c>
      <c r="L670" s="48">
        <f>IF($F670="","",IFERROR(INDEX(사건마스터!$AJ$5:$AJ$64,MATCH($F670,사건마스터!$A$5:$A$64,0)),""))</f>
        <v/>
      </c>
      <c r="M670" s="48">
        <f>IF($F670="","",IFERROR(INDEX(사건마스터!$AK$5:$AK$64,MATCH($F670,사건마스터!$A$5:$A$64,0)),""))</f>
        <v/>
      </c>
      <c r="N670" s="48">
        <f>IF($F670="","",IFERROR(INDEX(사건마스터!$AL$5:$AL$64,MATCH($F670,사건마스터!$A$5:$A$64,0)),""))</f>
        <v/>
      </c>
      <c r="O670" s="43">
        <f>IF($I670="","",COUNTIF($I670:$N670,"?*"))</f>
        <v/>
      </c>
      <c r="P670" s="46">
        <f>IF($I670="","",_xlfn.TEXTJOIN(", ",TRUE,$I670:$N670))</f>
        <v/>
      </c>
      <c r="Q670" s="47">
        <f>IF($I670="","",IFERROR(INDEX(코드설정!$D$5:$D$24,MATCH($I670,코드설정!$C$5:$C$24,0)),""))</f>
        <v/>
      </c>
      <c r="R670" s="49" t="n"/>
      <c r="S670" s="50" t="n"/>
      <c r="T670" s="51" t="n"/>
      <c r="U670" s="43">
        <f>IF(OR($B670="",$C670=""),"",$C670-$B670+1)</f>
        <v/>
      </c>
      <c r="V670" s="52" t="n"/>
      <c r="W670" s="53">
        <f>IF(OR($V670="",$O670=""),"",$V670*$O670)</f>
        <v/>
      </c>
      <c r="X670" s="45" t="n"/>
      <c r="Y670" s="49" t="n"/>
    </row>
    <row r="671">
      <c r="A671" s="43">
        <f>IF($B671="","",COUNT($B$5:$B671))</f>
        <v/>
      </c>
      <c r="B671" s="44" t="n"/>
      <c r="C671" s="44" t="n"/>
      <c r="D671" s="45" t="n"/>
      <c r="E671" s="45" t="n"/>
      <c r="F671" s="45" t="n"/>
      <c r="G671" s="46">
        <f>IF($F671="","",IFERROR(INDEX(사건마스터!$B$5:$B$64,MATCH($F671,사건마스터!$A$5:$A$64,0)),""))</f>
        <v/>
      </c>
      <c r="H671" s="47">
        <f>IF($F671="","",IFERROR(INDEX(사건마스터!$C$5:$C$64,MATCH($F671,사건마스터!$A$5:$A$64,0)),""))</f>
        <v/>
      </c>
      <c r="I671" s="48">
        <f>IF($F671="","",IFERROR(INDEX(사건마스터!$H$5:$H$64,MATCH($F671,사건마스터!$A$5:$A$64,0)),""))</f>
        <v/>
      </c>
      <c r="J671" s="48">
        <f>IF($F671="","",IFERROR(INDEX(사건마스터!$AH$5:$AH$64,MATCH($F671,사건마스터!$A$5:$A$64,0)),""))</f>
        <v/>
      </c>
      <c r="K671" s="48">
        <f>IF($F671="","",IFERROR(INDEX(사건마스터!$AI$5:$AI$64,MATCH($F671,사건마스터!$A$5:$A$64,0)),""))</f>
        <v/>
      </c>
      <c r="L671" s="48">
        <f>IF($F671="","",IFERROR(INDEX(사건마스터!$AJ$5:$AJ$64,MATCH($F671,사건마스터!$A$5:$A$64,0)),""))</f>
        <v/>
      </c>
      <c r="M671" s="48">
        <f>IF($F671="","",IFERROR(INDEX(사건마스터!$AK$5:$AK$64,MATCH($F671,사건마스터!$A$5:$A$64,0)),""))</f>
        <v/>
      </c>
      <c r="N671" s="48">
        <f>IF($F671="","",IFERROR(INDEX(사건마스터!$AL$5:$AL$64,MATCH($F671,사건마스터!$A$5:$A$64,0)),""))</f>
        <v/>
      </c>
      <c r="O671" s="43">
        <f>IF($I671="","",COUNTIF($I671:$N671,"?*"))</f>
        <v/>
      </c>
      <c r="P671" s="46">
        <f>IF($I671="","",_xlfn.TEXTJOIN(", ",TRUE,$I671:$N671))</f>
        <v/>
      </c>
      <c r="Q671" s="47">
        <f>IF($I671="","",IFERROR(INDEX(코드설정!$D$5:$D$24,MATCH($I671,코드설정!$C$5:$C$24,0)),""))</f>
        <v/>
      </c>
      <c r="R671" s="49" t="n"/>
      <c r="S671" s="50" t="n"/>
      <c r="T671" s="51" t="n"/>
      <c r="U671" s="43">
        <f>IF(OR($B671="",$C671=""),"",$C671-$B671+1)</f>
        <v/>
      </c>
      <c r="V671" s="52" t="n"/>
      <c r="W671" s="53">
        <f>IF(OR($V671="",$O671=""),"",$V671*$O671)</f>
        <v/>
      </c>
      <c r="X671" s="45" t="n"/>
      <c r="Y671" s="49" t="n"/>
    </row>
    <row r="672">
      <c r="A672" s="43">
        <f>IF($B672="","",COUNT($B$5:$B672))</f>
        <v/>
      </c>
      <c r="B672" s="44" t="n"/>
      <c r="C672" s="44" t="n"/>
      <c r="D672" s="45" t="n"/>
      <c r="E672" s="45" t="n"/>
      <c r="F672" s="45" t="n"/>
      <c r="G672" s="46">
        <f>IF($F672="","",IFERROR(INDEX(사건마스터!$B$5:$B$64,MATCH($F672,사건마스터!$A$5:$A$64,0)),""))</f>
        <v/>
      </c>
      <c r="H672" s="47">
        <f>IF($F672="","",IFERROR(INDEX(사건마스터!$C$5:$C$64,MATCH($F672,사건마스터!$A$5:$A$64,0)),""))</f>
        <v/>
      </c>
      <c r="I672" s="48">
        <f>IF($F672="","",IFERROR(INDEX(사건마스터!$H$5:$H$64,MATCH($F672,사건마스터!$A$5:$A$64,0)),""))</f>
        <v/>
      </c>
      <c r="J672" s="48">
        <f>IF($F672="","",IFERROR(INDEX(사건마스터!$AH$5:$AH$64,MATCH($F672,사건마스터!$A$5:$A$64,0)),""))</f>
        <v/>
      </c>
      <c r="K672" s="48">
        <f>IF($F672="","",IFERROR(INDEX(사건마스터!$AI$5:$AI$64,MATCH($F672,사건마스터!$A$5:$A$64,0)),""))</f>
        <v/>
      </c>
      <c r="L672" s="48">
        <f>IF($F672="","",IFERROR(INDEX(사건마스터!$AJ$5:$AJ$64,MATCH($F672,사건마스터!$A$5:$A$64,0)),""))</f>
        <v/>
      </c>
      <c r="M672" s="48">
        <f>IF($F672="","",IFERROR(INDEX(사건마스터!$AK$5:$AK$64,MATCH($F672,사건마스터!$A$5:$A$64,0)),""))</f>
        <v/>
      </c>
      <c r="N672" s="48">
        <f>IF($F672="","",IFERROR(INDEX(사건마스터!$AL$5:$AL$64,MATCH($F672,사건마스터!$A$5:$A$64,0)),""))</f>
        <v/>
      </c>
      <c r="O672" s="43">
        <f>IF($I672="","",COUNTIF($I672:$N672,"?*"))</f>
        <v/>
      </c>
      <c r="P672" s="46">
        <f>IF($I672="","",_xlfn.TEXTJOIN(", ",TRUE,$I672:$N672))</f>
        <v/>
      </c>
      <c r="Q672" s="47">
        <f>IF($I672="","",IFERROR(INDEX(코드설정!$D$5:$D$24,MATCH($I672,코드설정!$C$5:$C$24,0)),""))</f>
        <v/>
      </c>
      <c r="R672" s="49" t="n"/>
      <c r="S672" s="50" t="n"/>
      <c r="T672" s="51" t="n"/>
      <c r="U672" s="43">
        <f>IF(OR($B672="",$C672=""),"",$C672-$B672+1)</f>
        <v/>
      </c>
      <c r="V672" s="52" t="n"/>
      <c r="W672" s="53">
        <f>IF(OR($V672="",$O672=""),"",$V672*$O672)</f>
        <v/>
      </c>
      <c r="X672" s="45" t="n"/>
      <c r="Y672" s="49" t="n"/>
    </row>
    <row r="673">
      <c r="A673" s="43">
        <f>IF($B673="","",COUNT($B$5:$B673))</f>
        <v/>
      </c>
      <c r="B673" s="44" t="n"/>
      <c r="C673" s="44" t="n"/>
      <c r="D673" s="45" t="n"/>
      <c r="E673" s="45" t="n"/>
      <c r="F673" s="45" t="n"/>
      <c r="G673" s="46">
        <f>IF($F673="","",IFERROR(INDEX(사건마스터!$B$5:$B$64,MATCH($F673,사건마스터!$A$5:$A$64,0)),""))</f>
        <v/>
      </c>
      <c r="H673" s="47">
        <f>IF($F673="","",IFERROR(INDEX(사건마스터!$C$5:$C$64,MATCH($F673,사건마스터!$A$5:$A$64,0)),""))</f>
        <v/>
      </c>
      <c r="I673" s="48">
        <f>IF($F673="","",IFERROR(INDEX(사건마스터!$H$5:$H$64,MATCH($F673,사건마스터!$A$5:$A$64,0)),""))</f>
        <v/>
      </c>
      <c r="J673" s="48">
        <f>IF($F673="","",IFERROR(INDEX(사건마스터!$AH$5:$AH$64,MATCH($F673,사건마스터!$A$5:$A$64,0)),""))</f>
        <v/>
      </c>
      <c r="K673" s="48">
        <f>IF($F673="","",IFERROR(INDEX(사건마스터!$AI$5:$AI$64,MATCH($F673,사건마스터!$A$5:$A$64,0)),""))</f>
        <v/>
      </c>
      <c r="L673" s="48">
        <f>IF($F673="","",IFERROR(INDEX(사건마스터!$AJ$5:$AJ$64,MATCH($F673,사건마스터!$A$5:$A$64,0)),""))</f>
        <v/>
      </c>
      <c r="M673" s="48">
        <f>IF($F673="","",IFERROR(INDEX(사건마스터!$AK$5:$AK$64,MATCH($F673,사건마스터!$A$5:$A$64,0)),""))</f>
        <v/>
      </c>
      <c r="N673" s="48">
        <f>IF($F673="","",IFERROR(INDEX(사건마스터!$AL$5:$AL$64,MATCH($F673,사건마스터!$A$5:$A$64,0)),""))</f>
        <v/>
      </c>
      <c r="O673" s="43">
        <f>IF($I673="","",COUNTIF($I673:$N673,"?*"))</f>
        <v/>
      </c>
      <c r="P673" s="46">
        <f>IF($I673="","",_xlfn.TEXTJOIN(", ",TRUE,$I673:$N673))</f>
        <v/>
      </c>
      <c r="Q673" s="47">
        <f>IF($I673="","",IFERROR(INDEX(코드설정!$D$5:$D$24,MATCH($I673,코드설정!$C$5:$C$24,0)),""))</f>
        <v/>
      </c>
      <c r="R673" s="49" t="n"/>
      <c r="S673" s="50" t="n"/>
      <c r="T673" s="51" t="n"/>
      <c r="U673" s="43">
        <f>IF(OR($B673="",$C673=""),"",$C673-$B673+1)</f>
        <v/>
      </c>
      <c r="V673" s="52" t="n"/>
      <c r="W673" s="53">
        <f>IF(OR($V673="",$O673=""),"",$V673*$O673)</f>
        <v/>
      </c>
      <c r="X673" s="45" t="n"/>
      <c r="Y673" s="49" t="n"/>
    </row>
    <row r="674">
      <c r="A674" s="43">
        <f>IF($B674="","",COUNT($B$5:$B674))</f>
        <v/>
      </c>
      <c r="B674" s="44" t="n"/>
      <c r="C674" s="44" t="n"/>
      <c r="D674" s="45" t="n"/>
      <c r="E674" s="45" t="n"/>
      <c r="F674" s="45" t="n"/>
      <c r="G674" s="46">
        <f>IF($F674="","",IFERROR(INDEX(사건마스터!$B$5:$B$64,MATCH($F674,사건마스터!$A$5:$A$64,0)),""))</f>
        <v/>
      </c>
      <c r="H674" s="47">
        <f>IF($F674="","",IFERROR(INDEX(사건마스터!$C$5:$C$64,MATCH($F674,사건마스터!$A$5:$A$64,0)),""))</f>
        <v/>
      </c>
      <c r="I674" s="48">
        <f>IF($F674="","",IFERROR(INDEX(사건마스터!$H$5:$H$64,MATCH($F674,사건마스터!$A$5:$A$64,0)),""))</f>
        <v/>
      </c>
      <c r="J674" s="48">
        <f>IF($F674="","",IFERROR(INDEX(사건마스터!$AH$5:$AH$64,MATCH($F674,사건마스터!$A$5:$A$64,0)),""))</f>
        <v/>
      </c>
      <c r="K674" s="48">
        <f>IF($F674="","",IFERROR(INDEX(사건마스터!$AI$5:$AI$64,MATCH($F674,사건마스터!$A$5:$A$64,0)),""))</f>
        <v/>
      </c>
      <c r="L674" s="48">
        <f>IF($F674="","",IFERROR(INDEX(사건마스터!$AJ$5:$AJ$64,MATCH($F674,사건마스터!$A$5:$A$64,0)),""))</f>
        <v/>
      </c>
      <c r="M674" s="48">
        <f>IF($F674="","",IFERROR(INDEX(사건마스터!$AK$5:$AK$64,MATCH($F674,사건마스터!$A$5:$A$64,0)),""))</f>
        <v/>
      </c>
      <c r="N674" s="48">
        <f>IF($F674="","",IFERROR(INDEX(사건마스터!$AL$5:$AL$64,MATCH($F674,사건마스터!$A$5:$A$64,0)),""))</f>
        <v/>
      </c>
      <c r="O674" s="43">
        <f>IF($I674="","",COUNTIF($I674:$N674,"?*"))</f>
        <v/>
      </c>
      <c r="P674" s="46">
        <f>IF($I674="","",_xlfn.TEXTJOIN(", ",TRUE,$I674:$N674))</f>
        <v/>
      </c>
      <c r="Q674" s="47">
        <f>IF($I674="","",IFERROR(INDEX(코드설정!$D$5:$D$24,MATCH($I674,코드설정!$C$5:$C$24,0)),""))</f>
        <v/>
      </c>
      <c r="R674" s="49" t="n"/>
      <c r="S674" s="50" t="n"/>
      <c r="T674" s="51" t="n"/>
      <c r="U674" s="43">
        <f>IF(OR($B674="",$C674=""),"",$C674-$B674+1)</f>
        <v/>
      </c>
      <c r="V674" s="52" t="n"/>
      <c r="W674" s="53">
        <f>IF(OR($V674="",$O674=""),"",$V674*$O674)</f>
        <v/>
      </c>
      <c r="X674" s="45" t="n"/>
      <c r="Y674" s="49" t="n"/>
    </row>
    <row r="675">
      <c r="A675" s="43">
        <f>IF($B675="","",COUNT($B$5:$B675))</f>
        <v/>
      </c>
      <c r="B675" s="44" t="n"/>
      <c r="C675" s="44" t="n"/>
      <c r="D675" s="45" t="n"/>
      <c r="E675" s="45" t="n"/>
      <c r="F675" s="45" t="n"/>
      <c r="G675" s="46">
        <f>IF($F675="","",IFERROR(INDEX(사건마스터!$B$5:$B$64,MATCH($F675,사건마스터!$A$5:$A$64,0)),""))</f>
        <v/>
      </c>
      <c r="H675" s="47">
        <f>IF($F675="","",IFERROR(INDEX(사건마스터!$C$5:$C$64,MATCH($F675,사건마스터!$A$5:$A$64,0)),""))</f>
        <v/>
      </c>
      <c r="I675" s="48">
        <f>IF($F675="","",IFERROR(INDEX(사건마스터!$H$5:$H$64,MATCH($F675,사건마스터!$A$5:$A$64,0)),""))</f>
        <v/>
      </c>
      <c r="J675" s="48">
        <f>IF($F675="","",IFERROR(INDEX(사건마스터!$AH$5:$AH$64,MATCH($F675,사건마스터!$A$5:$A$64,0)),""))</f>
        <v/>
      </c>
      <c r="K675" s="48">
        <f>IF($F675="","",IFERROR(INDEX(사건마스터!$AI$5:$AI$64,MATCH($F675,사건마스터!$A$5:$A$64,0)),""))</f>
        <v/>
      </c>
      <c r="L675" s="48">
        <f>IF($F675="","",IFERROR(INDEX(사건마스터!$AJ$5:$AJ$64,MATCH($F675,사건마스터!$A$5:$A$64,0)),""))</f>
        <v/>
      </c>
      <c r="M675" s="48">
        <f>IF($F675="","",IFERROR(INDEX(사건마스터!$AK$5:$AK$64,MATCH($F675,사건마스터!$A$5:$A$64,0)),""))</f>
        <v/>
      </c>
      <c r="N675" s="48">
        <f>IF($F675="","",IFERROR(INDEX(사건마스터!$AL$5:$AL$64,MATCH($F675,사건마스터!$A$5:$A$64,0)),""))</f>
        <v/>
      </c>
      <c r="O675" s="43">
        <f>IF($I675="","",COUNTIF($I675:$N675,"?*"))</f>
        <v/>
      </c>
      <c r="P675" s="46">
        <f>IF($I675="","",_xlfn.TEXTJOIN(", ",TRUE,$I675:$N675))</f>
        <v/>
      </c>
      <c r="Q675" s="47">
        <f>IF($I675="","",IFERROR(INDEX(코드설정!$D$5:$D$24,MATCH($I675,코드설정!$C$5:$C$24,0)),""))</f>
        <v/>
      </c>
      <c r="R675" s="49" t="n"/>
      <c r="S675" s="50" t="n"/>
      <c r="T675" s="51" t="n"/>
      <c r="U675" s="43">
        <f>IF(OR($B675="",$C675=""),"",$C675-$B675+1)</f>
        <v/>
      </c>
      <c r="V675" s="52" t="n"/>
      <c r="W675" s="53">
        <f>IF(OR($V675="",$O675=""),"",$V675*$O675)</f>
        <v/>
      </c>
      <c r="X675" s="45" t="n"/>
      <c r="Y675" s="49" t="n"/>
    </row>
    <row r="676">
      <c r="A676" s="43">
        <f>IF($B676="","",COUNT($B$5:$B676))</f>
        <v/>
      </c>
      <c r="B676" s="44" t="n"/>
      <c r="C676" s="44" t="n"/>
      <c r="D676" s="45" t="n"/>
      <c r="E676" s="45" t="n"/>
      <c r="F676" s="45" t="n"/>
      <c r="G676" s="46">
        <f>IF($F676="","",IFERROR(INDEX(사건마스터!$B$5:$B$64,MATCH($F676,사건마스터!$A$5:$A$64,0)),""))</f>
        <v/>
      </c>
      <c r="H676" s="47">
        <f>IF($F676="","",IFERROR(INDEX(사건마스터!$C$5:$C$64,MATCH($F676,사건마스터!$A$5:$A$64,0)),""))</f>
        <v/>
      </c>
      <c r="I676" s="48">
        <f>IF($F676="","",IFERROR(INDEX(사건마스터!$H$5:$H$64,MATCH($F676,사건마스터!$A$5:$A$64,0)),""))</f>
        <v/>
      </c>
      <c r="J676" s="48">
        <f>IF($F676="","",IFERROR(INDEX(사건마스터!$AH$5:$AH$64,MATCH($F676,사건마스터!$A$5:$A$64,0)),""))</f>
        <v/>
      </c>
      <c r="K676" s="48">
        <f>IF($F676="","",IFERROR(INDEX(사건마스터!$AI$5:$AI$64,MATCH($F676,사건마스터!$A$5:$A$64,0)),""))</f>
        <v/>
      </c>
      <c r="L676" s="48">
        <f>IF($F676="","",IFERROR(INDEX(사건마스터!$AJ$5:$AJ$64,MATCH($F676,사건마스터!$A$5:$A$64,0)),""))</f>
        <v/>
      </c>
      <c r="M676" s="48">
        <f>IF($F676="","",IFERROR(INDEX(사건마스터!$AK$5:$AK$64,MATCH($F676,사건마스터!$A$5:$A$64,0)),""))</f>
        <v/>
      </c>
      <c r="N676" s="48">
        <f>IF($F676="","",IFERROR(INDEX(사건마스터!$AL$5:$AL$64,MATCH($F676,사건마스터!$A$5:$A$64,0)),""))</f>
        <v/>
      </c>
      <c r="O676" s="43">
        <f>IF($I676="","",COUNTIF($I676:$N676,"?*"))</f>
        <v/>
      </c>
      <c r="P676" s="46">
        <f>IF($I676="","",_xlfn.TEXTJOIN(", ",TRUE,$I676:$N676))</f>
        <v/>
      </c>
      <c r="Q676" s="47">
        <f>IF($I676="","",IFERROR(INDEX(코드설정!$D$5:$D$24,MATCH($I676,코드설정!$C$5:$C$24,0)),""))</f>
        <v/>
      </c>
      <c r="R676" s="49" t="n"/>
      <c r="S676" s="50" t="n"/>
      <c r="T676" s="51" t="n"/>
      <c r="U676" s="43">
        <f>IF(OR($B676="",$C676=""),"",$C676-$B676+1)</f>
        <v/>
      </c>
      <c r="V676" s="52" t="n"/>
      <c r="W676" s="53">
        <f>IF(OR($V676="",$O676=""),"",$V676*$O676)</f>
        <v/>
      </c>
      <c r="X676" s="45" t="n"/>
      <c r="Y676" s="49" t="n"/>
    </row>
    <row r="677">
      <c r="A677" s="43">
        <f>IF($B677="","",COUNT($B$5:$B677))</f>
        <v/>
      </c>
      <c r="B677" s="44" t="n"/>
      <c r="C677" s="44" t="n"/>
      <c r="D677" s="45" t="n"/>
      <c r="E677" s="45" t="n"/>
      <c r="F677" s="45" t="n"/>
      <c r="G677" s="46">
        <f>IF($F677="","",IFERROR(INDEX(사건마스터!$B$5:$B$64,MATCH($F677,사건마스터!$A$5:$A$64,0)),""))</f>
        <v/>
      </c>
      <c r="H677" s="47">
        <f>IF($F677="","",IFERROR(INDEX(사건마스터!$C$5:$C$64,MATCH($F677,사건마스터!$A$5:$A$64,0)),""))</f>
        <v/>
      </c>
      <c r="I677" s="48">
        <f>IF($F677="","",IFERROR(INDEX(사건마스터!$H$5:$H$64,MATCH($F677,사건마스터!$A$5:$A$64,0)),""))</f>
        <v/>
      </c>
      <c r="J677" s="48">
        <f>IF($F677="","",IFERROR(INDEX(사건마스터!$AH$5:$AH$64,MATCH($F677,사건마스터!$A$5:$A$64,0)),""))</f>
        <v/>
      </c>
      <c r="K677" s="48">
        <f>IF($F677="","",IFERROR(INDEX(사건마스터!$AI$5:$AI$64,MATCH($F677,사건마스터!$A$5:$A$64,0)),""))</f>
        <v/>
      </c>
      <c r="L677" s="48">
        <f>IF($F677="","",IFERROR(INDEX(사건마스터!$AJ$5:$AJ$64,MATCH($F677,사건마스터!$A$5:$A$64,0)),""))</f>
        <v/>
      </c>
      <c r="M677" s="48">
        <f>IF($F677="","",IFERROR(INDEX(사건마스터!$AK$5:$AK$64,MATCH($F677,사건마스터!$A$5:$A$64,0)),""))</f>
        <v/>
      </c>
      <c r="N677" s="48">
        <f>IF($F677="","",IFERROR(INDEX(사건마스터!$AL$5:$AL$64,MATCH($F677,사건마스터!$A$5:$A$64,0)),""))</f>
        <v/>
      </c>
      <c r="O677" s="43">
        <f>IF($I677="","",COUNTIF($I677:$N677,"?*"))</f>
        <v/>
      </c>
      <c r="P677" s="46">
        <f>IF($I677="","",_xlfn.TEXTJOIN(", ",TRUE,$I677:$N677))</f>
        <v/>
      </c>
      <c r="Q677" s="47">
        <f>IF($I677="","",IFERROR(INDEX(코드설정!$D$5:$D$24,MATCH($I677,코드설정!$C$5:$C$24,0)),""))</f>
        <v/>
      </c>
      <c r="R677" s="49" t="n"/>
      <c r="S677" s="50" t="n"/>
      <c r="T677" s="51" t="n"/>
      <c r="U677" s="43">
        <f>IF(OR($B677="",$C677=""),"",$C677-$B677+1)</f>
        <v/>
      </c>
      <c r="V677" s="52" t="n"/>
      <c r="W677" s="53">
        <f>IF(OR($V677="",$O677=""),"",$V677*$O677)</f>
        <v/>
      </c>
      <c r="X677" s="45" t="n"/>
      <c r="Y677" s="49" t="n"/>
    </row>
    <row r="678">
      <c r="A678" s="43">
        <f>IF($B678="","",COUNT($B$5:$B678))</f>
        <v/>
      </c>
      <c r="B678" s="44" t="n"/>
      <c r="C678" s="44" t="n"/>
      <c r="D678" s="45" t="n"/>
      <c r="E678" s="45" t="n"/>
      <c r="F678" s="45" t="n"/>
      <c r="G678" s="46">
        <f>IF($F678="","",IFERROR(INDEX(사건마스터!$B$5:$B$64,MATCH($F678,사건마스터!$A$5:$A$64,0)),""))</f>
        <v/>
      </c>
      <c r="H678" s="47">
        <f>IF($F678="","",IFERROR(INDEX(사건마스터!$C$5:$C$64,MATCH($F678,사건마스터!$A$5:$A$64,0)),""))</f>
        <v/>
      </c>
      <c r="I678" s="48">
        <f>IF($F678="","",IFERROR(INDEX(사건마스터!$H$5:$H$64,MATCH($F678,사건마스터!$A$5:$A$64,0)),""))</f>
        <v/>
      </c>
      <c r="J678" s="48">
        <f>IF($F678="","",IFERROR(INDEX(사건마스터!$AH$5:$AH$64,MATCH($F678,사건마스터!$A$5:$A$64,0)),""))</f>
        <v/>
      </c>
      <c r="K678" s="48">
        <f>IF($F678="","",IFERROR(INDEX(사건마스터!$AI$5:$AI$64,MATCH($F678,사건마스터!$A$5:$A$64,0)),""))</f>
        <v/>
      </c>
      <c r="L678" s="48">
        <f>IF($F678="","",IFERROR(INDEX(사건마스터!$AJ$5:$AJ$64,MATCH($F678,사건마스터!$A$5:$A$64,0)),""))</f>
        <v/>
      </c>
      <c r="M678" s="48">
        <f>IF($F678="","",IFERROR(INDEX(사건마스터!$AK$5:$AK$64,MATCH($F678,사건마스터!$A$5:$A$64,0)),""))</f>
        <v/>
      </c>
      <c r="N678" s="48">
        <f>IF($F678="","",IFERROR(INDEX(사건마스터!$AL$5:$AL$64,MATCH($F678,사건마스터!$A$5:$A$64,0)),""))</f>
        <v/>
      </c>
      <c r="O678" s="43">
        <f>IF($I678="","",COUNTIF($I678:$N678,"?*"))</f>
        <v/>
      </c>
      <c r="P678" s="46">
        <f>IF($I678="","",_xlfn.TEXTJOIN(", ",TRUE,$I678:$N678))</f>
        <v/>
      </c>
      <c r="Q678" s="47">
        <f>IF($I678="","",IFERROR(INDEX(코드설정!$D$5:$D$24,MATCH($I678,코드설정!$C$5:$C$24,0)),""))</f>
        <v/>
      </c>
      <c r="R678" s="49" t="n"/>
      <c r="S678" s="50" t="n"/>
      <c r="T678" s="51" t="n"/>
      <c r="U678" s="43">
        <f>IF(OR($B678="",$C678=""),"",$C678-$B678+1)</f>
        <v/>
      </c>
      <c r="V678" s="52" t="n"/>
      <c r="W678" s="53">
        <f>IF(OR($V678="",$O678=""),"",$V678*$O678)</f>
        <v/>
      </c>
      <c r="X678" s="45" t="n"/>
      <c r="Y678" s="49" t="n"/>
    </row>
    <row r="679">
      <c r="A679" s="43">
        <f>IF($B679="","",COUNT($B$5:$B679))</f>
        <v/>
      </c>
      <c r="B679" s="44" t="n"/>
      <c r="C679" s="44" t="n"/>
      <c r="D679" s="45" t="n"/>
      <c r="E679" s="45" t="n"/>
      <c r="F679" s="45" t="n"/>
      <c r="G679" s="46">
        <f>IF($F679="","",IFERROR(INDEX(사건마스터!$B$5:$B$64,MATCH($F679,사건마스터!$A$5:$A$64,0)),""))</f>
        <v/>
      </c>
      <c r="H679" s="47">
        <f>IF($F679="","",IFERROR(INDEX(사건마스터!$C$5:$C$64,MATCH($F679,사건마스터!$A$5:$A$64,0)),""))</f>
        <v/>
      </c>
      <c r="I679" s="48">
        <f>IF($F679="","",IFERROR(INDEX(사건마스터!$H$5:$H$64,MATCH($F679,사건마스터!$A$5:$A$64,0)),""))</f>
        <v/>
      </c>
      <c r="J679" s="48">
        <f>IF($F679="","",IFERROR(INDEX(사건마스터!$AH$5:$AH$64,MATCH($F679,사건마스터!$A$5:$A$64,0)),""))</f>
        <v/>
      </c>
      <c r="K679" s="48">
        <f>IF($F679="","",IFERROR(INDEX(사건마스터!$AI$5:$AI$64,MATCH($F679,사건마스터!$A$5:$A$64,0)),""))</f>
        <v/>
      </c>
      <c r="L679" s="48">
        <f>IF($F679="","",IFERROR(INDEX(사건마스터!$AJ$5:$AJ$64,MATCH($F679,사건마스터!$A$5:$A$64,0)),""))</f>
        <v/>
      </c>
      <c r="M679" s="48">
        <f>IF($F679="","",IFERROR(INDEX(사건마스터!$AK$5:$AK$64,MATCH($F679,사건마스터!$A$5:$A$64,0)),""))</f>
        <v/>
      </c>
      <c r="N679" s="48">
        <f>IF($F679="","",IFERROR(INDEX(사건마스터!$AL$5:$AL$64,MATCH($F679,사건마스터!$A$5:$A$64,0)),""))</f>
        <v/>
      </c>
      <c r="O679" s="43">
        <f>IF($I679="","",COUNTIF($I679:$N679,"?*"))</f>
        <v/>
      </c>
      <c r="P679" s="46">
        <f>IF($I679="","",_xlfn.TEXTJOIN(", ",TRUE,$I679:$N679))</f>
        <v/>
      </c>
      <c r="Q679" s="47">
        <f>IF($I679="","",IFERROR(INDEX(코드설정!$D$5:$D$24,MATCH($I679,코드설정!$C$5:$C$24,0)),""))</f>
        <v/>
      </c>
      <c r="R679" s="49" t="n"/>
      <c r="S679" s="50" t="n"/>
      <c r="T679" s="51" t="n"/>
      <c r="U679" s="43">
        <f>IF(OR($B679="",$C679=""),"",$C679-$B679+1)</f>
        <v/>
      </c>
      <c r="V679" s="52" t="n"/>
      <c r="W679" s="53">
        <f>IF(OR($V679="",$O679=""),"",$V679*$O679)</f>
        <v/>
      </c>
      <c r="X679" s="45" t="n"/>
      <c r="Y679" s="49" t="n"/>
    </row>
    <row r="680">
      <c r="A680" s="43">
        <f>IF($B680="","",COUNT($B$5:$B680))</f>
        <v/>
      </c>
      <c r="B680" s="44" t="n"/>
      <c r="C680" s="44" t="n"/>
      <c r="D680" s="45" t="n"/>
      <c r="E680" s="45" t="n"/>
      <c r="F680" s="45" t="n"/>
      <c r="G680" s="46">
        <f>IF($F680="","",IFERROR(INDEX(사건마스터!$B$5:$B$64,MATCH($F680,사건마스터!$A$5:$A$64,0)),""))</f>
        <v/>
      </c>
      <c r="H680" s="47">
        <f>IF($F680="","",IFERROR(INDEX(사건마스터!$C$5:$C$64,MATCH($F680,사건마스터!$A$5:$A$64,0)),""))</f>
        <v/>
      </c>
      <c r="I680" s="48">
        <f>IF($F680="","",IFERROR(INDEX(사건마스터!$H$5:$H$64,MATCH($F680,사건마스터!$A$5:$A$64,0)),""))</f>
        <v/>
      </c>
      <c r="J680" s="48">
        <f>IF($F680="","",IFERROR(INDEX(사건마스터!$AH$5:$AH$64,MATCH($F680,사건마스터!$A$5:$A$64,0)),""))</f>
        <v/>
      </c>
      <c r="K680" s="48">
        <f>IF($F680="","",IFERROR(INDEX(사건마스터!$AI$5:$AI$64,MATCH($F680,사건마스터!$A$5:$A$64,0)),""))</f>
        <v/>
      </c>
      <c r="L680" s="48">
        <f>IF($F680="","",IFERROR(INDEX(사건마스터!$AJ$5:$AJ$64,MATCH($F680,사건마스터!$A$5:$A$64,0)),""))</f>
        <v/>
      </c>
      <c r="M680" s="48">
        <f>IF($F680="","",IFERROR(INDEX(사건마스터!$AK$5:$AK$64,MATCH($F680,사건마스터!$A$5:$A$64,0)),""))</f>
        <v/>
      </c>
      <c r="N680" s="48">
        <f>IF($F680="","",IFERROR(INDEX(사건마스터!$AL$5:$AL$64,MATCH($F680,사건마스터!$A$5:$A$64,0)),""))</f>
        <v/>
      </c>
      <c r="O680" s="43">
        <f>IF($I680="","",COUNTIF($I680:$N680,"?*"))</f>
        <v/>
      </c>
      <c r="P680" s="46">
        <f>IF($I680="","",_xlfn.TEXTJOIN(", ",TRUE,$I680:$N680))</f>
        <v/>
      </c>
      <c r="Q680" s="47">
        <f>IF($I680="","",IFERROR(INDEX(코드설정!$D$5:$D$24,MATCH($I680,코드설정!$C$5:$C$24,0)),""))</f>
        <v/>
      </c>
      <c r="R680" s="49" t="n"/>
      <c r="S680" s="50" t="n"/>
      <c r="T680" s="51" t="n"/>
      <c r="U680" s="43">
        <f>IF(OR($B680="",$C680=""),"",$C680-$B680+1)</f>
        <v/>
      </c>
      <c r="V680" s="52" t="n"/>
      <c r="W680" s="53">
        <f>IF(OR($V680="",$O680=""),"",$V680*$O680)</f>
        <v/>
      </c>
      <c r="X680" s="45" t="n"/>
      <c r="Y680" s="49" t="n"/>
    </row>
    <row r="681">
      <c r="A681" s="43">
        <f>IF($B681="","",COUNT($B$5:$B681))</f>
        <v/>
      </c>
      <c r="B681" s="44" t="n"/>
      <c r="C681" s="44" t="n"/>
      <c r="D681" s="45" t="n"/>
      <c r="E681" s="45" t="n"/>
      <c r="F681" s="45" t="n"/>
      <c r="G681" s="46">
        <f>IF($F681="","",IFERROR(INDEX(사건마스터!$B$5:$B$64,MATCH($F681,사건마스터!$A$5:$A$64,0)),""))</f>
        <v/>
      </c>
      <c r="H681" s="47">
        <f>IF($F681="","",IFERROR(INDEX(사건마스터!$C$5:$C$64,MATCH($F681,사건마스터!$A$5:$A$64,0)),""))</f>
        <v/>
      </c>
      <c r="I681" s="48">
        <f>IF($F681="","",IFERROR(INDEX(사건마스터!$H$5:$H$64,MATCH($F681,사건마스터!$A$5:$A$64,0)),""))</f>
        <v/>
      </c>
      <c r="J681" s="48">
        <f>IF($F681="","",IFERROR(INDEX(사건마스터!$AH$5:$AH$64,MATCH($F681,사건마스터!$A$5:$A$64,0)),""))</f>
        <v/>
      </c>
      <c r="K681" s="48">
        <f>IF($F681="","",IFERROR(INDEX(사건마스터!$AI$5:$AI$64,MATCH($F681,사건마스터!$A$5:$A$64,0)),""))</f>
        <v/>
      </c>
      <c r="L681" s="48">
        <f>IF($F681="","",IFERROR(INDEX(사건마스터!$AJ$5:$AJ$64,MATCH($F681,사건마스터!$A$5:$A$64,0)),""))</f>
        <v/>
      </c>
      <c r="M681" s="48">
        <f>IF($F681="","",IFERROR(INDEX(사건마스터!$AK$5:$AK$64,MATCH($F681,사건마스터!$A$5:$A$64,0)),""))</f>
        <v/>
      </c>
      <c r="N681" s="48">
        <f>IF($F681="","",IFERROR(INDEX(사건마스터!$AL$5:$AL$64,MATCH($F681,사건마스터!$A$5:$A$64,0)),""))</f>
        <v/>
      </c>
      <c r="O681" s="43">
        <f>IF($I681="","",COUNTIF($I681:$N681,"?*"))</f>
        <v/>
      </c>
      <c r="P681" s="46">
        <f>IF($I681="","",_xlfn.TEXTJOIN(", ",TRUE,$I681:$N681))</f>
        <v/>
      </c>
      <c r="Q681" s="47">
        <f>IF($I681="","",IFERROR(INDEX(코드설정!$D$5:$D$24,MATCH($I681,코드설정!$C$5:$C$24,0)),""))</f>
        <v/>
      </c>
      <c r="R681" s="49" t="n"/>
      <c r="S681" s="50" t="n"/>
      <c r="T681" s="51" t="n"/>
      <c r="U681" s="43">
        <f>IF(OR($B681="",$C681=""),"",$C681-$B681+1)</f>
        <v/>
      </c>
      <c r="V681" s="52" t="n"/>
      <c r="W681" s="53">
        <f>IF(OR($V681="",$O681=""),"",$V681*$O681)</f>
        <v/>
      </c>
      <c r="X681" s="45" t="n"/>
      <c r="Y681" s="49" t="n"/>
    </row>
    <row r="682">
      <c r="A682" s="43">
        <f>IF($B682="","",COUNT($B$5:$B682))</f>
        <v/>
      </c>
      <c r="B682" s="44" t="n"/>
      <c r="C682" s="44" t="n"/>
      <c r="D682" s="45" t="n"/>
      <c r="E682" s="45" t="n"/>
      <c r="F682" s="45" t="n"/>
      <c r="G682" s="46">
        <f>IF($F682="","",IFERROR(INDEX(사건마스터!$B$5:$B$64,MATCH($F682,사건마스터!$A$5:$A$64,0)),""))</f>
        <v/>
      </c>
      <c r="H682" s="47">
        <f>IF($F682="","",IFERROR(INDEX(사건마스터!$C$5:$C$64,MATCH($F682,사건마스터!$A$5:$A$64,0)),""))</f>
        <v/>
      </c>
      <c r="I682" s="48">
        <f>IF($F682="","",IFERROR(INDEX(사건마스터!$H$5:$H$64,MATCH($F682,사건마스터!$A$5:$A$64,0)),""))</f>
        <v/>
      </c>
      <c r="J682" s="48">
        <f>IF($F682="","",IFERROR(INDEX(사건마스터!$AH$5:$AH$64,MATCH($F682,사건마스터!$A$5:$A$64,0)),""))</f>
        <v/>
      </c>
      <c r="K682" s="48">
        <f>IF($F682="","",IFERROR(INDEX(사건마스터!$AI$5:$AI$64,MATCH($F682,사건마스터!$A$5:$A$64,0)),""))</f>
        <v/>
      </c>
      <c r="L682" s="48">
        <f>IF($F682="","",IFERROR(INDEX(사건마스터!$AJ$5:$AJ$64,MATCH($F682,사건마스터!$A$5:$A$64,0)),""))</f>
        <v/>
      </c>
      <c r="M682" s="48">
        <f>IF($F682="","",IFERROR(INDEX(사건마스터!$AK$5:$AK$64,MATCH($F682,사건마스터!$A$5:$A$64,0)),""))</f>
        <v/>
      </c>
      <c r="N682" s="48">
        <f>IF($F682="","",IFERROR(INDEX(사건마스터!$AL$5:$AL$64,MATCH($F682,사건마스터!$A$5:$A$64,0)),""))</f>
        <v/>
      </c>
      <c r="O682" s="43">
        <f>IF($I682="","",COUNTIF($I682:$N682,"?*"))</f>
        <v/>
      </c>
      <c r="P682" s="46">
        <f>IF($I682="","",_xlfn.TEXTJOIN(", ",TRUE,$I682:$N682))</f>
        <v/>
      </c>
      <c r="Q682" s="47">
        <f>IF($I682="","",IFERROR(INDEX(코드설정!$D$5:$D$24,MATCH($I682,코드설정!$C$5:$C$24,0)),""))</f>
        <v/>
      </c>
      <c r="R682" s="49" t="n"/>
      <c r="S682" s="50" t="n"/>
      <c r="T682" s="51" t="n"/>
      <c r="U682" s="43">
        <f>IF(OR($B682="",$C682=""),"",$C682-$B682+1)</f>
        <v/>
      </c>
      <c r="V682" s="52" t="n"/>
      <c r="W682" s="53">
        <f>IF(OR($V682="",$O682=""),"",$V682*$O682)</f>
        <v/>
      </c>
      <c r="X682" s="45" t="n"/>
      <c r="Y682" s="49" t="n"/>
    </row>
    <row r="683">
      <c r="A683" s="43">
        <f>IF($B683="","",COUNT($B$5:$B683))</f>
        <v/>
      </c>
      <c r="B683" s="44" t="n"/>
      <c r="C683" s="44" t="n"/>
      <c r="D683" s="45" t="n"/>
      <c r="E683" s="45" t="n"/>
      <c r="F683" s="45" t="n"/>
      <c r="G683" s="46">
        <f>IF($F683="","",IFERROR(INDEX(사건마스터!$B$5:$B$64,MATCH($F683,사건마스터!$A$5:$A$64,0)),""))</f>
        <v/>
      </c>
      <c r="H683" s="47">
        <f>IF($F683="","",IFERROR(INDEX(사건마스터!$C$5:$C$64,MATCH($F683,사건마스터!$A$5:$A$64,0)),""))</f>
        <v/>
      </c>
      <c r="I683" s="48">
        <f>IF($F683="","",IFERROR(INDEX(사건마스터!$H$5:$H$64,MATCH($F683,사건마스터!$A$5:$A$64,0)),""))</f>
        <v/>
      </c>
      <c r="J683" s="48">
        <f>IF($F683="","",IFERROR(INDEX(사건마스터!$AH$5:$AH$64,MATCH($F683,사건마스터!$A$5:$A$64,0)),""))</f>
        <v/>
      </c>
      <c r="K683" s="48">
        <f>IF($F683="","",IFERROR(INDEX(사건마스터!$AI$5:$AI$64,MATCH($F683,사건마스터!$A$5:$A$64,0)),""))</f>
        <v/>
      </c>
      <c r="L683" s="48">
        <f>IF($F683="","",IFERROR(INDEX(사건마스터!$AJ$5:$AJ$64,MATCH($F683,사건마스터!$A$5:$A$64,0)),""))</f>
        <v/>
      </c>
      <c r="M683" s="48">
        <f>IF($F683="","",IFERROR(INDEX(사건마스터!$AK$5:$AK$64,MATCH($F683,사건마스터!$A$5:$A$64,0)),""))</f>
        <v/>
      </c>
      <c r="N683" s="48">
        <f>IF($F683="","",IFERROR(INDEX(사건마스터!$AL$5:$AL$64,MATCH($F683,사건마스터!$A$5:$A$64,0)),""))</f>
        <v/>
      </c>
      <c r="O683" s="43">
        <f>IF($I683="","",COUNTIF($I683:$N683,"?*"))</f>
        <v/>
      </c>
      <c r="P683" s="46">
        <f>IF($I683="","",_xlfn.TEXTJOIN(", ",TRUE,$I683:$N683))</f>
        <v/>
      </c>
      <c r="Q683" s="47">
        <f>IF($I683="","",IFERROR(INDEX(코드설정!$D$5:$D$24,MATCH($I683,코드설정!$C$5:$C$24,0)),""))</f>
        <v/>
      </c>
      <c r="R683" s="49" t="n"/>
      <c r="S683" s="50" t="n"/>
      <c r="T683" s="51" t="n"/>
      <c r="U683" s="43">
        <f>IF(OR($B683="",$C683=""),"",$C683-$B683+1)</f>
        <v/>
      </c>
      <c r="V683" s="52" t="n"/>
      <c r="W683" s="53">
        <f>IF(OR($V683="",$O683=""),"",$V683*$O683)</f>
        <v/>
      </c>
      <c r="X683" s="45" t="n"/>
      <c r="Y683" s="49" t="n"/>
    </row>
    <row r="684">
      <c r="A684" s="43">
        <f>IF($B684="","",COUNT($B$5:$B684))</f>
        <v/>
      </c>
      <c r="B684" s="44" t="n"/>
      <c r="C684" s="44" t="n"/>
      <c r="D684" s="45" t="n"/>
      <c r="E684" s="45" t="n"/>
      <c r="F684" s="45" t="n"/>
      <c r="G684" s="46">
        <f>IF($F684="","",IFERROR(INDEX(사건마스터!$B$5:$B$64,MATCH($F684,사건마스터!$A$5:$A$64,0)),""))</f>
        <v/>
      </c>
      <c r="H684" s="47">
        <f>IF($F684="","",IFERROR(INDEX(사건마스터!$C$5:$C$64,MATCH($F684,사건마스터!$A$5:$A$64,0)),""))</f>
        <v/>
      </c>
      <c r="I684" s="48">
        <f>IF($F684="","",IFERROR(INDEX(사건마스터!$H$5:$H$64,MATCH($F684,사건마스터!$A$5:$A$64,0)),""))</f>
        <v/>
      </c>
      <c r="J684" s="48">
        <f>IF($F684="","",IFERROR(INDEX(사건마스터!$AH$5:$AH$64,MATCH($F684,사건마스터!$A$5:$A$64,0)),""))</f>
        <v/>
      </c>
      <c r="K684" s="48">
        <f>IF($F684="","",IFERROR(INDEX(사건마스터!$AI$5:$AI$64,MATCH($F684,사건마스터!$A$5:$A$64,0)),""))</f>
        <v/>
      </c>
      <c r="L684" s="48">
        <f>IF($F684="","",IFERROR(INDEX(사건마스터!$AJ$5:$AJ$64,MATCH($F684,사건마스터!$A$5:$A$64,0)),""))</f>
        <v/>
      </c>
      <c r="M684" s="48">
        <f>IF($F684="","",IFERROR(INDEX(사건마스터!$AK$5:$AK$64,MATCH($F684,사건마스터!$A$5:$A$64,0)),""))</f>
        <v/>
      </c>
      <c r="N684" s="48">
        <f>IF($F684="","",IFERROR(INDEX(사건마스터!$AL$5:$AL$64,MATCH($F684,사건마스터!$A$5:$A$64,0)),""))</f>
        <v/>
      </c>
      <c r="O684" s="43">
        <f>IF($I684="","",COUNTIF($I684:$N684,"?*"))</f>
        <v/>
      </c>
      <c r="P684" s="46">
        <f>IF($I684="","",_xlfn.TEXTJOIN(", ",TRUE,$I684:$N684))</f>
        <v/>
      </c>
      <c r="Q684" s="47">
        <f>IF($I684="","",IFERROR(INDEX(코드설정!$D$5:$D$24,MATCH($I684,코드설정!$C$5:$C$24,0)),""))</f>
        <v/>
      </c>
      <c r="R684" s="49" t="n"/>
      <c r="S684" s="50" t="n"/>
      <c r="T684" s="51" t="n"/>
      <c r="U684" s="43">
        <f>IF(OR($B684="",$C684=""),"",$C684-$B684+1)</f>
        <v/>
      </c>
      <c r="V684" s="52" t="n"/>
      <c r="W684" s="53">
        <f>IF(OR($V684="",$O684=""),"",$V684*$O684)</f>
        <v/>
      </c>
      <c r="X684" s="45" t="n"/>
      <c r="Y684" s="49" t="n"/>
    </row>
    <row r="685">
      <c r="A685" s="43">
        <f>IF($B685="","",COUNT($B$5:$B685))</f>
        <v/>
      </c>
      <c r="B685" s="44" t="n"/>
      <c r="C685" s="44" t="n"/>
      <c r="D685" s="45" t="n"/>
      <c r="E685" s="45" t="n"/>
      <c r="F685" s="45" t="n"/>
      <c r="G685" s="46">
        <f>IF($F685="","",IFERROR(INDEX(사건마스터!$B$5:$B$64,MATCH($F685,사건마스터!$A$5:$A$64,0)),""))</f>
        <v/>
      </c>
      <c r="H685" s="47">
        <f>IF($F685="","",IFERROR(INDEX(사건마스터!$C$5:$C$64,MATCH($F685,사건마스터!$A$5:$A$64,0)),""))</f>
        <v/>
      </c>
      <c r="I685" s="48">
        <f>IF($F685="","",IFERROR(INDEX(사건마스터!$H$5:$H$64,MATCH($F685,사건마스터!$A$5:$A$64,0)),""))</f>
        <v/>
      </c>
      <c r="J685" s="48">
        <f>IF($F685="","",IFERROR(INDEX(사건마스터!$AH$5:$AH$64,MATCH($F685,사건마스터!$A$5:$A$64,0)),""))</f>
        <v/>
      </c>
      <c r="K685" s="48">
        <f>IF($F685="","",IFERROR(INDEX(사건마스터!$AI$5:$AI$64,MATCH($F685,사건마스터!$A$5:$A$64,0)),""))</f>
        <v/>
      </c>
      <c r="L685" s="48">
        <f>IF($F685="","",IFERROR(INDEX(사건마스터!$AJ$5:$AJ$64,MATCH($F685,사건마스터!$A$5:$A$64,0)),""))</f>
        <v/>
      </c>
      <c r="M685" s="48">
        <f>IF($F685="","",IFERROR(INDEX(사건마스터!$AK$5:$AK$64,MATCH($F685,사건마스터!$A$5:$A$64,0)),""))</f>
        <v/>
      </c>
      <c r="N685" s="48">
        <f>IF($F685="","",IFERROR(INDEX(사건마스터!$AL$5:$AL$64,MATCH($F685,사건마스터!$A$5:$A$64,0)),""))</f>
        <v/>
      </c>
      <c r="O685" s="43">
        <f>IF($I685="","",COUNTIF($I685:$N685,"?*"))</f>
        <v/>
      </c>
      <c r="P685" s="46">
        <f>IF($I685="","",_xlfn.TEXTJOIN(", ",TRUE,$I685:$N685))</f>
        <v/>
      </c>
      <c r="Q685" s="47">
        <f>IF($I685="","",IFERROR(INDEX(코드설정!$D$5:$D$24,MATCH($I685,코드설정!$C$5:$C$24,0)),""))</f>
        <v/>
      </c>
      <c r="R685" s="49" t="n"/>
      <c r="S685" s="50" t="n"/>
      <c r="T685" s="51" t="n"/>
      <c r="U685" s="43">
        <f>IF(OR($B685="",$C685=""),"",$C685-$B685+1)</f>
        <v/>
      </c>
      <c r="V685" s="52" t="n"/>
      <c r="W685" s="53">
        <f>IF(OR($V685="",$O685=""),"",$V685*$O685)</f>
        <v/>
      </c>
      <c r="X685" s="45" t="n"/>
      <c r="Y685" s="49" t="n"/>
    </row>
    <row r="686">
      <c r="A686" s="43">
        <f>IF($B686="","",COUNT($B$5:$B686))</f>
        <v/>
      </c>
      <c r="B686" s="44" t="n"/>
      <c r="C686" s="44" t="n"/>
      <c r="D686" s="45" t="n"/>
      <c r="E686" s="45" t="n"/>
      <c r="F686" s="45" t="n"/>
      <c r="G686" s="46">
        <f>IF($F686="","",IFERROR(INDEX(사건마스터!$B$5:$B$64,MATCH($F686,사건마스터!$A$5:$A$64,0)),""))</f>
        <v/>
      </c>
      <c r="H686" s="47">
        <f>IF($F686="","",IFERROR(INDEX(사건마스터!$C$5:$C$64,MATCH($F686,사건마스터!$A$5:$A$64,0)),""))</f>
        <v/>
      </c>
      <c r="I686" s="48">
        <f>IF($F686="","",IFERROR(INDEX(사건마스터!$H$5:$H$64,MATCH($F686,사건마스터!$A$5:$A$64,0)),""))</f>
        <v/>
      </c>
      <c r="J686" s="48">
        <f>IF($F686="","",IFERROR(INDEX(사건마스터!$AH$5:$AH$64,MATCH($F686,사건마스터!$A$5:$A$64,0)),""))</f>
        <v/>
      </c>
      <c r="K686" s="48">
        <f>IF($F686="","",IFERROR(INDEX(사건마스터!$AI$5:$AI$64,MATCH($F686,사건마스터!$A$5:$A$64,0)),""))</f>
        <v/>
      </c>
      <c r="L686" s="48">
        <f>IF($F686="","",IFERROR(INDEX(사건마스터!$AJ$5:$AJ$64,MATCH($F686,사건마스터!$A$5:$A$64,0)),""))</f>
        <v/>
      </c>
      <c r="M686" s="48">
        <f>IF($F686="","",IFERROR(INDEX(사건마스터!$AK$5:$AK$64,MATCH($F686,사건마스터!$A$5:$A$64,0)),""))</f>
        <v/>
      </c>
      <c r="N686" s="48">
        <f>IF($F686="","",IFERROR(INDEX(사건마스터!$AL$5:$AL$64,MATCH($F686,사건마스터!$A$5:$A$64,0)),""))</f>
        <v/>
      </c>
      <c r="O686" s="43">
        <f>IF($I686="","",COUNTIF($I686:$N686,"?*"))</f>
        <v/>
      </c>
      <c r="P686" s="46">
        <f>IF($I686="","",_xlfn.TEXTJOIN(", ",TRUE,$I686:$N686))</f>
        <v/>
      </c>
      <c r="Q686" s="47">
        <f>IF($I686="","",IFERROR(INDEX(코드설정!$D$5:$D$24,MATCH($I686,코드설정!$C$5:$C$24,0)),""))</f>
        <v/>
      </c>
      <c r="R686" s="49" t="n"/>
      <c r="S686" s="50" t="n"/>
      <c r="T686" s="51" t="n"/>
      <c r="U686" s="43">
        <f>IF(OR($B686="",$C686=""),"",$C686-$B686+1)</f>
        <v/>
      </c>
      <c r="V686" s="52" t="n"/>
      <c r="W686" s="53">
        <f>IF(OR($V686="",$O686=""),"",$V686*$O686)</f>
        <v/>
      </c>
      <c r="X686" s="45" t="n"/>
      <c r="Y686" s="49" t="n"/>
    </row>
    <row r="687">
      <c r="A687" s="43">
        <f>IF($B687="","",COUNT($B$5:$B687))</f>
        <v/>
      </c>
      <c r="B687" s="44" t="n"/>
      <c r="C687" s="44" t="n"/>
      <c r="D687" s="45" t="n"/>
      <c r="E687" s="45" t="n"/>
      <c r="F687" s="45" t="n"/>
      <c r="G687" s="46">
        <f>IF($F687="","",IFERROR(INDEX(사건마스터!$B$5:$B$64,MATCH($F687,사건마스터!$A$5:$A$64,0)),""))</f>
        <v/>
      </c>
      <c r="H687" s="47">
        <f>IF($F687="","",IFERROR(INDEX(사건마스터!$C$5:$C$64,MATCH($F687,사건마스터!$A$5:$A$64,0)),""))</f>
        <v/>
      </c>
      <c r="I687" s="48">
        <f>IF($F687="","",IFERROR(INDEX(사건마스터!$H$5:$H$64,MATCH($F687,사건마스터!$A$5:$A$64,0)),""))</f>
        <v/>
      </c>
      <c r="J687" s="48">
        <f>IF($F687="","",IFERROR(INDEX(사건마스터!$AH$5:$AH$64,MATCH($F687,사건마스터!$A$5:$A$64,0)),""))</f>
        <v/>
      </c>
      <c r="K687" s="48">
        <f>IF($F687="","",IFERROR(INDEX(사건마스터!$AI$5:$AI$64,MATCH($F687,사건마스터!$A$5:$A$64,0)),""))</f>
        <v/>
      </c>
      <c r="L687" s="48">
        <f>IF($F687="","",IFERROR(INDEX(사건마스터!$AJ$5:$AJ$64,MATCH($F687,사건마스터!$A$5:$A$64,0)),""))</f>
        <v/>
      </c>
      <c r="M687" s="48">
        <f>IF($F687="","",IFERROR(INDEX(사건마스터!$AK$5:$AK$64,MATCH($F687,사건마스터!$A$5:$A$64,0)),""))</f>
        <v/>
      </c>
      <c r="N687" s="48">
        <f>IF($F687="","",IFERROR(INDEX(사건마스터!$AL$5:$AL$64,MATCH($F687,사건마스터!$A$5:$A$64,0)),""))</f>
        <v/>
      </c>
      <c r="O687" s="43">
        <f>IF($I687="","",COUNTIF($I687:$N687,"?*"))</f>
        <v/>
      </c>
      <c r="P687" s="46">
        <f>IF($I687="","",_xlfn.TEXTJOIN(", ",TRUE,$I687:$N687))</f>
        <v/>
      </c>
      <c r="Q687" s="47">
        <f>IF($I687="","",IFERROR(INDEX(코드설정!$D$5:$D$24,MATCH($I687,코드설정!$C$5:$C$24,0)),""))</f>
        <v/>
      </c>
      <c r="R687" s="49" t="n"/>
      <c r="S687" s="50" t="n"/>
      <c r="T687" s="51" t="n"/>
      <c r="U687" s="43">
        <f>IF(OR($B687="",$C687=""),"",$C687-$B687+1)</f>
        <v/>
      </c>
      <c r="V687" s="52" t="n"/>
      <c r="W687" s="53">
        <f>IF(OR($V687="",$O687=""),"",$V687*$O687)</f>
        <v/>
      </c>
      <c r="X687" s="45" t="n"/>
      <c r="Y687" s="49" t="n"/>
    </row>
    <row r="688">
      <c r="A688" s="43">
        <f>IF($B688="","",COUNT($B$5:$B688))</f>
        <v/>
      </c>
      <c r="B688" s="44" t="n"/>
      <c r="C688" s="44" t="n"/>
      <c r="D688" s="45" t="n"/>
      <c r="E688" s="45" t="n"/>
      <c r="F688" s="45" t="n"/>
      <c r="G688" s="46">
        <f>IF($F688="","",IFERROR(INDEX(사건마스터!$B$5:$B$64,MATCH($F688,사건마스터!$A$5:$A$64,0)),""))</f>
        <v/>
      </c>
      <c r="H688" s="47">
        <f>IF($F688="","",IFERROR(INDEX(사건마스터!$C$5:$C$64,MATCH($F688,사건마스터!$A$5:$A$64,0)),""))</f>
        <v/>
      </c>
      <c r="I688" s="48">
        <f>IF($F688="","",IFERROR(INDEX(사건마스터!$H$5:$H$64,MATCH($F688,사건마스터!$A$5:$A$64,0)),""))</f>
        <v/>
      </c>
      <c r="J688" s="48">
        <f>IF($F688="","",IFERROR(INDEX(사건마스터!$AH$5:$AH$64,MATCH($F688,사건마스터!$A$5:$A$64,0)),""))</f>
        <v/>
      </c>
      <c r="K688" s="48">
        <f>IF($F688="","",IFERROR(INDEX(사건마스터!$AI$5:$AI$64,MATCH($F688,사건마스터!$A$5:$A$64,0)),""))</f>
        <v/>
      </c>
      <c r="L688" s="48">
        <f>IF($F688="","",IFERROR(INDEX(사건마스터!$AJ$5:$AJ$64,MATCH($F688,사건마스터!$A$5:$A$64,0)),""))</f>
        <v/>
      </c>
      <c r="M688" s="48">
        <f>IF($F688="","",IFERROR(INDEX(사건마스터!$AK$5:$AK$64,MATCH($F688,사건마스터!$A$5:$A$64,0)),""))</f>
        <v/>
      </c>
      <c r="N688" s="48">
        <f>IF($F688="","",IFERROR(INDEX(사건마스터!$AL$5:$AL$64,MATCH($F688,사건마스터!$A$5:$A$64,0)),""))</f>
        <v/>
      </c>
      <c r="O688" s="43">
        <f>IF($I688="","",COUNTIF($I688:$N688,"?*"))</f>
        <v/>
      </c>
      <c r="P688" s="46">
        <f>IF($I688="","",_xlfn.TEXTJOIN(", ",TRUE,$I688:$N688))</f>
        <v/>
      </c>
      <c r="Q688" s="47">
        <f>IF($I688="","",IFERROR(INDEX(코드설정!$D$5:$D$24,MATCH($I688,코드설정!$C$5:$C$24,0)),""))</f>
        <v/>
      </c>
      <c r="R688" s="49" t="n"/>
      <c r="S688" s="50" t="n"/>
      <c r="T688" s="51" t="n"/>
      <c r="U688" s="43">
        <f>IF(OR($B688="",$C688=""),"",$C688-$B688+1)</f>
        <v/>
      </c>
      <c r="V688" s="52" t="n"/>
      <c r="W688" s="53">
        <f>IF(OR($V688="",$O688=""),"",$V688*$O688)</f>
        <v/>
      </c>
      <c r="X688" s="45" t="n"/>
      <c r="Y688" s="49" t="n"/>
    </row>
    <row r="689">
      <c r="A689" s="43">
        <f>IF($B689="","",COUNT($B$5:$B689))</f>
        <v/>
      </c>
      <c r="B689" s="44" t="n"/>
      <c r="C689" s="44" t="n"/>
      <c r="D689" s="45" t="n"/>
      <c r="E689" s="45" t="n"/>
      <c r="F689" s="45" t="n"/>
      <c r="G689" s="46">
        <f>IF($F689="","",IFERROR(INDEX(사건마스터!$B$5:$B$64,MATCH($F689,사건마스터!$A$5:$A$64,0)),""))</f>
        <v/>
      </c>
      <c r="H689" s="47">
        <f>IF($F689="","",IFERROR(INDEX(사건마스터!$C$5:$C$64,MATCH($F689,사건마스터!$A$5:$A$64,0)),""))</f>
        <v/>
      </c>
      <c r="I689" s="48">
        <f>IF($F689="","",IFERROR(INDEX(사건마스터!$H$5:$H$64,MATCH($F689,사건마스터!$A$5:$A$64,0)),""))</f>
        <v/>
      </c>
      <c r="J689" s="48">
        <f>IF($F689="","",IFERROR(INDEX(사건마스터!$AH$5:$AH$64,MATCH($F689,사건마스터!$A$5:$A$64,0)),""))</f>
        <v/>
      </c>
      <c r="K689" s="48">
        <f>IF($F689="","",IFERROR(INDEX(사건마스터!$AI$5:$AI$64,MATCH($F689,사건마스터!$A$5:$A$64,0)),""))</f>
        <v/>
      </c>
      <c r="L689" s="48">
        <f>IF($F689="","",IFERROR(INDEX(사건마스터!$AJ$5:$AJ$64,MATCH($F689,사건마스터!$A$5:$A$64,0)),""))</f>
        <v/>
      </c>
      <c r="M689" s="48">
        <f>IF($F689="","",IFERROR(INDEX(사건마스터!$AK$5:$AK$64,MATCH($F689,사건마스터!$A$5:$A$64,0)),""))</f>
        <v/>
      </c>
      <c r="N689" s="48">
        <f>IF($F689="","",IFERROR(INDEX(사건마스터!$AL$5:$AL$64,MATCH($F689,사건마스터!$A$5:$A$64,0)),""))</f>
        <v/>
      </c>
      <c r="O689" s="43">
        <f>IF($I689="","",COUNTIF($I689:$N689,"?*"))</f>
        <v/>
      </c>
      <c r="P689" s="46">
        <f>IF($I689="","",_xlfn.TEXTJOIN(", ",TRUE,$I689:$N689))</f>
        <v/>
      </c>
      <c r="Q689" s="47">
        <f>IF($I689="","",IFERROR(INDEX(코드설정!$D$5:$D$24,MATCH($I689,코드설정!$C$5:$C$24,0)),""))</f>
        <v/>
      </c>
      <c r="R689" s="49" t="n"/>
      <c r="S689" s="50" t="n"/>
      <c r="T689" s="51" t="n"/>
      <c r="U689" s="43">
        <f>IF(OR($B689="",$C689=""),"",$C689-$B689+1)</f>
        <v/>
      </c>
      <c r="V689" s="52" t="n"/>
      <c r="W689" s="53">
        <f>IF(OR($V689="",$O689=""),"",$V689*$O689)</f>
        <v/>
      </c>
      <c r="X689" s="45" t="n"/>
      <c r="Y689" s="49" t="n"/>
    </row>
    <row r="690">
      <c r="A690" s="43">
        <f>IF($B690="","",COUNT($B$5:$B690))</f>
        <v/>
      </c>
      <c r="B690" s="44" t="n"/>
      <c r="C690" s="44" t="n"/>
      <c r="D690" s="45" t="n"/>
      <c r="E690" s="45" t="n"/>
      <c r="F690" s="45" t="n"/>
      <c r="G690" s="46">
        <f>IF($F690="","",IFERROR(INDEX(사건마스터!$B$5:$B$64,MATCH($F690,사건마스터!$A$5:$A$64,0)),""))</f>
        <v/>
      </c>
      <c r="H690" s="47">
        <f>IF($F690="","",IFERROR(INDEX(사건마스터!$C$5:$C$64,MATCH($F690,사건마스터!$A$5:$A$64,0)),""))</f>
        <v/>
      </c>
      <c r="I690" s="48">
        <f>IF($F690="","",IFERROR(INDEX(사건마스터!$H$5:$H$64,MATCH($F690,사건마스터!$A$5:$A$64,0)),""))</f>
        <v/>
      </c>
      <c r="J690" s="48">
        <f>IF($F690="","",IFERROR(INDEX(사건마스터!$AH$5:$AH$64,MATCH($F690,사건마스터!$A$5:$A$64,0)),""))</f>
        <v/>
      </c>
      <c r="K690" s="48">
        <f>IF($F690="","",IFERROR(INDEX(사건마스터!$AI$5:$AI$64,MATCH($F690,사건마스터!$A$5:$A$64,0)),""))</f>
        <v/>
      </c>
      <c r="L690" s="48">
        <f>IF($F690="","",IFERROR(INDEX(사건마스터!$AJ$5:$AJ$64,MATCH($F690,사건마스터!$A$5:$A$64,0)),""))</f>
        <v/>
      </c>
      <c r="M690" s="48">
        <f>IF($F690="","",IFERROR(INDEX(사건마스터!$AK$5:$AK$64,MATCH($F690,사건마스터!$A$5:$A$64,0)),""))</f>
        <v/>
      </c>
      <c r="N690" s="48">
        <f>IF($F690="","",IFERROR(INDEX(사건마스터!$AL$5:$AL$64,MATCH($F690,사건마스터!$A$5:$A$64,0)),""))</f>
        <v/>
      </c>
      <c r="O690" s="43">
        <f>IF($I690="","",COUNTIF($I690:$N690,"?*"))</f>
        <v/>
      </c>
      <c r="P690" s="46">
        <f>IF($I690="","",_xlfn.TEXTJOIN(", ",TRUE,$I690:$N690))</f>
        <v/>
      </c>
      <c r="Q690" s="47">
        <f>IF($I690="","",IFERROR(INDEX(코드설정!$D$5:$D$24,MATCH($I690,코드설정!$C$5:$C$24,0)),""))</f>
        <v/>
      </c>
      <c r="R690" s="49" t="n"/>
      <c r="S690" s="50" t="n"/>
      <c r="T690" s="51" t="n"/>
      <c r="U690" s="43">
        <f>IF(OR($B690="",$C690=""),"",$C690-$B690+1)</f>
        <v/>
      </c>
      <c r="V690" s="52" t="n"/>
      <c r="W690" s="53">
        <f>IF(OR($V690="",$O690=""),"",$V690*$O690)</f>
        <v/>
      </c>
      <c r="X690" s="45" t="n"/>
      <c r="Y690" s="49" t="n"/>
    </row>
    <row r="691">
      <c r="A691" s="43">
        <f>IF($B691="","",COUNT($B$5:$B691))</f>
        <v/>
      </c>
      <c r="B691" s="44" t="n"/>
      <c r="C691" s="44" t="n"/>
      <c r="D691" s="45" t="n"/>
      <c r="E691" s="45" t="n"/>
      <c r="F691" s="45" t="n"/>
      <c r="G691" s="46">
        <f>IF($F691="","",IFERROR(INDEX(사건마스터!$B$5:$B$64,MATCH($F691,사건마스터!$A$5:$A$64,0)),""))</f>
        <v/>
      </c>
      <c r="H691" s="47">
        <f>IF($F691="","",IFERROR(INDEX(사건마스터!$C$5:$C$64,MATCH($F691,사건마스터!$A$5:$A$64,0)),""))</f>
        <v/>
      </c>
      <c r="I691" s="48">
        <f>IF($F691="","",IFERROR(INDEX(사건마스터!$H$5:$H$64,MATCH($F691,사건마스터!$A$5:$A$64,0)),""))</f>
        <v/>
      </c>
      <c r="J691" s="48">
        <f>IF($F691="","",IFERROR(INDEX(사건마스터!$AH$5:$AH$64,MATCH($F691,사건마스터!$A$5:$A$64,0)),""))</f>
        <v/>
      </c>
      <c r="K691" s="48">
        <f>IF($F691="","",IFERROR(INDEX(사건마스터!$AI$5:$AI$64,MATCH($F691,사건마스터!$A$5:$A$64,0)),""))</f>
        <v/>
      </c>
      <c r="L691" s="48">
        <f>IF($F691="","",IFERROR(INDEX(사건마스터!$AJ$5:$AJ$64,MATCH($F691,사건마스터!$A$5:$A$64,0)),""))</f>
        <v/>
      </c>
      <c r="M691" s="48">
        <f>IF($F691="","",IFERROR(INDEX(사건마스터!$AK$5:$AK$64,MATCH($F691,사건마스터!$A$5:$A$64,0)),""))</f>
        <v/>
      </c>
      <c r="N691" s="48">
        <f>IF($F691="","",IFERROR(INDEX(사건마스터!$AL$5:$AL$64,MATCH($F691,사건마스터!$A$5:$A$64,0)),""))</f>
        <v/>
      </c>
      <c r="O691" s="43">
        <f>IF($I691="","",COUNTIF($I691:$N691,"?*"))</f>
        <v/>
      </c>
      <c r="P691" s="46">
        <f>IF($I691="","",_xlfn.TEXTJOIN(", ",TRUE,$I691:$N691))</f>
        <v/>
      </c>
      <c r="Q691" s="47">
        <f>IF($I691="","",IFERROR(INDEX(코드설정!$D$5:$D$24,MATCH($I691,코드설정!$C$5:$C$24,0)),""))</f>
        <v/>
      </c>
      <c r="R691" s="49" t="n"/>
      <c r="S691" s="50" t="n"/>
      <c r="T691" s="51" t="n"/>
      <c r="U691" s="43">
        <f>IF(OR($B691="",$C691=""),"",$C691-$B691+1)</f>
        <v/>
      </c>
      <c r="V691" s="52" t="n"/>
      <c r="W691" s="53">
        <f>IF(OR($V691="",$O691=""),"",$V691*$O691)</f>
        <v/>
      </c>
      <c r="X691" s="45" t="n"/>
      <c r="Y691" s="49" t="n"/>
    </row>
    <row r="692">
      <c r="A692" s="43">
        <f>IF($B692="","",COUNT($B$5:$B692))</f>
        <v/>
      </c>
      <c r="B692" s="44" t="n"/>
      <c r="C692" s="44" t="n"/>
      <c r="D692" s="45" t="n"/>
      <c r="E692" s="45" t="n"/>
      <c r="F692" s="45" t="n"/>
      <c r="G692" s="46">
        <f>IF($F692="","",IFERROR(INDEX(사건마스터!$B$5:$B$64,MATCH($F692,사건마스터!$A$5:$A$64,0)),""))</f>
        <v/>
      </c>
      <c r="H692" s="47">
        <f>IF($F692="","",IFERROR(INDEX(사건마스터!$C$5:$C$64,MATCH($F692,사건마스터!$A$5:$A$64,0)),""))</f>
        <v/>
      </c>
      <c r="I692" s="48">
        <f>IF($F692="","",IFERROR(INDEX(사건마스터!$H$5:$H$64,MATCH($F692,사건마스터!$A$5:$A$64,0)),""))</f>
        <v/>
      </c>
      <c r="J692" s="48">
        <f>IF($F692="","",IFERROR(INDEX(사건마스터!$AH$5:$AH$64,MATCH($F692,사건마스터!$A$5:$A$64,0)),""))</f>
        <v/>
      </c>
      <c r="K692" s="48">
        <f>IF($F692="","",IFERROR(INDEX(사건마스터!$AI$5:$AI$64,MATCH($F692,사건마스터!$A$5:$A$64,0)),""))</f>
        <v/>
      </c>
      <c r="L692" s="48">
        <f>IF($F692="","",IFERROR(INDEX(사건마스터!$AJ$5:$AJ$64,MATCH($F692,사건마스터!$A$5:$A$64,0)),""))</f>
        <v/>
      </c>
      <c r="M692" s="48">
        <f>IF($F692="","",IFERROR(INDEX(사건마스터!$AK$5:$AK$64,MATCH($F692,사건마스터!$A$5:$A$64,0)),""))</f>
        <v/>
      </c>
      <c r="N692" s="48">
        <f>IF($F692="","",IFERROR(INDEX(사건마스터!$AL$5:$AL$64,MATCH($F692,사건마스터!$A$5:$A$64,0)),""))</f>
        <v/>
      </c>
      <c r="O692" s="43">
        <f>IF($I692="","",COUNTIF($I692:$N692,"?*"))</f>
        <v/>
      </c>
      <c r="P692" s="46">
        <f>IF($I692="","",_xlfn.TEXTJOIN(", ",TRUE,$I692:$N692))</f>
        <v/>
      </c>
      <c r="Q692" s="47">
        <f>IF($I692="","",IFERROR(INDEX(코드설정!$D$5:$D$24,MATCH($I692,코드설정!$C$5:$C$24,0)),""))</f>
        <v/>
      </c>
      <c r="R692" s="49" t="n"/>
      <c r="S692" s="50" t="n"/>
      <c r="T692" s="51" t="n"/>
      <c r="U692" s="43">
        <f>IF(OR($B692="",$C692=""),"",$C692-$B692+1)</f>
        <v/>
      </c>
      <c r="V692" s="52" t="n"/>
      <c r="W692" s="53">
        <f>IF(OR($V692="",$O692=""),"",$V692*$O692)</f>
        <v/>
      </c>
      <c r="X692" s="45" t="n"/>
      <c r="Y692" s="49" t="n"/>
    </row>
    <row r="693">
      <c r="A693" s="43">
        <f>IF($B693="","",COUNT($B$5:$B693))</f>
        <v/>
      </c>
      <c r="B693" s="44" t="n"/>
      <c r="C693" s="44" t="n"/>
      <c r="D693" s="45" t="n"/>
      <c r="E693" s="45" t="n"/>
      <c r="F693" s="45" t="n"/>
      <c r="G693" s="46">
        <f>IF($F693="","",IFERROR(INDEX(사건마스터!$B$5:$B$64,MATCH($F693,사건마스터!$A$5:$A$64,0)),""))</f>
        <v/>
      </c>
      <c r="H693" s="47">
        <f>IF($F693="","",IFERROR(INDEX(사건마스터!$C$5:$C$64,MATCH($F693,사건마스터!$A$5:$A$64,0)),""))</f>
        <v/>
      </c>
      <c r="I693" s="48">
        <f>IF($F693="","",IFERROR(INDEX(사건마스터!$H$5:$H$64,MATCH($F693,사건마스터!$A$5:$A$64,0)),""))</f>
        <v/>
      </c>
      <c r="J693" s="48">
        <f>IF($F693="","",IFERROR(INDEX(사건마스터!$AH$5:$AH$64,MATCH($F693,사건마스터!$A$5:$A$64,0)),""))</f>
        <v/>
      </c>
      <c r="K693" s="48">
        <f>IF($F693="","",IFERROR(INDEX(사건마스터!$AI$5:$AI$64,MATCH($F693,사건마스터!$A$5:$A$64,0)),""))</f>
        <v/>
      </c>
      <c r="L693" s="48">
        <f>IF($F693="","",IFERROR(INDEX(사건마스터!$AJ$5:$AJ$64,MATCH($F693,사건마스터!$A$5:$A$64,0)),""))</f>
        <v/>
      </c>
      <c r="M693" s="48">
        <f>IF($F693="","",IFERROR(INDEX(사건마스터!$AK$5:$AK$64,MATCH($F693,사건마스터!$A$5:$A$64,0)),""))</f>
        <v/>
      </c>
      <c r="N693" s="48">
        <f>IF($F693="","",IFERROR(INDEX(사건마스터!$AL$5:$AL$64,MATCH($F693,사건마스터!$A$5:$A$64,0)),""))</f>
        <v/>
      </c>
      <c r="O693" s="43">
        <f>IF($I693="","",COUNTIF($I693:$N693,"?*"))</f>
        <v/>
      </c>
      <c r="P693" s="46">
        <f>IF($I693="","",_xlfn.TEXTJOIN(", ",TRUE,$I693:$N693))</f>
        <v/>
      </c>
      <c r="Q693" s="47">
        <f>IF($I693="","",IFERROR(INDEX(코드설정!$D$5:$D$24,MATCH($I693,코드설정!$C$5:$C$24,0)),""))</f>
        <v/>
      </c>
      <c r="R693" s="49" t="n"/>
      <c r="S693" s="50" t="n"/>
      <c r="T693" s="51" t="n"/>
      <c r="U693" s="43">
        <f>IF(OR($B693="",$C693=""),"",$C693-$B693+1)</f>
        <v/>
      </c>
      <c r="V693" s="52" t="n"/>
      <c r="W693" s="53">
        <f>IF(OR($V693="",$O693=""),"",$V693*$O693)</f>
        <v/>
      </c>
      <c r="X693" s="45" t="n"/>
      <c r="Y693" s="49" t="n"/>
    </row>
    <row r="694">
      <c r="A694" s="43">
        <f>IF($B694="","",COUNT($B$5:$B694))</f>
        <v/>
      </c>
      <c r="B694" s="44" t="n"/>
      <c r="C694" s="44" t="n"/>
      <c r="D694" s="45" t="n"/>
      <c r="E694" s="45" t="n"/>
      <c r="F694" s="45" t="n"/>
      <c r="G694" s="46">
        <f>IF($F694="","",IFERROR(INDEX(사건마스터!$B$5:$B$64,MATCH($F694,사건마스터!$A$5:$A$64,0)),""))</f>
        <v/>
      </c>
      <c r="H694" s="47">
        <f>IF($F694="","",IFERROR(INDEX(사건마스터!$C$5:$C$64,MATCH($F694,사건마스터!$A$5:$A$64,0)),""))</f>
        <v/>
      </c>
      <c r="I694" s="48">
        <f>IF($F694="","",IFERROR(INDEX(사건마스터!$H$5:$H$64,MATCH($F694,사건마스터!$A$5:$A$64,0)),""))</f>
        <v/>
      </c>
      <c r="J694" s="48">
        <f>IF($F694="","",IFERROR(INDEX(사건마스터!$AH$5:$AH$64,MATCH($F694,사건마스터!$A$5:$A$64,0)),""))</f>
        <v/>
      </c>
      <c r="K694" s="48">
        <f>IF($F694="","",IFERROR(INDEX(사건마스터!$AI$5:$AI$64,MATCH($F694,사건마스터!$A$5:$A$64,0)),""))</f>
        <v/>
      </c>
      <c r="L694" s="48">
        <f>IF($F694="","",IFERROR(INDEX(사건마스터!$AJ$5:$AJ$64,MATCH($F694,사건마스터!$A$5:$A$64,0)),""))</f>
        <v/>
      </c>
      <c r="M694" s="48">
        <f>IF($F694="","",IFERROR(INDEX(사건마스터!$AK$5:$AK$64,MATCH($F694,사건마스터!$A$5:$A$64,0)),""))</f>
        <v/>
      </c>
      <c r="N694" s="48">
        <f>IF($F694="","",IFERROR(INDEX(사건마스터!$AL$5:$AL$64,MATCH($F694,사건마스터!$A$5:$A$64,0)),""))</f>
        <v/>
      </c>
      <c r="O694" s="43">
        <f>IF($I694="","",COUNTIF($I694:$N694,"?*"))</f>
        <v/>
      </c>
      <c r="P694" s="46">
        <f>IF($I694="","",_xlfn.TEXTJOIN(", ",TRUE,$I694:$N694))</f>
        <v/>
      </c>
      <c r="Q694" s="47">
        <f>IF($I694="","",IFERROR(INDEX(코드설정!$D$5:$D$24,MATCH($I694,코드설정!$C$5:$C$24,0)),""))</f>
        <v/>
      </c>
      <c r="R694" s="49" t="n"/>
      <c r="S694" s="50" t="n"/>
      <c r="T694" s="51" t="n"/>
      <c r="U694" s="43">
        <f>IF(OR($B694="",$C694=""),"",$C694-$B694+1)</f>
        <v/>
      </c>
      <c r="V694" s="52" t="n"/>
      <c r="W694" s="53">
        <f>IF(OR($V694="",$O694=""),"",$V694*$O694)</f>
        <v/>
      </c>
      <c r="X694" s="45" t="n"/>
      <c r="Y694" s="49" t="n"/>
    </row>
    <row r="695">
      <c r="A695" s="43">
        <f>IF($B695="","",COUNT($B$5:$B695))</f>
        <v/>
      </c>
      <c r="B695" s="44" t="n"/>
      <c r="C695" s="44" t="n"/>
      <c r="D695" s="45" t="n"/>
      <c r="E695" s="45" t="n"/>
      <c r="F695" s="45" t="n"/>
      <c r="G695" s="46">
        <f>IF($F695="","",IFERROR(INDEX(사건마스터!$B$5:$B$64,MATCH($F695,사건마스터!$A$5:$A$64,0)),""))</f>
        <v/>
      </c>
      <c r="H695" s="47">
        <f>IF($F695="","",IFERROR(INDEX(사건마스터!$C$5:$C$64,MATCH($F695,사건마스터!$A$5:$A$64,0)),""))</f>
        <v/>
      </c>
      <c r="I695" s="48">
        <f>IF($F695="","",IFERROR(INDEX(사건마스터!$H$5:$H$64,MATCH($F695,사건마스터!$A$5:$A$64,0)),""))</f>
        <v/>
      </c>
      <c r="J695" s="48">
        <f>IF($F695="","",IFERROR(INDEX(사건마스터!$AH$5:$AH$64,MATCH($F695,사건마스터!$A$5:$A$64,0)),""))</f>
        <v/>
      </c>
      <c r="K695" s="48">
        <f>IF($F695="","",IFERROR(INDEX(사건마스터!$AI$5:$AI$64,MATCH($F695,사건마스터!$A$5:$A$64,0)),""))</f>
        <v/>
      </c>
      <c r="L695" s="48">
        <f>IF($F695="","",IFERROR(INDEX(사건마스터!$AJ$5:$AJ$64,MATCH($F695,사건마스터!$A$5:$A$64,0)),""))</f>
        <v/>
      </c>
      <c r="M695" s="48">
        <f>IF($F695="","",IFERROR(INDEX(사건마스터!$AK$5:$AK$64,MATCH($F695,사건마스터!$A$5:$A$64,0)),""))</f>
        <v/>
      </c>
      <c r="N695" s="48">
        <f>IF($F695="","",IFERROR(INDEX(사건마스터!$AL$5:$AL$64,MATCH($F695,사건마스터!$A$5:$A$64,0)),""))</f>
        <v/>
      </c>
      <c r="O695" s="43">
        <f>IF($I695="","",COUNTIF($I695:$N695,"?*"))</f>
        <v/>
      </c>
      <c r="P695" s="46">
        <f>IF($I695="","",_xlfn.TEXTJOIN(", ",TRUE,$I695:$N695))</f>
        <v/>
      </c>
      <c r="Q695" s="47">
        <f>IF($I695="","",IFERROR(INDEX(코드설정!$D$5:$D$24,MATCH($I695,코드설정!$C$5:$C$24,0)),""))</f>
        <v/>
      </c>
      <c r="R695" s="49" t="n"/>
      <c r="S695" s="50" t="n"/>
      <c r="T695" s="51" t="n"/>
      <c r="U695" s="43">
        <f>IF(OR($B695="",$C695=""),"",$C695-$B695+1)</f>
        <v/>
      </c>
      <c r="V695" s="52" t="n"/>
      <c r="W695" s="53">
        <f>IF(OR($V695="",$O695=""),"",$V695*$O695)</f>
        <v/>
      </c>
      <c r="X695" s="45" t="n"/>
      <c r="Y695" s="49" t="n"/>
    </row>
    <row r="696">
      <c r="A696" s="43">
        <f>IF($B696="","",COUNT($B$5:$B696))</f>
        <v/>
      </c>
      <c r="B696" s="44" t="n"/>
      <c r="C696" s="44" t="n"/>
      <c r="D696" s="45" t="n"/>
      <c r="E696" s="45" t="n"/>
      <c r="F696" s="45" t="n"/>
      <c r="G696" s="46">
        <f>IF($F696="","",IFERROR(INDEX(사건마스터!$B$5:$B$64,MATCH($F696,사건마스터!$A$5:$A$64,0)),""))</f>
        <v/>
      </c>
      <c r="H696" s="47">
        <f>IF($F696="","",IFERROR(INDEX(사건마스터!$C$5:$C$64,MATCH($F696,사건마스터!$A$5:$A$64,0)),""))</f>
        <v/>
      </c>
      <c r="I696" s="48">
        <f>IF($F696="","",IFERROR(INDEX(사건마스터!$H$5:$H$64,MATCH($F696,사건마스터!$A$5:$A$64,0)),""))</f>
        <v/>
      </c>
      <c r="J696" s="48">
        <f>IF($F696="","",IFERROR(INDEX(사건마스터!$AH$5:$AH$64,MATCH($F696,사건마스터!$A$5:$A$64,0)),""))</f>
        <v/>
      </c>
      <c r="K696" s="48">
        <f>IF($F696="","",IFERROR(INDEX(사건마스터!$AI$5:$AI$64,MATCH($F696,사건마스터!$A$5:$A$64,0)),""))</f>
        <v/>
      </c>
      <c r="L696" s="48">
        <f>IF($F696="","",IFERROR(INDEX(사건마스터!$AJ$5:$AJ$64,MATCH($F696,사건마스터!$A$5:$A$64,0)),""))</f>
        <v/>
      </c>
      <c r="M696" s="48">
        <f>IF($F696="","",IFERROR(INDEX(사건마스터!$AK$5:$AK$64,MATCH($F696,사건마스터!$A$5:$A$64,0)),""))</f>
        <v/>
      </c>
      <c r="N696" s="48">
        <f>IF($F696="","",IFERROR(INDEX(사건마스터!$AL$5:$AL$64,MATCH($F696,사건마스터!$A$5:$A$64,0)),""))</f>
        <v/>
      </c>
      <c r="O696" s="43">
        <f>IF($I696="","",COUNTIF($I696:$N696,"?*"))</f>
        <v/>
      </c>
      <c r="P696" s="46">
        <f>IF($I696="","",_xlfn.TEXTJOIN(", ",TRUE,$I696:$N696))</f>
        <v/>
      </c>
      <c r="Q696" s="47">
        <f>IF($I696="","",IFERROR(INDEX(코드설정!$D$5:$D$24,MATCH($I696,코드설정!$C$5:$C$24,0)),""))</f>
        <v/>
      </c>
      <c r="R696" s="49" t="n"/>
      <c r="S696" s="50" t="n"/>
      <c r="T696" s="51" t="n"/>
      <c r="U696" s="43">
        <f>IF(OR($B696="",$C696=""),"",$C696-$B696+1)</f>
        <v/>
      </c>
      <c r="V696" s="52" t="n"/>
      <c r="W696" s="53">
        <f>IF(OR($V696="",$O696=""),"",$V696*$O696)</f>
        <v/>
      </c>
      <c r="X696" s="45" t="n"/>
      <c r="Y696" s="49" t="n"/>
    </row>
    <row r="697">
      <c r="A697" s="43">
        <f>IF($B697="","",COUNT($B$5:$B697))</f>
        <v/>
      </c>
      <c r="B697" s="44" t="n"/>
      <c r="C697" s="44" t="n"/>
      <c r="D697" s="45" t="n"/>
      <c r="E697" s="45" t="n"/>
      <c r="F697" s="45" t="n"/>
      <c r="G697" s="46">
        <f>IF($F697="","",IFERROR(INDEX(사건마스터!$B$5:$B$64,MATCH($F697,사건마스터!$A$5:$A$64,0)),""))</f>
        <v/>
      </c>
      <c r="H697" s="47">
        <f>IF($F697="","",IFERROR(INDEX(사건마스터!$C$5:$C$64,MATCH($F697,사건마스터!$A$5:$A$64,0)),""))</f>
        <v/>
      </c>
      <c r="I697" s="48">
        <f>IF($F697="","",IFERROR(INDEX(사건마스터!$H$5:$H$64,MATCH($F697,사건마스터!$A$5:$A$64,0)),""))</f>
        <v/>
      </c>
      <c r="J697" s="48">
        <f>IF($F697="","",IFERROR(INDEX(사건마스터!$AH$5:$AH$64,MATCH($F697,사건마스터!$A$5:$A$64,0)),""))</f>
        <v/>
      </c>
      <c r="K697" s="48">
        <f>IF($F697="","",IFERROR(INDEX(사건마스터!$AI$5:$AI$64,MATCH($F697,사건마스터!$A$5:$A$64,0)),""))</f>
        <v/>
      </c>
      <c r="L697" s="48">
        <f>IF($F697="","",IFERROR(INDEX(사건마스터!$AJ$5:$AJ$64,MATCH($F697,사건마스터!$A$5:$A$64,0)),""))</f>
        <v/>
      </c>
      <c r="M697" s="48">
        <f>IF($F697="","",IFERROR(INDEX(사건마스터!$AK$5:$AK$64,MATCH($F697,사건마스터!$A$5:$A$64,0)),""))</f>
        <v/>
      </c>
      <c r="N697" s="48">
        <f>IF($F697="","",IFERROR(INDEX(사건마스터!$AL$5:$AL$64,MATCH($F697,사건마스터!$A$5:$A$64,0)),""))</f>
        <v/>
      </c>
      <c r="O697" s="43">
        <f>IF($I697="","",COUNTIF($I697:$N697,"?*"))</f>
        <v/>
      </c>
      <c r="P697" s="46">
        <f>IF($I697="","",_xlfn.TEXTJOIN(", ",TRUE,$I697:$N697))</f>
        <v/>
      </c>
      <c r="Q697" s="47">
        <f>IF($I697="","",IFERROR(INDEX(코드설정!$D$5:$D$24,MATCH($I697,코드설정!$C$5:$C$24,0)),""))</f>
        <v/>
      </c>
      <c r="R697" s="49" t="n"/>
      <c r="S697" s="50" t="n"/>
      <c r="T697" s="51" t="n"/>
      <c r="U697" s="43">
        <f>IF(OR($B697="",$C697=""),"",$C697-$B697+1)</f>
        <v/>
      </c>
      <c r="V697" s="52" t="n"/>
      <c r="W697" s="53">
        <f>IF(OR($V697="",$O697=""),"",$V697*$O697)</f>
        <v/>
      </c>
      <c r="X697" s="45" t="n"/>
      <c r="Y697" s="49" t="n"/>
    </row>
    <row r="698">
      <c r="A698" s="43">
        <f>IF($B698="","",COUNT($B$5:$B698))</f>
        <v/>
      </c>
      <c r="B698" s="44" t="n"/>
      <c r="C698" s="44" t="n"/>
      <c r="D698" s="45" t="n"/>
      <c r="E698" s="45" t="n"/>
      <c r="F698" s="45" t="n"/>
      <c r="G698" s="46">
        <f>IF($F698="","",IFERROR(INDEX(사건마스터!$B$5:$B$64,MATCH($F698,사건마스터!$A$5:$A$64,0)),""))</f>
        <v/>
      </c>
      <c r="H698" s="47">
        <f>IF($F698="","",IFERROR(INDEX(사건마스터!$C$5:$C$64,MATCH($F698,사건마스터!$A$5:$A$64,0)),""))</f>
        <v/>
      </c>
      <c r="I698" s="48">
        <f>IF($F698="","",IFERROR(INDEX(사건마스터!$H$5:$H$64,MATCH($F698,사건마스터!$A$5:$A$64,0)),""))</f>
        <v/>
      </c>
      <c r="J698" s="48">
        <f>IF($F698="","",IFERROR(INDEX(사건마스터!$AH$5:$AH$64,MATCH($F698,사건마스터!$A$5:$A$64,0)),""))</f>
        <v/>
      </c>
      <c r="K698" s="48">
        <f>IF($F698="","",IFERROR(INDEX(사건마스터!$AI$5:$AI$64,MATCH($F698,사건마스터!$A$5:$A$64,0)),""))</f>
        <v/>
      </c>
      <c r="L698" s="48">
        <f>IF($F698="","",IFERROR(INDEX(사건마스터!$AJ$5:$AJ$64,MATCH($F698,사건마스터!$A$5:$A$64,0)),""))</f>
        <v/>
      </c>
      <c r="M698" s="48">
        <f>IF($F698="","",IFERROR(INDEX(사건마스터!$AK$5:$AK$64,MATCH($F698,사건마스터!$A$5:$A$64,0)),""))</f>
        <v/>
      </c>
      <c r="N698" s="48">
        <f>IF($F698="","",IFERROR(INDEX(사건마스터!$AL$5:$AL$64,MATCH($F698,사건마스터!$A$5:$A$64,0)),""))</f>
        <v/>
      </c>
      <c r="O698" s="43">
        <f>IF($I698="","",COUNTIF($I698:$N698,"?*"))</f>
        <v/>
      </c>
      <c r="P698" s="46">
        <f>IF($I698="","",_xlfn.TEXTJOIN(", ",TRUE,$I698:$N698))</f>
        <v/>
      </c>
      <c r="Q698" s="47">
        <f>IF($I698="","",IFERROR(INDEX(코드설정!$D$5:$D$24,MATCH($I698,코드설정!$C$5:$C$24,0)),""))</f>
        <v/>
      </c>
      <c r="R698" s="49" t="n"/>
      <c r="S698" s="50" t="n"/>
      <c r="T698" s="51" t="n"/>
      <c r="U698" s="43">
        <f>IF(OR($B698="",$C698=""),"",$C698-$B698+1)</f>
        <v/>
      </c>
      <c r="V698" s="52" t="n"/>
      <c r="W698" s="53">
        <f>IF(OR($V698="",$O698=""),"",$V698*$O698)</f>
        <v/>
      </c>
      <c r="X698" s="45" t="n"/>
      <c r="Y698" s="49" t="n"/>
    </row>
    <row r="699">
      <c r="A699" s="43">
        <f>IF($B699="","",COUNT($B$5:$B699))</f>
        <v/>
      </c>
      <c r="B699" s="44" t="n"/>
      <c r="C699" s="44" t="n"/>
      <c r="D699" s="45" t="n"/>
      <c r="E699" s="45" t="n"/>
      <c r="F699" s="45" t="n"/>
      <c r="G699" s="46">
        <f>IF($F699="","",IFERROR(INDEX(사건마스터!$B$5:$B$64,MATCH($F699,사건마스터!$A$5:$A$64,0)),""))</f>
        <v/>
      </c>
      <c r="H699" s="47">
        <f>IF($F699="","",IFERROR(INDEX(사건마스터!$C$5:$C$64,MATCH($F699,사건마스터!$A$5:$A$64,0)),""))</f>
        <v/>
      </c>
      <c r="I699" s="48">
        <f>IF($F699="","",IFERROR(INDEX(사건마스터!$H$5:$H$64,MATCH($F699,사건마스터!$A$5:$A$64,0)),""))</f>
        <v/>
      </c>
      <c r="J699" s="48">
        <f>IF($F699="","",IFERROR(INDEX(사건마스터!$AH$5:$AH$64,MATCH($F699,사건마스터!$A$5:$A$64,0)),""))</f>
        <v/>
      </c>
      <c r="K699" s="48">
        <f>IF($F699="","",IFERROR(INDEX(사건마스터!$AI$5:$AI$64,MATCH($F699,사건마스터!$A$5:$A$64,0)),""))</f>
        <v/>
      </c>
      <c r="L699" s="48">
        <f>IF($F699="","",IFERROR(INDEX(사건마스터!$AJ$5:$AJ$64,MATCH($F699,사건마스터!$A$5:$A$64,0)),""))</f>
        <v/>
      </c>
      <c r="M699" s="48">
        <f>IF($F699="","",IFERROR(INDEX(사건마스터!$AK$5:$AK$64,MATCH($F699,사건마스터!$A$5:$A$64,0)),""))</f>
        <v/>
      </c>
      <c r="N699" s="48">
        <f>IF($F699="","",IFERROR(INDEX(사건마스터!$AL$5:$AL$64,MATCH($F699,사건마스터!$A$5:$A$64,0)),""))</f>
        <v/>
      </c>
      <c r="O699" s="43">
        <f>IF($I699="","",COUNTIF($I699:$N699,"?*"))</f>
        <v/>
      </c>
      <c r="P699" s="46">
        <f>IF($I699="","",_xlfn.TEXTJOIN(", ",TRUE,$I699:$N699))</f>
        <v/>
      </c>
      <c r="Q699" s="47">
        <f>IF($I699="","",IFERROR(INDEX(코드설정!$D$5:$D$24,MATCH($I699,코드설정!$C$5:$C$24,0)),""))</f>
        <v/>
      </c>
      <c r="R699" s="49" t="n"/>
      <c r="S699" s="50" t="n"/>
      <c r="T699" s="51" t="n"/>
      <c r="U699" s="43">
        <f>IF(OR($B699="",$C699=""),"",$C699-$B699+1)</f>
        <v/>
      </c>
      <c r="V699" s="52" t="n"/>
      <c r="W699" s="53">
        <f>IF(OR($V699="",$O699=""),"",$V699*$O699)</f>
        <v/>
      </c>
      <c r="X699" s="45" t="n"/>
      <c r="Y699" s="49" t="n"/>
    </row>
    <row r="700">
      <c r="A700" s="43">
        <f>IF($B700="","",COUNT($B$5:$B700))</f>
        <v/>
      </c>
      <c r="B700" s="44" t="n"/>
      <c r="C700" s="44" t="n"/>
      <c r="D700" s="45" t="n"/>
      <c r="E700" s="45" t="n"/>
      <c r="F700" s="45" t="n"/>
      <c r="G700" s="46">
        <f>IF($F700="","",IFERROR(INDEX(사건마스터!$B$5:$B$64,MATCH($F700,사건마스터!$A$5:$A$64,0)),""))</f>
        <v/>
      </c>
      <c r="H700" s="47">
        <f>IF($F700="","",IFERROR(INDEX(사건마스터!$C$5:$C$64,MATCH($F700,사건마스터!$A$5:$A$64,0)),""))</f>
        <v/>
      </c>
      <c r="I700" s="48">
        <f>IF($F700="","",IFERROR(INDEX(사건마스터!$H$5:$H$64,MATCH($F700,사건마스터!$A$5:$A$64,0)),""))</f>
        <v/>
      </c>
      <c r="J700" s="48">
        <f>IF($F700="","",IFERROR(INDEX(사건마스터!$AH$5:$AH$64,MATCH($F700,사건마스터!$A$5:$A$64,0)),""))</f>
        <v/>
      </c>
      <c r="K700" s="48">
        <f>IF($F700="","",IFERROR(INDEX(사건마스터!$AI$5:$AI$64,MATCH($F700,사건마스터!$A$5:$A$64,0)),""))</f>
        <v/>
      </c>
      <c r="L700" s="48">
        <f>IF($F700="","",IFERROR(INDEX(사건마스터!$AJ$5:$AJ$64,MATCH($F700,사건마스터!$A$5:$A$64,0)),""))</f>
        <v/>
      </c>
      <c r="M700" s="48">
        <f>IF($F700="","",IFERROR(INDEX(사건마스터!$AK$5:$AK$64,MATCH($F700,사건마스터!$A$5:$A$64,0)),""))</f>
        <v/>
      </c>
      <c r="N700" s="48">
        <f>IF($F700="","",IFERROR(INDEX(사건마스터!$AL$5:$AL$64,MATCH($F700,사건마스터!$A$5:$A$64,0)),""))</f>
        <v/>
      </c>
      <c r="O700" s="43">
        <f>IF($I700="","",COUNTIF($I700:$N700,"?*"))</f>
        <v/>
      </c>
      <c r="P700" s="46">
        <f>IF($I700="","",_xlfn.TEXTJOIN(", ",TRUE,$I700:$N700))</f>
        <v/>
      </c>
      <c r="Q700" s="47">
        <f>IF($I700="","",IFERROR(INDEX(코드설정!$D$5:$D$24,MATCH($I700,코드설정!$C$5:$C$24,0)),""))</f>
        <v/>
      </c>
      <c r="R700" s="49" t="n"/>
      <c r="S700" s="50" t="n"/>
      <c r="T700" s="51" t="n"/>
      <c r="U700" s="43">
        <f>IF(OR($B700="",$C700=""),"",$C700-$B700+1)</f>
        <v/>
      </c>
      <c r="V700" s="52" t="n"/>
      <c r="W700" s="53">
        <f>IF(OR($V700="",$O700=""),"",$V700*$O700)</f>
        <v/>
      </c>
      <c r="X700" s="45" t="n"/>
      <c r="Y700" s="49" t="n"/>
    </row>
    <row r="701">
      <c r="A701" s="43">
        <f>IF($B701="","",COUNT($B$5:$B701))</f>
        <v/>
      </c>
      <c r="B701" s="44" t="n"/>
      <c r="C701" s="44" t="n"/>
      <c r="D701" s="45" t="n"/>
      <c r="E701" s="45" t="n"/>
      <c r="F701" s="45" t="n"/>
      <c r="G701" s="46">
        <f>IF($F701="","",IFERROR(INDEX(사건마스터!$B$5:$B$64,MATCH($F701,사건마스터!$A$5:$A$64,0)),""))</f>
        <v/>
      </c>
      <c r="H701" s="47">
        <f>IF($F701="","",IFERROR(INDEX(사건마스터!$C$5:$C$64,MATCH($F701,사건마스터!$A$5:$A$64,0)),""))</f>
        <v/>
      </c>
      <c r="I701" s="48">
        <f>IF($F701="","",IFERROR(INDEX(사건마스터!$H$5:$H$64,MATCH($F701,사건마스터!$A$5:$A$64,0)),""))</f>
        <v/>
      </c>
      <c r="J701" s="48">
        <f>IF($F701="","",IFERROR(INDEX(사건마스터!$AH$5:$AH$64,MATCH($F701,사건마스터!$A$5:$A$64,0)),""))</f>
        <v/>
      </c>
      <c r="K701" s="48">
        <f>IF($F701="","",IFERROR(INDEX(사건마스터!$AI$5:$AI$64,MATCH($F701,사건마스터!$A$5:$A$64,0)),""))</f>
        <v/>
      </c>
      <c r="L701" s="48">
        <f>IF($F701="","",IFERROR(INDEX(사건마스터!$AJ$5:$AJ$64,MATCH($F701,사건마스터!$A$5:$A$64,0)),""))</f>
        <v/>
      </c>
      <c r="M701" s="48">
        <f>IF($F701="","",IFERROR(INDEX(사건마스터!$AK$5:$AK$64,MATCH($F701,사건마스터!$A$5:$A$64,0)),""))</f>
        <v/>
      </c>
      <c r="N701" s="48">
        <f>IF($F701="","",IFERROR(INDEX(사건마스터!$AL$5:$AL$64,MATCH($F701,사건마스터!$A$5:$A$64,0)),""))</f>
        <v/>
      </c>
      <c r="O701" s="43">
        <f>IF($I701="","",COUNTIF($I701:$N701,"?*"))</f>
        <v/>
      </c>
      <c r="P701" s="46">
        <f>IF($I701="","",_xlfn.TEXTJOIN(", ",TRUE,$I701:$N701))</f>
        <v/>
      </c>
      <c r="Q701" s="47">
        <f>IF($I701="","",IFERROR(INDEX(코드설정!$D$5:$D$24,MATCH($I701,코드설정!$C$5:$C$24,0)),""))</f>
        <v/>
      </c>
      <c r="R701" s="49" t="n"/>
      <c r="S701" s="50" t="n"/>
      <c r="T701" s="51" t="n"/>
      <c r="U701" s="43">
        <f>IF(OR($B701="",$C701=""),"",$C701-$B701+1)</f>
        <v/>
      </c>
      <c r="V701" s="52" t="n"/>
      <c r="W701" s="53">
        <f>IF(OR($V701="",$O701=""),"",$V701*$O701)</f>
        <v/>
      </c>
      <c r="X701" s="45" t="n"/>
      <c r="Y701" s="49" t="n"/>
    </row>
    <row r="702">
      <c r="A702" s="43">
        <f>IF($B702="","",COUNT($B$5:$B702))</f>
        <v/>
      </c>
      <c r="B702" s="44" t="n"/>
      <c r="C702" s="44" t="n"/>
      <c r="D702" s="45" t="n"/>
      <c r="E702" s="45" t="n"/>
      <c r="F702" s="45" t="n"/>
      <c r="G702" s="46">
        <f>IF($F702="","",IFERROR(INDEX(사건마스터!$B$5:$B$64,MATCH($F702,사건마스터!$A$5:$A$64,0)),""))</f>
        <v/>
      </c>
      <c r="H702" s="47">
        <f>IF($F702="","",IFERROR(INDEX(사건마스터!$C$5:$C$64,MATCH($F702,사건마스터!$A$5:$A$64,0)),""))</f>
        <v/>
      </c>
      <c r="I702" s="48">
        <f>IF($F702="","",IFERROR(INDEX(사건마스터!$H$5:$H$64,MATCH($F702,사건마스터!$A$5:$A$64,0)),""))</f>
        <v/>
      </c>
      <c r="J702" s="48">
        <f>IF($F702="","",IFERROR(INDEX(사건마스터!$AH$5:$AH$64,MATCH($F702,사건마스터!$A$5:$A$64,0)),""))</f>
        <v/>
      </c>
      <c r="K702" s="48">
        <f>IF($F702="","",IFERROR(INDEX(사건마스터!$AI$5:$AI$64,MATCH($F702,사건마스터!$A$5:$A$64,0)),""))</f>
        <v/>
      </c>
      <c r="L702" s="48">
        <f>IF($F702="","",IFERROR(INDEX(사건마스터!$AJ$5:$AJ$64,MATCH($F702,사건마스터!$A$5:$A$64,0)),""))</f>
        <v/>
      </c>
      <c r="M702" s="48">
        <f>IF($F702="","",IFERROR(INDEX(사건마스터!$AK$5:$AK$64,MATCH($F702,사건마스터!$A$5:$A$64,0)),""))</f>
        <v/>
      </c>
      <c r="N702" s="48">
        <f>IF($F702="","",IFERROR(INDEX(사건마스터!$AL$5:$AL$64,MATCH($F702,사건마스터!$A$5:$A$64,0)),""))</f>
        <v/>
      </c>
      <c r="O702" s="43">
        <f>IF($I702="","",COUNTIF($I702:$N702,"?*"))</f>
        <v/>
      </c>
      <c r="P702" s="46">
        <f>IF($I702="","",_xlfn.TEXTJOIN(", ",TRUE,$I702:$N702))</f>
        <v/>
      </c>
      <c r="Q702" s="47">
        <f>IF($I702="","",IFERROR(INDEX(코드설정!$D$5:$D$24,MATCH($I702,코드설정!$C$5:$C$24,0)),""))</f>
        <v/>
      </c>
      <c r="R702" s="49" t="n"/>
      <c r="S702" s="50" t="n"/>
      <c r="T702" s="51" t="n"/>
      <c r="U702" s="43">
        <f>IF(OR($B702="",$C702=""),"",$C702-$B702+1)</f>
        <v/>
      </c>
      <c r="V702" s="52" t="n"/>
      <c r="W702" s="53">
        <f>IF(OR($V702="",$O702=""),"",$V702*$O702)</f>
        <v/>
      </c>
      <c r="X702" s="45" t="n"/>
      <c r="Y702" s="49" t="n"/>
    </row>
    <row r="703">
      <c r="A703" s="43">
        <f>IF($B703="","",COUNT($B$5:$B703))</f>
        <v/>
      </c>
      <c r="B703" s="44" t="n"/>
      <c r="C703" s="44" t="n"/>
      <c r="D703" s="45" t="n"/>
      <c r="E703" s="45" t="n"/>
      <c r="F703" s="45" t="n"/>
      <c r="G703" s="46">
        <f>IF($F703="","",IFERROR(INDEX(사건마스터!$B$5:$B$64,MATCH($F703,사건마스터!$A$5:$A$64,0)),""))</f>
        <v/>
      </c>
      <c r="H703" s="47">
        <f>IF($F703="","",IFERROR(INDEX(사건마스터!$C$5:$C$64,MATCH($F703,사건마스터!$A$5:$A$64,0)),""))</f>
        <v/>
      </c>
      <c r="I703" s="48">
        <f>IF($F703="","",IFERROR(INDEX(사건마스터!$H$5:$H$64,MATCH($F703,사건마스터!$A$5:$A$64,0)),""))</f>
        <v/>
      </c>
      <c r="J703" s="48">
        <f>IF($F703="","",IFERROR(INDEX(사건마스터!$AH$5:$AH$64,MATCH($F703,사건마스터!$A$5:$A$64,0)),""))</f>
        <v/>
      </c>
      <c r="K703" s="48">
        <f>IF($F703="","",IFERROR(INDEX(사건마스터!$AI$5:$AI$64,MATCH($F703,사건마스터!$A$5:$A$64,0)),""))</f>
        <v/>
      </c>
      <c r="L703" s="48">
        <f>IF($F703="","",IFERROR(INDEX(사건마스터!$AJ$5:$AJ$64,MATCH($F703,사건마스터!$A$5:$A$64,0)),""))</f>
        <v/>
      </c>
      <c r="M703" s="48">
        <f>IF($F703="","",IFERROR(INDEX(사건마스터!$AK$5:$AK$64,MATCH($F703,사건마스터!$A$5:$A$64,0)),""))</f>
        <v/>
      </c>
      <c r="N703" s="48">
        <f>IF($F703="","",IFERROR(INDEX(사건마스터!$AL$5:$AL$64,MATCH($F703,사건마스터!$A$5:$A$64,0)),""))</f>
        <v/>
      </c>
      <c r="O703" s="43">
        <f>IF($I703="","",COUNTIF($I703:$N703,"?*"))</f>
        <v/>
      </c>
      <c r="P703" s="46">
        <f>IF($I703="","",_xlfn.TEXTJOIN(", ",TRUE,$I703:$N703))</f>
        <v/>
      </c>
      <c r="Q703" s="47">
        <f>IF($I703="","",IFERROR(INDEX(코드설정!$D$5:$D$24,MATCH($I703,코드설정!$C$5:$C$24,0)),""))</f>
        <v/>
      </c>
      <c r="R703" s="49" t="n"/>
      <c r="S703" s="50" t="n"/>
      <c r="T703" s="51" t="n"/>
      <c r="U703" s="43">
        <f>IF(OR($B703="",$C703=""),"",$C703-$B703+1)</f>
        <v/>
      </c>
      <c r="V703" s="52" t="n"/>
      <c r="W703" s="53">
        <f>IF(OR($V703="",$O703=""),"",$V703*$O703)</f>
        <v/>
      </c>
      <c r="X703" s="45" t="n"/>
      <c r="Y703" s="49" t="n"/>
    </row>
    <row r="704">
      <c r="A704" s="43">
        <f>IF($B704="","",COUNT($B$5:$B704))</f>
        <v/>
      </c>
      <c r="B704" s="44" t="n"/>
      <c r="C704" s="44" t="n"/>
      <c r="D704" s="45" t="n"/>
      <c r="E704" s="45" t="n"/>
      <c r="F704" s="45" t="n"/>
      <c r="G704" s="46">
        <f>IF($F704="","",IFERROR(INDEX(사건마스터!$B$5:$B$64,MATCH($F704,사건마스터!$A$5:$A$64,0)),""))</f>
        <v/>
      </c>
      <c r="H704" s="47">
        <f>IF($F704="","",IFERROR(INDEX(사건마스터!$C$5:$C$64,MATCH($F704,사건마스터!$A$5:$A$64,0)),""))</f>
        <v/>
      </c>
      <c r="I704" s="48">
        <f>IF($F704="","",IFERROR(INDEX(사건마스터!$H$5:$H$64,MATCH($F704,사건마스터!$A$5:$A$64,0)),""))</f>
        <v/>
      </c>
      <c r="J704" s="48">
        <f>IF($F704="","",IFERROR(INDEX(사건마스터!$AH$5:$AH$64,MATCH($F704,사건마스터!$A$5:$A$64,0)),""))</f>
        <v/>
      </c>
      <c r="K704" s="48">
        <f>IF($F704="","",IFERROR(INDEX(사건마스터!$AI$5:$AI$64,MATCH($F704,사건마스터!$A$5:$A$64,0)),""))</f>
        <v/>
      </c>
      <c r="L704" s="48">
        <f>IF($F704="","",IFERROR(INDEX(사건마스터!$AJ$5:$AJ$64,MATCH($F704,사건마스터!$A$5:$A$64,0)),""))</f>
        <v/>
      </c>
      <c r="M704" s="48">
        <f>IF($F704="","",IFERROR(INDEX(사건마스터!$AK$5:$AK$64,MATCH($F704,사건마스터!$A$5:$A$64,0)),""))</f>
        <v/>
      </c>
      <c r="N704" s="48">
        <f>IF($F704="","",IFERROR(INDEX(사건마스터!$AL$5:$AL$64,MATCH($F704,사건마스터!$A$5:$A$64,0)),""))</f>
        <v/>
      </c>
      <c r="O704" s="43">
        <f>IF($I704="","",COUNTIF($I704:$N704,"?*"))</f>
        <v/>
      </c>
      <c r="P704" s="46">
        <f>IF($I704="","",_xlfn.TEXTJOIN(", ",TRUE,$I704:$N704))</f>
        <v/>
      </c>
      <c r="Q704" s="47">
        <f>IF($I704="","",IFERROR(INDEX(코드설정!$D$5:$D$24,MATCH($I704,코드설정!$C$5:$C$24,0)),""))</f>
        <v/>
      </c>
      <c r="R704" s="49" t="n"/>
      <c r="S704" s="50" t="n"/>
      <c r="T704" s="51" t="n"/>
      <c r="U704" s="43">
        <f>IF(OR($B704="",$C704=""),"",$C704-$B704+1)</f>
        <v/>
      </c>
      <c r="V704" s="52" t="n"/>
      <c r="W704" s="53">
        <f>IF(OR($V704="",$O704=""),"",$V704*$O704)</f>
        <v/>
      </c>
      <c r="X704" s="45" t="n"/>
      <c r="Y704" s="49" t="n"/>
    </row>
    <row r="705">
      <c r="A705" s="43">
        <f>IF($B705="","",COUNT($B$5:$B705))</f>
        <v/>
      </c>
      <c r="B705" s="44" t="n"/>
      <c r="C705" s="44" t="n"/>
      <c r="D705" s="45" t="n"/>
      <c r="E705" s="45" t="n"/>
      <c r="F705" s="45" t="n"/>
      <c r="G705" s="46">
        <f>IF($F705="","",IFERROR(INDEX(사건마스터!$B$5:$B$64,MATCH($F705,사건마스터!$A$5:$A$64,0)),""))</f>
        <v/>
      </c>
      <c r="H705" s="47">
        <f>IF($F705="","",IFERROR(INDEX(사건마스터!$C$5:$C$64,MATCH($F705,사건마스터!$A$5:$A$64,0)),""))</f>
        <v/>
      </c>
      <c r="I705" s="48">
        <f>IF($F705="","",IFERROR(INDEX(사건마스터!$H$5:$H$64,MATCH($F705,사건마스터!$A$5:$A$64,0)),""))</f>
        <v/>
      </c>
      <c r="J705" s="48">
        <f>IF($F705="","",IFERROR(INDEX(사건마스터!$AH$5:$AH$64,MATCH($F705,사건마스터!$A$5:$A$64,0)),""))</f>
        <v/>
      </c>
      <c r="K705" s="48">
        <f>IF($F705="","",IFERROR(INDEX(사건마스터!$AI$5:$AI$64,MATCH($F705,사건마스터!$A$5:$A$64,0)),""))</f>
        <v/>
      </c>
      <c r="L705" s="48">
        <f>IF($F705="","",IFERROR(INDEX(사건마스터!$AJ$5:$AJ$64,MATCH($F705,사건마스터!$A$5:$A$64,0)),""))</f>
        <v/>
      </c>
      <c r="M705" s="48">
        <f>IF($F705="","",IFERROR(INDEX(사건마스터!$AK$5:$AK$64,MATCH($F705,사건마스터!$A$5:$A$64,0)),""))</f>
        <v/>
      </c>
      <c r="N705" s="48">
        <f>IF($F705="","",IFERROR(INDEX(사건마스터!$AL$5:$AL$64,MATCH($F705,사건마스터!$A$5:$A$64,0)),""))</f>
        <v/>
      </c>
      <c r="O705" s="43">
        <f>IF($I705="","",COUNTIF($I705:$N705,"?*"))</f>
        <v/>
      </c>
      <c r="P705" s="46">
        <f>IF($I705="","",_xlfn.TEXTJOIN(", ",TRUE,$I705:$N705))</f>
        <v/>
      </c>
      <c r="Q705" s="47">
        <f>IF($I705="","",IFERROR(INDEX(코드설정!$D$5:$D$24,MATCH($I705,코드설정!$C$5:$C$24,0)),""))</f>
        <v/>
      </c>
      <c r="R705" s="49" t="n"/>
      <c r="S705" s="50" t="n"/>
      <c r="T705" s="51" t="n"/>
      <c r="U705" s="43">
        <f>IF(OR($B705="",$C705=""),"",$C705-$B705+1)</f>
        <v/>
      </c>
      <c r="V705" s="52" t="n"/>
      <c r="W705" s="53">
        <f>IF(OR($V705="",$O705=""),"",$V705*$O705)</f>
        <v/>
      </c>
      <c r="X705" s="45" t="n"/>
      <c r="Y705" s="49" t="n"/>
    </row>
    <row r="706">
      <c r="A706" s="43">
        <f>IF($B706="","",COUNT($B$5:$B706))</f>
        <v/>
      </c>
      <c r="B706" s="44" t="n"/>
      <c r="C706" s="44" t="n"/>
      <c r="D706" s="45" t="n"/>
      <c r="E706" s="45" t="n"/>
      <c r="F706" s="45" t="n"/>
      <c r="G706" s="46">
        <f>IF($F706="","",IFERROR(INDEX(사건마스터!$B$5:$B$64,MATCH($F706,사건마스터!$A$5:$A$64,0)),""))</f>
        <v/>
      </c>
      <c r="H706" s="47">
        <f>IF($F706="","",IFERROR(INDEX(사건마스터!$C$5:$C$64,MATCH($F706,사건마스터!$A$5:$A$64,0)),""))</f>
        <v/>
      </c>
      <c r="I706" s="48">
        <f>IF($F706="","",IFERROR(INDEX(사건마스터!$H$5:$H$64,MATCH($F706,사건마스터!$A$5:$A$64,0)),""))</f>
        <v/>
      </c>
      <c r="J706" s="48">
        <f>IF($F706="","",IFERROR(INDEX(사건마스터!$AH$5:$AH$64,MATCH($F706,사건마스터!$A$5:$A$64,0)),""))</f>
        <v/>
      </c>
      <c r="K706" s="48">
        <f>IF($F706="","",IFERROR(INDEX(사건마스터!$AI$5:$AI$64,MATCH($F706,사건마스터!$A$5:$A$64,0)),""))</f>
        <v/>
      </c>
      <c r="L706" s="48">
        <f>IF($F706="","",IFERROR(INDEX(사건마스터!$AJ$5:$AJ$64,MATCH($F706,사건마스터!$A$5:$A$64,0)),""))</f>
        <v/>
      </c>
      <c r="M706" s="48">
        <f>IF($F706="","",IFERROR(INDEX(사건마스터!$AK$5:$AK$64,MATCH($F706,사건마스터!$A$5:$A$64,0)),""))</f>
        <v/>
      </c>
      <c r="N706" s="48">
        <f>IF($F706="","",IFERROR(INDEX(사건마스터!$AL$5:$AL$64,MATCH($F706,사건마스터!$A$5:$A$64,0)),""))</f>
        <v/>
      </c>
      <c r="O706" s="43">
        <f>IF($I706="","",COUNTIF($I706:$N706,"?*"))</f>
        <v/>
      </c>
      <c r="P706" s="46">
        <f>IF($I706="","",_xlfn.TEXTJOIN(", ",TRUE,$I706:$N706))</f>
        <v/>
      </c>
      <c r="Q706" s="47">
        <f>IF($I706="","",IFERROR(INDEX(코드설정!$D$5:$D$24,MATCH($I706,코드설정!$C$5:$C$24,0)),""))</f>
        <v/>
      </c>
      <c r="R706" s="49" t="n"/>
      <c r="S706" s="50" t="n"/>
      <c r="T706" s="51" t="n"/>
      <c r="U706" s="43">
        <f>IF(OR($B706="",$C706=""),"",$C706-$B706+1)</f>
        <v/>
      </c>
      <c r="V706" s="52" t="n"/>
      <c r="W706" s="53">
        <f>IF(OR($V706="",$O706=""),"",$V706*$O706)</f>
        <v/>
      </c>
      <c r="X706" s="45" t="n"/>
      <c r="Y706" s="49" t="n"/>
    </row>
    <row r="707">
      <c r="A707" s="43">
        <f>IF($B707="","",COUNT($B$5:$B707))</f>
        <v/>
      </c>
      <c r="B707" s="44" t="n"/>
      <c r="C707" s="44" t="n"/>
      <c r="D707" s="45" t="n"/>
      <c r="E707" s="45" t="n"/>
      <c r="F707" s="45" t="n"/>
      <c r="G707" s="46">
        <f>IF($F707="","",IFERROR(INDEX(사건마스터!$B$5:$B$64,MATCH($F707,사건마스터!$A$5:$A$64,0)),""))</f>
        <v/>
      </c>
      <c r="H707" s="47">
        <f>IF($F707="","",IFERROR(INDEX(사건마스터!$C$5:$C$64,MATCH($F707,사건마스터!$A$5:$A$64,0)),""))</f>
        <v/>
      </c>
      <c r="I707" s="48">
        <f>IF($F707="","",IFERROR(INDEX(사건마스터!$H$5:$H$64,MATCH($F707,사건마스터!$A$5:$A$64,0)),""))</f>
        <v/>
      </c>
      <c r="J707" s="48">
        <f>IF($F707="","",IFERROR(INDEX(사건마스터!$AH$5:$AH$64,MATCH($F707,사건마스터!$A$5:$A$64,0)),""))</f>
        <v/>
      </c>
      <c r="K707" s="48">
        <f>IF($F707="","",IFERROR(INDEX(사건마스터!$AI$5:$AI$64,MATCH($F707,사건마스터!$A$5:$A$64,0)),""))</f>
        <v/>
      </c>
      <c r="L707" s="48">
        <f>IF($F707="","",IFERROR(INDEX(사건마스터!$AJ$5:$AJ$64,MATCH($F707,사건마스터!$A$5:$A$64,0)),""))</f>
        <v/>
      </c>
      <c r="M707" s="48">
        <f>IF($F707="","",IFERROR(INDEX(사건마스터!$AK$5:$AK$64,MATCH($F707,사건마스터!$A$5:$A$64,0)),""))</f>
        <v/>
      </c>
      <c r="N707" s="48">
        <f>IF($F707="","",IFERROR(INDEX(사건마스터!$AL$5:$AL$64,MATCH($F707,사건마스터!$A$5:$A$64,0)),""))</f>
        <v/>
      </c>
      <c r="O707" s="43">
        <f>IF($I707="","",COUNTIF($I707:$N707,"?*"))</f>
        <v/>
      </c>
      <c r="P707" s="46">
        <f>IF($I707="","",_xlfn.TEXTJOIN(", ",TRUE,$I707:$N707))</f>
        <v/>
      </c>
      <c r="Q707" s="47">
        <f>IF($I707="","",IFERROR(INDEX(코드설정!$D$5:$D$24,MATCH($I707,코드설정!$C$5:$C$24,0)),""))</f>
        <v/>
      </c>
      <c r="R707" s="49" t="n"/>
      <c r="S707" s="50" t="n"/>
      <c r="T707" s="51" t="n"/>
      <c r="U707" s="43">
        <f>IF(OR($B707="",$C707=""),"",$C707-$B707+1)</f>
        <v/>
      </c>
      <c r="V707" s="52" t="n"/>
      <c r="W707" s="53">
        <f>IF(OR($V707="",$O707=""),"",$V707*$O707)</f>
        <v/>
      </c>
      <c r="X707" s="45" t="n"/>
      <c r="Y707" s="49" t="n"/>
    </row>
    <row r="708">
      <c r="A708" s="43">
        <f>IF($B708="","",COUNT($B$5:$B708))</f>
        <v/>
      </c>
      <c r="B708" s="44" t="n"/>
      <c r="C708" s="44" t="n"/>
      <c r="D708" s="45" t="n"/>
      <c r="E708" s="45" t="n"/>
      <c r="F708" s="45" t="n"/>
      <c r="G708" s="46">
        <f>IF($F708="","",IFERROR(INDEX(사건마스터!$B$5:$B$64,MATCH($F708,사건마스터!$A$5:$A$64,0)),""))</f>
        <v/>
      </c>
      <c r="H708" s="47">
        <f>IF($F708="","",IFERROR(INDEX(사건마스터!$C$5:$C$64,MATCH($F708,사건마스터!$A$5:$A$64,0)),""))</f>
        <v/>
      </c>
      <c r="I708" s="48">
        <f>IF($F708="","",IFERROR(INDEX(사건마스터!$H$5:$H$64,MATCH($F708,사건마스터!$A$5:$A$64,0)),""))</f>
        <v/>
      </c>
      <c r="J708" s="48">
        <f>IF($F708="","",IFERROR(INDEX(사건마스터!$AH$5:$AH$64,MATCH($F708,사건마스터!$A$5:$A$64,0)),""))</f>
        <v/>
      </c>
      <c r="K708" s="48">
        <f>IF($F708="","",IFERROR(INDEX(사건마스터!$AI$5:$AI$64,MATCH($F708,사건마스터!$A$5:$A$64,0)),""))</f>
        <v/>
      </c>
      <c r="L708" s="48">
        <f>IF($F708="","",IFERROR(INDEX(사건마스터!$AJ$5:$AJ$64,MATCH($F708,사건마스터!$A$5:$A$64,0)),""))</f>
        <v/>
      </c>
      <c r="M708" s="48">
        <f>IF($F708="","",IFERROR(INDEX(사건마스터!$AK$5:$AK$64,MATCH($F708,사건마스터!$A$5:$A$64,0)),""))</f>
        <v/>
      </c>
      <c r="N708" s="48">
        <f>IF($F708="","",IFERROR(INDEX(사건마스터!$AL$5:$AL$64,MATCH($F708,사건마스터!$A$5:$A$64,0)),""))</f>
        <v/>
      </c>
      <c r="O708" s="43">
        <f>IF($I708="","",COUNTIF($I708:$N708,"?*"))</f>
        <v/>
      </c>
      <c r="P708" s="46">
        <f>IF($I708="","",_xlfn.TEXTJOIN(", ",TRUE,$I708:$N708))</f>
        <v/>
      </c>
      <c r="Q708" s="47">
        <f>IF($I708="","",IFERROR(INDEX(코드설정!$D$5:$D$24,MATCH($I708,코드설정!$C$5:$C$24,0)),""))</f>
        <v/>
      </c>
      <c r="R708" s="49" t="n"/>
      <c r="S708" s="50" t="n"/>
      <c r="T708" s="51" t="n"/>
      <c r="U708" s="43">
        <f>IF(OR($B708="",$C708=""),"",$C708-$B708+1)</f>
        <v/>
      </c>
      <c r="V708" s="52" t="n"/>
      <c r="W708" s="53">
        <f>IF(OR($V708="",$O708=""),"",$V708*$O708)</f>
        <v/>
      </c>
      <c r="X708" s="45" t="n"/>
      <c r="Y708" s="49" t="n"/>
    </row>
    <row r="709">
      <c r="A709" s="43">
        <f>IF($B709="","",COUNT($B$5:$B709))</f>
        <v/>
      </c>
      <c r="B709" s="44" t="n"/>
      <c r="C709" s="44" t="n"/>
      <c r="D709" s="45" t="n"/>
      <c r="E709" s="45" t="n"/>
      <c r="F709" s="45" t="n"/>
      <c r="G709" s="46">
        <f>IF($F709="","",IFERROR(INDEX(사건마스터!$B$5:$B$64,MATCH($F709,사건마스터!$A$5:$A$64,0)),""))</f>
        <v/>
      </c>
      <c r="H709" s="47">
        <f>IF($F709="","",IFERROR(INDEX(사건마스터!$C$5:$C$64,MATCH($F709,사건마스터!$A$5:$A$64,0)),""))</f>
        <v/>
      </c>
      <c r="I709" s="48">
        <f>IF($F709="","",IFERROR(INDEX(사건마스터!$H$5:$H$64,MATCH($F709,사건마스터!$A$5:$A$64,0)),""))</f>
        <v/>
      </c>
      <c r="J709" s="48">
        <f>IF($F709="","",IFERROR(INDEX(사건마스터!$AH$5:$AH$64,MATCH($F709,사건마스터!$A$5:$A$64,0)),""))</f>
        <v/>
      </c>
      <c r="K709" s="48">
        <f>IF($F709="","",IFERROR(INDEX(사건마스터!$AI$5:$AI$64,MATCH($F709,사건마스터!$A$5:$A$64,0)),""))</f>
        <v/>
      </c>
      <c r="L709" s="48">
        <f>IF($F709="","",IFERROR(INDEX(사건마스터!$AJ$5:$AJ$64,MATCH($F709,사건마스터!$A$5:$A$64,0)),""))</f>
        <v/>
      </c>
      <c r="M709" s="48">
        <f>IF($F709="","",IFERROR(INDEX(사건마스터!$AK$5:$AK$64,MATCH($F709,사건마스터!$A$5:$A$64,0)),""))</f>
        <v/>
      </c>
      <c r="N709" s="48">
        <f>IF($F709="","",IFERROR(INDEX(사건마스터!$AL$5:$AL$64,MATCH($F709,사건마스터!$A$5:$A$64,0)),""))</f>
        <v/>
      </c>
      <c r="O709" s="43">
        <f>IF($I709="","",COUNTIF($I709:$N709,"?*"))</f>
        <v/>
      </c>
      <c r="P709" s="46">
        <f>IF($I709="","",_xlfn.TEXTJOIN(", ",TRUE,$I709:$N709))</f>
        <v/>
      </c>
      <c r="Q709" s="47">
        <f>IF($I709="","",IFERROR(INDEX(코드설정!$D$5:$D$24,MATCH($I709,코드설정!$C$5:$C$24,0)),""))</f>
        <v/>
      </c>
      <c r="R709" s="49" t="n"/>
      <c r="S709" s="50" t="n"/>
      <c r="T709" s="51" t="n"/>
      <c r="U709" s="43">
        <f>IF(OR($B709="",$C709=""),"",$C709-$B709+1)</f>
        <v/>
      </c>
      <c r="V709" s="52" t="n"/>
      <c r="W709" s="53">
        <f>IF(OR($V709="",$O709=""),"",$V709*$O709)</f>
        <v/>
      </c>
      <c r="X709" s="45" t="n"/>
      <c r="Y709" s="49" t="n"/>
    </row>
    <row r="710">
      <c r="A710" s="43">
        <f>IF($B710="","",COUNT($B$5:$B710))</f>
        <v/>
      </c>
      <c r="B710" s="44" t="n"/>
      <c r="C710" s="44" t="n"/>
      <c r="D710" s="45" t="n"/>
      <c r="E710" s="45" t="n"/>
      <c r="F710" s="45" t="n"/>
      <c r="G710" s="46">
        <f>IF($F710="","",IFERROR(INDEX(사건마스터!$B$5:$B$64,MATCH($F710,사건마스터!$A$5:$A$64,0)),""))</f>
        <v/>
      </c>
      <c r="H710" s="47">
        <f>IF($F710="","",IFERROR(INDEX(사건마스터!$C$5:$C$64,MATCH($F710,사건마스터!$A$5:$A$64,0)),""))</f>
        <v/>
      </c>
      <c r="I710" s="48">
        <f>IF($F710="","",IFERROR(INDEX(사건마스터!$H$5:$H$64,MATCH($F710,사건마스터!$A$5:$A$64,0)),""))</f>
        <v/>
      </c>
      <c r="J710" s="48">
        <f>IF($F710="","",IFERROR(INDEX(사건마스터!$AH$5:$AH$64,MATCH($F710,사건마스터!$A$5:$A$64,0)),""))</f>
        <v/>
      </c>
      <c r="K710" s="48">
        <f>IF($F710="","",IFERROR(INDEX(사건마스터!$AI$5:$AI$64,MATCH($F710,사건마스터!$A$5:$A$64,0)),""))</f>
        <v/>
      </c>
      <c r="L710" s="48">
        <f>IF($F710="","",IFERROR(INDEX(사건마스터!$AJ$5:$AJ$64,MATCH($F710,사건마스터!$A$5:$A$64,0)),""))</f>
        <v/>
      </c>
      <c r="M710" s="48">
        <f>IF($F710="","",IFERROR(INDEX(사건마스터!$AK$5:$AK$64,MATCH($F710,사건마스터!$A$5:$A$64,0)),""))</f>
        <v/>
      </c>
      <c r="N710" s="48">
        <f>IF($F710="","",IFERROR(INDEX(사건마스터!$AL$5:$AL$64,MATCH($F710,사건마스터!$A$5:$A$64,0)),""))</f>
        <v/>
      </c>
      <c r="O710" s="43">
        <f>IF($I710="","",COUNTIF($I710:$N710,"?*"))</f>
        <v/>
      </c>
      <c r="P710" s="46">
        <f>IF($I710="","",_xlfn.TEXTJOIN(", ",TRUE,$I710:$N710))</f>
        <v/>
      </c>
      <c r="Q710" s="47">
        <f>IF($I710="","",IFERROR(INDEX(코드설정!$D$5:$D$24,MATCH($I710,코드설정!$C$5:$C$24,0)),""))</f>
        <v/>
      </c>
      <c r="R710" s="49" t="n"/>
      <c r="S710" s="50" t="n"/>
      <c r="T710" s="51" t="n"/>
      <c r="U710" s="43">
        <f>IF(OR($B710="",$C710=""),"",$C710-$B710+1)</f>
        <v/>
      </c>
      <c r="V710" s="52" t="n"/>
      <c r="W710" s="53">
        <f>IF(OR($V710="",$O710=""),"",$V710*$O710)</f>
        <v/>
      </c>
      <c r="X710" s="45" t="n"/>
      <c r="Y710" s="49" t="n"/>
    </row>
    <row r="711">
      <c r="A711" s="43">
        <f>IF($B711="","",COUNT($B$5:$B711))</f>
        <v/>
      </c>
      <c r="B711" s="44" t="n"/>
      <c r="C711" s="44" t="n"/>
      <c r="D711" s="45" t="n"/>
      <c r="E711" s="45" t="n"/>
      <c r="F711" s="45" t="n"/>
      <c r="G711" s="46">
        <f>IF($F711="","",IFERROR(INDEX(사건마스터!$B$5:$B$64,MATCH($F711,사건마스터!$A$5:$A$64,0)),""))</f>
        <v/>
      </c>
      <c r="H711" s="47">
        <f>IF($F711="","",IFERROR(INDEX(사건마스터!$C$5:$C$64,MATCH($F711,사건마스터!$A$5:$A$64,0)),""))</f>
        <v/>
      </c>
      <c r="I711" s="48">
        <f>IF($F711="","",IFERROR(INDEX(사건마스터!$H$5:$H$64,MATCH($F711,사건마스터!$A$5:$A$64,0)),""))</f>
        <v/>
      </c>
      <c r="J711" s="48">
        <f>IF($F711="","",IFERROR(INDEX(사건마스터!$AH$5:$AH$64,MATCH($F711,사건마스터!$A$5:$A$64,0)),""))</f>
        <v/>
      </c>
      <c r="K711" s="48">
        <f>IF($F711="","",IFERROR(INDEX(사건마스터!$AI$5:$AI$64,MATCH($F711,사건마스터!$A$5:$A$64,0)),""))</f>
        <v/>
      </c>
      <c r="L711" s="48">
        <f>IF($F711="","",IFERROR(INDEX(사건마스터!$AJ$5:$AJ$64,MATCH($F711,사건마스터!$A$5:$A$64,0)),""))</f>
        <v/>
      </c>
      <c r="M711" s="48">
        <f>IF($F711="","",IFERROR(INDEX(사건마스터!$AK$5:$AK$64,MATCH($F711,사건마스터!$A$5:$A$64,0)),""))</f>
        <v/>
      </c>
      <c r="N711" s="48">
        <f>IF($F711="","",IFERROR(INDEX(사건마스터!$AL$5:$AL$64,MATCH($F711,사건마스터!$A$5:$A$64,0)),""))</f>
        <v/>
      </c>
      <c r="O711" s="43">
        <f>IF($I711="","",COUNTIF($I711:$N711,"?*"))</f>
        <v/>
      </c>
      <c r="P711" s="46">
        <f>IF($I711="","",_xlfn.TEXTJOIN(", ",TRUE,$I711:$N711))</f>
        <v/>
      </c>
      <c r="Q711" s="47">
        <f>IF($I711="","",IFERROR(INDEX(코드설정!$D$5:$D$24,MATCH($I711,코드설정!$C$5:$C$24,0)),""))</f>
        <v/>
      </c>
      <c r="R711" s="49" t="n"/>
      <c r="S711" s="50" t="n"/>
      <c r="T711" s="51" t="n"/>
      <c r="U711" s="43">
        <f>IF(OR($B711="",$C711=""),"",$C711-$B711+1)</f>
        <v/>
      </c>
      <c r="V711" s="52" t="n"/>
      <c r="W711" s="53">
        <f>IF(OR($V711="",$O711=""),"",$V711*$O711)</f>
        <v/>
      </c>
      <c r="X711" s="45" t="n"/>
      <c r="Y711" s="49" t="n"/>
    </row>
    <row r="712">
      <c r="A712" s="43">
        <f>IF($B712="","",COUNT($B$5:$B712))</f>
        <v/>
      </c>
      <c r="B712" s="44" t="n"/>
      <c r="C712" s="44" t="n"/>
      <c r="D712" s="45" t="n"/>
      <c r="E712" s="45" t="n"/>
      <c r="F712" s="45" t="n"/>
      <c r="G712" s="46">
        <f>IF($F712="","",IFERROR(INDEX(사건마스터!$B$5:$B$64,MATCH($F712,사건마스터!$A$5:$A$64,0)),""))</f>
        <v/>
      </c>
      <c r="H712" s="47">
        <f>IF($F712="","",IFERROR(INDEX(사건마스터!$C$5:$C$64,MATCH($F712,사건마스터!$A$5:$A$64,0)),""))</f>
        <v/>
      </c>
      <c r="I712" s="48">
        <f>IF($F712="","",IFERROR(INDEX(사건마스터!$H$5:$H$64,MATCH($F712,사건마스터!$A$5:$A$64,0)),""))</f>
        <v/>
      </c>
      <c r="J712" s="48">
        <f>IF($F712="","",IFERROR(INDEX(사건마스터!$AH$5:$AH$64,MATCH($F712,사건마스터!$A$5:$A$64,0)),""))</f>
        <v/>
      </c>
      <c r="K712" s="48">
        <f>IF($F712="","",IFERROR(INDEX(사건마스터!$AI$5:$AI$64,MATCH($F712,사건마스터!$A$5:$A$64,0)),""))</f>
        <v/>
      </c>
      <c r="L712" s="48">
        <f>IF($F712="","",IFERROR(INDEX(사건마스터!$AJ$5:$AJ$64,MATCH($F712,사건마스터!$A$5:$A$64,0)),""))</f>
        <v/>
      </c>
      <c r="M712" s="48">
        <f>IF($F712="","",IFERROR(INDEX(사건마스터!$AK$5:$AK$64,MATCH($F712,사건마스터!$A$5:$A$64,0)),""))</f>
        <v/>
      </c>
      <c r="N712" s="48">
        <f>IF($F712="","",IFERROR(INDEX(사건마스터!$AL$5:$AL$64,MATCH($F712,사건마스터!$A$5:$A$64,0)),""))</f>
        <v/>
      </c>
      <c r="O712" s="43">
        <f>IF($I712="","",COUNTIF($I712:$N712,"?*"))</f>
        <v/>
      </c>
      <c r="P712" s="46">
        <f>IF($I712="","",_xlfn.TEXTJOIN(", ",TRUE,$I712:$N712))</f>
        <v/>
      </c>
      <c r="Q712" s="47">
        <f>IF($I712="","",IFERROR(INDEX(코드설정!$D$5:$D$24,MATCH($I712,코드설정!$C$5:$C$24,0)),""))</f>
        <v/>
      </c>
      <c r="R712" s="49" t="n"/>
      <c r="S712" s="50" t="n"/>
      <c r="T712" s="51" t="n"/>
      <c r="U712" s="43">
        <f>IF(OR($B712="",$C712=""),"",$C712-$B712+1)</f>
        <v/>
      </c>
      <c r="V712" s="52" t="n"/>
      <c r="W712" s="53">
        <f>IF(OR($V712="",$O712=""),"",$V712*$O712)</f>
        <v/>
      </c>
      <c r="X712" s="45" t="n"/>
      <c r="Y712" s="49" t="n"/>
    </row>
    <row r="713">
      <c r="A713" s="43">
        <f>IF($B713="","",COUNT($B$5:$B713))</f>
        <v/>
      </c>
      <c r="B713" s="44" t="n"/>
      <c r="C713" s="44" t="n"/>
      <c r="D713" s="45" t="n"/>
      <c r="E713" s="45" t="n"/>
      <c r="F713" s="45" t="n"/>
      <c r="G713" s="46">
        <f>IF($F713="","",IFERROR(INDEX(사건마스터!$B$5:$B$64,MATCH($F713,사건마스터!$A$5:$A$64,0)),""))</f>
        <v/>
      </c>
      <c r="H713" s="47">
        <f>IF($F713="","",IFERROR(INDEX(사건마스터!$C$5:$C$64,MATCH($F713,사건마스터!$A$5:$A$64,0)),""))</f>
        <v/>
      </c>
      <c r="I713" s="48">
        <f>IF($F713="","",IFERROR(INDEX(사건마스터!$H$5:$H$64,MATCH($F713,사건마스터!$A$5:$A$64,0)),""))</f>
        <v/>
      </c>
      <c r="J713" s="48">
        <f>IF($F713="","",IFERROR(INDEX(사건마스터!$AH$5:$AH$64,MATCH($F713,사건마스터!$A$5:$A$64,0)),""))</f>
        <v/>
      </c>
      <c r="K713" s="48">
        <f>IF($F713="","",IFERROR(INDEX(사건마스터!$AI$5:$AI$64,MATCH($F713,사건마스터!$A$5:$A$64,0)),""))</f>
        <v/>
      </c>
      <c r="L713" s="48">
        <f>IF($F713="","",IFERROR(INDEX(사건마스터!$AJ$5:$AJ$64,MATCH($F713,사건마스터!$A$5:$A$64,0)),""))</f>
        <v/>
      </c>
      <c r="M713" s="48">
        <f>IF($F713="","",IFERROR(INDEX(사건마스터!$AK$5:$AK$64,MATCH($F713,사건마스터!$A$5:$A$64,0)),""))</f>
        <v/>
      </c>
      <c r="N713" s="48">
        <f>IF($F713="","",IFERROR(INDEX(사건마스터!$AL$5:$AL$64,MATCH($F713,사건마스터!$A$5:$A$64,0)),""))</f>
        <v/>
      </c>
      <c r="O713" s="43">
        <f>IF($I713="","",COUNTIF($I713:$N713,"?*"))</f>
        <v/>
      </c>
      <c r="P713" s="46">
        <f>IF($I713="","",_xlfn.TEXTJOIN(", ",TRUE,$I713:$N713))</f>
        <v/>
      </c>
      <c r="Q713" s="47">
        <f>IF($I713="","",IFERROR(INDEX(코드설정!$D$5:$D$24,MATCH($I713,코드설정!$C$5:$C$24,0)),""))</f>
        <v/>
      </c>
      <c r="R713" s="49" t="n"/>
      <c r="S713" s="50" t="n"/>
      <c r="T713" s="51" t="n"/>
      <c r="U713" s="43">
        <f>IF(OR($B713="",$C713=""),"",$C713-$B713+1)</f>
        <v/>
      </c>
      <c r="V713" s="52" t="n"/>
      <c r="W713" s="53">
        <f>IF(OR($V713="",$O713=""),"",$V713*$O713)</f>
        <v/>
      </c>
      <c r="X713" s="45" t="n"/>
      <c r="Y713" s="49" t="n"/>
    </row>
    <row r="714">
      <c r="A714" s="43">
        <f>IF($B714="","",COUNT($B$5:$B714))</f>
        <v/>
      </c>
      <c r="B714" s="44" t="n"/>
      <c r="C714" s="44" t="n"/>
      <c r="D714" s="45" t="n"/>
      <c r="E714" s="45" t="n"/>
      <c r="F714" s="45" t="n"/>
      <c r="G714" s="46">
        <f>IF($F714="","",IFERROR(INDEX(사건마스터!$B$5:$B$64,MATCH($F714,사건마스터!$A$5:$A$64,0)),""))</f>
        <v/>
      </c>
      <c r="H714" s="47">
        <f>IF($F714="","",IFERROR(INDEX(사건마스터!$C$5:$C$64,MATCH($F714,사건마스터!$A$5:$A$64,0)),""))</f>
        <v/>
      </c>
      <c r="I714" s="48">
        <f>IF($F714="","",IFERROR(INDEX(사건마스터!$H$5:$H$64,MATCH($F714,사건마스터!$A$5:$A$64,0)),""))</f>
        <v/>
      </c>
      <c r="J714" s="48">
        <f>IF($F714="","",IFERROR(INDEX(사건마스터!$AH$5:$AH$64,MATCH($F714,사건마스터!$A$5:$A$64,0)),""))</f>
        <v/>
      </c>
      <c r="K714" s="48">
        <f>IF($F714="","",IFERROR(INDEX(사건마스터!$AI$5:$AI$64,MATCH($F714,사건마스터!$A$5:$A$64,0)),""))</f>
        <v/>
      </c>
      <c r="L714" s="48">
        <f>IF($F714="","",IFERROR(INDEX(사건마스터!$AJ$5:$AJ$64,MATCH($F714,사건마스터!$A$5:$A$64,0)),""))</f>
        <v/>
      </c>
      <c r="M714" s="48">
        <f>IF($F714="","",IFERROR(INDEX(사건마스터!$AK$5:$AK$64,MATCH($F714,사건마스터!$A$5:$A$64,0)),""))</f>
        <v/>
      </c>
      <c r="N714" s="48">
        <f>IF($F714="","",IFERROR(INDEX(사건마스터!$AL$5:$AL$64,MATCH($F714,사건마스터!$A$5:$A$64,0)),""))</f>
        <v/>
      </c>
      <c r="O714" s="43">
        <f>IF($I714="","",COUNTIF($I714:$N714,"?*"))</f>
        <v/>
      </c>
      <c r="P714" s="46">
        <f>IF($I714="","",_xlfn.TEXTJOIN(", ",TRUE,$I714:$N714))</f>
        <v/>
      </c>
      <c r="Q714" s="47">
        <f>IF($I714="","",IFERROR(INDEX(코드설정!$D$5:$D$24,MATCH($I714,코드설정!$C$5:$C$24,0)),""))</f>
        <v/>
      </c>
      <c r="R714" s="49" t="n"/>
      <c r="S714" s="50" t="n"/>
      <c r="T714" s="51" t="n"/>
      <c r="U714" s="43">
        <f>IF(OR($B714="",$C714=""),"",$C714-$B714+1)</f>
        <v/>
      </c>
      <c r="V714" s="52" t="n"/>
      <c r="W714" s="53">
        <f>IF(OR($V714="",$O714=""),"",$V714*$O714)</f>
        <v/>
      </c>
      <c r="X714" s="45" t="n"/>
      <c r="Y714" s="49" t="n"/>
    </row>
    <row r="715">
      <c r="A715" s="43">
        <f>IF($B715="","",COUNT($B$5:$B715))</f>
        <v/>
      </c>
      <c r="B715" s="44" t="n"/>
      <c r="C715" s="44" t="n"/>
      <c r="D715" s="45" t="n"/>
      <c r="E715" s="45" t="n"/>
      <c r="F715" s="45" t="n"/>
      <c r="G715" s="46">
        <f>IF($F715="","",IFERROR(INDEX(사건마스터!$B$5:$B$64,MATCH($F715,사건마스터!$A$5:$A$64,0)),""))</f>
        <v/>
      </c>
      <c r="H715" s="47">
        <f>IF($F715="","",IFERROR(INDEX(사건마스터!$C$5:$C$64,MATCH($F715,사건마스터!$A$5:$A$64,0)),""))</f>
        <v/>
      </c>
      <c r="I715" s="48">
        <f>IF($F715="","",IFERROR(INDEX(사건마스터!$H$5:$H$64,MATCH($F715,사건마스터!$A$5:$A$64,0)),""))</f>
        <v/>
      </c>
      <c r="J715" s="48">
        <f>IF($F715="","",IFERROR(INDEX(사건마스터!$AH$5:$AH$64,MATCH($F715,사건마스터!$A$5:$A$64,0)),""))</f>
        <v/>
      </c>
      <c r="K715" s="48">
        <f>IF($F715="","",IFERROR(INDEX(사건마스터!$AI$5:$AI$64,MATCH($F715,사건마스터!$A$5:$A$64,0)),""))</f>
        <v/>
      </c>
      <c r="L715" s="48">
        <f>IF($F715="","",IFERROR(INDEX(사건마스터!$AJ$5:$AJ$64,MATCH($F715,사건마스터!$A$5:$A$64,0)),""))</f>
        <v/>
      </c>
      <c r="M715" s="48">
        <f>IF($F715="","",IFERROR(INDEX(사건마스터!$AK$5:$AK$64,MATCH($F715,사건마스터!$A$5:$A$64,0)),""))</f>
        <v/>
      </c>
      <c r="N715" s="48">
        <f>IF($F715="","",IFERROR(INDEX(사건마스터!$AL$5:$AL$64,MATCH($F715,사건마스터!$A$5:$A$64,0)),""))</f>
        <v/>
      </c>
      <c r="O715" s="43">
        <f>IF($I715="","",COUNTIF($I715:$N715,"?*"))</f>
        <v/>
      </c>
      <c r="P715" s="46">
        <f>IF($I715="","",_xlfn.TEXTJOIN(", ",TRUE,$I715:$N715))</f>
        <v/>
      </c>
      <c r="Q715" s="47">
        <f>IF($I715="","",IFERROR(INDEX(코드설정!$D$5:$D$24,MATCH($I715,코드설정!$C$5:$C$24,0)),""))</f>
        <v/>
      </c>
      <c r="R715" s="49" t="n"/>
      <c r="S715" s="50" t="n"/>
      <c r="T715" s="51" t="n"/>
      <c r="U715" s="43">
        <f>IF(OR($B715="",$C715=""),"",$C715-$B715+1)</f>
        <v/>
      </c>
      <c r="V715" s="52" t="n"/>
      <c r="W715" s="53">
        <f>IF(OR($V715="",$O715=""),"",$V715*$O715)</f>
        <v/>
      </c>
      <c r="X715" s="45" t="n"/>
      <c r="Y715" s="49" t="n"/>
    </row>
    <row r="716">
      <c r="A716" s="43">
        <f>IF($B716="","",COUNT($B$5:$B716))</f>
        <v/>
      </c>
      <c r="B716" s="44" t="n"/>
      <c r="C716" s="44" t="n"/>
      <c r="D716" s="45" t="n"/>
      <c r="E716" s="45" t="n"/>
      <c r="F716" s="45" t="n"/>
      <c r="G716" s="46">
        <f>IF($F716="","",IFERROR(INDEX(사건마스터!$B$5:$B$64,MATCH($F716,사건마스터!$A$5:$A$64,0)),""))</f>
        <v/>
      </c>
      <c r="H716" s="47">
        <f>IF($F716="","",IFERROR(INDEX(사건마스터!$C$5:$C$64,MATCH($F716,사건마스터!$A$5:$A$64,0)),""))</f>
        <v/>
      </c>
      <c r="I716" s="48">
        <f>IF($F716="","",IFERROR(INDEX(사건마스터!$H$5:$H$64,MATCH($F716,사건마스터!$A$5:$A$64,0)),""))</f>
        <v/>
      </c>
      <c r="J716" s="48">
        <f>IF($F716="","",IFERROR(INDEX(사건마스터!$AH$5:$AH$64,MATCH($F716,사건마스터!$A$5:$A$64,0)),""))</f>
        <v/>
      </c>
      <c r="K716" s="48">
        <f>IF($F716="","",IFERROR(INDEX(사건마스터!$AI$5:$AI$64,MATCH($F716,사건마스터!$A$5:$A$64,0)),""))</f>
        <v/>
      </c>
      <c r="L716" s="48">
        <f>IF($F716="","",IFERROR(INDEX(사건마스터!$AJ$5:$AJ$64,MATCH($F716,사건마스터!$A$5:$A$64,0)),""))</f>
        <v/>
      </c>
      <c r="M716" s="48">
        <f>IF($F716="","",IFERROR(INDEX(사건마스터!$AK$5:$AK$64,MATCH($F716,사건마스터!$A$5:$A$64,0)),""))</f>
        <v/>
      </c>
      <c r="N716" s="48">
        <f>IF($F716="","",IFERROR(INDEX(사건마스터!$AL$5:$AL$64,MATCH($F716,사건마스터!$A$5:$A$64,0)),""))</f>
        <v/>
      </c>
      <c r="O716" s="43">
        <f>IF($I716="","",COUNTIF($I716:$N716,"?*"))</f>
        <v/>
      </c>
      <c r="P716" s="46">
        <f>IF($I716="","",_xlfn.TEXTJOIN(", ",TRUE,$I716:$N716))</f>
        <v/>
      </c>
      <c r="Q716" s="47">
        <f>IF($I716="","",IFERROR(INDEX(코드설정!$D$5:$D$24,MATCH($I716,코드설정!$C$5:$C$24,0)),""))</f>
        <v/>
      </c>
      <c r="R716" s="49" t="n"/>
      <c r="S716" s="50" t="n"/>
      <c r="T716" s="51" t="n"/>
      <c r="U716" s="43">
        <f>IF(OR($B716="",$C716=""),"",$C716-$B716+1)</f>
        <v/>
      </c>
      <c r="V716" s="52" t="n"/>
      <c r="W716" s="53">
        <f>IF(OR($V716="",$O716=""),"",$V716*$O716)</f>
        <v/>
      </c>
      <c r="X716" s="45" t="n"/>
      <c r="Y716" s="49" t="n"/>
    </row>
    <row r="717">
      <c r="A717" s="43">
        <f>IF($B717="","",COUNT($B$5:$B717))</f>
        <v/>
      </c>
      <c r="B717" s="44" t="n"/>
      <c r="C717" s="44" t="n"/>
      <c r="D717" s="45" t="n"/>
      <c r="E717" s="45" t="n"/>
      <c r="F717" s="45" t="n"/>
      <c r="G717" s="46">
        <f>IF($F717="","",IFERROR(INDEX(사건마스터!$B$5:$B$64,MATCH($F717,사건마스터!$A$5:$A$64,0)),""))</f>
        <v/>
      </c>
      <c r="H717" s="47">
        <f>IF($F717="","",IFERROR(INDEX(사건마스터!$C$5:$C$64,MATCH($F717,사건마스터!$A$5:$A$64,0)),""))</f>
        <v/>
      </c>
      <c r="I717" s="48">
        <f>IF($F717="","",IFERROR(INDEX(사건마스터!$H$5:$H$64,MATCH($F717,사건마스터!$A$5:$A$64,0)),""))</f>
        <v/>
      </c>
      <c r="J717" s="48">
        <f>IF($F717="","",IFERROR(INDEX(사건마스터!$AH$5:$AH$64,MATCH($F717,사건마스터!$A$5:$A$64,0)),""))</f>
        <v/>
      </c>
      <c r="K717" s="48">
        <f>IF($F717="","",IFERROR(INDEX(사건마스터!$AI$5:$AI$64,MATCH($F717,사건마스터!$A$5:$A$64,0)),""))</f>
        <v/>
      </c>
      <c r="L717" s="48">
        <f>IF($F717="","",IFERROR(INDEX(사건마스터!$AJ$5:$AJ$64,MATCH($F717,사건마스터!$A$5:$A$64,0)),""))</f>
        <v/>
      </c>
      <c r="M717" s="48">
        <f>IF($F717="","",IFERROR(INDEX(사건마스터!$AK$5:$AK$64,MATCH($F717,사건마스터!$A$5:$A$64,0)),""))</f>
        <v/>
      </c>
      <c r="N717" s="48">
        <f>IF($F717="","",IFERROR(INDEX(사건마스터!$AL$5:$AL$64,MATCH($F717,사건마스터!$A$5:$A$64,0)),""))</f>
        <v/>
      </c>
      <c r="O717" s="43">
        <f>IF($I717="","",COUNTIF($I717:$N717,"?*"))</f>
        <v/>
      </c>
      <c r="P717" s="46">
        <f>IF($I717="","",_xlfn.TEXTJOIN(", ",TRUE,$I717:$N717))</f>
        <v/>
      </c>
      <c r="Q717" s="47">
        <f>IF($I717="","",IFERROR(INDEX(코드설정!$D$5:$D$24,MATCH($I717,코드설정!$C$5:$C$24,0)),""))</f>
        <v/>
      </c>
      <c r="R717" s="49" t="n"/>
      <c r="S717" s="50" t="n"/>
      <c r="T717" s="51" t="n"/>
      <c r="U717" s="43">
        <f>IF(OR($B717="",$C717=""),"",$C717-$B717+1)</f>
        <v/>
      </c>
      <c r="V717" s="52" t="n"/>
      <c r="W717" s="53">
        <f>IF(OR($V717="",$O717=""),"",$V717*$O717)</f>
        <v/>
      </c>
      <c r="X717" s="45" t="n"/>
      <c r="Y717" s="49" t="n"/>
    </row>
    <row r="718">
      <c r="A718" s="43">
        <f>IF($B718="","",COUNT($B$5:$B718))</f>
        <v/>
      </c>
      <c r="B718" s="44" t="n"/>
      <c r="C718" s="44" t="n"/>
      <c r="D718" s="45" t="n"/>
      <c r="E718" s="45" t="n"/>
      <c r="F718" s="45" t="n"/>
      <c r="G718" s="46">
        <f>IF($F718="","",IFERROR(INDEX(사건마스터!$B$5:$B$64,MATCH($F718,사건마스터!$A$5:$A$64,0)),""))</f>
        <v/>
      </c>
      <c r="H718" s="47">
        <f>IF($F718="","",IFERROR(INDEX(사건마스터!$C$5:$C$64,MATCH($F718,사건마스터!$A$5:$A$64,0)),""))</f>
        <v/>
      </c>
      <c r="I718" s="48">
        <f>IF($F718="","",IFERROR(INDEX(사건마스터!$H$5:$H$64,MATCH($F718,사건마스터!$A$5:$A$64,0)),""))</f>
        <v/>
      </c>
      <c r="J718" s="48">
        <f>IF($F718="","",IFERROR(INDEX(사건마스터!$AH$5:$AH$64,MATCH($F718,사건마스터!$A$5:$A$64,0)),""))</f>
        <v/>
      </c>
      <c r="K718" s="48">
        <f>IF($F718="","",IFERROR(INDEX(사건마스터!$AI$5:$AI$64,MATCH($F718,사건마스터!$A$5:$A$64,0)),""))</f>
        <v/>
      </c>
      <c r="L718" s="48">
        <f>IF($F718="","",IFERROR(INDEX(사건마스터!$AJ$5:$AJ$64,MATCH($F718,사건마스터!$A$5:$A$64,0)),""))</f>
        <v/>
      </c>
      <c r="M718" s="48">
        <f>IF($F718="","",IFERROR(INDEX(사건마스터!$AK$5:$AK$64,MATCH($F718,사건마스터!$A$5:$A$64,0)),""))</f>
        <v/>
      </c>
      <c r="N718" s="48">
        <f>IF($F718="","",IFERROR(INDEX(사건마스터!$AL$5:$AL$64,MATCH($F718,사건마스터!$A$5:$A$64,0)),""))</f>
        <v/>
      </c>
      <c r="O718" s="43">
        <f>IF($I718="","",COUNTIF($I718:$N718,"?*"))</f>
        <v/>
      </c>
      <c r="P718" s="46">
        <f>IF($I718="","",_xlfn.TEXTJOIN(", ",TRUE,$I718:$N718))</f>
        <v/>
      </c>
      <c r="Q718" s="47">
        <f>IF($I718="","",IFERROR(INDEX(코드설정!$D$5:$D$24,MATCH($I718,코드설정!$C$5:$C$24,0)),""))</f>
        <v/>
      </c>
      <c r="R718" s="49" t="n"/>
      <c r="S718" s="50" t="n"/>
      <c r="T718" s="51" t="n"/>
      <c r="U718" s="43">
        <f>IF(OR($B718="",$C718=""),"",$C718-$B718+1)</f>
        <v/>
      </c>
      <c r="V718" s="52" t="n"/>
      <c r="W718" s="53">
        <f>IF(OR($V718="",$O718=""),"",$V718*$O718)</f>
        <v/>
      </c>
      <c r="X718" s="45" t="n"/>
      <c r="Y718" s="49" t="n"/>
    </row>
    <row r="719">
      <c r="A719" s="43">
        <f>IF($B719="","",COUNT($B$5:$B719))</f>
        <v/>
      </c>
      <c r="B719" s="44" t="n"/>
      <c r="C719" s="44" t="n"/>
      <c r="D719" s="45" t="n"/>
      <c r="E719" s="45" t="n"/>
      <c r="F719" s="45" t="n"/>
      <c r="G719" s="46">
        <f>IF($F719="","",IFERROR(INDEX(사건마스터!$B$5:$B$64,MATCH($F719,사건마스터!$A$5:$A$64,0)),""))</f>
        <v/>
      </c>
      <c r="H719" s="47">
        <f>IF($F719="","",IFERROR(INDEX(사건마스터!$C$5:$C$64,MATCH($F719,사건마스터!$A$5:$A$64,0)),""))</f>
        <v/>
      </c>
      <c r="I719" s="48">
        <f>IF($F719="","",IFERROR(INDEX(사건마스터!$H$5:$H$64,MATCH($F719,사건마스터!$A$5:$A$64,0)),""))</f>
        <v/>
      </c>
      <c r="J719" s="48">
        <f>IF($F719="","",IFERROR(INDEX(사건마스터!$AH$5:$AH$64,MATCH($F719,사건마스터!$A$5:$A$64,0)),""))</f>
        <v/>
      </c>
      <c r="K719" s="48">
        <f>IF($F719="","",IFERROR(INDEX(사건마스터!$AI$5:$AI$64,MATCH($F719,사건마스터!$A$5:$A$64,0)),""))</f>
        <v/>
      </c>
      <c r="L719" s="48">
        <f>IF($F719="","",IFERROR(INDEX(사건마스터!$AJ$5:$AJ$64,MATCH($F719,사건마스터!$A$5:$A$64,0)),""))</f>
        <v/>
      </c>
      <c r="M719" s="48">
        <f>IF($F719="","",IFERROR(INDEX(사건마스터!$AK$5:$AK$64,MATCH($F719,사건마스터!$A$5:$A$64,0)),""))</f>
        <v/>
      </c>
      <c r="N719" s="48">
        <f>IF($F719="","",IFERROR(INDEX(사건마스터!$AL$5:$AL$64,MATCH($F719,사건마스터!$A$5:$A$64,0)),""))</f>
        <v/>
      </c>
      <c r="O719" s="43">
        <f>IF($I719="","",COUNTIF($I719:$N719,"?*"))</f>
        <v/>
      </c>
      <c r="P719" s="46">
        <f>IF($I719="","",_xlfn.TEXTJOIN(", ",TRUE,$I719:$N719))</f>
        <v/>
      </c>
      <c r="Q719" s="47">
        <f>IF($I719="","",IFERROR(INDEX(코드설정!$D$5:$D$24,MATCH($I719,코드설정!$C$5:$C$24,0)),""))</f>
        <v/>
      </c>
      <c r="R719" s="49" t="n"/>
      <c r="S719" s="50" t="n"/>
      <c r="T719" s="51" t="n"/>
      <c r="U719" s="43">
        <f>IF(OR($B719="",$C719=""),"",$C719-$B719+1)</f>
        <v/>
      </c>
      <c r="V719" s="52" t="n"/>
      <c r="W719" s="53">
        <f>IF(OR($V719="",$O719=""),"",$V719*$O719)</f>
        <v/>
      </c>
      <c r="X719" s="45" t="n"/>
      <c r="Y719" s="49" t="n"/>
    </row>
    <row r="720">
      <c r="A720" s="43">
        <f>IF($B720="","",COUNT($B$5:$B720))</f>
        <v/>
      </c>
      <c r="B720" s="44" t="n"/>
      <c r="C720" s="44" t="n"/>
      <c r="D720" s="45" t="n"/>
      <c r="E720" s="45" t="n"/>
      <c r="F720" s="45" t="n"/>
      <c r="G720" s="46">
        <f>IF($F720="","",IFERROR(INDEX(사건마스터!$B$5:$B$64,MATCH($F720,사건마스터!$A$5:$A$64,0)),""))</f>
        <v/>
      </c>
      <c r="H720" s="47">
        <f>IF($F720="","",IFERROR(INDEX(사건마스터!$C$5:$C$64,MATCH($F720,사건마스터!$A$5:$A$64,0)),""))</f>
        <v/>
      </c>
      <c r="I720" s="48">
        <f>IF($F720="","",IFERROR(INDEX(사건마스터!$H$5:$H$64,MATCH($F720,사건마스터!$A$5:$A$64,0)),""))</f>
        <v/>
      </c>
      <c r="J720" s="48">
        <f>IF($F720="","",IFERROR(INDEX(사건마스터!$AH$5:$AH$64,MATCH($F720,사건마스터!$A$5:$A$64,0)),""))</f>
        <v/>
      </c>
      <c r="K720" s="48">
        <f>IF($F720="","",IFERROR(INDEX(사건마스터!$AI$5:$AI$64,MATCH($F720,사건마스터!$A$5:$A$64,0)),""))</f>
        <v/>
      </c>
      <c r="L720" s="48">
        <f>IF($F720="","",IFERROR(INDEX(사건마스터!$AJ$5:$AJ$64,MATCH($F720,사건마스터!$A$5:$A$64,0)),""))</f>
        <v/>
      </c>
      <c r="M720" s="48">
        <f>IF($F720="","",IFERROR(INDEX(사건마스터!$AK$5:$AK$64,MATCH($F720,사건마스터!$A$5:$A$64,0)),""))</f>
        <v/>
      </c>
      <c r="N720" s="48">
        <f>IF($F720="","",IFERROR(INDEX(사건마스터!$AL$5:$AL$64,MATCH($F720,사건마스터!$A$5:$A$64,0)),""))</f>
        <v/>
      </c>
      <c r="O720" s="43">
        <f>IF($I720="","",COUNTIF($I720:$N720,"?*"))</f>
        <v/>
      </c>
      <c r="P720" s="46">
        <f>IF($I720="","",_xlfn.TEXTJOIN(", ",TRUE,$I720:$N720))</f>
        <v/>
      </c>
      <c r="Q720" s="47">
        <f>IF($I720="","",IFERROR(INDEX(코드설정!$D$5:$D$24,MATCH($I720,코드설정!$C$5:$C$24,0)),""))</f>
        <v/>
      </c>
      <c r="R720" s="49" t="n"/>
      <c r="S720" s="50" t="n"/>
      <c r="T720" s="51" t="n"/>
      <c r="U720" s="43">
        <f>IF(OR($B720="",$C720=""),"",$C720-$B720+1)</f>
        <v/>
      </c>
      <c r="V720" s="52" t="n"/>
      <c r="W720" s="53">
        <f>IF(OR($V720="",$O720=""),"",$V720*$O720)</f>
        <v/>
      </c>
      <c r="X720" s="45" t="n"/>
      <c r="Y720" s="49" t="n"/>
    </row>
    <row r="721">
      <c r="A721" s="43">
        <f>IF($B721="","",COUNT($B$5:$B721))</f>
        <v/>
      </c>
      <c r="B721" s="44" t="n"/>
      <c r="C721" s="44" t="n"/>
      <c r="D721" s="45" t="n"/>
      <c r="E721" s="45" t="n"/>
      <c r="F721" s="45" t="n"/>
      <c r="G721" s="46">
        <f>IF($F721="","",IFERROR(INDEX(사건마스터!$B$5:$B$64,MATCH($F721,사건마스터!$A$5:$A$64,0)),""))</f>
        <v/>
      </c>
      <c r="H721" s="47">
        <f>IF($F721="","",IFERROR(INDEX(사건마스터!$C$5:$C$64,MATCH($F721,사건마스터!$A$5:$A$64,0)),""))</f>
        <v/>
      </c>
      <c r="I721" s="48">
        <f>IF($F721="","",IFERROR(INDEX(사건마스터!$H$5:$H$64,MATCH($F721,사건마스터!$A$5:$A$64,0)),""))</f>
        <v/>
      </c>
      <c r="J721" s="48">
        <f>IF($F721="","",IFERROR(INDEX(사건마스터!$AH$5:$AH$64,MATCH($F721,사건마스터!$A$5:$A$64,0)),""))</f>
        <v/>
      </c>
      <c r="K721" s="48">
        <f>IF($F721="","",IFERROR(INDEX(사건마스터!$AI$5:$AI$64,MATCH($F721,사건마스터!$A$5:$A$64,0)),""))</f>
        <v/>
      </c>
      <c r="L721" s="48">
        <f>IF($F721="","",IFERROR(INDEX(사건마스터!$AJ$5:$AJ$64,MATCH($F721,사건마스터!$A$5:$A$64,0)),""))</f>
        <v/>
      </c>
      <c r="M721" s="48">
        <f>IF($F721="","",IFERROR(INDEX(사건마스터!$AK$5:$AK$64,MATCH($F721,사건마스터!$A$5:$A$64,0)),""))</f>
        <v/>
      </c>
      <c r="N721" s="48">
        <f>IF($F721="","",IFERROR(INDEX(사건마스터!$AL$5:$AL$64,MATCH($F721,사건마스터!$A$5:$A$64,0)),""))</f>
        <v/>
      </c>
      <c r="O721" s="43">
        <f>IF($I721="","",COUNTIF($I721:$N721,"?*"))</f>
        <v/>
      </c>
      <c r="P721" s="46">
        <f>IF($I721="","",_xlfn.TEXTJOIN(", ",TRUE,$I721:$N721))</f>
        <v/>
      </c>
      <c r="Q721" s="47">
        <f>IF($I721="","",IFERROR(INDEX(코드설정!$D$5:$D$24,MATCH($I721,코드설정!$C$5:$C$24,0)),""))</f>
        <v/>
      </c>
      <c r="R721" s="49" t="n"/>
      <c r="S721" s="50" t="n"/>
      <c r="T721" s="51" t="n"/>
      <c r="U721" s="43">
        <f>IF(OR($B721="",$C721=""),"",$C721-$B721+1)</f>
        <v/>
      </c>
      <c r="V721" s="52" t="n"/>
      <c r="W721" s="53">
        <f>IF(OR($V721="",$O721=""),"",$V721*$O721)</f>
        <v/>
      </c>
      <c r="X721" s="45" t="n"/>
      <c r="Y721" s="49" t="n"/>
    </row>
    <row r="722">
      <c r="A722" s="43">
        <f>IF($B722="","",COUNT($B$5:$B722))</f>
        <v/>
      </c>
      <c r="B722" s="44" t="n"/>
      <c r="C722" s="44" t="n"/>
      <c r="D722" s="45" t="n"/>
      <c r="E722" s="45" t="n"/>
      <c r="F722" s="45" t="n"/>
      <c r="G722" s="46">
        <f>IF($F722="","",IFERROR(INDEX(사건마스터!$B$5:$B$64,MATCH($F722,사건마스터!$A$5:$A$64,0)),""))</f>
        <v/>
      </c>
      <c r="H722" s="47">
        <f>IF($F722="","",IFERROR(INDEX(사건마스터!$C$5:$C$64,MATCH($F722,사건마스터!$A$5:$A$64,0)),""))</f>
        <v/>
      </c>
      <c r="I722" s="48">
        <f>IF($F722="","",IFERROR(INDEX(사건마스터!$H$5:$H$64,MATCH($F722,사건마스터!$A$5:$A$64,0)),""))</f>
        <v/>
      </c>
      <c r="J722" s="48">
        <f>IF($F722="","",IFERROR(INDEX(사건마스터!$AH$5:$AH$64,MATCH($F722,사건마스터!$A$5:$A$64,0)),""))</f>
        <v/>
      </c>
      <c r="K722" s="48">
        <f>IF($F722="","",IFERROR(INDEX(사건마스터!$AI$5:$AI$64,MATCH($F722,사건마스터!$A$5:$A$64,0)),""))</f>
        <v/>
      </c>
      <c r="L722" s="48">
        <f>IF($F722="","",IFERROR(INDEX(사건마스터!$AJ$5:$AJ$64,MATCH($F722,사건마스터!$A$5:$A$64,0)),""))</f>
        <v/>
      </c>
      <c r="M722" s="48">
        <f>IF($F722="","",IFERROR(INDEX(사건마스터!$AK$5:$AK$64,MATCH($F722,사건마스터!$A$5:$A$64,0)),""))</f>
        <v/>
      </c>
      <c r="N722" s="48">
        <f>IF($F722="","",IFERROR(INDEX(사건마스터!$AL$5:$AL$64,MATCH($F722,사건마스터!$A$5:$A$64,0)),""))</f>
        <v/>
      </c>
      <c r="O722" s="43">
        <f>IF($I722="","",COUNTIF($I722:$N722,"?*"))</f>
        <v/>
      </c>
      <c r="P722" s="46">
        <f>IF($I722="","",_xlfn.TEXTJOIN(", ",TRUE,$I722:$N722))</f>
        <v/>
      </c>
      <c r="Q722" s="47">
        <f>IF($I722="","",IFERROR(INDEX(코드설정!$D$5:$D$24,MATCH($I722,코드설정!$C$5:$C$24,0)),""))</f>
        <v/>
      </c>
      <c r="R722" s="49" t="n"/>
      <c r="S722" s="50" t="n"/>
      <c r="T722" s="51" t="n"/>
      <c r="U722" s="43">
        <f>IF(OR($B722="",$C722=""),"",$C722-$B722+1)</f>
        <v/>
      </c>
      <c r="V722" s="52" t="n"/>
      <c r="W722" s="53">
        <f>IF(OR($V722="",$O722=""),"",$V722*$O722)</f>
        <v/>
      </c>
      <c r="X722" s="45" t="n"/>
      <c r="Y722" s="49" t="n"/>
    </row>
    <row r="723">
      <c r="A723" s="43">
        <f>IF($B723="","",COUNT($B$5:$B723))</f>
        <v/>
      </c>
      <c r="B723" s="44" t="n"/>
      <c r="C723" s="44" t="n"/>
      <c r="D723" s="45" t="n"/>
      <c r="E723" s="45" t="n"/>
      <c r="F723" s="45" t="n"/>
      <c r="G723" s="46">
        <f>IF($F723="","",IFERROR(INDEX(사건마스터!$B$5:$B$64,MATCH($F723,사건마스터!$A$5:$A$64,0)),""))</f>
        <v/>
      </c>
      <c r="H723" s="47">
        <f>IF($F723="","",IFERROR(INDEX(사건마스터!$C$5:$C$64,MATCH($F723,사건마스터!$A$5:$A$64,0)),""))</f>
        <v/>
      </c>
      <c r="I723" s="48">
        <f>IF($F723="","",IFERROR(INDEX(사건마스터!$H$5:$H$64,MATCH($F723,사건마스터!$A$5:$A$64,0)),""))</f>
        <v/>
      </c>
      <c r="J723" s="48">
        <f>IF($F723="","",IFERROR(INDEX(사건마스터!$AH$5:$AH$64,MATCH($F723,사건마스터!$A$5:$A$64,0)),""))</f>
        <v/>
      </c>
      <c r="K723" s="48">
        <f>IF($F723="","",IFERROR(INDEX(사건마스터!$AI$5:$AI$64,MATCH($F723,사건마스터!$A$5:$A$64,0)),""))</f>
        <v/>
      </c>
      <c r="L723" s="48">
        <f>IF($F723="","",IFERROR(INDEX(사건마스터!$AJ$5:$AJ$64,MATCH($F723,사건마스터!$A$5:$A$64,0)),""))</f>
        <v/>
      </c>
      <c r="M723" s="48">
        <f>IF($F723="","",IFERROR(INDEX(사건마스터!$AK$5:$AK$64,MATCH($F723,사건마스터!$A$5:$A$64,0)),""))</f>
        <v/>
      </c>
      <c r="N723" s="48">
        <f>IF($F723="","",IFERROR(INDEX(사건마스터!$AL$5:$AL$64,MATCH($F723,사건마스터!$A$5:$A$64,0)),""))</f>
        <v/>
      </c>
      <c r="O723" s="43">
        <f>IF($I723="","",COUNTIF($I723:$N723,"?*"))</f>
        <v/>
      </c>
      <c r="P723" s="46">
        <f>IF($I723="","",_xlfn.TEXTJOIN(", ",TRUE,$I723:$N723))</f>
        <v/>
      </c>
      <c r="Q723" s="47">
        <f>IF($I723="","",IFERROR(INDEX(코드설정!$D$5:$D$24,MATCH($I723,코드설정!$C$5:$C$24,0)),""))</f>
        <v/>
      </c>
      <c r="R723" s="49" t="n"/>
      <c r="S723" s="50" t="n"/>
      <c r="T723" s="51" t="n"/>
      <c r="U723" s="43">
        <f>IF(OR($B723="",$C723=""),"",$C723-$B723+1)</f>
        <v/>
      </c>
      <c r="V723" s="52" t="n"/>
      <c r="W723" s="53">
        <f>IF(OR($V723="",$O723=""),"",$V723*$O723)</f>
        <v/>
      </c>
      <c r="X723" s="45" t="n"/>
      <c r="Y723" s="49" t="n"/>
    </row>
    <row r="724">
      <c r="A724" s="43">
        <f>IF($B724="","",COUNT($B$5:$B724))</f>
        <v/>
      </c>
      <c r="B724" s="44" t="n"/>
      <c r="C724" s="44" t="n"/>
      <c r="D724" s="45" t="n"/>
      <c r="E724" s="45" t="n"/>
      <c r="F724" s="45" t="n"/>
      <c r="G724" s="46">
        <f>IF($F724="","",IFERROR(INDEX(사건마스터!$B$5:$B$64,MATCH($F724,사건마스터!$A$5:$A$64,0)),""))</f>
        <v/>
      </c>
      <c r="H724" s="47">
        <f>IF($F724="","",IFERROR(INDEX(사건마스터!$C$5:$C$64,MATCH($F724,사건마스터!$A$5:$A$64,0)),""))</f>
        <v/>
      </c>
      <c r="I724" s="48">
        <f>IF($F724="","",IFERROR(INDEX(사건마스터!$H$5:$H$64,MATCH($F724,사건마스터!$A$5:$A$64,0)),""))</f>
        <v/>
      </c>
      <c r="J724" s="48">
        <f>IF($F724="","",IFERROR(INDEX(사건마스터!$AH$5:$AH$64,MATCH($F724,사건마스터!$A$5:$A$64,0)),""))</f>
        <v/>
      </c>
      <c r="K724" s="48">
        <f>IF($F724="","",IFERROR(INDEX(사건마스터!$AI$5:$AI$64,MATCH($F724,사건마스터!$A$5:$A$64,0)),""))</f>
        <v/>
      </c>
      <c r="L724" s="48">
        <f>IF($F724="","",IFERROR(INDEX(사건마스터!$AJ$5:$AJ$64,MATCH($F724,사건마스터!$A$5:$A$64,0)),""))</f>
        <v/>
      </c>
      <c r="M724" s="48">
        <f>IF($F724="","",IFERROR(INDEX(사건마스터!$AK$5:$AK$64,MATCH($F724,사건마스터!$A$5:$A$64,0)),""))</f>
        <v/>
      </c>
      <c r="N724" s="48">
        <f>IF($F724="","",IFERROR(INDEX(사건마스터!$AL$5:$AL$64,MATCH($F724,사건마스터!$A$5:$A$64,0)),""))</f>
        <v/>
      </c>
      <c r="O724" s="43">
        <f>IF($I724="","",COUNTIF($I724:$N724,"?*"))</f>
        <v/>
      </c>
      <c r="P724" s="46">
        <f>IF($I724="","",_xlfn.TEXTJOIN(", ",TRUE,$I724:$N724))</f>
        <v/>
      </c>
      <c r="Q724" s="47">
        <f>IF($I724="","",IFERROR(INDEX(코드설정!$D$5:$D$24,MATCH($I724,코드설정!$C$5:$C$24,0)),""))</f>
        <v/>
      </c>
      <c r="R724" s="49" t="n"/>
      <c r="S724" s="50" t="n"/>
      <c r="T724" s="51" t="n"/>
      <c r="U724" s="43">
        <f>IF(OR($B724="",$C724=""),"",$C724-$B724+1)</f>
        <v/>
      </c>
      <c r="V724" s="52" t="n"/>
      <c r="W724" s="53">
        <f>IF(OR($V724="",$O724=""),"",$V724*$O724)</f>
        <v/>
      </c>
      <c r="X724" s="45" t="n"/>
      <c r="Y724" s="49" t="n"/>
    </row>
    <row r="725">
      <c r="A725" s="43">
        <f>IF($B725="","",COUNT($B$5:$B725))</f>
        <v/>
      </c>
      <c r="B725" s="44" t="n"/>
      <c r="C725" s="44" t="n"/>
      <c r="D725" s="45" t="n"/>
      <c r="E725" s="45" t="n"/>
      <c r="F725" s="45" t="n"/>
      <c r="G725" s="46">
        <f>IF($F725="","",IFERROR(INDEX(사건마스터!$B$5:$B$64,MATCH($F725,사건마스터!$A$5:$A$64,0)),""))</f>
        <v/>
      </c>
      <c r="H725" s="47">
        <f>IF($F725="","",IFERROR(INDEX(사건마스터!$C$5:$C$64,MATCH($F725,사건마스터!$A$5:$A$64,0)),""))</f>
        <v/>
      </c>
      <c r="I725" s="48">
        <f>IF($F725="","",IFERROR(INDEX(사건마스터!$H$5:$H$64,MATCH($F725,사건마스터!$A$5:$A$64,0)),""))</f>
        <v/>
      </c>
      <c r="J725" s="48">
        <f>IF($F725="","",IFERROR(INDEX(사건마스터!$AH$5:$AH$64,MATCH($F725,사건마스터!$A$5:$A$64,0)),""))</f>
        <v/>
      </c>
      <c r="K725" s="48">
        <f>IF($F725="","",IFERROR(INDEX(사건마스터!$AI$5:$AI$64,MATCH($F725,사건마스터!$A$5:$A$64,0)),""))</f>
        <v/>
      </c>
      <c r="L725" s="48">
        <f>IF($F725="","",IFERROR(INDEX(사건마스터!$AJ$5:$AJ$64,MATCH($F725,사건마스터!$A$5:$A$64,0)),""))</f>
        <v/>
      </c>
      <c r="M725" s="48">
        <f>IF($F725="","",IFERROR(INDEX(사건마스터!$AK$5:$AK$64,MATCH($F725,사건마스터!$A$5:$A$64,0)),""))</f>
        <v/>
      </c>
      <c r="N725" s="48">
        <f>IF($F725="","",IFERROR(INDEX(사건마스터!$AL$5:$AL$64,MATCH($F725,사건마스터!$A$5:$A$64,0)),""))</f>
        <v/>
      </c>
      <c r="O725" s="43">
        <f>IF($I725="","",COUNTIF($I725:$N725,"?*"))</f>
        <v/>
      </c>
      <c r="P725" s="46">
        <f>IF($I725="","",_xlfn.TEXTJOIN(", ",TRUE,$I725:$N725))</f>
        <v/>
      </c>
      <c r="Q725" s="47">
        <f>IF($I725="","",IFERROR(INDEX(코드설정!$D$5:$D$24,MATCH($I725,코드설정!$C$5:$C$24,0)),""))</f>
        <v/>
      </c>
      <c r="R725" s="49" t="n"/>
      <c r="S725" s="50" t="n"/>
      <c r="T725" s="51" t="n"/>
      <c r="U725" s="43">
        <f>IF(OR($B725="",$C725=""),"",$C725-$B725+1)</f>
        <v/>
      </c>
      <c r="V725" s="52" t="n"/>
      <c r="W725" s="53">
        <f>IF(OR($V725="",$O725=""),"",$V725*$O725)</f>
        <v/>
      </c>
      <c r="X725" s="45" t="n"/>
      <c r="Y725" s="49" t="n"/>
    </row>
    <row r="726">
      <c r="A726" s="43">
        <f>IF($B726="","",COUNT($B$5:$B726))</f>
        <v/>
      </c>
      <c r="B726" s="44" t="n"/>
      <c r="C726" s="44" t="n"/>
      <c r="D726" s="45" t="n"/>
      <c r="E726" s="45" t="n"/>
      <c r="F726" s="45" t="n"/>
      <c r="G726" s="46">
        <f>IF($F726="","",IFERROR(INDEX(사건마스터!$B$5:$B$64,MATCH($F726,사건마스터!$A$5:$A$64,0)),""))</f>
        <v/>
      </c>
      <c r="H726" s="47">
        <f>IF($F726="","",IFERROR(INDEX(사건마스터!$C$5:$C$64,MATCH($F726,사건마스터!$A$5:$A$64,0)),""))</f>
        <v/>
      </c>
      <c r="I726" s="48">
        <f>IF($F726="","",IFERROR(INDEX(사건마스터!$H$5:$H$64,MATCH($F726,사건마스터!$A$5:$A$64,0)),""))</f>
        <v/>
      </c>
      <c r="J726" s="48">
        <f>IF($F726="","",IFERROR(INDEX(사건마스터!$AH$5:$AH$64,MATCH($F726,사건마스터!$A$5:$A$64,0)),""))</f>
        <v/>
      </c>
      <c r="K726" s="48">
        <f>IF($F726="","",IFERROR(INDEX(사건마스터!$AI$5:$AI$64,MATCH($F726,사건마스터!$A$5:$A$64,0)),""))</f>
        <v/>
      </c>
      <c r="L726" s="48">
        <f>IF($F726="","",IFERROR(INDEX(사건마스터!$AJ$5:$AJ$64,MATCH($F726,사건마스터!$A$5:$A$64,0)),""))</f>
        <v/>
      </c>
      <c r="M726" s="48">
        <f>IF($F726="","",IFERROR(INDEX(사건마스터!$AK$5:$AK$64,MATCH($F726,사건마스터!$A$5:$A$64,0)),""))</f>
        <v/>
      </c>
      <c r="N726" s="48">
        <f>IF($F726="","",IFERROR(INDEX(사건마스터!$AL$5:$AL$64,MATCH($F726,사건마스터!$A$5:$A$64,0)),""))</f>
        <v/>
      </c>
      <c r="O726" s="43">
        <f>IF($I726="","",COUNTIF($I726:$N726,"?*"))</f>
        <v/>
      </c>
      <c r="P726" s="46">
        <f>IF($I726="","",_xlfn.TEXTJOIN(", ",TRUE,$I726:$N726))</f>
        <v/>
      </c>
      <c r="Q726" s="47">
        <f>IF($I726="","",IFERROR(INDEX(코드설정!$D$5:$D$24,MATCH($I726,코드설정!$C$5:$C$24,0)),""))</f>
        <v/>
      </c>
      <c r="R726" s="49" t="n"/>
      <c r="S726" s="50" t="n"/>
      <c r="T726" s="51" t="n"/>
      <c r="U726" s="43">
        <f>IF(OR($B726="",$C726=""),"",$C726-$B726+1)</f>
        <v/>
      </c>
      <c r="V726" s="52" t="n"/>
      <c r="W726" s="53">
        <f>IF(OR($V726="",$O726=""),"",$V726*$O726)</f>
        <v/>
      </c>
      <c r="X726" s="45" t="n"/>
      <c r="Y726" s="49" t="n"/>
    </row>
    <row r="727">
      <c r="A727" s="43">
        <f>IF($B727="","",COUNT($B$5:$B727))</f>
        <v/>
      </c>
      <c r="B727" s="44" t="n"/>
      <c r="C727" s="44" t="n"/>
      <c r="D727" s="45" t="n"/>
      <c r="E727" s="45" t="n"/>
      <c r="F727" s="45" t="n"/>
      <c r="G727" s="46">
        <f>IF($F727="","",IFERROR(INDEX(사건마스터!$B$5:$B$64,MATCH($F727,사건마스터!$A$5:$A$64,0)),""))</f>
        <v/>
      </c>
      <c r="H727" s="47">
        <f>IF($F727="","",IFERROR(INDEX(사건마스터!$C$5:$C$64,MATCH($F727,사건마스터!$A$5:$A$64,0)),""))</f>
        <v/>
      </c>
      <c r="I727" s="48">
        <f>IF($F727="","",IFERROR(INDEX(사건마스터!$H$5:$H$64,MATCH($F727,사건마스터!$A$5:$A$64,0)),""))</f>
        <v/>
      </c>
      <c r="J727" s="48">
        <f>IF($F727="","",IFERROR(INDEX(사건마스터!$AH$5:$AH$64,MATCH($F727,사건마스터!$A$5:$A$64,0)),""))</f>
        <v/>
      </c>
      <c r="K727" s="48">
        <f>IF($F727="","",IFERROR(INDEX(사건마스터!$AI$5:$AI$64,MATCH($F727,사건마스터!$A$5:$A$64,0)),""))</f>
        <v/>
      </c>
      <c r="L727" s="48">
        <f>IF($F727="","",IFERROR(INDEX(사건마스터!$AJ$5:$AJ$64,MATCH($F727,사건마스터!$A$5:$A$64,0)),""))</f>
        <v/>
      </c>
      <c r="M727" s="48">
        <f>IF($F727="","",IFERROR(INDEX(사건마스터!$AK$5:$AK$64,MATCH($F727,사건마스터!$A$5:$A$64,0)),""))</f>
        <v/>
      </c>
      <c r="N727" s="48">
        <f>IF($F727="","",IFERROR(INDEX(사건마스터!$AL$5:$AL$64,MATCH($F727,사건마스터!$A$5:$A$64,0)),""))</f>
        <v/>
      </c>
      <c r="O727" s="43">
        <f>IF($I727="","",COUNTIF($I727:$N727,"?*"))</f>
        <v/>
      </c>
      <c r="P727" s="46">
        <f>IF($I727="","",_xlfn.TEXTJOIN(", ",TRUE,$I727:$N727))</f>
        <v/>
      </c>
      <c r="Q727" s="47">
        <f>IF($I727="","",IFERROR(INDEX(코드설정!$D$5:$D$24,MATCH($I727,코드설정!$C$5:$C$24,0)),""))</f>
        <v/>
      </c>
      <c r="R727" s="49" t="n"/>
      <c r="S727" s="50" t="n"/>
      <c r="T727" s="51" t="n"/>
      <c r="U727" s="43">
        <f>IF(OR($B727="",$C727=""),"",$C727-$B727+1)</f>
        <v/>
      </c>
      <c r="V727" s="52" t="n"/>
      <c r="W727" s="53">
        <f>IF(OR($V727="",$O727=""),"",$V727*$O727)</f>
        <v/>
      </c>
      <c r="X727" s="45" t="n"/>
      <c r="Y727" s="49" t="n"/>
    </row>
    <row r="728">
      <c r="A728" s="43">
        <f>IF($B728="","",COUNT($B$5:$B728))</f>
        <v/>
      </c>
      <c r="B728" s="44" t="n"/>
      <c r="C728" s="44" t="n"/>
      <c r="D728" s="45" t="n"/>
      <c r="E728" s="45" t="n"/>
      <c r="F728" s="45" t="n"/>
      <c r="G728" s="46">
        <f>IF($F728="","",IFERROR(INDEX(사건마스터!$B$5:$B$64,MATCH($F728,사건마스터!$A$5:$A$64,0)),""))</f>
        <v/>
      </c>
      <c r="H728" s="47">
        <f>IF($F728="","",IFERROR(INDEX(사건마스터!$C$5:$C$64,MATCH($F728,사건마스터!$A$5:$A$64,0)),""))</f>
        <v/>
      </c>
      <c r="I728" s="48">
        <f>IF($F728="","",IFERROR(INDEX(사건마스터!$H$5:$H$64,MATCH($F728,사건마스터!$A$5:$A$64,0)),""))</f>
        <v/>
      </c>
      <c r="J728" s="48">
        <f>IF($F728="","",IFERROR(INDEX(사건마스터!$AH$5:$AH$64,MATCH($F728,사건마스터!$A$5:$A$64,0)),""))</f>
        <v/>
      </c>
      <c r="K728" s="48">
        <f>IF($F728="","",IFERROR(INDEX(사건마스터!$AI$5:$AI$64,MATCH($F728,사건마스터!$A$5:$A$64,0)),""))</f>
        <v/>
      </c>
      <c r="L728" s="48">
        <f>IF($F728="","",IFERROR(INDEX(사건마스터!$AJ$5:$AJ$64,MATCH($F728,사건마스터!$A$5:$A$64,0)),""))</f>
        <v/>
      </c>
      <c r="M728" s="48">
        <f>IF($F728="","",IFERROR(INDEX(사건마스터!$AK$5:$AK$64,MATCH($F728,사건마스터!$A$5:$A$64,0)),""))</f>
        <v/>
      </c>
      <c r="N728" s="48">
        <f>IF($F728="","",IFERROR(INDEX(사건마스터!$AL$5:$AL$64,MATCH($F728,사건마스터!$A$5:$A$64,0)),""))</f>
        <v/>
      </c>
      <c r="O728" s="43">
        <f>IF($I728="","",COUNTIF($I728:$N728,"?*"))</f>
        <v/>
      </c>
      <c r="P728" s="46">
        <f>IF($I728="","",_xlfn.TEXTJOIN(", ",TRUE,$I728:$N728))</f>
        <v/>
      </c>
      <c r="Q728" s="47">
        <f>IF($I728="","",IFERROR(INDEX(코드설정!$D$5:$D$24,MATCH($I728,코드설정!$C$5:$C$24,0)),""))</f>
        <v/>
      </c>
      <c r="R728" s="49" t="n"/>
      <c r="S728" s="50" t="n"/>
      <c r="T728" s="51" t="n"/>
      <c r="U728" s="43">
        <f>IF(OR($B728="",$C728=""),"",$C728-$B728+1)</f>
        <v/>
      </c>
      <c r="V728" s="52" t="n"/>
      <c r="W728" s="53">
        <f>IF(OR($V728="",$O728=""),"",$V728*$O728)</f>
        <v/>
      </c>
      <c r="X728" s="45" t="n"/>
      <c r="Y728" s="49" t="n"/>
    </row>
    <row r="729">
      <c r="A729" s="43">
        <f>IF($B729="","",COUNT($B$5:$B729))</f>
        <v/>
      </c>
      <c r="B729" s="44" t="n"/>
      <c r="C729" s="44" t="n"/>
      <c r="D729" s="45" t="n"/>
      <c r="E729" s="45" t="n"/>
      <c r="F729" s="45" t="n"/>
      <c r="G729" s="46">
        <f>IF($F729="","",IFERROR(INDEX(사건마스터!$B$5:$B$64,MATCH($F729,사건마스터!$A$5:$A$64,0)),""))</f>
        <v/>
      </c>
      <c r="H729" s="47">
        <f>IF($F729="","",IFERROR(INDEX(사건마스터!$C$5:$C$64,MATCH($F729,사건마스터!$A$5:$A$64,0)),""))</f>
        <v/>
      </c>
      <c r="I729" s="48">
        <f>IF($F729="","",IFERROR(INDEX(사건마스터!$H$5:$H$64,MATCH($F729,사건마스터!$A$5:$A$64,0)),""))</f>
        <v/>
      </c>
      <c r="J729" s="48">
        <f>IF($F729="","",IFERROR(INDEX(사건마스터!$AH$5:$AH$64,MATCH($F729,사건마스터!$A$5:$A$64,0)),""))</f>
        <v/>
      </c>
      <c r="K729" s="48">
        <f>IF($F729="","",IFERROR(INDEX(사건마스터!$AI$5:$AI$64,MATCH($F729,사건마스터!$A$5:$A$64,0)),""))</f>
        <v/>
      </c>
      <c r="L729" s="48">
        <f>IF($F729="","",IFERROR(INDEX(사건마스터!$AJ$5:$AJ$64,MATCH($F729,사건마스터!$A$5:$A$64,0)),""))</f>
        <v/>
      </c>
      <c r="M729" s="48">
        <f>IF($F729="","",IFERROR(INDEX(사건마스터!$AK$5:$AK$64,MATCH($F729,사건마스터!$A$5:$A$64,0)),""))</f>
        <v/>
      </c>
      <c r="N729" s="48">
        <f>IF($F729="","",IFERROR(INDEX(사건마스터!$AL$5:$AL$64,MATCH($F729,사건마스터!$A$5:$A$64,0)),""))</f>
        <v/>
      </c>
      <c r="O729" s="43">
        <f>IF($I729="","",COUNTIF($I729:$N729,"?*"))</f>
        <v/>
      </c>
      <c r="P729" s="46">
        <f>IF($I729="","",_xlfn.TEXTJOIN(", ",TRUE,$I729:$N729))</f>
        <v/>
      </c>
      <c r="Q729" s="47">
        <f>IF($I729="","",IFERROR(INDEX(코드설정!$D$5:$D$24,MATCH($I729,코드설정!$C$5:$C$24,0)),""))</f>
        <v/>
      </c>
      <c r="R729" s="49" t="n"/>
      <c r="S729" s="50" t="n"/>
      <c r="T729" s="51" t="n"/>
      <c r="U729" s="43">
        <f>IF(OR($B729="",$C729=""),"",$C729-$B729+1)</f>
        <v/>
      </c>
      <c r="V729" s="52" t="n"/>
      <c r="W729" s="53">
        <f>IF(OR($V729="",$O729=""),"",$V729*$O729)</f>
        <v/>
      </c>
      <c r="X729" s="45" t="n"/>
      <c r="Y729" s="49" t="n"/>
    </row>
    <row r="730">
      <c r="A730" s="43">
        <f>IF($B730="","",COUNT($B$5:$B730))</f>
        <v/>
      </c>
      <c r="B730" s="44" t="n"/>
      <c r="C730" s="44" t="n"/>
      <c r="D730" s="45" t="n"/>
      <c r="E730" s="45" t="n"/>
      <c r="F730" s="45" t="n"/>
      <c r="G730" s="46">
        <f>IF($F730="","",IFERROR(INDEX(사건마스터!$B$5:$B$64,MATCH($F730,사건마스터!$A$5:$A$64,0)),""))</f>
        <v/>
      </c>
      <c r="H730" s="47">
        <f>IF($F730="","",IFERROR(INDEX(사건마스터!$C$5:$C$64,MATCH($F730,사건마스터!$A$5:$A$64,0)),""))</f>
        <v/>
      </c>
      <c r="I730" s="48">
        <f>IF($F730="","",IFERROR(INDEX(사건마스터!$H$5:$H$64,MATCH($F730,사건마스터!$A$5:$A$64,0)),""))</f>
        <v/>
      </c>
      <c r="J730" s="48">
        <f>IF($F730="","",IFERROR(INDEX(사건마스터!$AH$5:$AH$64,MATCH($F730,사건마스터!$A$5:$A$64,0)),""))</f>
        <v/>
      </c>
      <c r="K730" s="48">
        <f>IF($F730="","",IFERROR(INDEX(사건마스터!$AI$5:$AI$64,MATCH($F730,사건마스터!$A$5:$A$64,0)),""))</f>
        <v/>
      </c>
      <c r="L730" s="48">
        <f>IF($F730="","",IFERROR(INDEX(사건마스터!$AJ$5:$AJ$64,MATCH($F730,사건마스터!$A$5:$A$64,0)),""))</f>
        <v/>
      </c>
      <c r="M730" s="48">
        <f>IF($F730="","",IFERROR(INDEX(사건마스터!$AK$5:$AK$64,MATCH($F730,사건마스터!$A$5:$A$64,0)),""))</f>
        <v/>
      </c>
      <c r="N730" s="48">
        <f>IF($F730="","",IFERROR(INDEX(사건마스터!$AL$5:$AL$64,MATCH($F730,사건마스터!$A$5:$A$64,0)),""))</f>
        <v/>
      </c>
      <c r="O730" s="43">
        <f>IF($I730="","",COUNTIF($I730:$N730,"?*"))</f>
        <v/>
      </c>
      <c r="P730" s="46">
        <f>IF($I730="","",_xlfn.TEXTJOIN(", ",TRUE,$I730:$N730))</f>
        <v/>
      </c>
      <c r="Q730" s="47">
        <f>IF($I730="","",IFERROR(INDEX(코드설정!$D$5:$D$24,MATCH($I730,코드설정!$C$5:$C$24,0)),""))</f>
        <v/>
      </c>
      <c r="R730" s="49" t="n"/>
      <c r="S730" s="50" t="n"/>
      <c r="T730" s="51" t="n"/>
      <c r="U730" s="43">
        <f>IF(OR($B730="",$C730=""),"",$C730-$B730+1)</f>
        <v/>
      </c>
      <c r="V730" s="52" t="n"/>
      <c r="W730" s="53">
        <f>IF(OR($V730="",$O730=""),"",$V730*$O730)</f>
        <v/>
      </c>
      <c r="X730" s="45" t="n"/>
      <c r="Y730" s="49" t="n"/>
    </row>
    <row r="731">
      <c r="A731" s="43">
        <f>IF($B731="","",COUNT($B$5:$B731))</f>
        <v/>
      </c>
      <c r="B731" s="44" t="n"/>
      <c r="C731" s="44" t="n"/>
      <c r="D731" s="45" t="n"/>
      <c r="E731" s="45" t="n"/>
      <c r="F731" s="45" t="n"/>
      <c r="G731" s="46">
        <f>IF($F731="","",IFERROR(INDEX(사건마스터!$B$5:$B$64,MATCH($F731,사건마스터!$A$5:$A$64,0)),""))</f>
        <v/>
      </c>
      <c r="H731" s="47">
        <f>IF($F731="","",IFERROR(INDEX(사건마스터!$C$5:$C$64,MATCH($F731,사건마스터!$A$5:$A$64,0)),""))</f>
        <v/>
      </c>
      <c r="I731" s="48">
        <f>IF($F731="","",IFERROR(INDEX(사건마스터!$H$5:$H$64,MATCH($F731,사건마스터!$A$5:$A$64,0)),""))</f>
        <v/>
      </c>
      <c r="J731" s="48">
        <f>IF($F731="","",IFERROR(INDEX(사건마스터!$AH$5:$AH$64,MATCH($F731,사건마스터!$A$5:$A$64,0)),""))</f>
        <v/>
      </c>
      <c r="K731" s="48">
        <f>IF($F731="","",IFERROR(INDEX(사건마스터!$AI$5:$AI$64,MATCH($F731,사건마스터!$A$5:$A$64,0)),""))</f>
        <v/>
      </c>
      <c r="L731" s="48">
        <f>IF($F731="","",IFERROR(INDEX(사건마스터!$AJ$5:$AJ$64,MATCH($F731,사건마스터!$A$5:$A$64,0)),""))</f>
        <v/>
      </c>
      <c r="M731" s="48">
        <f>IF($F731="","",IFERROR(INDEX(사건마스터!$AK$5:$AK$64,MATCH($F731,사건마스터!$A$5:$A$64,0)),""))</f>
        <v/>
      </c>
      <c r="N731" s="48">
        <f>IF($F731="","",IFERROR(INDEX(사건마스터!$AL$5:$AL$64,MATCH($F731,사건마스터!$A$5:$A$64,0)),""))</f>
        <v/>
      </c>
      <c r="O731" s="43">
        <f>IF($I731="","",COUNTIF($I731:$N731,"?*"))</f>
        <v/>
      </c>
      <c r="P731" s="46">
        <f>IF($I731="","",_xlfn.TEXTJOIN(", ",TRUE,$I731:$N731))</f>
        <v/>
      </c>
      <c r="Q731" s="47">
        <f>IF($I731="","",IFERROR(INDEX(코드설정!$D$5:$D$24,MATCH($I731,코드설정!$C$5:$C$24,0)),""))</f>
        <v/>
      </c>
      <c r="R731" s="49" t="n"/>
      <c r="S731" s="50" t="n"/>
      <c r="T731" s="51" t="n"/>
      <c r="U731" s="43">
        <f>IF(OR($B731="",$C731=""),"",$C731-$B731+1)</f>
        <v/>
      </c>
      <c r="V731" s="52" t="n"/>
      <c r="W731" s="53">
        <f>IF(OR($V731="",$O731=""),"",$V731*$O731)</f>
        <v/>
      </c>
      <c r="X731" s="45" t="n"/>
      <c r="Y731" s="49" t="n"/>
    </row>
    <row r="732">
      <c r="A732" s="43">
        <f>IF($B732="","",COUNT($B$5:$B732))</f>
        <v/>
      </c>
      <c r="B732" s="44" t="n"/>
      <c r="C732" s="44" t="n"/>
      <c r="D732" s="45" t="n"/>
      <c r="E732" s="45" t="n"/>
      <c r="F732" s="45" t="n"/>
      <c r="G732" s="46">
        <f>IF($F732="","",IFERROR(INDEX(사건마스터!$B$5:$B$64,MATCH($F732,사건마스터!$A$5:$A$64,0)),""))</f>
        <v/>
      </c>
      <c r="H732" s="47">
        <f>IF($F732="","",IFERROR(INDEX(사건마스터!$C$5:$C$64,MATCH($F732,사건마스터!$A$5:$A$64,0)),""))</f>
        <v/>
      </c>
      <c r="I732" s="48">
        <f>IF($F732="","",IFERROR(INDEX(사건마스터!$H$5:$H$64,MATCH($F732,사건마스터!$A$5:$A$64,0)),""))</f>
        <v/>
      </c>
      <c r="J732" s="48">
        <f>IF($F732="","",IFERROR(INDEX(사건마스터!$AH$5:$AH$64,MATCH($F732,사건마스터!$A$5:$A$64,0)),""))</f>
        <v/>
      </c>
      <c r="K732" s="48">
        <f>IF($F732="","",IFERROR(INDEX(사건마스터!$AI$5:$AI$64,MATCH($F732,사건마스터!$A$5:$A$64,0)),""))</f>
        <v/>
      </c>
      <c r="L732" s="48">
        <f>IF($F732="","",IFERROR(INDEX(사건마스터!$AJ$5:$AJ$64,MATCH($F732,사건마스터!$A$5:$A$64,0)),""))</f>
        <v/>
      </c>
      <c r="M732" s="48">
        <f>IF($F732="","",IFERROR(INDEX(사건마스터!$AK$5:$AK$64,MATCH($F732,사건마스터!$A$5:$A$64,0)),""))</f>
        <v/>
      </c>
      <c r="N732" s="48">
        <f>IF($F732="","",IFERROR(INDEX(사건마스터!$AL$5:$AL$64,MATCH($F732,사건마스터!$A$5:$A$64,0)),""))</f>
        <v/>
      </c>
      <c r="O732" s="43">
        <f>IF($I732="","",COUNTIF($I732:$N732,"?*"))</f>
        <v/>
      </c>
      <c r="P732" s="46">
        <f>IF($I732="","",_xlfn.TEXTJOIN(", ",TRUE,$I732:$N732))</f>
        <v/>
      </c>
      <c r="Q732" s="47">
        <f>IF($I732="","",IFERROR(INDEX(코드설정!$D$5:$D$24,MATCH($I732,코드설정!$C$5:$C$24,0)),""))</f>
        <v/>
      </c>
      <c r="R732" s="49" t="n"/>
      <c r="S732" s="50" t="n"/>
      <c r="T732" s="51" t="n"/>
      <c r="U732" s="43">
        <f>IF(OR($B732="",$C732=""),"",$C732-$B732+1)</f>
        <v/>
      </c>
      <c r="V732" s="52" t="n"/>
      <c r="W732" s="53">
        <f>IF(OR($V732="",$O732=""),"",$V732*$O732)</f>
        <v/>
      </c>
      <c r="X732" s="45" t="n"/>
      <c r="Y732" s="49" t="n"/>
    </row>
    <row r="733">
      <c r="A733" s="43">
        <f>IF($B733="","",COUNT($B$5:$B733))</f>
        <v/>
      </c>
      <c r="B733" s="44" t="n"/>
      <c r="C733" s="44" t="n"/>
      <c r="D733" s="45" t="n"/>
      <c r="E733" s="45" t="n"/>
      <c r="F733" s="45" t="n"/>
      <c r="G733" s="46">
        <f>IF($F733="","",IFERROR(INDEX(사건마스터!$B$5:$B$64,MATCH($F733,사건마스터!$A$5:$A$64,0)),""))</f>
        <v/>
      </c>
      <c r="H733" s="47">
        <f>IF($F733="","",IFERROR(INDEX(사건마스터!$C$5:$C$64,MATCH($F733,사건마스터!$A$5:$A$64,0)),""))</f>
        <v/>
      </c>
      <c r="I733" s="48">
        <f>IF($F733="","",IFERROR(INDEX(사건마스터!$H$5:$H$64,MATCH($F733,사건마스터!$A$5:$A$64,0)),""))</f>
        <v/>
      </c>
      <c r="J733" s="48">
        <f>IF($F733="","",IFERROR(INDEX(사건마스터!$AH$5:$AH$64,MATCH($F733,사건마스터!$A$5:$A$64,0)),""))</f>
        <v/>
      </c>
      <c r="K733" s="48">
        <f>IF($F733="","",IFERROR(INDEX(사건마스터!$AI$5:$AI$64,MATCH($F733,사건마스터!$A$5:$A$64,0)),""))</f>
        <v/>
      </c>
      <c r="L733" s="48">
        <f>IF($F733="","",IFERROR(INDEX(사건마스터!$AJ$5:$AJ$64,MATCH($F733,사건마스터!$A$5:$A$64,0)),""))</f>
        <v/>
      </c>
      <c r="M733" s="48">
        <f>IF($F733="","",IFERROR(INDEX(사건마스터!$AK$5:$AK$64,MATCH($F733,사건마스터!$A$5:$A$64,0)),""))</f>
        <v/>
      </c>
      <c r="N733" s="48">
        <f>IF($F733="","",IFERROR(INDEX(사건마스터!$AL$5:$AL$64,MATCH($F733,사건마스터!$A$5:$A$64,0)),""))</f>
        <v/>
      </c>
      <c r="O733" s="43">
        <f>IF($I733="","",COUNTIF($I733:$N733,"?*"))</f>
        <v/>
      </c>
      <c r="P733" s="46">
        <f>IF($I733="","",_xlfn.TEXTJOIN(", ",TRUE,$I733:$N733))</f>
        <v/>
      </c>
      <c r="Q733" s="47">
        <f>IF($I733="","",IFERROR(INDEX(코드설정!$D$5:$D$24,MATCH($I733,코드설정!$C$5:$C$24,0)),""))</f>
        <v/>
      </c>
      <c r="R733" s="49" t="n"/>
      <c r="S733" s="50" t="n"/>
      <c r="T733" s="51" t="n"/>
      <c r="U733" s="43">
        <f>IF(OR($B733="",$C733=""),"",$C733-$B733+1)</f>
        <v/>
      </c>
      <c r="V733" s="52" t="n"/>
      <c r="W733" s="53">
        <f>IF(OR($V733="",$O733=""),"",$V733*$O733)</f>
        <v/>
      </c>
      <c r="X733" s="45" t="n"/>
      <c r="Y733" s="49" t="n"/>
    </row>
    <row r="734">
      <c r="A734" s="43">
        <f>IF($B734="","",COUNT($B$5:$B734))</f>
        <v/>
      </c>
      <c r="B734" s="44" t="n"/>
      <c r="C734" s="44" t="n"/>
      <c r="D734" s="45" t="n"/>
      <c r="E734" s="45" t="n"/>
      <c r="F734" s="45" t="n"/>
      <c r="G734" s="46">
        <f>IF($F734="","",IFERROR(INDEX(사건마스터!$B$5:$B$64,MATCH($F734,사건마스터!$A$5:$A$64,0)),""))</f>
        <v/>
      </c>
      <c r="H734" s="47">
        <f>IF($F734="","",IFERROR(INDEX(사건마스터!$C$5:$C$64,MATCH($F734,사건마스터!$A$5:$A$64,0)),""))</f>
        <v/>
      </c>
      <c r="I734" s="48">
        <f>IF($F734="","",IFERROR(INDEX(사건마스터!$H$5:$H$64,MATCH($F734,사건마스터!$A$5:$A$64,0)),""))</f>
        <v/>
      </c>
      <c r="J734" s="48">
        <f>IF($F734="","",IFERROR(INDEX(사건마스터!$AH$5:$AH$64,MATCH($F734,사건마스터!$A$5:$A$64,0)),""))</f>
        <v/>
      </c>
      <c r="K734" s="48">
        <f>IF($F734="","",IFERROR(INDEX(사건마스터!$AI$5:$AI$64,MATCH($F734,사건마스터!$A$5:$A$64,0)),""))</f>
        <v/>
      </c>
      <c r="L734" s="48">
        <f>IF($F734="","",IFERROR(INDEX(사건마스터!$AJ$5:$AJ$64,MATCH($F734,사건마스터!$A$5:$A$64,0)),""))</f>
        <v/>
      </c>
      <c r="M734" s="48">
        <f>IF($F734="","",IFERROR(INDEX(사건마스터!$AK$5:$AK$64,MATCH($F734,사건마스터!$A$5:$A$64,0)),""))</f>
        <v/>
      </c>
      <c r="N734" s="48">
        <f>IF($F734="","",IFERROR(INDEX(사건마스터!$AL$5:$AL$64,MATCH($F734,사건마스터!$A$5:$A$64,0)),""))</f>
        <v/>
      </c>
      <c r="O734" s="43">
        <f>IF($I734="","",COUNTIF($I734:$N734,"?*"))</f>
        <v/>
      </c>
      <c r="P734" s="46">
        <f>IF($I734="","",_xlfn.TEXTJOIN(", ",TRUE,$I734:$N734))</f>
        <v/>
      </c>
      <c r="Q734" s="47">
        <f>IF($I734="","",IFERROR(INDEX(코드설정!$D$5:$D$24,MATCH($I734,코드설정!$C$5:$C$24,0)),""))</f>
        <v/>
      </c>
      <c r="R734" s="49" t="n"/>
      <c r="S734" s="50" t="n"/>
      <c r="T734" s="51" t="n"/>
      <c r="U734" s="43">
        <f>IF(OR($B734="",$C734=""),"",$C734-$B734+1)</f>
        <v/>
      </c>
      <c r="V734" s="52" t="n"/>
      <c r="W734" s="53">
        <f>IF(OR($V734="",$O734=""),"",$V734*$O734)</f>
        <v/>
      </c>
      <c r="X734" s="45" t="n"/>
      <c r="Y734" s="49" t="n"/>
    </row>
    <row r="735">
      <c r="A735" s="43">
        <f>IF($B735="","",COUNT($B$5:$B735))</f>
        <v/>
      </c>
      <c r="B735" s="44" t="n"/>
      <c r="C735" s="44" t="n"/>
      <c r="D735" s="45" t="n"/>
      <c r="E735" s="45" t="n"/>
      <c r="F735" s="45" t="n"/>
      <c r="G735" s="46">
        <f>IF($F735="","",IFERROR(INDEX(사건마스터!$B$5:$B$64,MATCH($F735,사건마스터!$A$5:$A$64,0)),""))</f>
        <v/>
      </c>
      <c r="H735" s="47">
        <f>IF($F735="","",IFERROR(INDEX(사건마스터!$C$5:$C$64,MATCH($F735,사건마스터!$A$5:$A$64,0)),""))</f>
        <v/>
      </c>
      <c r="I735" s="48">
        <f>IF($F735="","",IFERROR(INDEX(사건마스터!$H$5:$H$64,MATCH($F735,사건마스터!$A$5:$A$64,0)),""))</f>
        <v/>
      </c>
      <c r="J735" s="48">
        <f>IF($F735="","",IFERROR(INDEX(사건마스터!$AH$5:$AH$64,MATCH($F735,사건마스터!$A$5:$A$64,0)),""))</f>
        <v/>
      </c>
      <c r="K735" s="48">
        <f>IF($F735="","",IFERROR(INDEX(사건마스터!$AI$5:$AI$64,MATCH($F735,사건마스터!$A$5:$A$64,0)),""))</f>
        <v/>
      </c>
      <c r="L735" s="48">
        <f>IF($F735="","",IFERROR(INDEX(사건마스터!$AJ$5:$AJ$64,MATCH($F735,사건마스터!$A$5:$A$64,0)),""))</f>
        <v/>
      </c>
      <c r="M735" s="48">
        <f>IF($F735="","",IFERROR(INDEX(사건마스터!$AK$5:$AK$64,MATCH($F735,사건마스터!$A$5:$A$64,0)),""))</f>
        <v/>
      </c>
      <c r="N735" s="48">
        <f>IF($F735="","",IFERROR(INDEX(사건마스터!$AL$5:$AL$64,MATCH($F735,사건마스터!$A$5:$A$64,0)),""))</f>
        <v/>
      </c>
      <c r="O735" s="43">
        <f>IF($I735="","",COUNTIF($I735:$N735,"?*"))</f>
        <v/>
      </c>
      <c r="P735" s="46">
        <f>IF($I735="","",_xlfn.TEXTJOIN(", ",TRUE,$I735:$N735))</f>
        <v/>
      </c>
      <c r="Q735" s="47">
        <f>IF($I735="","",IFERROR(INDEX(코드설정!$D$5:$D$24,MATCH($I735,코드설정!$C$5:$C$24,0)),""))</f>
        <v/>
      </c>
      <c r="R735" s="49" t="n"/>
      <c r="S735" s="50" t="n"/>
      <c r="T735" s="51" t="n"/>
      <c r="U735" s="43">
        <f>IF(OR($B735="",$C735=""),"",$C735-$B735+1)</f>
        <v/>
      </c>
      <c r="V735" s="52" t="n"/>
      <c r="W735" s="53">
        <f>IF(OR($V735="",$O735=""),"",$V735*$O735)</f>
        <v/>
      </c>
      <c r="X735" s="45" t="n"/>
      <c r="Y735" s="49" t="n"/>
    </row>
    <row r="736">
      <c r="A736" s="43">
        <f>IF($B736="","",COUNT($B$5:$B736))</f>
        <v/>
      </c>
      <c r="B736" s="44" t="n"/>
      <c r="C736" s="44" t="n"/>
      <c r="D736" s="45" t="n"/>
      <c r="E736" s="45" t="n"/>
      <c r="F736" s="45" t="n"/>
      <c r="G736" s="46">
        <f>IF($F736="","",IFERROR(INDEX(사건마스터!$B$5:$B$64,MATCH($F736,사건마스터!$A$5:$A$64,0)),""))</f>
        <v/>
      </c>
      <c r="H736" s="47">
        <f>IF($F736="","",IFERROR(INDEX(사건마스터!$C$5:$C$64,MATCH($F736,사건마스터!$A$5:$A$64,0)),""))</f>
        <v/>
      </c>
      <c r="I736" s="48">
        <f>IF($F736="","",IFERROR(INDEX(사건마스터!$H$5:$H$64,MATCH($F736,사건마스터!$A$5:$A$64,0)),""))</f>
        <v/>
      </c>
      <c r="J736" s="48">
        <f>IF($F736="","",IFERROR(INDEX(사건마스터!$AH$5:$AH$64,MATCH($F736,사건마스터!$A$5:$A$64,0)),""))</f>
        <v/>
      </c>
      <c r="K736" s="48">
        <f>IF($F736="","",IFERROR(INDEX(사건마스터!$AI$5:$AI$64,MATCH($F736,사건마스터!$A$5:$A$64,0)),""))</f>
        <v/>
      </c>
      <c r="L736" s="48">
        <f>IF($F736="","",IFERROR(INDEX(사건마스터!$AJ$5:$AJ$64,MATCH($F736,사건마스터!$A$5:$A$64,0)),""))</f>
        <v/>
      </c>
      <c r="M736" s="48">
        <f>IF($F736="","",IFERROR(INDEX(사건마스터!$AK$5:$AK$64,MATCH($F736,사건마스터!$A$5:$A$64,0)),""))</f>
        <v/>
      </c>
      <c r="N736" s="48">
        <f>IF($F736="","",IFERROR(INDEX(사건마스터!$AL$5:$AL$64,MATCH($F736,사건마스터!$A$5:$A$64,0)),""))</f>
        <v/>
      </c>
      <c r="O736" s="43">
        <f>IF($I736="","",COUNTIF($I736:$N736,"?*"))</f>
        <v/>
      </c>
      <c r="P736" s="46">
        <f>IF($I736="","",_xlfn.TEXTJOIN(", ",TRUE,$I736:$N736))</f>
        <v/>
      </c>
      <c r="Q736" s="47">
        <f>IF($I736="","",IFERROR(INDEX(코드설정!$D$5:$D$24,MATCH($I736,코드설정!$C$5:$C$24,0)),""))</f>
        <v/>
      </c>
      <c r="R736" s="49" t="n"/>
      <c r="S736" s="50" t="n"/>
      <c r="T736" s="51" t="n"/>
      <c r="U736" s="43">
        <f>IF(OR($B736="",$C736=""),"",$C736-$B736+1)</f>
        <v/>
      </c>
      <c r="V736" s="52" t="n"/>
      <c r="W736" s="53">
        <f>IF(OR($V736="",$O736=""),"",$V736*$O736)</f>
        <v/>
      </c>
      <c r="X736" s="45" t="n"/>
      <c r="Y736" s="49" t="n"/>
    </row>
    <row r="737">
      <c r="A737" s="43">
        <f>IF($B737="","",COUNT($B$5:$B737))</f>
        <v/>
      </c>
      <c r="B737" s="44" t="n"/>
      <c r="C737" s="44" t="n"/>
      <c r="D737" s="45" t="n"/>
      <c r="E737" s="45" t="n"/>
      <c r="F737" s="45" t="n"/>
      <c r="G737" s="46">
        <f>IF($F737="","",IFERROR(INDEX(사건마스터!$B$5:$B$64,MATCH($F737,사건마스터!$A$5:$A$64,0)),""))</f>
        <v/>
      </c>
      <c r="H737" s="47">
        <f>IF($F737="","",IFERROR(INDEX(사건마스터!$C$5:$C$64,MATCH($F737,사건마스터!$A$5:$A$64,0)),""))</f>
        <v/>
      </c>
      <c r="I737" s="48">
        <f>IF($F737="","",IFERROR(INDEX(사건마스터!$H$5:$H$64,MATCH($F737,사건마스터!$A$5:$A$64,0)),""))</f>
        <v/>
      </c>
      <c r="J737" s="48">
        <f>IF($F737="","",IFERROR(INDEX(사건마스터!$AH$5:$AH$64,MATCH($F737,사건마스터!$A$5:$A$64,0)),""))</f>
        <v/>
      </c>
      <c r="K737" s="48">
        <f>IF($F737="","",IFERROR(INDEX(사건마스터!$AI$5:$AI$64,MATCH($F737,사건마스터!$A$5:$A$64,0)),""))</f>
        <v/>
      </c>
      <c r="L737" s="48">
        <f>IF($F737="","",IFERROR(INDEX(사건마스터!$AJ$5:$AJ$64,MATCH($F737,사건마스터!$A$5:$A$64,0)),""))</f>
        <v/>
      </c>
      <c r="M737" s="48">
        <f>IF($F737="","",IFERROR(INDEX(사건마스터!$AK$5:$AK$64,MATCH($F737,사건마스터!$A$5:$A$64,0)),""))</f>
        <v/>
      </c>
      <c r="N737" s="48">
        <f>IF($F737="","",IFERROR(INDEX(사건마스터!$AL$5:$AL$64,MATCH($F737,사건마스터!$A$5:$A$64,0)),""))</f>
        <v/>
      </c>
      <c r="O737" s="43">
        <f>IF($I737="","",COUNTIF($I737:$N737,"?*"))</f>
        <v/>
      </c>
      <c r="P737" s="46">
        <f>IF($I737="","",_xlfn.TEXTJOIN(", ",TRUE,$I737:$N737))</f>
        <v/>
      </c>
      <c r="Q737" s="47">
        <f>IF($I737="","",IFERROR(INDEX(코드설정!$D$5:$D$24,MATCH($I737,코드설정!$C$5:$C$24,0)),""))</f>
        <v/>
      </c>
      <c r="R737" s="49" t="n"/>
      <c r="S737" s="50" t="n"/>
      <c r="T737" s="51" t="n"/>
      <c r="U737" s="43">
        <f>IF(OR($B737="",$C737=""),"",$C737-$B737+1)</f>
        <v/>
      </c>
      <c r="V737" s="52" t="n"/>
      <c r="W737" s="53">
        <f>IF(OR($V737="",$O737=""),"",$V737*$O737)</f>
        <v/>
      </c>
      <c r="X737" s="45" t="n"/>
      <c r="Y737" s="49" t="n"/>
    </row>
    <row r="738">
      <c r="A738" s="43">
        <f>IF($B738="","",COUNT($B$5:$B738))</f>
        <v/>
      </c>
      <c r="B738" s="44" t="n"/>
      <c r="C738" s="44" t="n"/>
      <c r="D738" s="45" t="n"/>
      <c r="E738" s="45" t="n"/>
      <c r="F738" s="45" t="n"/>
      <c r="G738" s="46">
        <f>IF($F738="","",IFERROR(INDEX(사건마스터!$B$5:$B$64,MATCH($F738,사건마스터!$A$5:$A$64,0)),""))</f>
        <v/>
      </c>
      <c r="H738" s="47">
        <f>IF($F738="","",IFERROR(INDEX(사건마스터!$C$5:$C$64,MATCH($F738,사건마스터!$A$5:$A$64,0)),""))</f>
        <v/>
      </c>
      <c r="I738" s="48">
        <f>IF($F738="","",IFERROR(INDEX(사건마스터!$H$5:$H$64,MATCH($F738,사건마스터!$A$5:$A$64,0)),""))</f>
        <v/>
      </c>
      <c r="J738" s="48">
        <f>IF($F738="","",IFERROR(INDEX(사건마스터!$AH$5:$AH$64,MATCH($F738,사건마스터!$A$5:$A$64,0)),""))</f>
        <v/>
      </c>
      <c r="K738" s="48">
        <f>IF($F738="","",IFERROR(INDEX(사건마스터!$AI$5:$AI$64,MATCH($F738,사건마스터!$A$5:$A$64,0)),""))</f>
        <v/>
      </c>
      <c r="L738" s="48">
        <f>IF($F738="","",IFERROR(INDEX(사건마스터!$AJ$5:$AJ$64,MATCH($F738,사건마스터!$A$5:$A$64,0)),""))</f>
        <v/>
      </c>
      <c r="M738" s="48">
        <f>IF($F738="","",IFERROR(INDEX(사건마스터!$AK$5:$AK$64,MATCH($F738,사건마스터!$A$5:$A$64,0)),""))</f>
        <v/>
      </c>
      <c r="N738" s="48">
        <f>IF($F738="","",IFERROR(INDEX(사건마스터!$AL$5:$AL$64,MATCH($F738,사건마스터!$A$5:$A$64,0)),""))</f>
        <v/>
      </c>
      <c r="O738" s="43">
        <f>IF($I738="","",COUNTIF($I738:$N738,"?*"))</f>
        <v/>
      </c>
      <c r="P738" s="46">
        <f>IF($I738="","",_xlfn.TEXTJOIN(", ",TRUE,$I738:$N738))</f>
        <v/>
      </c>
      <c r="Q738" s="47">
        <f>IF($I738="","",IFERROR(INDEX(코드설정!$D$5:$D$24,MATCH($I738,코드설정!$C$5:$C$24,0)),""))</f>
        <v/>
      </c>
      <c r="R738" s="49" t="n"/>
      <c r="S738" s="50" t="n"/>
      <c r="T738" s="51" t="n"/>
      <c r="U738" s="43">
        <f>IF(OR($B738="",$C738=""),"",$C738-$B738+1)</f>
        <v/>
      </c>
      <c r="V738" s="52" t="n"/>
      <c r="W738" s="53">
        <f>IF(OR($V738="",$O738=""),"",$V738*$O738)</f>
        <v/>
      </c>
      <c r="X738" s="45" t="n"/>
      <c r="Y738" s="49" t="n"/>
    </row>
    <row r="739">
      <c r="A739" s="43">
        <f>IF($B739="","",COUNT($B$5:$B739))</f>
        <v/>
      </c>
      <c r="B739" s="44" t="n"/>
      <c r="C739" s="44" t="n"/>
      <c r="D739" s="45" t="n"/>
      <c r="E739" s="45" t="n"/>
      <c r="F739" s="45" t="n"/>
      <c r="G739" s="46">
        <f>IF($F739="","",IFERROR(INDEX(사건마스터!$B$5:$B$64,MATCH($F739,사건마스터!$A$5:$A$64,0)),""))</f>
        <v/>
      </c>
      <c r="H739" s="47">
        <f>IF($F739="","",IFERROR(INDEX(사건마스터!$C$5:$C$64,MATCH($F739,사건마스터!$A$5:$A$64,0)),""))</f>
        <v/>
      </c>
      <c r="I739" s="48">
        <f>IF($F739="","",IFERROR(INDEX(사건마스터!$H$5:$H$64,MATCH($F739,사건마스터!$A$5:$A$64,0)),""))</f>
        <v/>
      </c>
      <c r="J739" s="48">
        <f>IF($F739="","",IFERROR(INDEX(사건마스터!$AH$5:$AH$64,MATCH($F739,사건마스터!$A$5:$A$64,0)),""))</f>
        <v/>
      </c>
      <c r="K739" s="48">
        <f>IF($F739="","",IFERROR(INDEX(사건마스터!$AI$5:$AI$64,MATCH($F739,사건마스터!$A$5:$A$64,0)),""))</f>
        <v/>
      </c>
      <c r="L739" s="48">
        <f>IF($F739="","",IFERROR(INDEX(사건마스터!$AJ$5:$AJ$64,MATCH($F739,사건마스터!$A$5:$A$64,0)),""))</f>
        <v/>
      </c>
      <c r="M739" s="48">
        <f>IF($F739="","",IFERROR(INDEX(사건마스터!$AK$5:$AK$64,MATCH($F739,사건마스터!$A$5:$A$64,0)),""))</f>
        <v/>
      </c>
      <c r="N739" s="48">
        <f>IF($F739="","",IFERROR(INDEX(사건마스터!$AL$5:$AL$64,MATCH($F739,사건마스터!$A$5:$A$64,0)),""))</f>
        <v/>
      </c>
      <c r="O739" s="43">
        <f>IF($I739="","",COUNTIF($I739:$N739,"?*"))</f>
        <v/>
      </c>
      <c r="P739" s="46">
        <f>IF($I739="","",_xlfn.TEXTJOIN(", ",TRUE,$I739:$N739))</f>
        <v/>
      </c>
      <c r="Q739" s="47">
        <f>IF($I739="","",IFERROR(INDEX(코드설정!$D$5:$D$24,MATCH($I739,코드설정!$C$5:$C$24,0)),""))</f>
        <v/>
      </c>
      <c r="R739" s="49" t="n"/>
      <c r="S739" s="50" t="n"/>
      <c r="T739" s="51" t="n"/>
      <c r="U739" s="43">
        <f>IF(OR($B739="",$C739=""),"",$C739-$B739+1)</f>
        <v/>
      </c>
      <c r="V739" s="52" t="n"/>
      <c r="W739" s="53">
        <f>IF(OR($V739="",$O739=""),"",$V739*$O739)</f>
        <v/>
      </c>
      <c r="X739" s="45" t="n"/>
      <c r="Y739" s="49" t="n"/>
    </row>
    <row r="740">
      <c r="A740" s="43">
        <f>IF($B740="","",COUNT($B$5:$B740))</f>
        <v/>
      </c>
      <c r="B740" s="44" t="n"/>
      <c r="C740" s="44" t="n"/>
      <c r="D740" s="45" t="n"/>
      <c r="E740" s="45" t="n"/>
      <c r="F740" s="45" t="n"/>
      <c r="G740" s="46">
        <f>IF($F740="","",IFERROR(INDEX(사건마스터!$B$5:$B$64,MATCH($F740,사건마스터!$A$5:$A$64,0)),""))</f>
        <v/>
      </c>
      <c r="H740" s="47">
        <f>IF($F740="","",IFERROR(INDEX(사건마스터!$C$5:$C$64,MATCH($F740,사건마스터!$A$5:$A$64,0)),""))</f>
        <v/>
      </c>
      <c r="I740" s="48">
        <f>IF($F740="","",IFERROR(INDEX(사건마스터!$H$5:$H$64,MATCH($F740,사건마스터!$A$5:$A$64,0)),""))</f>
        <v/>
      </c>
      <c r="J740" s="48">
        <f>IF($F740="","",IFERROR(INDEX(사건마스터!$AH$5:$AH$64,MATCH($F740,사건마스터!$A$5:$A$64,0)),""))</f>
        <v/>
      </c>
      <c r="K740" s="48">
        <f>IF($F740="","",IFERROR(INDEX(사건마스터!$AI$5:$AI$64,MATCH($F740,사건마스터!$A$5:$A$64,0)),""))</f>
        <v/>
      </c>
      <c r="L740" s="48">
        <f>IF($F740="","",IFERROR(INDEX(사건마스터!$AJ$5:$AJ$64,MATCH($F740,사건마스터!$A$5:$A$64,0)),""))</f>
        <v/>
      </c>
      <c r="M740" s="48">
        <f>IF($F740="","",IFERROR(INDEX(사건마스터!$AK$5:$AK$64,MATCH($F740,사건마스터!$A$5:$A$64,0)),""))</f>
        <v/>
      </c>
      <c r="N740" s="48">
        <f>IF($F740="","",IFERROR(INDEX(사건마스터!$AL$5:$AL$64,MATCH($F740,사건마스터!$A$5:$A$64,0)),""))</f>
        <v/>
      </c>
      <c r="O740" s="43">
        <f>IF($I740="","",COUNTIF($I740:$N740,"?*"))</f>
        <v/>
      </c>
      <c r="P740" s="46">
        <f>IF($I740="","",_xlfn.TEXTJOIN(", ",TRUE,$I740:$N740))</f>
        <v/>
      </c>
      <c r="Q740" s="47">
        <f>IF($I740="","",IFERROR(INDEX(코드설정!$D$5:$D$24,MATCH($I740,코드설정!$C$5:$C$24,0)),""))</f>
        <v/>
      </c>
      <c r="R740" s="49" t="n"/>
      <c r="S740" s="50" t="n"/>
      <c r="T740" s="51" t="n"/>
      <c r="U740" s="43">
        <f>IF(OR($B740="",$C740=""),"",$C740-$B740+1)</f>
        <v/>
      </c>
      <c r="V740" s="52" t="n"/>
      <c r="W740" s="53">
        <f>IF(OR($V740="",$O740=""),"",$V740*$O740)</f>
        <v/>
      </c>
      <c r="X740" s="45" t="n"/>
      <c r="Y740" s="49" t="n"/>
    </row>
    <row r="741">
      <c r="A741" s="43">
        <f>IF($B741="","",COUNT($B$5:$B741))</f>
        <v/>
      </c>
      <c r="B741" s="44" t="n"/>
      <c r="C741" s="44" t="n"/>
      <c r="D741" s="45" t="n"/>
      <c r="E741" s="45" t="n"/>
      <c r="F741" s="45" t="n"/>
      <c r="G741" s="46">
        <f>IF($F741="","",IFERROR(INDEX(사건마스터!$B$5:$B$64,MATCH($F741,사건마스터!$A$5:$A$64,0)),""))</f>
        <v/>
      </c>
      <c r="H741" s="47">
        <f>IF($F741="","",IFERROR(INDEX(사건마스터!$C$5:$C$64,MATCH($F741,사건마스터!$A$5:$A$64,0)),""))</f>
        <v/>
      </c>
      <c r="I741" s="48">
        <f>IF($F741="","",IFERROR(INDEX(사건마스터!$H$5:$H$64,MATCH($F741,사건마스터!$A$5:$A$64,0)),""))</f>
        <v/>
      </c>
      <c r="J741" s="48">
        <f>IF($F741="","",IFERROR(INDEX(사건마스터!$AH$5:$AH$64,MATCH($F741,사건마스터!$A$5:$A$64,0)),""))</f>
        <v/>
      </c>
      <c r="K741" s="48">
        <f>IF($F741="","",IFERROR(INDEX(사건마스터!$AI$5:$AI$64,MATCH($F741,사건마스터!$A$5:$A$64,0)),""))</f>
        <v/>
      </c>
      <c r="L741" s="48">
        <f>IF($F741="","",IFERROR(INDEX(사건마스터!$AJ$5:$AJ$64,MATCH($F741,사건마스터!$A$5:$A$64,0)),""))</f>
        <v/>
      </c>
      <c r="M741" s="48">
        <f>IF($F741="","",IFERROR(INDEX(사건마스터!$AK$5:$AK$64,MATCH($F741,사건마스터!$A$5:$A$64,0)),""))</f>
        <v/>
      </c>
      <c r="N741" s="48">
        <f>IF($F741="","",IFERROR(INDEX(사건마스터!$AL$5:$AL$64,MATCH($F741,사건마스터!$A$5:$A$64,0)),""))</f>
        <v/>
      </c>
      <c r="O741" s="43">
        <f>IF($I741="","",COUNTIF($I741:$N741,"?*"))</f>
        <v/>
      </c>
      <c r="P741" s="46">
        <f>IF($I741="","",_xlfn.TEXTJOIN(", ",TRUE,$I741:$N741))</f>
        <v/>
      </c>
      <c r="Q741" s="47">
        <f>IF($I741="","",IFERROR(INDEX(코드설정!$D$5:$D$24,MATCH($I741,코드설정!$C$5:$C$24,0)),""))</f>
        <v/>
      </c>
      <c r="R741" s="49" t="n"/>
      <c r="S741" s="50" t="n"/>
      <c r="T741" s="51" t="n"/>
      <c r="U741" s="43">
        <f>IF(OR($B741="",$C741=""),"",$C741-$B741+1)</f>
        <v/>
      </c>
      <c r="V741" s="52" t="n"/>
      <c r="W741" s="53">
        <f>IF(OR($V741="",$O741=""),"",$V741*$O741)</f>
        <v/>
      </c>
      <c r="X741" s="45" t="n"/>
      <c r="Y741" s="49" t="n"/>
    </row>
    <row r="742">
      <c r="A742" s="43">
        <f>IF($B742="","",COUNT($B$5:$B742))</f>
        <v/>
      </c>
      <c r="B742" s="44" t="n"/>
      <c r="C742" s="44" t="n"/>
      <c r="D742" s="45" t="n"/>
      <c r="E742" s="45" t="n"/>
      <c r="F742" s="45" t="n"/>
      <c r="G742" s="46">
        <f>IF($F742="","",IFERROR(INDEX(사건마스터!$B$5:$B$64,MATCH($F742,사건마스터!$A$5:$A$64,0)),""))</f>
        <v/>
      </c>
      <c r="H742" s="47">
        <f>IF($F742="","",IFERROR(INDEX(사건마스터!$C$5:$C$64,MATCH($F742,사건마스터!$A$5:$A$64,0)),""))</f>
        <v/>
      </c>
      <c r="I742" s="48">
        <f>IF($F742="","",IFERROR(INDEX(사건마스터!$H$5:$H$64,MATCH($F742,사건마스터!$A$5:$A$64,0)),""))</f>
        <v/>
      </c>
      <c r="J742" s="48">
        <f>IF($F742="","",IFERROR(INDEX(사건마스터!$AH$5:$AH$64,MATCH($F742,사건마스터!$A$5:$A$64,0)),""))</f>
        <v/>
      </c>
      <c r="K742" s="48">
        <f>IF($F742="","",IFERROR(INDEX(사건마스터!$AI$5:$AI$64,MATCH($F742,사건마스터!$A$5:$A$64,0)),""))</f>
        <v/>
      </c>
      <c r="L742" s="48">
        <f>IF($F742="","",IFERROR(INDEX(사건마스터!$AJ$5:$AJ$64,MATCH($F742,사건마스터!$A$5:$A$64,0)),""))</f>
        <v/>
      </c>
      <c r="M742" s="48">
        <f>IF($F742="","",IFERROR(INDEX(사건마스터!$AK$5:$AK$64,MATCH($F742,사건마스터!$A$5:$A$64,0)),""))</f>
        <v/>
      </c>
      <c r="N742" s="48">
        <f>IF($F742="","",IFERROR(INDEX(사건마스터!$AL$5:$AL$64,MATCH($F742,사건마스터!$A$5:$A$64,0)),""))</f>
        <v/>
      </c>
      <c r="O742" s="43">
        <f>IF($I742="","",COUNTIF($I742:$N742,"?*"))</f>
        <v/>
      </c>
      <c r="P742" s="46">
        <f>IF($I742="","",_xlfn.TEXTJOIN(", ",TRUE,$I742:$N742))</f>
        <v/>
      </c>
      <c r="Q742" s="47">
        <f>IF($I742="","",IFERROR(INDEX(코드설정!$D$5:$D$24,MATCH($I742,코드설정!$C$5:$C$24,0)),""))</f>
        <v/>
      </c>
      <c r="R742" s="49" t="n"/>
      <c r="S742" s="50" t="n"/>
      <c r="T742" s="51" t="n"/>
      <c r="U742" s="43">
        <f>IF(OR($B742="",$C742=""),"",$C742-$B742+1)</f>
        <v/>
      </c>
      <c r="V742" s="52" t="n"/>
      <c r="W742" s="53">
        <f>IF(OR($V742="",$O742=""),"",$V742*$O742)</f>
        <v/>
      </c>
      <c r="X742" s="45" t="n"/>
      <c r="Y742" s="49" t="n"/>
    </row>
    <row r="743">
      <c r="A743" s="43">
        <f>IF($B743="","",COUNT($B$5:$B743))</f>
        <v/>
      </c>
      <c r="B743" s="44" t="n"/>
      <c r="C743" s="44" t="n"/>
      <c r="D743" s="45" t="n"/>
      <c r="E743" s="45" t="n"/>
      <c r="F743" s="45" t="n"/>
      <c r="G743" s="46">
        <f>IF($F743="","",IFERROR(INDEX(사건마스터!$B$5:$B$64,MATCH($F743,사건마스터!$A$5:$A$64,0)),""))</f>
        <v/>
      </c>
      <c r="H743" s="47">
        <f>IF($F743="","",IFERROR(INDEX(사건마스터!$C$5:$C$64,MATCH($F743,사건마스터!$A$5:$A$64,0)),""))</f>
        <v/>
      </c>
      <c r="I743" s="48">
        <f>IF($F743="","",IFERROR(INDEX(사건마스터!$H$5:$H$64,MATCH($F743,사건마스터!$A$5:$A$64,0)),""))</f>
        <v/>
      </c>
      <c r="J743" s="48">
        <f>IF($F743="","",IFERROR(INDEX(사건마스터!$AH$5:$AH$64,MATCH($F743,사건마스터!$A$5:$A$64,0)),""))</f>
        <v/>
      </c>
      <c r="K743" s="48">
        <f>IF($F743="","",IFERROR(INDEX(사건마스터!$AI$5:$AI$64,MATCH($F743,사건마스터!$A$5:$A$64,0)),""))</f>
        <v/>
      </c>
      <c r="L743" s="48">
        <f>IF($F743="","",IFERROR(INDEX(사건마스터!$AJ$5:$AJ$64,MATCH($F743,사건마스터!$A$5:$A$64,0)),""))</f>
        <v/>
      </c>
      <c r="M743" s="48">
        <f>IF($F743="","",IFERROR(INDEX(사건마스터!$AK$5:$AK$64,MATCH($F743,사건마스터!$A$5:$A$64,0)),""))</f>
        <v/>
      </c>
      <c r="N743" s="48">
        <f>IF($F743="","",IFERROR(INDEX(사건마스터!$AL$5:$AL$64,MATCH($F743,사건마스터!$A$5:$A$64,0)),""))</f>
        <v/>
      </c>
      <c r="O743" s="43">
        <f>IF($I743="","",COUNTIF($I743:$N743,"?*"))</f>
        <v/>
      </c>
      <c r="P743" s="46">
        <f>IF($I743="","",_xlfn.TEXTJOIN(", ",TRUE,$I743:$N743))</f>
        <v/>
      </c>
      <c r="Q743" s="47">
        <f>IF($I743="","",IFERROR(INDEX(코드설정!$D$5:$D$24,MATCH($I743,코드설정!$C$5:$C$24,0)),""))</f>
        <v/>
      </c>
      <c r="R743" s="49" t="n"/>
      <c r="S743" s="50" t="n"/>
      <c r="T743" s="51" t="n"/>
      <c r="U743" s="43">
        <f>IF(OR($B743="",$C743=""),"",$C743-$B743+1)</f>
        <v/>
      </c>
      <c r="V743" s="52" t="n"/>
      <c r="W743" s="53">
        <f>IF(OR($V743="",$O743=""),"",$V743*$O743)</f>
        <v/>
      </c>
      <c r="X743" s="45" t="n"/>
      <c r="Y743" s="49" t="n"/>
    </row>
    <row r="744">
      <c r="A744" s="43">
        <f>IF($B744="","",COUNT($B$5:$B744))</f>
        <v/>
      </c>
      <c r="B744" s="44" t="n"/>
      <c r="C744" s="44" t="n"/>
      <c r="D744" s="45" t="n"/>
      <c r="E744" s="45" t="n"/>
      <c r="F744" s="45" t="n"/>
      <c r="G744" s="46">
        <f>IF($F744="","",IFERROR(INDEX(사건마스터!$B$5:$B$64,MATCH($F744,사건마스터!$A$5:$A$64,0)),""))</f>
        <v/>
      </c>
      <c r="H744" s="47">
        <f>IF($F744="","",IFERROR(INDEX(사건마스터!$C$5:$C$64,MATCH($F744,사건마스터!$A$5:$A$64,0)),""))</f>
        <v/>
      </c>
      <c r="I744" s="48">
        <f>IF($F744="","",IFERROR(INDEX(사건마스터!$H$5:$H$64,MATCH($F744,사건마스터!$A$5:$A$64,0)),""))</f>
        <v/>
      </c>
      <c r="J744" s="48">
        <f>IF($F744="","",IFERROR(INDEX(사건마스터!$AH$5:$AH$64,MATCH($F744,사건마스터!$A$5:$A$64,0)),""))</f>
        <v/>
      </c>
      <c r="K744" s="48">
        <f>IF($F744="","",IFERROR(INDEX(사건마스터!$AI$5:$AI$64,MATCH($F744,사건마스터!$A$5:$A$64,0)),""))</f>
        <v/>
      </c>
      <c r="L744" s="48">
        <f>IF($F744="","",IFERROR(INDEX(사건마스터!$AJ$5:$AJ$64,MATCH($F744,사건마스터!$A$5:$A$64,0)),""))</f>
        <v/>
      </c>
      <c r="M744" s="48">
        <f>IF($F744="","",IFERROR(INDEX(사건마스터!$AK$5:$AK$64,MATCH($F744,사건마스터!$A$5:$A$64,0)),""))</f>
        <v/>
      </c>
      <c r="N744" s="48">
        <f>IF($F744="","",IFERROR(INDEX(사건마스터!$AL$5:$AL$64,MATCH($F744,사건마스터!$A$5:$A$64,0)),""))</f>
        <v/>
      </c>
      <c r="O744" s="43">
        <f>IF($I744="","",COUNTIF($I744:$N744,"?*"))</f>
        <v/>
      </c>
      <c r="P744" s="46">
        <f>IF($I744="","",_xlfn.TEXTJOIN(", ",TRUE,$I744:$N744))</f>
        <v/>
      </c>
      <c r="Q744" s="47">
        <f>IF($I744="","",IFERROR(INDEX(코드설정!$D$5:$D$24,MATCH($I744,코드설정!$C$5:$C$24,0)),""))</f>
        <v/>
      </c>
      <c r="R744" s="49" t="n"/>
      <c r="S744" s="50" t="n"/>
      <c r="T744" s="51" t="n"/>
      <c r="U744" s="43">
        <f>IF(OR($B744="",$C744=""),"",$C744-$B744+1)</f>
        <v/>
      </c>
      <c r="V744" s="52" t="n"/>
      <c r="W744" s="53">
        <f>IF(OR($V744="",$O744=""),"",$V744*$O744)</f>
        <v/>
      </c>
      <c r="X744" s="45" t="n"/>
      <c r="Y744" s="49" t="n"/>
    </row>
    <row r="745">
      <c r="A745" s="43">
        <f>IF($B745="","",COUNT($B$5:$B745))</f>
        <v/>
      </c>
      <c r="B745" s="44" t="n"/>
      <c r="C745" s="44" t="n"/>
      <c r="D745" s="45" t="n"/>
      <c r="E745" s="45" t="n"/>
      <c r="F745" s="45" t="n"/>
      <c r="G745" s="46">
        <f>IF($F745="","",IFERROR(INDEX(사건마스터!$B$5:$B$64,MATCH($F745,사건마스터!$A$5:$A$64,0)),""))</f>
        <v/>
      </c>
      <c r="H745" s="47">
        <f>IF($F745="","",IFERROR(INDEX(사건마스터!$C$5:$C$64,MATCH($F745,사건마스터!$A$5:$A$64,0)),""))</f>
        <v/>
      </c>
      <c r="I745" s="48">
        <f>IF($F745="","",IFERROR(INDEX(사건마스터!$H$5:$H$64,MATCH($F745,사건마스터!$A$5:$A$64,0)),""))</f>
        <v/>
      </c>
      <c r="J745" s="48">
        <f>IF($F745="","",IFERROR(INDEX(사건마스터!$AH$5:$AH$64,MATCH($F745,사건마스터!$A$5:$A$64,0)),""))</f>
        <v/>
      </c>
      <c r="K745" s="48">
        <f>IF($F745="","",IFERROR(INDEX(사건마스터!$AI$5:$AI$64,MATCH($F745,사건마스터!$A$5:$A$64,0)),""))</f>
        <v/>
      </c>
      <c r="L745" s="48">
        <f>IF($F745="","",IFERROR(INDEX(사건마스터!$AJ$5:$AJ$64,MATCH($F745,사건마스터!$A$5:$A$64,0)),""))</f>
        <v/>
      </c>
      <c r="M745" s="48">
        <f>IF($F745="","",IFERROR(INDEX(사건마스터!$AK$5:$AK$64,MATCH($F745,사건마스터!$A$5:$A$64,0)),""))</f>
        <v/>
      </c>
      <c r="N745" s="48">
        <f>IF($F745="","",IFERROR(INDEX(사건마스터!$AL$5:$AL$64,MATCH($F745,사건마스터!$A$5:$A$64,0)),""))</f>
        <v/>
      </c>
      <c r="O745" s="43">
        <f>IF($I745="","",COUNTIF($I745:$N745,"?*"))</f>
        <v/>
      </c>
      <c r="P745" s="46">
        <f>IF($I745="","",_xlfn.TEXTJOIN(", ",TRUE,$I745:$N745))</f>
        <v/>
      </c>
      <c r="Q745" s="47">
        <f>IF($I745="","",IFERROR(INDEX(코드설정!$D$5:$D$24,MATCH($I745,코드설정!$C$5:$C$24,0)),""))</f>
        <v/>
      </c>
      <c r="R745" s="49" t="n"/>
      <c r="S745" s="50" t="n"/>
      <c r="T745" s="51" t="n"/>
      <c r="U745" s="43">
        <f>IF(OR($B745="",$C745=""),"",$C745-$B745+1)</f>
        <v/>
      </c>
      <c r="V745" s="52" t="n"/>
      <c r="W745" s="53">
        <f>IF(OR($V745="",$O745=""),"",$V745*$O745)</f>
        <v/>
      </c>
      <c r="X745" s="45" t="n"/>
      <c r="Y745" s="49" t="n"/>
    </row>
    <row r="746">
      <c r="A746" s="43">
        <f>IF($B746="","",COUNT($B$5:$B746))</f>
        <v/>
      </c>
      <c r="B746" s="44" t="n"/>
      <c r="C746" s="44" t="n"/>
      <c r="D746" s="45" t="n"/>
      <c r="E746" s="45" t="n"/>
      <c r="F746" s="45" t="n"/>
      <c r="G746" s="46">
        <f>IF($F746="","",IFERROR(INDEX(사건마스터!$B$5:$B$64,MATCH($F746,사건마스터!$A$5:$A$64,0)),""))</f>
        <v/>
      </c>
      <c r="H746" s="47">
        <f>IF($F746="","",IFERROR(INDEX(사건마스터!$C$5:$C$64,MATCH($F746,사건마스터!$A$5:$A$64,0)),""))</f>
        <v/>
      </c>
      <c r="I746" s="48">
        <f>IF($F746="","",IFERROR(INDEX(사건마스터!$H$5:$H$64,MATCH($F746,사건마스터!$A$5:$A$64,0)),""))</f>
        <v/>
      </c>
      <c r="J746" s="48">
        <f>IF($F746="","",IFERROR(INDEX(사건마스터!$AH$5:$AH$64,MATCH($F746,사건마스터!$A$5:$A$64,0)),""))</f>
        <v/>
      </c>
      <c r="K746" s="48">
        <f>IF($F746="","",IFERROR(INDEX(사건마스터!$AI$5:$AI$64,MATCH($F746,사건마스터!$A$5:$A$64,0)),""))</f>
        <v/>
      </c>
      <c r="L746" s="48">
        <f>IF($F746="","",IFERROR(INDEX(사건마스터!$AJ$5:$AJ$64,MATCH($F746,사건마스터!$A$5:$A$64,0)),""))</f>
        <v/>
      </c>
      <c r="M746" s="48">
        <f>IF($F746="","",IFERROR(INDEX(사건마스터!$AK$5:$AK$64,MATCH($F746,사건마스터!$A$5:$A$64,0)),""))</f>
        <v/>
      </c>
      <c r="N746" s="48">
        <f>IF($F746="","",IFERROR(INDEX(사건마스터!$AL$5:$AL$64,MATCH($F746,사건마스터!$A$5:$A$64,0)),""))</f>
        <v/>
      </c>
      <c r="O746" s="43">
        <f>IF($I746="","",COUNTIF($I746:$N746,"?*"))</f>
        <v/>
      </c>
      <c r="P746" s="46">
        <f>IF($I746="","",_xlfn.TEXTJOIN(", ",TRUE,$I746:$N746))</f>
        <v/>
      </c>
      <c r="Q746" s="47">
        <f>IF($I746="","",IFERROR(INDEX(코드설정!$D$5:$D$24,MATCH($I746,코드설정!$C$5:$C$24,0)),""))</f>
        <v/>
      </c>
      <c r="R746" s="49" t="n"/>
      <c r="S746" s="50" t="n"/>
      <c r="T746" s="51" t="n"/>
      <c r="U746" s="43">
        <f>IF(OR($B746="",$C746=""),"",$C746-$B746+1)</f>
        <v/>
      </c>
      <c r="V746" s="52" t="n"/>
      <c r="W746" s="53">
        <f>IF(OR($V746="",$O746=""),"",$V746*$O746)</f>
        <v/>
      </c>
      <c r="X746" s="45" t="n"/>
      <c r="Y746" s="49" t="n"/>
    </row>
    <row r="747">
      <c r="A747" s="43">
        <f>IF($B747="","",COUNT($B$5:$B747))</f>
        <v/>
      </c>
      <c r="B747" s="44" t="n"/>
      <c r="C747" s="44" t="n"/>
      <c r="D747" s="45" t="n"/>
      <c r="E747" s="45" t="n"/>
      <c r="F747" s="45" t="n"/>
      <c r="G747" s="46">
        <f>IF($F747="","",IFERROR(INDEX(사건마스터!$B$5:$B$64,MATCH($F747,사건마스터!$A$5:$A$64,0)),""))</f>
        <v/>
      </c>
      <c r="H747" s="47">
        <f>IF($F747="","",IFERROR(INDEX(사건마스터!$C$5:$C$64,MATCH($F747,사건마스터!$A$5:$A$64,0)),""))</f>
        <v/>
      </c>
      <c r="I747" s="48">
        <f>IF($F747="","",IFERROR(INDEX(사건마스터!$H$5:$H$64,MATCH($F747,사건마스터!$A$5:$A$64,0)),""))</f>
        <v/>
      </c>
      <c r="J747" s="48">
        <f>IF($F747="","",IFERROR(INDEX(사건마스터!$AH$5:$AH$64,MATCH($F747,사건마스터!$A$5:$A$64,0)),""))</f>
        <v/>
      </c>
      <c r="K747" s="48">
        <f>IF($F747="","",IFERROR(INDEX(사건마스터!$AI$5:$AI$64,MATCH($F747,사건마스터!$A$5:$A$64,0)),""))</f>
        <v/>
      </c>
      <c r="L747" s="48">
        <f>IF($F747="","",IFERROR(INDEX(사건마스터!$AJ$5:$AJ$64,MATCH($F747,사건마스터!$A$5:$A$64,0)),""))</f>
        <v/>
      </c>
      <c r="M747" s="48">
        <f>IF($F747="","",IFERROR(INDEX(사건마스터!$AK$5:$AK$64,MATCH($F747,사건마스터!$A$5:$A$64,0)),""))</f>
        <v/>
      </c>
      <c r="N747" s="48">
        <f>IF($F747="","",IFERROR(INDEX(사건마스터!$AL$5:$AL$64,MATCH($F747,사건마스터!$A$5:$A$64,0)),""))</f>
        <v/>
      </c>
      <c r="O747" s="43">
        <f>IF($I747="","",COUNTIF($I747:$N747,"?*"))</f>
        <v/>
      </c>
      <c r="P747" s="46">
        <f>IF($I747="","",_xlfn.TEXTJOIN(", ",TRUE,$I747:$N747))</f>
        <v/>
      </c>
      <c r="Q747" s="47">
        <f>IF($I747="","",IFERROR(INDEX(코드설정!$D$5:$D$24,MATCH($I747,코드설정!$C$5:$C$24,0)),""))</f>
        <v/>
      </c>
      <c r="R747" s="49" t="n"/>
      <c r="S747" s="50" t="n"/>
      <c r="T747" s="51" t="n"/>
      <c r="U747" s="43">
        <f>IF(OR($B747="",$C747=""),"",$C747-$B747+1)</f>
        <v/>
      </c>
      <c r="V747" s="52" t="n"/>
      <c r="W747" s="53">
        <f>IF(OR($V747="",$O747=""),"",$V747*$O747)</f>
        <v/>
      </c>
      <c r="X747" s="45" t="n"/>
      <c r="Y747" s="49" t="n"/>
    </row>
    <row r="748">
      <c r="A748" s="43">
        <f>IF($B748="","",COUNT($B$5:$B748))</f>
        <v/>
      </c>
      <c r="B748" s="44" t="n"/>
      <c r="C748" s="44" t="n"/>
      <c r="D748" s="45" t="n"/>
      <c r="E748" s="45" t="n"/>
      <c r="F748" s="45" t="n"/>
      <c r="G748" s="46">
        <f>IF($F748="","",IFERROR(INDEX(사건마스터!$B$5:$B$64,MATCH($F748,사건마스터!$A$5:$A$64,0)),""))</f>
        <v/>
      </c>
      <c r="H748" s="47">
        <f>IF($F748="","",IFERROR(INDEX(사건마스터!$C$5:$C$64,MATCH($F748,사건마스터!$A$5:$A$64,0)),""))</f>
        <v/>
      </c>
      <c r="I748" s="48">
        <f>IF($F748="","",IFERROR(INDEX(사건마스터!$H$5:$H$64,MATCH($F748,사건마스터!$A$5:$A$64,0)),""))</f>
        <v/>
      </c>
      <c r="J748" s="48">
        <f>IF($F748="","",IFERROR(INDEX(사건마스터!$AH$5:$AH$64,MATCH($F748,사건마스터!$A$5:$A$64,0)),""))</f>
        <v/>
      </c>
      <c r="K748" s="48">
        <f>IF($F748="","",IFERROR(INDEX(사건마스터!$AI$5:$AI$64,MATCH($F748,사건마스터!$A$5:$A$64,0)),""))</f>
        <v/>
      </c>
      <c r="L748" s="48">
        <f>IF($F748="","",IFERROR(INDEX(사건마스터!$AJ$5:$AJ$64,MATCH($F748,사건마스터!$A$5:$A$64,0)),""))</f>
        <v/>
      </c>
      <c r="M748" s="48">
        <f>IF($F748="","",IFERROR(INDEX(사건마스터!$AK$5:$AK$64,MATCH($F748,사건마스터!$A$5:$A$64,0)),""))</f>
        <v/>
      </c>
      <c r="N748" s="48">
        <f>IF($F748="","",IFERROR(INDEX(사건마스터!$AL$5:$AL$64,MATCH($F748,사건마스터!$A$5:$A$64,0)),""))</f>
        <v/>
      </c>
      <c r="O748" s="43">
        <f>IF($I748="","",COUNTIF($I748:$N748,"?*"))</f>
        <v/>
      </c>
      <c r="P748" s="46">
        <f>IF($I748="","",_xlfn.TEXTJOIN(", ",TRUE,$I748:$N748))</f>
        <v/>
      </c>
      <c r="Q748" s="47">
        <f>IF($I748="","",IFERROR(INDEX(코드설정!$D$5:$D$24,MATCH($I748,코드설정!$C$5:$C$24,0)),""))</f>
        <v/>
      </c>
      <c r="R748" s="49" t="n"/>
      <c r="S748" s="50" t="n"/>
      <c r="T748" s="51" t="n"/>
      <c r="U748" s="43">
        <f>IF(OR($B748="",$C748=""),"",$C748-$B748+1)</f>
        <v/>
      </c>
      <c r="V748" s="52" t="n"/>
      <c r="W748" s="53">
        <f>IF(OR($V748="",$O748=""),"",$V748*$O748)</f>
        <v/>
      </c>
      <c r="X748" s="45" t="n"/>
      <c r="Y748" s="49" t="n"/>
    </row>
    <row r="749">
      <c r="A749" s="43">
        <f>IF($B749="","",COUNT($B$5:$B749))</f>
        <v/>
      </c>
      <c r="B749" s="44" t="n"/>
      <c r="C749" s="44" t="n"/>
      <c r="D749" s="45" t="n"/>
      <c r="E749" s="45" t="n"/>
      <c r="F749" s="45" t="n"/>
      <c r="G749" s="46">
        <f>IF($F749="","",IFERROR(INDEX(사건마스터!$B$5:$B$64,MATCH($F749,사건마스터!$A$5:$A$64,0)),""))</f>
        <v/>
      </c>
      <c r="H749" s="47">
        <f>IF($F749="","",IFERROR(INDEX(사건마스터!$C$5:$C$64,MATCH($F749,사건마스터!$A$5:$A$64,0)),""))</f>
        <v/>
      </c>
      <c r="I749" s="48">
        <f>IF($F749="","",IFERROR(INDEX(사건마스터!$H$5:$H$64,MATCH($F749,사건마스터!$A$5:$A$64,0)),""))</f>
        <v/>
      </c>
      <c r="J749" s="48">
        <f>IF($F749="","",IFERROR(INDEX(사건마스터!$AH$5:$AH$64,MATCH($F749,사건마스터!$A$5:$A$64,0)),""))</f>
        <v/>
      </c>
      <c r="K749" s="48">
        <f>IF($F749="","",IFERROR(INDEX(사건마스터!$AI$5:$AI$64,MATCH($F749,사건마스터!$A$5:$A$64,0)),""))</f>
        <v/>
      </c>
      <c r="L749" s="48">
        <f>IF($F749="","",IFERROR(INDEX(사건마스터!$AJ$5:$AJ$64,MATCH($F749,사건마스터!$A$5:$A$64,0)),""))</f>
        <v/>
      </c>
      <c r="M749" s="48">
        <f>IF($F749="","",IFERROR(INDEX(사건마스터!$AK$5:$AK$64,MATCH($F749,사건마스터!$A$5:$A$64,0)),""))</f>
        <v/>
      </c>
      <c r="N749" s="48">
        <f>IF($F749="","",IFERROR(INDEX(사건마스터!$AL$5:$AL$64,MATCH($F749,사건마스터!$A$5:$A$64,0)),""))</f>
        <v/>
      </c>
      <c r="O749" s="43">
        <f>IF($I749="","",COUNTIF($I749:$N749,"?*"))</f>
        <v/>
      </c>
      <c r="P749" s="46">
        <f>IF($I749="","",_xlfn.TEXTJOIN(", ",TRUE,$I749:$N749))</f>
        <v/>
      </c>
      <c r="Q749" s="47">
        <f>IF($I749="","",IFERROR(INDEX(코드설정!$D$5:$D$24,MATCH($I749,코드설정!$C$5:$C$24,0)),""))</f>
        <v/>
      </c>
      <c r="R749" s="49" t="n"/>
      <c r="S749" s="50" t="n"/>
      <c r="T749" s="51" t="n"/>
      <c r="U749" s="43">
        <f>IF(OR($B749="",$C749=""),"",$C749-$B749+1)</f>
        <v/>
      </c>
      <c r="V749" s="52" t="n"/>
      <c r="W749" s="53">
        <f>IF(OR($V749="",$O749=""),"",$V749*$O749)</f>
        <v/>
      </c>
      <c r="X749" s="45" t="n"/>
      <c r="Y749" s="49" t="n"/>
    </row>
    <row r="750">
      <c r="A750" s="43">
        <f>IF($B750="","",COUNT($B$5:$B750))</f>
        <v/>
      </c>
      <c r="B750" s="44" t="n"/>
      <c r="C750" s="44" t="n"/>
      <c r="D750" s="45" t="n"/>
      <c r="E750" s="45" t="n"/>
      <c r="F750" s="45" t="n"/>
      <c r="G750" s="46">
        <f>IF($F750="","",IFERROR(INDEX(사건마스터!$B$5:$B$64,MATCH($F750,사건마스터!$A$5:$A$64,0)),""))</f>
        <v/>
      </c>
      <c r="H750" s="47">
        <f>IF($F750="","",IFERROR(INDEX(사건마스터!$C$5:$C$64,MATCH($F750,사건마스터!$A$5:$A$64,0)),""))</f>
        <v/>
      </c>
      <c r="I750" s="48">
        <f>IF($F750="","",IFERROR(INDEX(사건마스터!$H$5:$H$64,MATCH($F750,사건마스터!$A$5:$A$64,0)),""))</f>
        <v/>
      </c>
      <c r="J750" s="48">
        <f>IF($F750="","",IFERROR(INDEX(사건마스터!$AH$5:$AH$64,MATCH($F750,사건마스터!$A$5:$A$64,0)),""))</f>
        <v/>
      </c>
      <c r="K750" s="48">
        <f>IF($F750="","",IFERROR(INDEX(사건마스터!$AI$5:$AI$64,MATCH($F750,사건마스터!$A$5:$A$64,0)),""))</f>
        <v/>
      </c>
      <c r="L750" s="48">
        <f>IF($F750="","",IFERROR(INDEX(사건마스터!$AJ$5:$AJ$64,MATCH($F750,사건마스터!$A$5:$A$64,0)),""))</f>
        <v/>
      </c>
      <c r="M750" s="48">
        <f>IF($F750="","",IFERROR(INDEX(사건마스터!$AK$5:$AK$64,MATCH($F750,사건마스터!$A$5:$A$64,0)),""))</f>
        <v/>
      </c>
      <c r="N750" s="48">
        <f>IF($F750="","",IFERROR(INDEX(사건마스터!$AL$5:$AL$64,MATCH($F750,사건마스터!$A$5:$A$64,0)),""))</f>
        <v/>
      </c>
      <c r="O750" s="43">
        <f>IF($I750="","",COUNTIF($I750:$N750,"?*"))</f>
        <v/>
      </c>
      <c r="P750" s="46">
        <f>IF($I750="","",_xlfn.TEXTJOIN(", ",TRUE,$I750:$N750))</f>
        <v/>
      </c>
      <c r="Q750" s="47">
        <f>IF($I750="","",IFERROR(INDEX(코드설정!$D$5:$D$24,MATCH($I750,코드설정!$C$5:$C$24,0)),""))</f>
        <v/>
      </c>
      <c r="R750" s="49" t="n"/>
      <c r="S750" s="50" t="n"/>
      <c r="T750" s="51" t="n"/>
      <c r="U750" s="43">
        <f>IF(OR($B750="",$C750=""),"",$C750-$B750+1)</f>
        <v/>
      </c>
      <c r="V750" s="52" t="n"/>
      <c r="W750" s="53">
        <f>IF(OR($V750="",$O750=""),"",$V750*$O750)</f>
        <v/>
      </c>
      <c r="X750" s="45" t="n"/>
      <c r="Y750" s="49" t="n"/>
    </row>
    <row r="751">
      <c r="A751" s="43">
        <f>IF($B751="","",COUNT($B$5:$B751))</f>
        <v/>
      </c>
      <c r="B751" s="44" t="n"/>
      <c r="C751" s="44" t="n"/>
      <c r="D751" s="45" t="n"/>
      <c r="E751" s="45" t="n"/>
      <c r="F751" s="45" t="n"/>
      <c r="G751" s="46">
        <f>IF($F751="","",IFERROR(INDEX(사건마스터!$B$5:$B$64,MATCH($F751,사건마스터!$A$5:$A$64,0)),""))</f>
        <v/>
      </c>
      <c r="H751" s="47">
        <f>IF($F751="","",IFERROR(INDEX(사건마스터!$C$5:$C$64,MATCH($F751,사건마스터!$A$5:$A$64,0)),""))</f>
        <v/>
      </c>
      <c r="I751" s="48">
        <f>IF($F751="","",IFERROR(INDEX(사건마스터!$H$5:$H$64,MATCH($F751,사건마스터!$A$5:$A$64,0)),""))</f>
        <v/>
      </c>
      <c r="J751" s="48">
        <f>IF($F751="","",IFERROR(INDEX(사건마스터!$AH$5:$AH$64,MATCH($F751,사건마스터!$A$5:$A$64,0)),""))</f>
        <v/>
      </c>
      <c r="K751" s="48">
        <f>IF($F751="","",IFERROR(INDEX(사건마스터!$AI$5:$AI$64,MATCH($F751,사건마스터!$A$5:$A$64,0)),""))</f>
        <v/>
      </c>
      <c r="L751" s="48">
        <f>IF($F751="","",IFERROR(INDEX(사건마스터!$AJ$5:$AJ$64,MATCH($F751,사건마스터!$A$5:$A$64,0)),""))</f>
        <v/>
      </c>
      <c r="M751" s="48">
        <f>IF($F751="","",IFERROR(INDEX(사건마스터!$AK$5:$AK$64,MATCH($F751,사건마스터!$A$5:$A$64,0)),""))</f>
        <v/>
      </c>
      <c r="N751" s="48">
        <f>IF($F751="","",IFERROR(INDEX(사건마스터!$AL$5:$AL$64,MATCH($F751,사건마스터!$A$5:$A$64,0)),""))</f>
        <v/>
      </c>
      <c r="O751" s="43">
        <f>IF($I751="","",COUNTIF($I751:$N751,"?*"))</f>
        <v/>
      </c>
      <c r="P751" s="46">
        <f>IF($I751="","",_xlfn.TEXTJOIN(", ",TRUE,$I751:$N751))</f>
        <v/>
      </c>
      <c r="Q751" s="47">
        <f>IF($I751="","",IFERROR(INDEX(코드설정!$D$5:$D$24,MATCH($I751,코드설정!$C$5:$C$24,0)),""))</f>
        <v/>
      </c>
      <c r="R751" s="49" t="n"/>
      <c r="S751" s="50" t="n"/>
      <c r="T751" s="51" t="n"/>
      <c r="U751" s="43">
        <f>IF(OR($B751="",$C751=""),"",$C751-$B751+1)</f>
        <v/>
      </c>
      <c r="V751" s="52" t="n"/>
      <c r="W751" s="53">
        <f>IF(OR($V751="",$O751=""),"",$V751*$O751)</f>
        <v/>
      </c>
      <c r="X751" s="45" t="n"/>
      <c r="Y751" s="49" t="n"/>
    </row>
    <row r="752">
      <c r="A752" s="43">
        <f>IF($B752="","",COUNT($B$5:$B752))</f>
        <v/>
      </c>
      <c r="B752" s="44" t="n"/>
      <c r="C752" s="44" t="n"/>
      <c r="D752" s="45" t="n"/>
      <c r="E752" s="45" t="n"/>
      <c r="F752" s="45" t="n"/>
      <c r="G752" s="46">
        <f>IF($F752="","",IFERROR(INDEX(사건마스터!$B$5:$B$64,MATCH($F752,사건마스터!$A$5:$A$64,0)),""))</f>
        <v/>
      </c>
      <c r="H752" s="47">
        <f>IF($F752="","",IFERROR(INDEX(사건마스터!$C$5:$C$64,MATCH($F752,사건마스터!$A$5:$A$64,0)),""))</f>
        <v/>
      </c>
      <c r="I752" s="48">
        <f>IF($F752="","",IFERROR(INDEX(사건마스터!$H$5:$H$64,MATCH($F752,사건마스터!$A$5:$A$64,0)),""))</f>
        <v/>
      </c>
      <c r="J752" s="48">
        <f>IF($F752="","",IFERROR(INDEX(사건마스터!$AH$5:$AH$64,MATCH($F752,사건마스터!$A$5:$A$64,0)),""))</f>
        <v/>
      </c>
      <c r="K752" s="48">
        <f>IF($F752="","",IFERROR(INDEX(사건마스터!$AI$5:$AI$64,MATCH($F752,사건마스터!$A$5:$A$64,0)),""))</f>
        <v/>
      </c>
      <c r="L752" s="48">
        <f>IF($F752="","",IFERROR(INDEX(사건마스터!$AJ$5:$AJ$64,MATCH($F752,사건마스터!$A$5:$A$64,0)),""))</f>
        <v/>
      </c>
      <c r="M752" s="48">
        <f>IF($F752="","",IFERROR(INDEX(사건마스터!$AK$5:$AK$64,MATCH($F752,사건마스터!$A$5:$A$64,0)),""))</f>
        <v/>
      </c>
      <c r="N752" s="48">
        <f>IF($F752="","",IFERROR(INDEX(사건마스터!$AL$5:$AL$64,MATCH($F752,사건마스터!$A$5:$A$64,0)),""))</f>
        <v/>
      </c>
      <c r="O752" s="43">
        <f>IF($I752="","",COUNTIF($I752:$N752,"?*"))</f>
        <v/>
      </c>
      <c r="P752" s="46">
        <f>IF($I752="","",_xlfn.TEXTJOIN(", ",TRUE,$I752:$N752))</f>
        <v/>
      </c>
      <c r="Q752" s="47">
        <f>IF($I752="","",IFERROR(INDEX(코드설정!$D$5:$D$24,MATCH($I752,코드설정!$C$5:$C$24,0)),""))</f>
        <v/>
      </c>
      <c r="R752" s="49" t="n"/>
      <c r="S752" s="50" t="n"/>
      <c r="T752" s="51" t="n"/>
      <c r="U752" s="43">
        <f>IF(OR($B752="",$C752=""),"",$C752-$B752+1)</f>
        <v/>
      </c>
      <c r="V752" s="52" t="n"/>
      <c r="W752" s="53">
        <f>IF(OR($V752="",$O752=""),"",$V752*$O752)</f>
        <v/>
      </c>
      <c r="X752" s="45" t="n"/>
      <c r="Y752" s="49" t="n"/>
    </row>
    <row r="753">
      <c r="A753" s="43">
        <f>IF($B753="","",COUNT($B$5:$B753))</f>
        <v/>
      </c>
      <c r="B753" s="44" t="n"/>
      <c r="C753" s="44" t="n"/>
      <c r="D753" s="45" t="n"/>
      <c r="E753" s="45" t="n"/>
      <c r="F753" s="45" t="n"/>
      <c r="G753" s="46">
        <f>IF($F753="","",IFERROR(INDEX(사건마스터!$B$5:$B$64,MATCH($F753,사건마스터!$A$5:$A$64,0)),""))</f>
        <v/>
      </c>
      <c r="H753" s="47">
        <f>IF($F753="","",IFERROR(INDEX(사건마스터!$C$5:$C$64,MATCH($F753,사건마스터!$A$5:$A$64,0)),""))</f>
        <v/>
      </c>
      <c r="I753" s="48">
        <f>IF($F753="","",IFERROR(INDEX(사건마스터!$H$5:$H$64,MATCH($F753,사건마스터!$A$5:$A$64,0)),""))</f>
        <v/>
      </c>
      <c r="J753" s="48">
        <f>IF($F753="","",IFERROR(INDEX(사건마스터!$AH$5:$AH$64,MATCH($F753,사건마스터!$A$5:$A$64,0)),""))</f>
        <v/>
      </c>
      <c r="K753" s="48">
        <f>IF($F753="","",IFERROR(INDEX(사건마스터!$AI$5:$AI$64,MATCH($F753,사건마스터!$A$5:$A$64,0)),""))</f>
        <v/>
      </c>
      <c r="L753" s="48">
        <f>IF($F753="","",IFERROR(INDEX(사건마스터!$AJ$5:$AJ$64,MATCH($F753,사건마스터!$A$5:$A$64,0)),""))</f>
        <v/>
      </c>
      <c r="M753" s="48">
        <f>IF($F753="","",IFERROR(INDEX(사건마스터!$AK$5:$AK$64,MATCH($F753,사건마스터!$A$5:$A$64,0)),""))</f>
        <v/>
      </c>
      <c r="N753" s="48">
        <f>IF($F753="","",IFERROR(INDEX(사건마스터!$AL$5:$AL$64,MATCH($F753,사건마스터!$A$5:$A$64,0)),""))</f>
        <v/>
      </c>
      <c r="O753" s="43">
        <f>IF($I753="","",COUNTIF($I753:$N753,"?*"))</f>
        <v/>
      </c>
      <c r="P753" s="46">
        <f>IF($I753="","",_xlfn.TEXTJOIN(", ",TRUE,$I753:$N753))</f>
        <v/>
      </c>
      <c r="Q753" s="47">
        <f>IF($I753="","",IFERROR(INDEX(코드설정!$D$5:$D$24,MATCH($I753,코드설정!$C$5:$C$24,0)),""))</f>
        <v/>
      </c>
      <c r="R753" s="49" t="n"/>
      <c r="S753" s="50" t="n"/>
      <c r="T753" s="51" t="n"/>
      <c r="U753" s="43">
        <f>IF(OR($B753="",$C753=""),"",$C753-$B753+1)</f>
        <v/>
      </c>
      <c r="V753" s="52" t="n"/>
      <c r="W753" s="53">
        <f>IF(OR($V753="",$O753=""),"",$V753*$O753)</f>
        <v/>
      </c>
      <c r="X753" s="45" t="n"/>
      <c r="Y753" s="49" t="n"/>
    </row>
    <row r="754">
      <c r="A754" s="43">
        <f>IF($B754="","",COUNT($B$5:$B754))</f>
        <v/>
      </c>
      <c r="B754" s="44" t="n"/>
      <c r="C754" s="44" t="n"/>
      <c r="D754" s="45" t="n"/>
      <c r="E754" s="45" t="n"/>
      <c r="F754" s="45" t="n"/>
      <c r="G754" s="46">
        <f>IF($F754="","",IFERROR(INDEX(사건마스터!$B$5:$B$64,MATCH($F754,사건마스터!$A$5:$A$64,0)),""))</f>
        <v/>
      </c>
      <c r="H754" s="47">
        <f>IF($F754="","",IFERROR(INDEX(사건마스터!$C$5:$C$64,MATCH($F754,사건마스터!$A$5:$A$64,0)),""))</f>
        <v/>
      </c>
      <c r="I754" s="48">
        <f>IF($F754="","",IFERROR(INDEX(사건마스터!$H$5:$H$64,MATCH($F754,사건마스터!$A$5:$A$64,0)),""))</f>
        <v/>
      </c>
      <c r="J754" s="48">
        <f>IF($F754="","",IFERROR(INDEX(사건마스터!$AH$5:$AH$64,MATCH($F754,사건마스터!$A$5:$A$64,0)),""))</f>
        <v/>
      </c>
      <c r="K754" s="48">
        <f>IF($F754="","",IFERROR(INDEX(사건마스터!$AI$5:$AI$64,MATCH($F754,사건마스터!$A$5:$A$64,0)),""))</f>
        <v/>
      </c>
      <c r="L754" s="48">
        <f>IF($F754="","",IFERROR(INDEX(사건마스터!$AJ$5:$AJ$64,MATCH($F754,사건마스터!$A$5:$A$64,0)),""))</f>
        <v/>
      </c>
      <c r="M754" s="48">
        <f>IF($F754="","",IFERROR(INDEX(사건마스터!$AK$5:$AK$64,MATCH($F754,사건마스터!$A$5:$A$64,0)),""))</f>
        <v/>
      </c>
      <c r="N754" s="48">
        <f>IF($F754="","",IFERROR(INDEX(사건마스터!$AL$5:$AL$64,MATCH($F754,사건마스터!$A$5:$A$64,0)),""))</f>
        <v/>
      </c>
      <c r="O754" s="43">
        <f>IF($I754="","",COUNTIF($I754:$N754,"?*"))</f>
        <v/>
      </c>
      <c r="P754" s="46">
        <f>IF($I754="","",_xlfn.TEXTJOIN(", ",TRUE,$I754:$N754))</f>
        <v/>
      </c>
      <c r="Q754" s="47">
        <f>IF($I754="","",IFERROR(INDEX(코드설정!$D$5:$D$24,MATCH($I754,코드설정!$C$5:$C$24,0)),""))</f>
        <v/>
      </c>
      <c r="R754" s="49" t="n"/>
      <c r="S754" s="50" t="n"/>
      <c r="T754" s="51" t="n"/>
      <c r="U754" s="43">
        <f>IF(OR($B754="",$C754=""),"",$C754-$B754+1)</f>
        <v/>
      </c>
      <c r="V754" s="52" t="n"/>
      <c r="W754" s="53">
        <f>IF(OR($V754="",$O754=""),"",$V754*$O754)</f>
        <v/>
      </c>
      <c r="X754" s="45" t="n"/>
      <c r="Y754" s="49" t="n"/>
    </row>
    <row r="755">
      <c r="A755" s="43">
        <f>IF($B755="","",COUNT($B$5:$B755))</f>
        <v/>
      </c>
      <c r="B755" s="44" t="n"/>
      <c r="C755" s="44" t="n"/>
      <c r="D755" s="45" t="n"/>
      <c r="E755" s="45" t="n"/>
      <c r="F755" s="45" t="n"/>
      <c r="G755" s="46">
        <f>IF($F755="","",IFERROR(INDEX(사건마스터!$B$5:$B$64,MATCH($F755,사건마스터!$A$5:$A$64,0)),""))</f>
        <v/>
      </c>
      <c r="H755" s="47">
        <f>IF($F755="","",IFERROR(INDEX(사건마스터!$C$5:$C$64,MATCH($F755,사건마스터!$A$5:$A$64,0)),""))</f>
        <v/>
      </c>
      <c r="I755" s="48">
        <f>IF($F755="","",IFERROR(INDEX(사건마스터!$H$5:$H$64,MATCH($F755,사건마스터!$A$5:$A$64,0)),""))</f>
        <v/>
      </c>
      <c r="J755" s="48">
        <f>IF($F755="","",IFERROR(INDEX(사건마스터!$AH$5:$AH$64,MATCH($F755,사건마스터!$A$5:$A$64,0)),""))</f>
        <v/>
      </c>
      <c r="K755" s="48">
        <f>IF($F755="","",IFERROR(INDEX(사건마스터!$AI$5:$AI$64,MATCH($F755,사건마스터!$A$5:$A$64,0)),""))</f>
        <v/>
      </c>
      <c r="L755" s="48">
        <f>IF($F755="","",IFERROR(INDEX(사건마스터!$AJ$5:$AJ$64,MATCH($F755,사건마스터!$A$5:$A$64,0)),""))</f>
        <v/>
      </c>
      <c r="M755" s="48">
        <f>IF($F755="","",IFERROR(INDEX(사건마스터!$AK$5:$AK$64,MATCH($F755,사건마스터!$A$5:$A$64,0)),""))</f>
        <v/>
      </c>
      <c r="N755" s="48">
        <f>IF($F755="","",IFERROR(INDEX(사건마스터!$AL$5:$AL$64,MATCH($F755,사건마스터!$A$5:$A$64,0)),""))</f>
        <v/>
      </c>
      <c r="O755" s="43">
        <f>IF($I755="","",COUNTIF($I755:$N755,"?*"))</f>
        <v/>
      </c>
      <c r="P755" s="46">
        <f>IF($I755="","",_xlfn.TEXTJOIN(", ",TRUE,$I755:$N755))</f>
        <v/>
      </c>
      <c r="Q755" s="47">
        <f>IF($I755="","",IFERROR(INDEX(코드설정!$D$5:$D$24,MATCH($I755,코드설정!$C$5:$C$24,0)),""))</f>
        <v/>
      </c>
      <c r="R755" s="49" t="n"/>
      <c r="S755" s="50" t="n"/>
      <c r="T755" s="51" t="n"/>
      <c r="U755" s="43">
        <f>IF(OR($B755="",$C755=""),"",$C755-$B755+1)</f>
        <v/>
      </c>
      <c r="V755" s="52" t="n"/>
      <c r="W755" s="53">
        <f>IF(OR($V755="",$O755=""),"",$V755*$O755)</f>
        <v/>
      </c>
      <c r="X755" s="45" t="n"/>
      <c r="Y755" s="49" t="n"/>
    </row>
    <row r="756">
      <c r="A756" s="43">
        <f>IF($B756="","",COUNT($B$5:$B756))</f>
        <v/>
      </c>
      <c r="B756" s="44" t="n"/>
      <c r="C756" s="44" t="n"/>
      <c r="D756" s="45" t="n"/>
      <c r="E756" s="45" t="n"/>
      <c r="F756" s="45" t="n"/>
      <c r="G756" s="46">
        <f>IF($F756="","",IFERROR(INDEX(사건마스터!$B$5:$B$64,MATCH($F756,사건마스터!$A$5:$A$64,0)),""))</f>
        <v/>
      </c>
      <c r="H756" s="47">
        <f>IF($F756="","",IFERROR(INDEX(사건마스터!$C$5:$C$64,MATCH($F756,사건마스터!$A$5:$A$64,0)),""))</f>
        <v/>
      </c>
      <c r="I756" s="48">
        <f>IF($F756="","",IFERROR(INDEX(사건마스터!$H$5:$H$64,MATCH($F756,사건마스터!$A$5:$A$64,0)),""))</f>
        <v/>
      </c>
      <c r="J756" s="48">
        <f>IF($F756="","",IFERROR(INDEX(사건마스터!$AH$5:$AH$64,MATCH($F756,사건마스터!$A$5:$A$64,0)),""))</f>
        <v/>
      </c>
      <c r="K756" s="48">
        <f>IF($F756="","",IFERROR(INDEX(사건마스터!$AI$5:$AI$64,MATCH($F756,사건마스터!$A$5:$A$64,0)),""))</f>
        <v/>
      </c>
      <c r="L756" s="48">
        <f>IF($F756="","",IFERROR(INDEX(사건마스터!$AJ$5:$AJ$64,MATCH($F756,사건마스터!$A$5:$A$64,0)),""))</f>
        <v/>
      </c>
      <c r="M756" s="48">
        <f>IF($F756="","",IFERROR(INDEX(사건마스터!$AK$5:$AK$64,MATCH($F756,사건마스터!$A$5:$A$64,0)),""))</f>
        <v/>
      </c>
      <c r="N756" s="48">
        <f>IF($F756="","",IFERROR(INDEX(사건마스터!$AL$5:$AL$64,MATCH($F756,사건마스터!$A$5:$A$64,0)),""))</f>
        <v/>
      </c>
      <c r="O756" s="43">
        <f>IF($I756="","",COUNTIF($I756:$N756,"?*"))</f>
        <v/>
      </c>
      <c r="P756" s="46">
        <f>IF($I756="","",_xlfn.TEXTJOIN(", ",TRUE,$I756:$N756))</f>
        <v/>
      </c>
      <c r="Q756" s="47">
        <f>IF($I756="","",IFERROR(INDEX(코드설정!$D$5:$D$24,MATCH($I756,코드설정!$C$5:$C$24,0)),""))</f>
        <v/>
      </c>
      <c r="R756" s="49" t="n"/>
      <c r="S756" s="50" t="n"/>
      <c r="T756" s="51" t="n"/>
      <c r="U756" s="43">
        <f>IF(OR($B756="",$C756=""),"",$C756-$B756+1)</f>
        <v/>
      </c>
      <c r="V756" s="52" t="n"/>
      <c r="W756" s="53">
        <f>IF(OR($V756="",$O756=""),"",$V756*$O756)</f>
        <v/>
      </c>
      <c r="X756" s="45" t="n"/>
      <c r="Y756" s="49" t="n"/>
    </row>
    <row r="757">
      <c r="A757" s="43">
        <f>IF($B757="","",COUNT($B$5:$B757))</f>
        <v/>
      </c>
      <c r="B757" s="44" t="n"/>
      <c r="C757" s="44" t="n"/>
      <c r="D757" s="45" t="n"/>
      <c r="E757" s="45" t="n"/>
      <c r="F757" s="45" t="n"/>
      <c r="G757" s="46">
        <f>IF($F757="","",IFERROR(INDEX(사건마스터!$B$5:$B$64,MATCH($F757,사건마스터!$A$5:$A$64,0)),""))</f>
        <v/>
      </c>
      <c r="H757" s="47">
        <f>IF($F757="","",IFERROR(INDEX(사건마스터!$C$5:$C$64,MATCH($F757,사건마스터!$A$5:$A$64,0)),""))</f>
        <v/>
      </c>
      <c r="I757" s="48">
        <f>IF($F757="","",IFERROR(INDEX(사건마스터!$H$5:$H$64,MATCH($F757,사건마스터!$A$5:$A$64,0)),""))</f>
        <v/>
      </c>
      <c r="J757" s="48">
        <f>IF($F757="","",IFERROR(INDEX(사건마스터!$AH$5:$AH$64,MATCH($F757,사건마스터!$A$5:$A$64,0)),""))</f>
        <v/>
      </c>
      <c r="K757" s="48">
        <f>IF($F757="","",IFERROR(INDEX(사건마스터!$AI$5:$AI$64,MATCH($F757,사건마스터!$A$5:$A$64,0)),""))</f>
        <v/>
      </c>
      <c r="L757" s="48">
        <f>IF($F757="","",IFERROR(INDEX(사건마스터!$AJ$5:$AJ$64,MATCH($F757,사건마스터!$A$5:$A$64,0)),""))</f>
        <v/>
      </c>
      <c r="M757" s="48">
        <f>IF($F757="","",IFERROR(INDEX(사건마스터!$AK$5:$AK$64,MATCH($F757,사건마스터!$A$5:$A$64,0)),""))</f>
        <v/>
      </c>
      <c r="N757" s="48">
        <f>IF($F757="","",IFERROR(INDEX(사건마스터!$AL$5:$AL$64,MATCH($F757,사건마스터!$A$5:$A$64,0)),""))</f>
        <v/>
      </c>
      <c r="O757" s="43">
        <f>IF($I757="","",COUNTIF($I757:$N757,"?*"))</f>
        <v/>
      </c>
      <c r="P757" s="46">
        <f>IF($I757="","",_xlfn.TEXTJOIN(", ",TRUE,$I757:$N757))</f>
        <v/>
      </c>
      <c r="Q757" s="47">
        <f>IF($I757="","",IFERROR(INDEX(코드설정!$D$5:$D$24,MATCH($I757,코드설정!$C$5:$C$24,0)),""))</f>
        <v/>
      </c>
      <c r="R757" s="49" t="n"/>
      <c r="S757" s="50" t="n"/>
      <c r="T757" s="51" t="n"/>
      <c r="U757" s="43">
        <f>IF(OR($B757="",$C757=""),"",$C757-$B757+1)</f>
        <v/>
      </c>
      <c r="V757" s="52" t="n"/>
      <c r="W757" s="53">
        <f>IF(OR($V757="",$O757=""),"",$V757*$O757)</f>
        <v/>
      </c>
      <c r="X757" s="45" t="n"/>
      <c r="Y757" s="49" t="n"/>
    </row>
    <row r="758">
      <c r="A758" s="43">
        <f>IF($B758="","",COUNT($B$5:$B758))</f>
        <v/>
      </c>
      <c r="B758" s="44" t="n"/>
      <c r="C758" s="44" t="n"/>
      <c r="D758" s="45" t="n"/>
      <c r="E758" s="45" t="n"/>
      <c r="F758" s="45" t="n"/>
      <c r="G758" s="46">
        <f>IF($F758="","",IFERROR(INDEX(사건마스터!$B$5:$B$64,MATCH($F758,사건마스터!$A$5:$A$64,0)),""))</f>
        <v/>
      </c>
      <c r="H758" s="47">
        <f>IF($F758="","",IFERROR(INDEX(사건마스터!$C$5:$C$64,MATCH($F758,사건마스터!$A$5:$A$64,0)),""))</f>
        <v/>
      </c>
      <c r="I758" s="48">
        <f>IF($F758="","",IFERROR(INDEX(사건마스터!$H$5:$H$64,MATCH($F758,사건마스터!$A$5:$A$64,0)),""))</f>
        <v/>
      </c>
      <c r="J758" s="48">
        <f>IF($F758="","",IFERROR(INDEX(사건마스터!$AH$5:$AH$64,MATCH($F758,사건마스터!$A$5:$A$64,0)),""))</f>
        <v/>
      </c>
      <c r="K758" s="48">
        <f>IF($F758="","",IFERROR(INDEX(사건마스터!$AI$5:$AI$64,MATCH($F758,사건마스터!$A$5:$A$64,0)),""))</f>
        <v/>
      </c>
      <c r="L758" s="48">
        <f>IF($F758="","",IFERROR(INDEX(사건마스터!$AJ$5:$AJ$64,MATCH($F758,사건마스터!$A$5:$A$64,0)),""))</f>
        <v/>
      </c>
      <c r="M758" s="48">
        <f>IF($F758="","",IFERROR(INDEX(사건마스터!$AK$5:$AK$64,MATCH($F758,사건마스터!$A$5:$A$64,0)),""))</f>
        <v/>
      </c>
      <c r="N758" s="48">
        <f>IF($F758="","",IFERROR(INDEX(사건마스터!$AL$5:$AL$64,MATCH($F758,사건마스터!$A$5:$A$64,0)),""))</f>
        <v/>
      </c>
      <c r="O758" s="43">
        <f>IF($I758="","",COUNTIF($I758:$N758,"?*"))</f>
        <v/>
      </c>
      <c r="P758" s="46">
        <f>IF($I758="","",_xlfn.TEXTJOIN(", ",TRUE,$I758:$N758))</f>
        <v/>
      </c>
      <c r="Q758" s="47">
        <f>IF($I758="","",IFERROR(INDEX(코드설정!$D$5:$D$24,MATCH($I758,코드설정!$C$5:$C$24,0)),""))</f>
        <v/>
      </c>
      <c r="R758" s="49" t="n"/>
      <c r="S758" s="50" t="n"/>
      <c r="T758" s="51" t="n"/>
      <c r="U758" s="43">
        <f>IF(OR($B758="",$C758=""),"",$C758-$B758+1)</f>
        <v/>
      </c>
      <c r="V758" s="52" t="n"/>
      <c r="W758" s="53">
        <f>IF(OR($V758="",$O758=""),"",$V758*$O758)</f>
        <v/>
      </c>
      <c r="X758" s="45" t="n"/>
      <c r="Y758" s="49" t="n"/>
    </row>
    <row r="759">
      <c r="A759" s="43">
        <f>IF($B759="","",COUNT($B$5:$B759))</f>
        <v/>
      </c>
      <c r="B759" s="44" t="n"/>
      <c r="C759" s="44" t="n"/>
      <c r="D759" s="45" t="n"/>
      <c r="E759" s="45" t="n"/>
      <c r="F759" s="45" t="n"/>
      <c r="G759" s="46">
        <f>IF($F759="","",IFERROR(INDEX(사건마스터!$B$5:$B$64,MATCH($F759,사건마스터!$A$5:$A$64,0)),""))</f>
        <v/>
      </c>
      <c r="H759" s="47">
        <f>IF($F759="","",IFERROR(INDEX(사건마스터!$C$5:$C$64,MATCH($F759,사건마스터!$A$5:$A$64,0)),""))</f>
        <v/>
      </c>
      <c r="I759" s="48">
        <f>IF($F759="","",IFERROR(INDEX(사건마스터!$H$5:$H$64,MATCH($F759,사건마스터!$A$5:$A$64,0)),""))</f>
        <v/>
      </c>
      <c r="J759" s="48">
        <f>IF($F759="","",IFERROR(INDEX(사건마스터!$AH$5:$AH$64,MATCH($F759,사건마스터!$A$5:$A$64,0)),""))</f>
        <v/>
      </c>
      <c r="K759" s="48">
        <f>IF($F759="","",IFERROR(INDEX(사건마스터!$AI$5:$AI$64,MATCH($F759,사건마스터!$A$5:$A$64,0)),""))</f>
        <v/>
      </c>
      <c r="L759" s="48">
        <f>IF($F759="","",IFERROR(INDEX(사건마스터!$AJ$5:$AJ$64,MATCH($F759,사건마스터!$A$5:$A$64,0)),""))</f>
        <v/>
      </c>
      <c r="M759" s="48">
        <f>IF($F759="","",IFERROR(INDEX(사건마스터!$AK$5:$AK$64,MATCH($F759,사건마스터!$A$5:$A$64,0)),""))</f>
        <v/>
      </c>
      <c r="N759" s="48">
        <f>IF($F759="","",IFERROR(INDEX(사건마스터!$AL$5:$AL$64,MATCH($F759,사건마스터!$A$5:$A$64,0)),""))</f>
        <v/>
      </c>
      <c r="O759" s="43">
        <f>IF($I759="","",COUNTIF($I759:$N759,"?*"))</f>
        <v/>
      </c>
      <c r="P759" s="46">
        <f>IF($I759="","",_xlfn.TEXTJOIN(", ",TRUE,$I759:$N759))</f>
        <v/>
      </c>
      <c r="Q759" s="47">
        <f>IF($I759="","",IFERROR(INDEX(코드설정!$D$5:$D$24,MATCH($I759,코드설정!$C$5:$C$24,0)),""))</f>
        <v/>
      </c>
      <c r="R759" s="49" t="n"/>
      <c r="S759" s="50" t="n"/>
      <c r="T759" s="51" t="n"/>
      <c r="U759" s="43">
        <f>IF(OR($B759="",$C759=""),"",$C759-$B759+1)</f>
        <v/>
      </c>
      <c r="V759" s="52" t="n"/>
      <c r="W759" s="53">
        <f>IF(OR($V759="",$O759=""),"",$V759*$O759)</f>
        <v/>
      </c>
      <c r="X759" s="45" t="n"/>
      <c r="Y759" s="49" t="n"/>
    </row>
    <row r="760">
      <c r="A760" s="43">
        <f>IF($B760="","",COUNT($B$5:$B760))</f>
        <v/>
      </c>
      <c r="B760" s="44" t="n"/>
      <c r="C760" s="44" t="n"/>
      <c r="D760" s="45" t="n"/>
      <c r="E760" s="45" t="n"/>
      <c r="F760" s="45" t="n"/>
      <c r="G760" s="46">
        <f>IF($F760="","",IFERROR(INDEX(사건마스터!$B$5:$B$64,MATCH($F760,사건마스터!$A$5:$A$64,0)),""))</f>
        <v/>
      </c>
      <c r="H760" s="47">
        <f>IF($F760="","",IFERROR(INDEX(사건마스터!$C$5:$C$64,MATCH($F760,사건마스터!$A$5:$A$64,0)),""))</f>
        <v/>
      </c>
      <c r="I760" s="48">
        <f>IF($F760="","",IFERROR(INDEX(사건마스터!$H$5:$H$64,MATCH($F760,사건마스터!$A$5:$A$64,0)),""))</f>
        <v/>
      </c>
      <c r="J760" s="48">
        <f>IF($F760="","",IFERROR(INDEX(사건마스터!$AH$5:$AH$64,MATCH($F760,사건마스터!$A$5:$A$64,0)),""))</f>
        <v/>
      </c>
      <c r="K760" s="48">
        <f>IF($F760="","",IFERROR(INDEX(사건마스터!$AI$5:$AI$64,MATCH($F760,사건마스터!$A$5:$A$64,0)),""))</f>
        <v/>
      </c>
      <c r="L760" s="48">
        <f>IF($F760="","",IFERROR(INDEX(사건마스터!$AJ$5:$AJ$64,MATCH($F760,사건마스터!$A$5:$A$64,0)),""))</f>
        <v/>
      </c>
      <c r="M760" s="48">
        <f>IF($F760="","",IFERROR(INDEX(사건마스터!$AK$5:$AK$64,MATCH($F760,사건마스터!$A$5:$A$64,0)),""))</f>
        <v/>
      </c>
      <c r="N760" s="48">
        <f>IF($F760="","",IFERROR(INDEX(사건마스터!$AL$5:$AL$64,MATCH($F760,사건마스터!$A$5:$A$64,0)),""))</f>
        <v/>
      </c>
      <c r="O760" s="43">
        <f>IF($I760="","",COUNTIF($I760:$N760,"?*"))</f>
        <v/>
      </c>
      <c r="P760" s="46">
        <f>IF($I760="","",_xlfn.TEXTJOIN(", ",TRUE,$I760:$N760))</f>
        <v/>
      </c>
      <c r="Q760" s="47">
        <f>IF($I760="","",IFERROR(INDEX(코드설정!$D$5:$D$24,MATCH($I760,코드설정!$C$5:$C$24,0)),""))</f>
        <v/>
      </c>
      <c r="R760" s="49" t="n"/>
      <c r="S760" s="50" t="n"/>
      <c r="T760" s="51" t="n"/>
      <c r="U760" s="43">
        <f>IF(OR($B760="",$C760=""),"",$C760-$B760+1)</f>
        <v/>
      </c>
      <c r="V760" s="52" t="n"/>
      <c r="W760" s="53">
        <f>IF(OR($V760="",$O760=""),"",$V760*$O760)</f>
        <v/>
      </c>
      <c r="X760" s="45" t="n"/>
      <c r="Y760" s="49" t="n"/>
    </row>
    <row r="761">
      <c r="A761" s="43">
        <f>IF($B761="","",COUNT($B$5:$B761))</f>
        <v/>
      </c>
      <c r="B761" s="44" t="n"/>
      <c r="C761" s="44" t="n"/>
      <c r="D761" s="45" t="n"/>
      <c r="E761" s="45" t="n"/>
      <c r="F761" s="45" t="n"/>
      <c r="G761" s="46">
        <f>IF($F761="","",IFERROR(INDEX(사건마스터!$B$5:$B$64,MATCH($F761,사건마스터!$A$5:$A$64,0)),""))</f>
        <v/>
      </c>
      <c r="H761" s="47">
        <f>IF($F761="","",IFERROR(INDEX(사건마스터!$C$5:$C$64,MATCH($F761,사건마스터!$A$5:$A$64,0)),""))</f>
        <v/>
      </c>
      <c r="I761" s="48">
        <f>IF($F761="","",IFERROR(INDEX(사건마스터!$H$5:$H$64,MATCH($F761,사건마스터!$A$5:$A$64,0)),""))</f>
        <v/>
      </c>
      <c r="J761" s="48">
        <f>IF($F761="","",IFERROR(INDEX(사건마스터!$AH$5:$AH$64,MATCH($F761,사건마스터!$A$5:$A$64,0)),""))</f>
        <v/>
      </c>
      <c r="K761" s="48">
        <f>IF($F761="","",IFERROR(INDEX(사건마스터!$AI$5:$AI$64,MATCH($F761,사건마스터!$A$5:$A$64,0)),""))</f>
        <v/>
      </c>
      <c r="L761" s="48">
        <f>IF($F761="","",IFERROR(INDEX(사건마스터!$AJ$5:$AJ$64,MATCH($F761,사건마스터!$A$5:$A$64,0)),""))</f>
        <v/>
      </c>
      <c r="M761" s="48">
        <f>IF($F761="","",IFERROR(INDEX(사건마스터!$AK$5:$AK$64,MATCH($F761,사건마스터!$A$5:$A$64,0)),""))</f>
        <v/>
      </c>
      <c r="N761" s="48">
        <f>IF($F761="","",IFERROR(INDEX(사건마스터!$AL$5:$AL$64,MATCH($F761,사건마스터!$A$5:$A$64,0)),""))</f>
        <v/>
      </c>
      <c r="O761" s="43">
        <f>IF($I761="","",COUNTIF($I761:$N761,"?*"))</f>
        <v/>
      </c>
      <c r="P761" s="46">
        <f>IF($I761="","",_xlfn.TEXTJOIN(", ",TRUE,$I761:$N761))</f>
        <v/>
      </c>
      <c r="Q761" s="47">
        <f>IF($I761="","",IFERROR(INDEX(코드설정!$D$5:$D$24,MATCH($I761,코드설정!$C$5:$C$24,0)),""))</f>
        <v/>
      </c>
      <c r="R761" s="49" t="n"/>
      <c r="S761" s="50" t="n"/>
      <c r="T761" s="51" t="n"/>
      <c r="U761" s="43">
        <f>IF(OR($B761="",$C761=""),"",$C761-$B761+1)</f>
        <v/>
      </c>
      <c r="V761" s="52" t="n"/>
      <c r="W761" s="53">
        <f>IF(OR($V761="",$O761=""),"",$V761*$O761)</f>
        <v/>
      </c>
      <c r="X761" s="45" t="n"/>
      <c r="Y761" s="49" t="n"/>
    </row>
    <row r="762">
      <c r="A762" s="43">
        <f>IF($B762="","",COUNT($B$5:$B762))</f>
        <v/>
      </c>
      <c r="B762" s="44" t="n"/>
      <c r="C762" s="44" t="n"/>
      <c r="D762" s="45" t="n"/>
      <c r="E762" s="45" t="n"/>
      <c r="F762" s="45" t="n"/>
      <c r="G762" s="46">
        <f>IF($F762="","",IFERROR(INDEX(사건마스터!$B$5:$B$64,MATCH($F762,사건마스터!$A$5:$A$64,0)),""))</f>
        <v/>
      </c>
      <c r="H762" s="47">
        <f>IF($F762="","",IFERROR(INDEX(사건마스터!$C$5:$C$64,MATCH($F762,사건마스터!$A$5:$A$64,0)),""))</f>
        <v/>
      </c>
      <c r="I762" s="48">
        <f>IF($F762="","",IFERROR(INDEX(사건마스터!$H$5:$H$64,MATCH($F762,사건마스터!$A$5:$A$64,0)),""))</f>
        <v/>
      </c>
      <c r="J762" s="48">
        <f>IF($F762="","",IFERROR(INDEX(사건마스터!$AH$5:$AH$64,MATCH($F762,사건마스터!$A$5:$A$64,0)),""))</f>
        <v/>
      </c>
      <c r="K762" s="48">
        <f>IF($F762="","",IFERROR(INDEX(사건마스터!$AI$5:$AI$64,MATCH($F762,사건마스터!$A$5:$A$64,0)),""))</f>
        <v/>
      </c>
      <c r="L762" s="48">
        <f>IF($F762="","",IFERROR(INDEX(사건마스터!$AJ$5:$AJ$64,MATCH($F762,사건마스터!$A$5:$A$64,0)),""))</f>
        <v/>
      </c>
      <c r="M762" s="48">
        <f>IF($F762="","",IFERROR(INDEX(사건마스터!$AK$5:$AK$64,MATCH($F762,사건마스터!$A$5:$A$64,0)),""))</f>
        <v/>
      </c>
      <c r="N762" s="48">
        <f>IF($F762="","",IFERROR(INDEX(사건마스터!$AL$5:$AL$64,MATCH($F762,사건마스터!$A$5:$A$64,0)),""))</f>
        <v/>
      </c>
      <c r="O762" s="43">
        <f>IF($I762="","",COUNTIF($I762:$N762,"?*"))</f>
        <v/>
      </c>
      <c r="P762" s="46">
        <f>IF($I762="","",_xlfn.TEXTJOIN(", ",TRUE,$I762:$N762))</f>
        <v/>
      </c>
      <c r="Q762" s="47">
        <f>IF($I762="","",IFERROR(INDEX(코드설정!$D$5:$D$24,MATCH($I762,코드설정!$C$5:$C$24,0)),""))</f>
        <v/>
      </c>
      <c r="R762" s="49" t="n"/>
      <c r="S762" s="50" t="n"/>
      <c r="T762" s="51" t="n"/>
      <c r="U762" s="43">
        <f>IF(OR($B762="",$C762=""),"",$C762-$B762+1)</f>
        <v/>
      </c>
      <c r="V762" s="52" t="n"/>
      <c r="W762" s="53">
        <f>IF(OR($V762="",$O762=""),"",$V762*$O762)</f>
        <v/>
      </c>
      <c r="X762" s="45" t="n"/>
      <c r="Y762" s="49" t="n"/>
    </row>
    <row r="763">
      <c r="A763" s="43">
        <f>IF($B763="","",COUNT($B$5:$B763))</f>
        <v/>
      </c>
      <c r="B763" s="44" t="n"/>
      <c r="C763" s="44" t="n"/>
      <c r="D763" s="45" t="n"/>
      <c r="E763" s="45" t="n"/>
      <c r="F763" s="45" t="n"/>
      <c r="G763" s="46">
        <f>IF($F763="","",IFERROR(INDEX(사건마스터!$B$5:$B$64,MATCH($F763,사건마스터!$A$5:$A$64,0)),""))</f>
        <v/>
      </c>
      <c r="H763" s="47">
        <f>IF($F763="","",IFERROR(INDEX(사건마스터!$C$5:$C$64,MATCH($F763,사건마스터!$A$5:$A$64,0)),""))</f>
        <v/>
      </c>
      <c r="I763" s="48">
        <f>IF($F763="","",IFERROR(INDEX(사건마스터!$H$5:$H$64,MATCH($F763,사건마스터!$A$5:$A$64,0)),""))</f>
        <v/>
      </c>
      <c r="J763" s="48">
        <f>IF($F763="","",IFERROR(INDEX(사건마스터!$AH$5:$AH$64,MATCH($F763,사건마스터!$A$5:$A$64,0)),""))</f>
        <v/>
      </c>
      <c r="K763" s="48">
        <f>IF($F763="","",IFERROR(INDEX(사건마스터!$AI$5:$AI$64,MATCH($F763,사건마스터!$A$5:$A$64,0)),""))</f>
        <v/>
      </c>
      <c r="L763" s="48">
        <f>IF($F763="","",IFERROR(INDEX(사건마스터!$AJ$5:$AJ$64,MATCH($F763,사건마스터!$A$5:$A$64,0)),""))</f>
        <v/>
      </c>
      <c r="M763" s="48">
        <f>IF($F763="","",IFERROR(INDEX(사건마스터!$AK$5:$AK$64,MATCH($F763,사건마스터!$A$5:$A$64,0)),""))</f>
        <v/>
      </c>
      <c r="N763" s="48">
        <f>IF($F763="","",IFERROR(INDEX(사건마스터!$AL$5:$AL$64,MATCH($F763,사건마스터!$A$5:$A$64,0)),""))</f>
        <v/>
      </c>
      <c r="O763" s="43">
        <f>IF($I763="","",COUNTIF($I763:$N763,"?*"))</f>
        <v/>
      </c>
      <c r="P763" s="46">
        <f>IF($I763="","",_xlfn.TEXTJOIN(", ",TRUE,$I763:$N763))</f>
        <v/>
      </c>
      <c r="Q763" s="47">
        <f>IF($I763="","",IFERROR(INDEX(코드설정!$D$5:$D$24,MATCH($I763,코드설정!$C$5:$C$24,0)),""))</f>
        <v/>
      </c>
      <c r="R763" s="49" t="n"/>
      <c r="S763" s="50" t="n"/>
      <c r="T763" s="51" t="n"/>
      <c r="U763" s="43">
        <f>IF(OR($B763="",$C763=""),"",$C763-$B763+1)</f>
        <v/>
      </c>
      <c r="V763" s="52" t="n"/>
      <c r="W763" s="53">
        <f>IF(OR($V763="",$O763=""),"",$V763*$O763)</f>
        <v/>
      </c>
      <c r="X763" s="45" t="n"/>
      <c r="Y763" s="49" t="n"/>
    </row>
    <row r="764">
      <c r="A764" s="43">
        <f>IF($B764="","",COUNT($B$5:$B764))</f>
        <v/>
      </c>
      <c r="B764" s="44" t="n"/>
      <c r="C764" s="44" t="n"/>
      <c r="D764" s="45" t="n"/>
      <c r="E764" s="45" t="n"/>
      <c r="F764" s="45" t="n"/>
      <c r="G764" s="46">
        <f>IF($F764="","",IFERROR(INDEX(사건마스터!$B$5:$B$64,MATCH($F764,사건마스터!$A$5:$A$64,0)),""))</f>
        <v/>
      </c>
      <c r="H764" s="47">
        <f>IF($F764="","",IFERROR(INDEX(사건마스터!$C$5:$C$64,MATCH($F764,사건마스터!$A$5:$A$64,0)),""))</f>
        <v/>
      </c>
      <c r="I764" s="48">
        <f>IF($F764="","",IFERROR(INDEX(사건마스터!$H$5:$H$64,MATCH($F764,사건마스터!$A$5:$A$64,0)),""))</f>
        <v/>
      </c>
      <c r="J764" s="48">
        <f>IF($F764="","",IFERROR(INDEX(사건마스터!$AH$5:$AH$64,MATCH($F764,사건마스터!$A$5:$A$64,0)),""))</f>
        <v/>
      </c>
      <c r="K764" s="48">
        <f>IF($F764="","",IFERROR(INDEX(사건마스터!$AI$5:$AI$64,MATCH($F764,사건마스터!$A$5:$A$64,0)),""))</f>
        <v/>
      </c>
      <c r="L764" s="48">
        <f>IF($F764="","",IFERROR(INDEX(사건마스터!$AJ$5:$AJ$64,MATCH($F764,사건마스터!$A$5:$A$64,0)),""))</f>
        <v/>
      </c>
      <c r="M764" s="48">
        <f>IF($F764="","",IFERROR(INDEX(사건마스터!$AK$5:$AK$64,MATCH($F764,사건마스터!$A$5:$A$64,0)),""))</f>
        <v/>
      </c>
      <c r="N764" s="48">
        <f>IF($F764="","",IFERROR(INDEX(사건마스터!$AL$5:$AL$64,MATCH($F764,사건마스터!$A$5:$A$64,0)),""))</f>
        <v/>
      </c>
      <c r="O764" s="43">
        <f>IF($I764="","",COUNTIF($I764:$N764,"?*"))</f>
        <v/>
      </c>
      <c r="P764" s="46">
        <f>IF($I764="","",_xlfn.TEXTJOIN(", ",TRUE,$I764:$N764))</f>
        <v/>
      </c>
      <c r="Q764" s="47">
        <f>IF($I764="","",IFERROR(INDEX(코드설정!$D$5:$D$24,MATCH($I764,코드설정!$C$5:$C$24,0)),""))</f>
        <v/>
      </c>
      <c r="R764" s="49" t="n"/>
      <c r="S764" s="50" t="n"/>
      <c r="T764" s="51" t="n"/>
      <c r="U764" s="43">
        <f>IF(OR($B764="",$C764=""),"",$C764-$B764+1)</f>
        <v/>
      </c>
      <c r="V764" s="52" t="n"/>
      <c r="W764" s="53">
        <f>IF(OR($V764="",$O764=""),"",$V764*$O764)</f>
        <v/>
      </c>
      <c r="X764" s="45" t="n"/>
      <c r="Y764" s="49" t="n"/>
    </row>
    <row r="765">
      <c r="A765" s="43">
        <f>IF($B765="","",COUNT($B$5:$B765))</f>
        <v/>
      </c>
      <c r="B765" s="44" t="n"/>
      <c r="C765" s="44" t="n"/>
      <c r="D765" s="45" t="n"/>
      <c r="E765" s="45" t="n"/>
      <c r="F765" s="45" t="n"/>
      <c r="G765" s="46">
        <f>IF($F765="","",IFERROR(INDEX(사건마스터!$B$5:$B$64,MATCH($F765,사건마스터!$A$5:$A$64,0)),""))</f>
        <v/>
      </c>
      <c r="H765" s="47">
        <f>IF($F765="","",IFERROR(INDEX(사건마스터!$C$5:$C$64,MATCH($F765,사건마스터!$A$5:$A$64,0)),""))</f>
        <v/>
      </c>
      <c r="I765" s="48">
        <f>IF($F765="","",IFERROR(INDEX(사건마스터!$H$5:$H$64,MATCH($F765,사건마스터!$A$5:$A$64,0)),""))</f>
        <v/>
      </c>
      <c r="J765" s="48">
        <f>IF($F765="","",IFERROR(INDEX(사건마스터!$AH$5:$AH$64,MATCH($F765,사건마스터!$A$5:$A$64,0)),""))</f>
        <v/>
      </c>
      <c r="K765" s="48">
        <f>IF($F765="","",IFERROR(INDEX(사건마스터!$AI$5:$AI$64,MATCH($F765,사건마스터!$A$5:$A$64,0)),""))</f>
        <v/>
      </c>
      <c r="L765" s="48">
        <f>IF($F765="","",IFERROR(INDEX(사건마스터!$AJ$5:$AJ$64,MATCH($F765,사건마스터!$A$5:$A$64,0)),""))</f>
        <v/>
      </c>
      <c r="M765" s="48">
        <f>IF($F765="","",IFERROR(INDEX(사건마스터!$AK$5:$AK$64,MATCH($F765,사건마스터!$A$5:$A$64,0)),""))</f>
        <v/>
      </c>
      <c r="N765" s="48">
        <f>IF($F765="","",IFERROR(INDEX(사건마스터!$AL$5:$AL$64,MATCH($F765,사건마스터!$A$5:$A$64,0)),""))</f>
        <v/>
      </c>
      <c r="O765" s="43">
        <f>IF($I765="","",COUNTIF($I765:$N765,"?*"))</f>
        <v/>
      </c>
      <c r="P765" s="46">
        <f>IF($I765="","",_xlfn.TEXTJOIN(", ",TRUE,$I765:$N765))</f>
        <v/>
      </c>
      <c r="Q765" s="47">
        <f>IF($I765="","",IFERROR(INDEX(코드설정!$D$5:$D$24,MATCH($I765,코드설정!$C$5:$C$24,0)),""))</f>
        <v/>
      </c>
      <c r="R765" s="49" t="n"/>
      <c r="S765" s="50" t="n"/>
      <c r="T765" s="51" t="n"/>
      <c r="U765" s="43">
        <f>IF(OR($B765="",$C765=""),"",$C765-$B765+1)</f>
        <v/>
      </c>
      <c r="V765" s="52" t="n"/>
      <c r="W765" s="53">
        <f>IF(OR($V765="",$O765=""),"",$V765*$O765)</f>
        <v/>
      </c>
      <c r="X765" s="45" t="n"/>
      <c r="Y765" s="49" t="n"/>
    </row>
    <row r="766">
      <c r="A766" s="43">
        <f>IF($B766="","",COUNT($B$5:$B766))</f>
        <v/>
      </c>
      <c r="B766" s="44" t="n"/>
      <c r="C766" s="44" t="n"/>
      <c r="D766" s="45" t="n"/>
      <c r="E766" s="45" t="n"/>
      <c r="F766" s="45" t="n"/>
      <c r="G766" s="46">
        <f>IF($F766="","",IFERROR(INDEX(사건마스터!$B$5:$B$64,MATCH($F766,사건마스터!$A$5:$A$64,0)),""))</f>
        <v/>
      </c>
      <c r="H766" s="47">
        <f>IF($F766="","",IFERROR(INDEX(사건마스터!$C$5:$C$64,MATCH($F766,사건마스터!$A$5:$A$64,0)),""))</f>
        <v/>
      </c>
      <c r="I766" s="48">
        <f>IF($F766="","",IFERROR(INDEX(사건마스터!$H$5:$H$64,MATCH($F766,사건마스터!$A$5:$A$64,0)),""))</f>
        <v/>
      </c>
      <c r="J766" s="48">
        <f>IF($F766="","",IFERROR(INDEX(사건마스터!$AH$5:$AH$64,MATCH($F766,사건마스터!$A$5:$A$64,0)),""))</f>
        <v/>
      </c>
      <c r="K766" s="48">
        <f>IF($F766="","",IFERROR(INDEX(사건마스터!$AI$5:$AI$64,MATCH($F766,사건마스터!$A$5:$A$64,0)),""))</f>
        <v/>
      </c>
      <c r="L766" s="48">
        <f>IF($F766="","",IFERROR(INDEX(사건마스터!$AJ$5:$AJ$64,MATCH($F766,사건마스터!$A$5:$A$64,0)),""))</f>
        <v/>
      </c>
      <c r="M766" s="48">
        <f>IF($F766="","",IFERROR(INDEX(사건마스터!$AK$5:$AK$64,MATCH($F766,사건마스터!$A$5:$A$64,0)),""))</f>
        <v/>
      </c>
      <c r="N766" s="48">
        <f>IF($F766="","",IFERROR(INDEX(사건마스터!$AL$5:$AL$64,MATCH($F766,사건마스터!$A$5:$A$64,0)),""))</f>
        <v/>
      </c>
      <c r="O766" s="43">
        <f>IF($I766="","",COUNTIF($I766:$N766,"?*"))</f>
        <v/>
      </c>
      <c r="P766" s="46">
        <f>IF($I766="","",_xlfn.TEXTJOIN(", ",TRUE,$I766:$N766))</f>
        <v/>
      </c>
      <c r="Q766" s="47">
        <f>IF($I766="","",IFERROR(INDEX(코드설정!$D$5:$D$24,MATCH($I766,코드설정!$C$5:$C$24,0)),""))</f>
        <v/>
      </c>
      <c r="R766" s="49" t="n"/>
      <c r="S766" s="50" t="n"/>
      <c r="T766" s="51" t="n"/>
      <c r="U766" s="43">
        <f>IF(OR($B766="",$C766=""),"",$C766-$B766+1)</f>
        <v/>
      </c>
      <c r="V766" s="52" t="n"/>
      <c r="W766" s="53">
        <f>IF(OR($V766="",$O766=""),"",$V766*$O766)</f>
        <v/>
      </c>
      <c r="X766" s="45" t="n"/>
      <c r="Y766" s="49" t="n"/>
    </row>
    <row r="767">
      <c r="A767" s="43">
        <f>IF($B767="","",COUNT($B$5:$B767))</f>
        <v/>
      </c>
      <c r="B767" s="44" t="n"/>
      <c r="C767" s="44" t="n"/>
      <c r="D767" s="45" t="n"/>
      <c r="E767" s="45" t="n"/>
      <c r="F767" s="45" t="n"/>
      <c r="G767" s="46">
        <f>IF($F767="","",IFERROR(INDEX(사건마스터!$B$5:$B$64,MATCH($F767,사건마스터!$A$5:$A$64,0)),""))</f>
        <v/>
      </c>
      <c r="H767" s="47">
        <f>IF($F767="","",IFERROR(INDEX(사건마스터!$C$5:$C$64,MATCH($F767,사건마스터!$A$5:$A$64,0)),""))</f>
        <v/>
      </c>
      <c r="I767" s="48">
        <f>IF($F767="","",IFERROR(INDEX(사건마스터!$H$5:$H$64,MATCH($F767,사건마스터!$A$5:$A$64,0)),""))</f>
        <v/>
      </c>
      <c r="J767" s="48">
        <f>IF($F767="","",IFERROR(INDEX(사건마스터!$AH$5:$AH$64,MATCH($F767,사건마스터!$A$5:$A$64,0)),""))</f>
        <v/>
      </c>
      <c r="K767" s="48">
        <f>IF($F767="","",IFERROR(INDEX(사건마스터!$AI$5:$AI$64,MATCH($F767,사건마스터!$A$5:$A$64,0)),""))</f>
        <v/>
      </c>
      <c r="L767" s="48">
        <f>IF($F767="","",IFERROR(INDEX(사건마스터!$AJ$5:$AJ$64,MATCH($F767,사건마스터!$A$5:$A$64,0)),""))</f>
        <v/>
      </c>
      <c r="M767" s="48">
        <f>IF($F767="","",IFERROR(INDEX(사건마스터!$AK$5:$AK$64,MATCH($F767,사건마스터!$A$5:$A$64,0)),""))</f>
        <v/>
      </c>
      <c r="N767" s="48">
        <f>IF($F767="","",IFERROR(INDEX(사건마스터!$AL$5:$AL$64,MATCH($F767,사건마스터!$A$5:$A$64,0)),""))</f>
        <v/>
      </c>
      <c r="O767" s="43">
        <f>IF($I767="","",COUNTIF($I767:$N767,"?*"))</f>
        <v/>
      </c>
      <c r="P767" s="46">
        <f>IF($I767="","",_xlfn.TEXTJOIN(", ",TRUE,$I767:$N767))</f>
        <v/>
      </c>
      <c r="Q767" s="47">
        <f>IF($I767="","",IFERROR(INDEX(코드설정!$D$5:$D$24,MATCH($I767,코드설정!$C$5:$C$24,0)),""))</f>
        <v/>
      </c>
      <c r="R767" s="49" t="n"/>
      <c r="S767" s="50" t="n"/>
      <c r="T767" s="51" t="n"/>
      <c r="U767" s="43">
        <f>IF(OR($B767="",$C767=""),"",$C767-$B767+1)</f>
        <v/>
      </c>
      <c r="V767" s="52" t="n"/>
      <c r="W767" s="53">
        <f>IF(OR($V767="",$O767=""),"",$V767*$O767)</f>
        <v/>
      </c>
      <c r="X767" s="45" t="n"/>
      <c r="Y767" s="49" t="n"/>
    </row>
    <row r="768">
      <c r="A768" s="43">
        <f>IF($B768="","",COUNT($B$5:$B768))</f>
        <v/>
      </c>
      <c r="B768" s="44" t="n"/>
      <c r="C768" s="44" t="n"/>
      <c r="D768" s="45" t="n"/>
      <c r="E768" s="45" t="n"/>
      <c r="F768" s="45" t="n"/>
      <c r="G768" s="46">
        <f>IF($F768="","",IFERROR(INDEX(사건마스터!$B$5:$B$64,MATCH($F768,사건마스터!$A$5:$A$64,0)),""))</f>
        <v/>
      </c>
      <c r="H768" s="47">
        <f>IF($F768="","",IFERROR(INDEX(사건마스터!$C$5:$C$64,MATCH($F768,사건마스터!$A$5:$A$64,0)),""))</f>
        <v/>
      </c>
      <c r="I768" s="48">
        <f>IF($F768="","",IFERROR(INDEX(사건마스터!$H$5:$H$64,MATCH($F768,사건마스터!$A$5:$A$64,0)),""))</f>
        <v/>
      </c>
      <c r="J768" s="48">
        <f>IF($F768="","",IFERROR(INDEX(사건마스터!$AH$5:$AH$64,MATCH($F768,사건마스터!$A$5:$A$64,0)),""))</f>
        <v/>
      </c>
      <c r="K768" s="48">
        <f>IF($F768="","",IFERROR(INDEX(사건마스터!$AI$5:$AI$64,MATCH($F768,사건마스터!$A$5:$A$64,0)),""))</f>
        <v/>
      </c>
      <c r="L768" s="48">
        <f>IF($F768="","",IFERROR(INDEX(사건마스터!$AJ$5:$AJ$64,MATCH($F768,사건마스터!$A$5:$A$64,0)),""))</f>
        <v/>
      </c>
      <c r="M768" s="48">
        <f>IF($F768="","",IFERROR(INDEX(사건마스터!$AK$5:$AK$64,MATCH($F768,사건마스터!$A$5:$A$64,0)),""))</f>
        <v/>
      </c>
      <c r="N768" s="48">
        <f>IF($F768="","",IFERROR(INDEX(사건마스터!$AL$5:$AL$64,MATCH($F768,사건마스터!$A$5:$A$64,0)),""))</f>
        <v/>
      </c>
      <c r="O768" s="43">
        <f>IF($I768="","",COUNTIF($I768:$N768,"?*"))</f>
        <v/>
      </c>
      <c r="P768" s="46">
        <f>IF($I768="","",_xlfn.TEXTJOIN(", ",TRUE,$I768:$N768))</f>
        <v/>
      </c>
      <c r="Q768" s="47">
        <f>IF($I768="","",IFERROR(INDEX(코드설정!$D$5:$D$24,MATCH($I768,코드설정!$C$5:$C$24,0)),""))</f>
        <v/>
      </c>
      <c r="R768" s="49" t="n"/>
      <c r="S768" s="50" t="n"/>
      <c r="T768" s="51" t="n"/>
      <c r="U768" s="43">
        <f>IF(OR($B768="",$C768=""),"",$C768-$B768+1)</f>
        <v/>
      </c>
      <c r="V768" s="52" t="n"/>
      <c r="W768" s="53">
        <f>IF(OR($V768="",$O768=""),"",$V768*$O768)</f>
        <v/>
      </c>
      <c r="X768" s="45" t="n"/>
      <c r="Y768" s="49" t="n"/>
    </row>
    <row r="769">
      <c r="A769" s="43">
        <f>IF($B769="","",COUNT($B$5:$B769))</f>
        <v/>
      </c>
      <c r="B769" s="44" t="n"/>
      <c r="C769" s="44" t="n"/>
      <c r="D769" s="45" t="n"/>
      <c r="E769" s="45" t="n"/>
      <c r="F769" s="45" t="n"/>
      <c r="G769" s="46">
        <f>IF($F769="","",IFERROR(INDEX(사건마스터!$B$5:$B$64,MATCH($F769,사건마스터!$A$5:$A$64,0)),""))</f>
        <v/>
      </c>
      <c r="H769" s="47">
        <f>IF($F769="","",IFERROR(INDEX(사건마스터!$C$5:$C$64,MATCH($F769,사건마스터!$A$5:$A$64,0)),""))</f>
        <v/>
      </c>
      <c r="I769" s="48">
        <f>IF($F769="","",IFERROR(INDEX(사건마스터!$H$5:$H$64,MATCH($F769,사건마스터!$A$5:$A$64,0)),""))</f>
        <v/>
      </c>
      <c r="J769" s="48">
        <f>IF($F769="","",IFERROR(INDEX(사건마스터!$AH$5:$AH$64,MATCH($F769,사건마스터!$A$5:$A$64,0)),""))</f>
        <v/>
      </c>
      <c r="K769" s="48">
        <f>IF($F769="","",IFERROR(INDEX(사건마스터!$AI$5:$AI$64,MATCH($F769,사건마스터!$A$5:$A$64,0)),""))</f>
        <v/>
      </c>
      <c r="L769" s="48">
        <f>IF($F769="","",IFERROR(INDEX(사건마스터!$AJ$5:$AJ$64,MATCH($F769,사건마스터!$A$5:$A$64,0)),""))</f>
        <v/>
      </c>
      <c r="M769" s="48">
        <f>IF($F769="","",IFERROR(INDEX(사건마스터!$AK$5:$AK$64,MATCH($F769,사건마스터!$A$5:$A$64,0)),""))</f>
        <v/>
      </c>
      <c r="N769" s="48">
        <f>IF($F769="","",IFERROR(INDEX(사건마스터!$AL$5:$AL$64,MATCH($F769,사건마스터!$A$5:$A$64,0)),""))</f>
        <v/>
      </c>
      <c r="O769" s="43">
        <f>IF($I769="","",COUNTIF($I769:$N769,"?*"))</f>
        <v/>
      </c>
      <c r="P769" s="46">
        <f>IF($I769="","",_xlfn.TEXTJOIN(", ",TRUE,$I769:$N769))</f>
        <v/>
      </c>
      <c r="Q769" s="47">
        <f>IF($I769="","",IFERROR(INDEX(코드설정!$D$5:$D$24,MATCH($I769,코드설정!$C$5:$C$24,0)),""))</f>
        <v/>
      </c>
      <c r="R769" s="49" t="n"/>
      <c r="S769" s="50" t="n"/>
      <c r="T769" s="51" t="n"/>
      <c r="U769" s="43">
        <f>IF(OR($B769="",$C769=""),"",$C769-$B769+1)</f>
        <v/>
      </c>
      <c r="V769" s="52" t="n"/>
      <c r="W769" s="53">
        <f>IF(OR($V769="",$O769=""),"",$V769*$O769)</f>
        <v/>
      </c>
      <c r="X769" s="45" t="n"/>
      <c r="Y769" s="49" t="n"/>
    </row>
    <row r="770">
      <c r="A770" s="43">
        <f>IF($B770="","",COUNT($B$5:$B770))</f>
        <v/>
      </c>
      <c r="B770" s="44" t="n"/>
      <c r="C770" s="44" t="n"/>
      <c r="D770" s="45" t="n"/>
      <c r="E770" s="45" t="n"/>
      <c r="F770" s="45" t="n"/>
      <c r="G770" s="46">
        <f>IF($F770="","",IFERROR(INDEX(사건마스터!$B$5:$B$64,MATCH($F770,사건마스터!$A$5:$A$64,0)),""))</f>
        <v/>
      </c>
      <c r="H770" s="47">
        <f>IF($F770="","",IFERROR(INDEX(사건마스터!$C$5:$C$64,MATCH($F770,사건마스터!$A$5:$A$64,0)),""))</f>
        <v/>
      </c>
      <c r="I770" s="48">
        <f>IF($F770="","",IFERROR(INDEX(사건마스터!$H$5:$H$64,MATCH($F770,사건마스터!$A$5:$A$64,0)),""))</f>
        <v/>
      </c>
      <c r="J770" s="48">
        <f>IF($F770="","",IFERROR(INDEX(사건마스터!$AH$5:$AH$64,MATCH($F770,사건마스터!$A$5:$A$64,0)),""))</f>
        <v/>
      </c>
      <c r="K770" s="48">
        <f>IF($F770="","",IFERROR(INDEX(사건마스터!$AI$5:$AI$64,MATCH($F770,사건마스터!$A$5:$A$64,0)),""))</f>
        <v/>
      </c>
      <c r="L770" s="48">
        <f>IF($F770="","",IFERROR(INDEX(사건마스터!$AJ$5:$AJ$64,MATCH($F770,사건마스터!$A$5:$A$64,0)),""))</f>
        <v/>
      </c>
      <c r="M770" s="48">
        <f>IF($F770="","",IFERROR(INDEX(사건마스터!$AK$5:$AK$64,MATCH($F770,사건마스터!$A$5:$A$64,0)),""))</f>
        <v/>
      </c>
      <c r="N770" s="48">
        <f>IF($F770="","",IFERROR(INDEX(사건마스터!$AL$5:$AL$64,MATCH($F770,사건마스터!$A$5:$A$64,0)),""))</f>
        <v/>
      </c>
      <c r="O770" s="43">
        <f>IF($I770="","",COUNTIF($I770:$N770,"?*"))</f>
        <v/>
      </c>
      <c r="P770" s="46">
        <f>IF($I770="","",_xlfn.TEXTJOIN(", ",TRUE,$I770:$N770))</f>
        <v/>
      </c>
      <c r="Q770" s="47">
        <f>IF($I770="","",IFERROR(INDEX(코드설정!$D$5:$D$24,MATCH($I770,코드설정!$C$5:$C$24,0)),""))</f>
        <v/>
      </c>
      <c r="R770" s="49" t="n"/>
      <c r="S770" s="50" t="n"/>
      <c r="T770" s="51" t="n"/>
      <c r="U770" s="43">
        <f>IF(OR($B770="",$C770=""),"",$C770-$B770+1)</f>
        <v/>
      </c>
      <c r="V770" s="52" t="n"/>
      <c r="W770" s="53">
        <f>IF(OR($V770="",$O770=""),"",$V770*$O770)</f>
        <v/>
      </c>
      <c r="X770" s="45" t="n"/>
      <c r="Y770" s="49" t="n"/>
    </row>
    <row r="771">
      <c r="A771" s="43">
        <f>IF($B771="","",COUNT($B$5:$B771))</f>
        <v/>
      </c>
      <c r="B771" s="44" t="n"/>
      <c r="C771" s="44" t="n"/>
      <c r="D771" s="45" t="n"/>
      <c r="E771" s="45" t="n"/>
      <c r="F771" s="45" t="n"/>
      <c r="G771" s="46">
        <f>IF($F771="","",IFERROR(INDEX(사건마스터!$B$5:$B$64,MATCH($F771,사건마스터!$A$5:$A$64,0)),""))</f>
        <v/>
      </c>
      <c r="H771" s="47">
        <f>IF($F771="","",IFERROR(INDEX(사건마스터!$C$5:$C$64,MATCH($F771,사건마스터!$A$5:$A$64,0)),""))</f>
        <v/>
      </c>
      <c r="I771" s="48">
        <f>IF($F771="","",IFERROR(INDEX(사건마스터!$H$5:$H$64,MATCH($F771,사건마스터!$A$5:$A$64,0)),""))</f>
        <v/>
      </c>
      <c r="J771" s="48">
        <f>IF($F771="","",IFERROR(INDEX(사건마스터!$AH$5:$AH$64,MATCH($F771,사건마스터!$A$5:$A$64,0)),""))</f>
        <v/>
      </c>
      <c r="K771" s="48">
        <f>IF($F771="","",IFERROR(INDEX(사건마스터!$AI$5:$AI$64,MATCH($F771,사건마스터!$A$5:$A$64,0)),""))</f>
        <v/>
      </c>
      <c r="L771" s="48">
        <f>IF($F771="","",IFERROR(INDEX(사건마스터!$AJ$5:$AJ$64,MATCH($F771,사건마스터!$A$5:$A$64,0)),""))</f>
        <v/>
      </c>
      <c r="M771" s="48">
        <f>IF($F771="","",IFERROR(INDEX(사건마스터!$AK$5:$AK$64,MATCH($F771,사건마스터!$A$5:$A$64,0)),""))</f>
        <v/>
      </c>
      <c r="N771" s="48">
        <f>IF($F771="","",IFERROR(INDEX(사건마스터!$AL$5:$AL$64,MATCH($F771,사건마스터!$A$5:$A$64,0)),""))</f>
        <v/>
      </c>
      <c r="O771" s="43">
        <f>IF($I771="","",COUNTIF($I771:$N771,"?*"))</f>
        <v/>
      </c>
      <c r="P771" s="46">
        <f>IF($I771="","",_xlfn.TEXTJOIN(", ",TRUE,$I771:$N771))</f>
        <v/>
      </c>
      <c r="Q771" s="47">
        <f>IF($I771="","",IFERROR(INDEX(코드설정!$D$5:$D$24,MATCH($I771,코드설정!$C$5:$C$24,0)),""))</f>
        <v/>
      </c>
      <c r="R771" s="49" t="n"/>
      <c r="S771" s="50" t="n"/>
      <c r="T771" s="51" t="n"/>
      <c r="U771" s="43">
        <f>IF(OR($B771="",$C771=""),"",$C771-$B771+1)</f>
        <v/>
      </c>
      <c r="V771" s="52" t="n"/>
      <c r="W771" s="53">
        <f>IF(OR($V771="",$O771=""),"",$V771*$O771)</f>
        <v/>
      </c>
      <c r="X771" s="45" t="n"/>
      <c r="Y771" s="49" t="n"/>
    </row>
    <row r="772">
      <c r="A772" s="43">
        <f>IF($B772="","",COUNT($B$5:$B772))</f>
        <v/>
      </c>
      <c r="B772" s="44" t="n"/>
      <c r="C772" s="44" t="n"/>
      <c r="D772" s="45" t="n"/>
      <c r="E772" s="45" t="n"/>
      <c r="F772" s="45" t="n"/>
      <c r="G772" s="46">
        <f>IF($F772="","",IFERROR(INDEX(사건마스터!$B$5:$B$64,MATCH($F772,사건마스터!$A$5:$A$64,0)),""))</f>
        <v/>
      </c>
      <c r="H772" s="47">
        <f>IF($F772="","",IFERROR(INDEX(사건마스터!$C$5:$C$64,MATCH($F772,사건마스터!$A$5:$A$64,0)),""))</f>
        <v/>
      </c>
      <c r="I772" s="48">
        <f>IF($F772="","",IFERROR(INDEX(사건마스터!$H$5:$H$64,MATCH($F772,사건마스터!$A$5:$A$64,0)),""))</f>
        <v/>
      </c>
      <c r="J772" s="48">
        <f>IF($F772="","",IFERROR(INDEX(사건마스터!$AH$5:$AH$64,MATCH($F772,사건마스터!$A$5:$A$64,0)),""))</f>
        <v/>
      </c>
      <c r="K772" s="48">
        <f>IF($F772="","",IFERROR(INDEX(사건마스터!$AI$5:$AI$64,MATCH($F772,사건마스터!$A$5:$A$64,0)),""))</f>
        <v/>
      </c>
      <c r="L772" s="48">
        <f>IF($F772="","",IFERROR(INDEX(사건마스터!$AJ$5:$AJ$64,MATCH($F772,사건마스터!$A$5:$A$64,0)),""))</f>
        <v/>
      </c>
      <c r="M772" s="48">
        <f>IF($F772="","",IFERROR(INDEX(사건마스터!$AK$5:$AK$64,MATCH($F772,사건마스터!$A$5:$A$64,0)),""))</f>
        <v/>
      </c>
      <c r="N772" s="48">
        <f>IF($F772="","",IFERROR(INDEX(사건마스터!$AL$5:$AL$64,MATCH($F772,사건마스터!$A$5:$A$64,0)),""))</f>
        <v/>
      </c>
      <c r="O772" s="43">
        <f>IF($I772="","",COUNTIF($I772:$N772,"?*"))</f>
        <v/>
      </c>
      <c r="P772" s="46">
        <f>IF($I772="","",_xlfn.TEXTJOIN(", ",TRUE,$I772:$N772))</f>
        <v/>
      </c>
      <c r="Q772" s="47">
        <f>IF($I772="","",IFERROR(INDEX(코드설정!$D$5:$D$24,MATCH($I772,코드설정!$C$5:$C$24,0)),""))</f>
        <v/>
      </c>
      <c r="R772" s="49" t="n"/>
      <c r="S772" s="50" t="n"/>
      <c r="T772" s="51" t="n"/>
      <c r="U772" s="43">
        <f>IF(OR($B772="",$C772=""),"",$C772-$B772+1)</f>
        <v/>
      </c>
      <c r="V772" s="52" t="n"/>
      <c r="W772" s="53">
        <f>IF(OR($V772="",$O772=""),"",$V772*$O772)</f>
        <v/>
      </c>
      <c r="X772" s="45" t="n"/>
      <c r="Y772" s="49" t="n"/>
    </row>
    <row r="773">
      <c r="A773" s="43">
        <f>IF($B773="","",COUNT($B$5:$B773))</f>
        <v/>
      </c>
      <c r="B773" s="44" t="n"/>
      <c r="C773" s="44" t="n"/>
      <c r="D773" s="45" t="n"/>
      <c r="E773" s="45" t="n"/>
      <c r="F773" s="45" t="n"/>
      <c r="G773" s="46">
        <f>IF($F773="","",IFERROR(INDEX(사건마스터!$B$5:$B$64,MATCH($F773,사건마스터!$A$5:$A$64,0)),""))</f>
        <v/>
      </c>
      <c r="H773" s="47">
        <f>IF($F773="","",IFERROR(INDEX(사건마스터!$C$5:$C$64,MATCH($F773,사건마스터!$A$5:$A$64,0)),""))</f>
        <v/>
      </c>
      <c r="I773" s="48">
        <f>IF($F773="","",IFERROR(INDEX(사건마스터!$H$5:$H$64,MATCH($F773,사건마스터!$A$5:$A$64,0)),""))</f>
        <v/>
      </c>
      <c r="J773" s="48">
        <f>IF($F773="","",IFERROR(INDEX(사건마스터!$AH$5:$AH$64,MATCH($F773,사건마스터!$A$5:$A$64,0)),""))</f>
        <v/>
      </c>
      <c r="K773" s="48">
        <f>IF($F773="","",IFERROR(INDEX(사건마스터!$AI$5:$AI$64,MATCH($F773,사건마스터!$A$5:$A$64,0)),""))</f>
        <v/>
      </c>
      <c r="L773" s="48">
        <f>IF($F773="","",IFERROR(INDEX(사건마스터!$AJ$5:$AJ$64,MATCH($F773,사건마스터!$A$5:$A$64,0)),""))</f>
        <v/>
      </c>
      <c r="M773" s="48">
        <f>IF($F773="","",IFERROR(INDEX(사건마스터!$AK$5:$AK$64,MATCH($F773,사건마스터!$A$5:$A$64,0)),""))</f>
        <v/>
      </c>
      <c r="N773" s="48">
        <f>IF($F773="","",IFERROR(INDEX(사건마스터!$AL$5:$AL$64,MATCH($F773,사건마스터!$A$5:$A$64,0)),""))</f>
        <v/>
      </c>
      <c r="O773" s="43">
        <f>IF($I773="","",COUNTIF($I773:$N773,"?*"))</f>
        <v/>
      </c>
      <c r="P773" s="46">
        <f>IF($I773="","",_xlfn.TEXTJOIN(", ",TRUE,$I773:$N773))</f>
        <v/>
      </c>
      <c r="Q773" s="47">
        <f>IF($I773="","",IFERROR(INDEX(코드설정!$D$5:$D$24,MATCH($I773,코드설정!$C$5:$C$24,0)),""))</f>
        <v/>
      </c>
      <c r="R773" s="49" t="n"/>
      <c r="S773" s="50" t="n"/>
      <c r="T773" s="51" t="n"/>
      <c r="U773" s="43">
        <f>IF(OR($B773="",$C773=""),"",$C773-$B773+1)</f>
        <v/>
      </c>
      <c r="V773" s="52" t="n"/>
      <c r="W773" s="53">
        <f>IF(OR($V773="",$O773=""),"",$V773*$O773)</f>
        <v/>
      </c>
      <c r="X773" s="45" t="n"/>
      <c r="Y773" s="49" t="n"/>
    </row>
    <row r="774">
      <c r="A774" s="43">
        <f>IF($B774="","",COUNT($B$5:$B774))</f>
        <v/>
      </c>
      <c r="B774" s="44" t="n"/>
      <c r="C774" s="44" t="n"/>
      <c r="D774" s="45" t="n"/>
      <c r="E774" s="45" t="n"/>
      <c r="F774" s="45" t="n"/>
      <c r="G774" s="46">
        <f>IF($F774="","",IFERROR(INDEX(사건마스터!$B$5:$B$64,MATCH($F774,사건마스터!$A$5:$A$64,0)),""))</f>
        <v/>
      </c>
      <c r="H774" s="47">
        <f>IF($F774="","",IFERROR(INDEX(사건마스터!$C$5:$C$64,MATCH($F774,사건마스터!$A$5:$A$64,0)),""))</f>
        <v/>
      </c>
      <c r="I774" s="48">
        <f>IF($F774="","",IFERROR(INDEX(사건마스터!$H$5:$H$64,MATCH($F774,사건마스터!$A$5:$A$64,0)),""))</f>
        <v/>
      </c>
      <c r="J774" s="48">
        <f>IF($F774="","",IFERROR(INDEX(사건마스터!$AH$5:$AH$64,MATCH($F774,사건마스터!$A$5:$A$64,0)),""))</f>
        <v/>
      </c>
      <c r="K774" s="48">
        <f>IF($F774="","",IFERROR(INDEX(사건마스터!$AI$5:$AI$64,MATCH($F774,사건마스터!$A$5:$A$64,0)),""))</f>
        <v/>
      </c>
      <c r="L774" s="48">
        <f>IF($F774="","",IFERROR(INDEX(사건마스터!$AJ$5:$AJ$64,MATCH($F774,사건마스터!$A$5:$A$64,0)),""))</f>
        <v/>
      </c>
      <c r="M774" s="48">
        <f>IF($F774="","",IFERROR(INDEX(사건마스터!$AK$5:$AK$64,MATCH($F774,사건마스터!$A$5:$A$64,0)),""))</f>
        <v/>
      </c>
      <c r="N774" s="48">
        <f>IF($F774="","",IFERROR(INDEX(사건마스터!$AL$5:$AL$64,MATCH($F774,사건마스터!$A$5:$A$64,0)),""))</f>
        <v/>
      </c>
      <c r="O774" s="43">
        <f>IF($I774="","",COUNTIF($I774:$N774,"?*"))</f>
        <v/>
      </c>
      <c r="P774" s="46">
        <f>IF($I774="","",_xlfn.TEXTJOIN(", ",TRUE,$I774:$N774))</f>
        <v/>
      </c>
      <c r="Q774" s="47">
        <f>IF($I774="","",IFERROR(INDEX(코드설정!$D$5:$D$24,MATCH($I774,코드설정!$C$5:$C$24,0)),""))</f>
        <v/>
      </c>
      <c r="R774" s="49" t="n"/>
      <c r="S774" s="50" t="n"/>
      <c r="T774" s="51" t="n"/>
      <c r="U774" s="43">
        <f>IF(OR($B774="",$C774=""),"",$C774-$B774+1)</f>
        <v/>
      </c>
      <c r="V774" s="52" t="n"/>
      <c r="W774" s="53">
        <f>IF(OR($V774="",$O774=""),"",$V774*$O774)</f>
        <v/>
      </c>
      <c r="X774" s="45" t="n"/>
      <c r="Y774" s="49" t="n"/>
    </row>
    <row r="775">
      <c r="A775" s="43">
        <f>IF($B775="","",COUNT($B$5:$B775))</f>
        <v/>
      </c>
      <c r="B775" s="44" t="n"/>
      <c r="C775" s="44" t="n"/>
      <c r="D775" s="45" t="n"/>
      <c r="E775" s="45" t="n"/>
      <c r="F775" s="45" t="n"/>
      <c r="G775" s="46">
        <f>IF($F775="","",IFERROR(INDEX(사건마스터!$B$5:$B$64,MATCH($F775,사건마스터!$A$5:$A$64,0)),""))</f>
        <v/>
      </c>
      <c r="H775" s="47">
        <f>IF($F775="","",IFERROR(INDEX(사건마스터!$C$5:$C$64,MATCH($F775,사건마스터!$A$5:$A$64,0)),""))</f>
        <v/>
      </c>
      <c r="I775" s="48">
        <f>IF($F775="","",IFERROR(INDEX(사건마스터!$H$5:$H$64,MATCH($F775,사건마스터!$A$5:$A$64,0)),""))</f>
        <v/>
      </c>
      <c r="J775" s="48">
        <f>IF($F775="","",IFERROR(INDEX(사건마스터!$AH$5:$AH$64,MATCH($F775,사건마스터!$A$5:$A$64,0)),""))</f>
        <v/>
      </c>
      <c r="K775" s="48">
        <f>IF($F775="","",IFERROR(INDEX(사건마스터!$AI$5:$AI$64,MATCH($F775,사건마스터!$A$5:$A$64,0)),""))</f>
        <v/>
      </c>
      <c r="L775" s="48">
        <f>IF($F775="","",IFERROR(INDEX(사건마스터!$AJ$5:$AJ$64,MATCH($F775,사건마스터!$A$5:$A$64,0)),""))</f>
        <v/>
      </c>
      <c r="M775" s="48">
        <f>IF($F775="","",IFERROR(INDEX(사건마스터!$AK$5:$AK$64,MATCH($F775,사건마스터!$A$5:$A$64,0)),""))</f>
        <v/>
      </c>
      <c r="N775" s="48">
        <f>IF($F775="","",IFERROR(INDEX(사건마스터!$AL$5:$AL$64,MATCH($F775,사건마스터!$A$5:$A$64,0)),""))</f>
        <v/>
      </c>
      <c r="O775" s="43">
        <f>IF($I775="","",COUNTIF($I775:$N775,"?*"))</f>
        <v/>
      </c>
      <c r="P775" s="46">
        <f>IF($I775="","",_xlfn.TEXTJOIN(", ",TRUE,$I775:$N775))</f>
        <v/>
      </c>
      <c r="Q775" s="47">
        <f>IF($I775="","",IFERROR(INDEX(코드설정!$D$5:$D$24,MATCH($I775,코드설정!$C$5:$C$24,0)),""))</f>
        <v/>
      </c>
      <c r="R775" s="49" t="n"/>
      <c r="S775" s="50" t="n"/>
      <c r="T775" s="51" t="n"/>
      <c r="U775" s="43">
        <f>IF(OR($B775="",$C775=""),"",$C775-$B775+1)</f>
        <v/>
      </c>
      <c r="V775" s="52" t="n"/>
      <c r="W775" s="53">
        <f>IF(OR($V775="",$O775=""),"",$V775*$O775)</f>
        <v/>
      </c>
      <c r="X775" s="45" t="n"/>
      <c r="Y775" s="49" t="n"/>
    </row>
    <row r="776">
      <c r="A776" s="43">
        <f>IF($B776="","",COUNT($B$5:$B776))</f>
        <v/>
      </c>
      <c r="B776" s="44" t="n"/>
      <c r="C776" s="44" t="n"/>
      <c r="D776" s="45" t="n"/>
      <c r="E776" s="45" t="n"/>
      <c r="F776" s="45" t="n"/>
      <c r="G776" s="46">
        <f>IF($F776="","",IFERROR(INDEX(사건마스터!$B$5:$B$64,MATCH($F776,사건마스터!$A$5:$A$64,0)),""))</f>
        <v/>
      </c>
      <c r="H776" s="47">
        <f>IF($F776="","",IFERROR(INDEX(사건마스터!$C$5:$C$64,MATCH($F776,사건마스터!$A$5:$A$64,0)),""))</f>
        <v/>
      </c>
      <c r="I776" s="48">
        <f>IF($F776="","",IFERROR(INDEX(사건마스터!$H$5:$H$64,MATCH($F776,사건마스터!$A$5:$A$64,0)),""))</f>
        <v/>
      </c>
      <c r="J776" s="48">
        <f>IF($F776="","",IFERROR(INDEX(사건마스터!$AH$5:$AH$64,MATCH($F776,사건마스터!$A$5:$A$64,0)),""))</f>
        <v/>
      </c>
      <c r="K776" s="48">
        <f>IF($F776="","",IFERROR(INDEX(사건마스터!$AI$5:$AI$64,MATCH($F776,사건마스터!$A$5:$A$64,0)),""))</f>
        <v/>
      </c>
      <c r="L776" s="48">
        <f>IF($F776="","",IFERROR(INDEX(사건마스터!$AJ$5:$AJ$64,MATCH($F776,사건마스터!$A$5:$A$64,0)),""))</f>
        <v/>
      </c>
      <c r="M776" s="48">
        <f>IF($F776="","",IFERROR(INDEX(사건마스터!$AK$5:$AK$64,MATCH($F776,사건마스터!$A$5:$A$64,0)),""))</f>
        <v/>
      </c>
      <c r="N776" s="48">
        <f>IF($F776="","",IFERROR(INDEX(사건마스터!$AL$5:$AL$64,MATCH($F776,사건마스터!$A$5:$A$64,0)),""))</f>
        <v/>
      </c>
      <c r="O776" s="43">
        <f>IF($I776="","",COUNTIF($I776:$N776,"?*"))</f>
        <v/>
      </c>
      <c r="P776" s="46">
        <f>IF($I776="","",_xlfn.TEXTJOIN(", ",TRUE,$I776:$N776))</f>
        <v/>
      </c>
      <c r="Q776" s="47">
        <f>IF($I776="","",IFERROR(INDEX(코드설정!$D$5:$D$24,MATCH($I776,코드설정!$C$5:$C$24,0)),""))</f>
        <v/>
      </c>
      <c r="R776" s="49" t="n"/>
      <c r="S776" s="50" t="n"/>
      <c r="T776" s="51" t="n"/>
      <c r="U776" s="43">
        <f>IF(OR($B776="",$C776=""),"",$C776-$B776+1)</f>
        <v/>
      </c>
      <c r="V776" s="52" t="n"/>
      <c r="W776" s="53">
        <f>IF(OR($V776="",$O776=""),"",$V776*$O776)</f>
        <v/>
      </c>
      <c r="X776" s="45" t="n"/>
      <c r="Y776" s="49" t="n"/>
    </row>
    <row r="777">
      <c r="A777" s="43">
        <f>IF($B777="","",COUNT($B$5:$B777))</f>
        <v/>
      </c>
      <c r="B777" s="44" t="n"/>
      <c r="C777" s="44" t="n"/>
      <c r="D777" s="45" t="n"/>
      <c r="E777" s="45" t="n"/>
      <c r="F777" s="45" t="n"/>
      <c r="G777" s="46">
        <f>IF($F777="","",IFERROR(INDEX(사건마스터!$B$5:$B$64,MATCH($F777,사건마스터!$A$5:$A$64,0)),""))</f>
        <v/>
      </c>
      <c r="H777" s="47">
        <f>IF($F777="","",IFERROR(INDEX(사건마스터!$C$5:$C$64,MATCH($F777,사건마스터!$A$5:$A$64,0)),""))</f>
        <v/>
      </c>
      <c r="I777" s="48">
        <f>IF($F777="","",IFERROR(INDEX(사건마스터!$H$5:$H$64,MATCH($F777,사건마스터!$A$5:$A$64,0)),""))</f>
        <v/>
      </c>
      <c r="J777" s="48">
        <f>IF($F777="","",IFERROR(INDEX(사건마스터!$AH$5:$AH$64,MATCH($F777,사건마스터!$A$5:$A$64,0)),""))</f>
        <v/>
      </c>
      <c r="K777" s="48">
        <f>IF($F777="","",IFERROR(INDEX(사건마스터!$AI$5:$AI$64,MATCH($F777,사건마스터!$A$5:$A$64,0)),""))</f>
        <v/>
      </c>
      <c r="L777" s="48">
        <f>IF($F777="","",IFERROR(INDEX(사건마스터!$AJ$5:$AJ$64,MATCH($F777,사건마스터!$A$5:$A$64,0)),""))</f>
        <v/>
      </c>
      <c r="M777" s="48">
        <f>IF($F777="","",IFERROR(INDEX(사건마스터!$AK$5:$AK$64,MATCH($F777,사건마스터!$A$5:$A$64,0)),""))</f>
        <v/>
      </c>
      <c r="N777" s="48">
        <f>IF($F777="","",IFERROR(INDEX(사건마스터!$AL$5:$AL$64,MATCH($F777,사건마스터!$A$5:$A$64,0)),""))</f>
        <v/>
      </c>
      <c r="O777" s="43">
        <f>IF($I777="","",COUNTIF($I777:$N777,"?*"))</f>
        <v/>
      </c>
      <c r="P777" s="46">
        <f>IF($I777="","",_xlfn.TEXTJOIN(", ",TRUE,$I777:$N777))</f>
        <v/>
      </c>
      <c r="Q777" s="47">
        <f>IF($I777="","",IFERROR(INDEX(코드설정!$D$5:$D$24,MATCH($I777,코드설정!$C$5:$C$24,0)),""))</f>
        <v/>
      </c>
      <c r="R777" s="49" t="n"/>
      <c r="S777" s="50" t="n"/>
      <c r="T777" s="51" t="n"/>
      <c r="U777" s="43">
        <f>IF(OR($B777="",$C777=""),"",$C777-$B777+1)</f>
        <v/>
      </c>
      <c r="V777" s="52" t="n"/>
      <c r="W777" s="53">
        <f>IF(OR($V777="",$O777=""),"",$V777*$O777)</f>
        <v/>
      </c>
      <c r="X777" s="45" t="n"/>
      <c r="Y777" s="49" t="n"/>
    </row>
    <row r="778">
      <c r="A778" s="43">
        <f>IF($B778="","",COUNT($B$5:$B778))</f>
        <v/>
      </c>
      <c r="B778" s="44" t="n"/>
      <c r="C778" s="44" t="n"/>
      <c r="D778" s="45" t="n"/>
      <c r="E778" s="45" t="n"/>
      <c r="F778" s="45" t="n"/>
      <c r="G778" s="46">
        <f>IF($F778="","",IFERROR(INDEX(사건마스터!$B$5:$B$64,MATCH($F778,사건마스터!$A$5:$A$64,0)),""))</f>
        <v/>
      </c>
      <c r="H778" s="47">
        <f>IF($F778="","",IFERROR(INDEX(사건마스터!$C$5:$C$64,MATCH($F778,사건마스터!$A$5:$A$64,0)),""))</f>
        <v/>
      </c>
      <c r="I778" s="48">
        <f>IF($F778="","",IFERROR(INDEX(사건마스터!$H$5:$H$64,MATCH($F778,사건마스터!$A$5:$A$64,0)),""))</f>
        <v/>
      </c>
      <c r="J778" s="48">
        <f>IF($F778="","",IFERROR(INDEX(사건마스터!$AH$5:$AH$64,MATCH($F778,사건마스터!$A$5:$A$64,0)),""))</f>
        <v/>
      </c>
      <c r="K778" s="48">
        <f>IF($F778="","",IFERROR(INDEX(사건마스터!$AI$5:$AI$64,MATCH($F778,사건마스터!$A$5:$A$64,0)),""))</f>
        <v/>
      </c>
      <c r="L778" s="48">
        <f>IF($F778="","",IFERROR(INDEX(사건마스터!$AJ$5:$AJ$64,MATCH($F778,사건마스터!$A$5:$A$64,0)),""))</f>
        <v/>
      </c>
      <c r="M778" s="48">
        <f>IF($F778="","",IFERROR(INDEX(사건마스터!$AK$5:$AK$64,MATCH($F778,사건마스터!$A$5:$A$64,0)),""))</f>
        <v/>
      </c>
      <c r="N778" s="48">
        <f>IF($F778="","",IFERROR(INDEX(사건마스터!$AL$5:$AL$64,MATCH($F778,사건마스터!$A$5:$A$64,0)),""))</f>
        <v/>
      </c>
      <c r="O778" s="43">
        <f>IF($I778="","",COUNTIF($I778:$N778,"?*"))</f>
        <v/>
      </c>
      <c r="P778" s="46">
        <f>IF($I778="","",_xlfn.TEXTJOIN(", ",TRUE,$I778:$N778))</f>
        <v/>
      </c>
      <c r="Q778" s="47">
        <f>IF($I778="","",IFERROR(INDEX(코드설정!$D$5:$D$24,MATCH($I778,코드설정!$C$5:$C$24,0)),""))</f>
        <v/>
      </c>
      <c r="R778" s="49" t="n"/>
      <c r="S778" s="50" t="n"/>
      <c r="T778" s="51" t="n"/>
      <c r="U778" s="43">
        <f>IF(OR($B778="",$C778=""),"",$C778-$B778+1)</f>
        <v/>
      </c>
      <c r="V778" s="52" t="n"/>
      <c r="W778" s="53">
        <f>IF(OR($V778="",$O778=""),"",$V778*$O778)</f>
        <v/>
      </c>
      <c r="X778" s="45" t="n"/>
      <c r="Y778" s="49" t="n"/>
    </row>
    <row r="779">
      <c r="A779" s="43">
        <f>IF($B779="","",COUNT($B$5:$B779))</f>
        <v/>
      </c>
      <c r="B779" s="44" t="n"/>
      <c r="C779" s="44" t="n"/>
      <c r="D779" s="45" t="n"/>
      <c r="E779" s="45" t="n"/>
      <c r="F779" s="45" t="n"/>
      <c r="G779" s="46">
        <f>IF($F779="","",IFERROR(INDEX(사건마스터!$B$5:$B$64,MATCH($F779,사건마스터!$A$5:$A$64,0)),""))</f>
        <v/>
      </c>
      <c r="H779" s="47">
        <f>IF($F779="","",IFERROR(INDEX(사건마스터!$C$5:$C$64,MATCH($F779,사건마스터!$A$5:$A$64,0)),""))</f>
        <v/>
      </c>
      <c r="I779" s="48">
        <f>IF($F779="","",IFERROR(INDEX(사건마스터!$H$5:$H$64,MATCH($F779,사건마스터!$A$5:$A$64,0)),""))</f>
        <v/>
      </c>
      <c r="J779" s="48">
        <f>IF($F779="","",IFERROR(INDEX(사건마스터!$AH$5:$AH$64,MATCH($F779,사건마스터!$A$5:$A$64,0)),""))</f>
        <v/>
      </c>
      <c r="K779" s="48">
        <f>IF($F779="","",IFERROR(INDEX(사건마스터!$AI$5:$AI$64,MATCH($F779,사건마스터!$A$5:$A$64,0)),""))</f>
        <v/>
      </c>
      <c r="L779" s="48">
        <f>IF($F779="","",IFERROR(INDEX(사건마스터!$AJ$5:$AJ$64,MATCH($F779,사건마스터!$A$5:$A$64,0)),""))</f>
        <v/>
      </c>
      <c r="M779" s="48">
        <f>IF($F779="","",IFERROR(INDEX(사건마스터!$AK$5:$AK$64,MATCH($F779,사건마스터!$A$5:$A$64,0)),""))</f>
        <v/>
      </c>
      <c r="N779" s="48">
        <f>IF($F779="","",IFERROR(INDEX(사건마스터!$AL$5:$AL$64,MATCH($F779,사건마스터!$A$5:$A$64,0)),""))</f>
        <v/>
      </c>
      <c r="O779" s="43">
        <f>IF($I779="","",COUNTIF($I779:$N779,"?*"))</f>
        <v/>
      </c>
      <c r="P779" s="46">
        <f>IF($I779="","",_xlfn.TEXTJOIN(", ",TRUE,$I779:$N779))</f>
        <v/>
      </c>
      <c r="Q779" s="47">
        <f>IF($I779="","",IFERROR(INDEX(코드설정!$D$5:$D$24,MATCH($I779,코드설정!$C$5:$C$24,0)),""))</f>
        <v/>
      </c>
      <c r="R779" s="49" t="n"/>
      <c r="S779" s="50" t="n"/>
      <c r="T779" s="51" t="n"/>
      <c r="U779" s="43">
        <f>IF(OR($B779="",$C779=""),"",$C779-$B779+1)</f>
        <v/>
      </c>
      <c r="V779" s="52" t="n"/>
      <c r="W779" s="53">
        <f>IF(OR($V779="",$O779=""),"",$V779*$O779)</f>
        <v/>
      </c>
      <c r="X779" s="45" t="n"/>
      <c r="Y779" s="49" t="n"/>
    </row>
    <row r="780">
      <c r="A780" s="43">
        <f>IF($B780="","",COUNT($B$5:$B780))</f>
        <v/>
      </c>
      <c r="B780" s="44" t="n"/>
      <c r="C780" s="44" t="n"/>
      <c r="D780" s="45" t="n"/>
      <c r="E780" s="45" t="n"/>
      <c r="F780" s="45" t="n"/>
      <c r="G780" s="46">
        <f>IF($F780="","",IFERROR(INDEX(사건마스터!$B$5:$B$64,MATCH($F780,사건마스터!$A$5:$A$64,0)),""))</f>
        <v/>
      </c>
      <c r="H780" s="47">
        <f>IF($F780="","",IFERROR(INDEX(사건마스터!$C$5:$C$64,MATCH($F780,사건마스터!$A$5:$A$64,0)),""))</f>
        <v/>
      </c>
      <c r="I780" s="48">
        <f>IF($F780="","",IFERROR(INDEX(사건마스터!$H$5:$H$64,MATCH($F780,사건마스터!$A$5:$A$64,0)),""))</f>
        <v/>
      </c>
      <c r="J780" s="48">
        <f>IF($F780="","",IFERROR(INDEX(사건마스터!$AH$5:$AH$64,MATCH($F780,사건마스터!$A$5:$A$64,0)),""))</f>
        <v/>
      </c>
      <c r="K780" s="48">
        <f>IF($F780="","",IFERROR(INDEX(사건마스터!$AI$5:$AI$64,MATCH($F780,사건마스터!$A$5:$A$64,0)),""))</f>
        <v/>
      </c>
      <c r="L780" s="48">
        <f>IF($F780="","",IFERROR(INDEX(사건마스터!$AJ$5:$AJ$64,MATCH($F780,사건마스터!$A$5:$A$64,0)),""))</f>
        <v/>
      </c>
      <c r="M780" s="48">
        <f>IF($F780="","",IFERROR(INDEX(사건마스터!$AK$5:$AK$64,MATCH($F780,사건마스터!$A$5:$A$64,0)),""))</f>
        <v/>
      </c>
      <c r="N780" s="48">
        <f>IF($F780="","",IFERROR(INDEX(사건마스터!$AL$5:$AL$64,MATCH($F780,사건마스터!$A$5:$A$64,0)),""))</f>
        <v/>
      </c>
      <c r="O780" s="43">
        <f>IF($I780="","",COUNTIF($I780:$N780,"?*"))</f>
        <v/>
      </c>
      <c r="P780" s="46">
        <f>IF($I780="","",_xlfn.TEXTJOIN(", ",TRUE,$I780:$N780))</f>
        <v/>
      </c>
      <c r="Q780" s="47">
        <f>IF($I780="","",IFERROR(INDEX(코드설정!$D$5:$D$24,MATCH($I780,코드설정!$C$5:$C$24,0)),""))</f>
        <v/>
      </c>
      <c r="R780" s="49" t="n"/>
      <c r="S780" s="50" t="n"/>
      <c r="T780" s="51" t="n"/>
      <c r="U780" s="43">
        <f>IF(OR($B780="",$C780=""),"",$C780-$B780+1)</f>
        <v/>
      </c>
      <c r="V780" s="52" t="n"/>
      <c r="W780" s="53">
        <f>IF(OR($V780="",$O780=""),"",$V780*$O780)</f>
        <v/>
      </c>
      <c r="X780" s="45" t="n"/>
      <c r="Y780" s="49" t="n"/>
    </row>
    <row r="781">
      <c r="A781" s="43">
        <f>IF($B781="","",COUNT($B$5:$B781))</f>
        <v/>
      </c>
      <c r="B781" s="44" t="n"/>
      <c r="C781" s="44" t="n"/>
      <c r="D781" s="45" t="n"/>
      <c r="E781" s="45" t="n"/>
      <c r="F781" s="45" t="n"/>
      <c r="G781" s="46">
        <f>IF($F781="","",IFERROR(INDEX(사건마스터!$B$5:$B$64,MATCH($F781,사건마스터!$A$5:$A$64,0)),""))</f>
        <v/>
      </c>
      <c r="H781" s="47">
        <f>IF($F781="","",IFERROR(INDEX(사건마스터!$C$5:$C$64,MATCH($F781,사건마스터!$A$5:$A$64,0)),""))</f>
        <v/>
      </c>
      <c r="I781" s="48">
        <f>IF($F781="","",IFERROR(INDEX(사건마스터!$H$5:$H$64,MATCH($F781,사건마스터!$A$5:$A$64,0)),""))</f>
        <v/>
      </c>
      <c r="J781" s="48">
        <f>IF($F781="","",IFERROR(INDEX(사건마스터!$AH$5:$AH$64,MATCH($F781,사건마스터!$A$5:$A$64,0)),""))</f>
        <v/>
      </c>
      <c r="K781" s="48">
        <f>IF($F781="","",IFERROR(INDEX(사건마스터!$AI$5:$AI$64,MATCH($F781,사건마스터!$A$5:$A$64,0)),""))</f>
        <v/>
      </c>
      <c r="L781" s="48">
        <f>IF($F781="","",IFERROR(INDEX(사건마스터!$AJ$5:$AJ$64,MATCH($F781,사건마스터!$A$5:$A$64,0)),""))</f>
        <v/>
      </c>
      <c r="M781" s="48">
        <f>IF($F781="","",IFERROR(INDEX(사건마스터!$AK$5:$AK$64,MATCH($F781,사건마스터!$A$5:$A$64,0)),""))</f>
        <v/>
      </c>
      <c r="N781" s="48">
        <f>IF($F781="","",IFERROR(INDEX(사건마스터!$AL$5:$AL$64,MATCH($F781,사건마스터!$A$5:$A$64,0)),""))</f>
        <v/>
      </c>
      <c r="O781" s="43">
        <f>IF($I781="","",COUNTIF($I781:$N781,"?*"))</f>
        <v/>
      </c>
      <c r="P781" s="46">
        <f>IF($I781="","",_xlfn.TEXTJOIN(", ",TRUE,$I781:$N781))</f>
        <v/>
      </c>
      <c r="Q781" s="47">
        <f>IF($I781="","",IFERROR(INDEX(코드설정!$D$5:$D$24,MATCH($I781,코드설정!$C$5:$C$24,0)),""))</f>
        <v/>
      </c>
      <c r="R781" s="49" t="n"/>
      <c r="S781" s="50" t="n"/>
      <c r="T781" s="51" t="n"/>
      <c r="U781" s="43">
        <f>IF(OR($B781="",$C781=""),"",$C781-$B781+1)</f>
        <v/>
      </c>
      <c r="V781" s="52" t="n"/>
      <c r="W781" s="53">
        <f>IF(OR($V781="",$O781=""),"",$V781*$O781)</f>
        <v/>
      </c>
      <c r="X781" s="45" t="n"/>
      <c r="Y781" s="49" t="n"/>
    </row>
    <row r="782">
      <c r="A782" s="43">
        <f>IF($B782="","",COUNT($B$5:$B782))</f>
        <v/>
      </c>
      <c r="B782" s="44" t="n"/>
      <c r="C782" s="44" t="n"/>
      <c r="D782" s="45" t="n"/>
      <c r="E782" s="45" t="n"/>
      <c r="F782" s="45" t="n"/>
      <c r="G782" s="46">
        <f>IF($F782="","",IFERROR(INDEX(사건마스터!$B$5:$B$64,MATCH($F782,사건마스터!$A$5:$A$64,0)),""))</f>
        <v/>
      </c>
      <c r="H782" s="47">
        <f>IF($F782="","",IFERROR(INDEX(사건마스터!$C$5:$C$64,MATCH($F782,사건마스터!$A$5:$A$64,0)),""))</f>
        <v/>
      </c>
      <c r="I782" s="48">
        <f>IF($F782="","",IFERROR(INDEX(사건마스터!$H$5:$H$64,MATCH($F782,사건마스터!$A$5:$A$64,0)),""))</f>
        <v/>
      </c>
      <c r="J782" s="48">
        <f>IF($F782="","",IFERROR(INDEX(사건마스터!$AH$5:$AH$64,MATCH($F782,사건마스터!$A$5:$A$64,0)),""))</f>
        <v/>
      </c>
      <c r="K782" s="48">
        <f>IF($F782="","",IFERROR(INDEX(사건마스터!$AI$5:$AI$64,MATCH($F782,사건마스터!$A$5:$A$64,0)),""))</f>
        <v/>
      </c>
      <c r="L782" s="48">
        <f>IF($F782="","",IFERROR(INDEX(사건마스터!$AJ$5:$AJ$64,MATCH($F782,사건마스터!$A$5:$A$64,0)),""))</f>
        <v/>
      </c>
      <c r="M782" s="48">
        <f>IF($F782="","",IFERROR(INDEX(사건마스터!$AK$5:$AK$64,MATCH($F782,사건마스터!$A$5:$A$64,0)),""))</f>
        <v/>
      </c>
      <c r="N782" s="48">
        <f>IF($F782="","",IFERROR(INDEX(사건마스터!$AL$5:$AL$64,MATCH($F782,사건마스터!$A$5:$A$64,0)),""))</f>
        <v/>
      </c>
      <c r="O782" s="43">
        <f>IF($I782="","",COUNTIF($I782:$N782,"?*"))</f>
        <v/>
      </c>
      <c r="P782" s="46">
        <f>IF($I782="","",_xlfn.TEXTJOIN(", ",TRUE,$I782:$N782))</f>
        <v/>
      </c>
      <c r="Q782" s="47">
        <f>IF($I782="","",IFERROR(INDEX(코드설정!$D$5:$D$24,MATCH($I782,코드설정!$C$5:$C$24,0)),""))</f>
        <v/>
      </c>
      <c r="R782" s="49" t="n"/>
      <c r="S782" s="50" t="n"/>
      <c r="T782" s="51" t="n"/>
      <c r="U782" s="43">
        <f>IF(OR($B782="",$C782=""),"",$C782-$B782+1)</f>
        <v/>
      </c>
      <c r="V782" s="52" t="n"/>
      <c r="W782" s="53">
        <f>IF(OR($V782="",$O782=""),"",$V782*$O782)</f>
        <v/>
      </c>
      <c r="X782" s="45" t="n"/>
      <c r="Y782" s="49" t="n"/>
    </row>
    <row r="783">
      <c r="A783" s="43">
        <f>IF($B783="","",COUNT($B$5:$B783))</f>
        <v/>
      </c>
      <c r="B783" s="44" t="n"/>
      <c r="C783" s="44" t="n"/>
      <c r="D783" s="45" t="n"/>
      <c r="E783" s="45" t="n"/>
      <c r="F783" s="45" t="n"/>
      <c r="G783" s="46">
        <f>IF($F783="","",IFERROR(INDEX(사건마스터!$B$5:$B$64,MATCH($F783,사건마스터!$A$5:$A$64,0)),""))</f>
        <v/>
      </c>
      <c r="H783" s="47">
        <f>IF($F783="","",IFERROR(INDEX(사건마스터!$C$5:$C$64,MATCH($F783,사건마스터!$A$5:$A$64,0)),""))</f>
        <v/>
      </c>
      <c r="I783" s="48">
        <f>IF($F783="","",IFERROR(INDEX(사건마스터!$H$5:$H$64,MATCH($F783,사건마스터!$A$5:$A$64,0)),""))</f>
        <v/>
      </c>
      <c r="J783" s="48">
        <f>IF($F783="","",IFERROR(INDEX(사건마스터!$AH$5:$AH$64,MATCH($F783,사건마스터!$A$5:$A$64,0)),""))</f>
        <v/>
      </c>
      <c r="K783" s="48">
        <f>IF($F783="","",IFERROR(INDEX(사건마스터!$AI$5:$AI$64,MATCH($F783,사건마스터!$A$5:$A$64,0)),""))</f>
        <v/>
      </c>
      <c r="L783" s="48">
        <f>IF($F783="","",IFERROR(INDEX(사건마스터!$AJ$5:$AJ$64,MATCH($F783,사건마스터!$A$5:$A$64,0)),""))</f>
        <v/>
      </c>
      <c r="M783" s="48">
        <f>IF($F783="","",IFERROR(INDEX(사건마스터!$AK$5:$AK$64,MATCH($F783,사건마스터!$A$5:$A$64,0)),""))</f>
        <v/>
      </c>
      <c r="N783" s="48">
        <f>IF($F783="","",IFERROR(INDEX(사건마스터!$AL$5:$AL$64,MATCH($F783,사건마스터!$A$5:$A$64,0)),""))</f>
        <v/>
      </c>
      <c r="O783" s="43">
        <f>IF($I783="","",COUNTIF($I783:$N783,"?*"))</f>
        <v/>
      </c>
      <c r="P783" s="46">
        <f>IF($I783="","",_xlfn.TEXTJOIN(", ",TRUE,$I783:$N783))</f>
        <v/>
      </c>
      <c r="Q783" s="47">
        <f>IF($I783="","",IFERROR(INDEX(코드설정!$D$5:$D$24,MATCH($I783,코드설정!$C$5:$C$24,0)),""))</f>
        <v/>
      </c>
      <c r="R783" s="49" t="n"/>
      <c r="S783" s="50" t="n"/>
      <c r="T783" s="51" t="n"/>
      <c r="U783" s="43">
        <f>IF(OR($B783="",$C783=""),"",$C783-$B783+1)</f>
        <v/>
      </c>
      <c r="V783" s="52" t="n"/>
      <c r="W783" s="53">
        <f>IF(OR($V783="",$O783=""),"",$V783*$O783)</f>
        <v/>
      </c>
      <c r="X783" s="45" t="n"/>
      <c r="Y783" s="49" t="n"/>
    </row>
    <row r="784">
      <c r="A784" s="43">
        <f>IF($B784="","",COUNT($B$5:$B784))</f>
        <v/>
      </c>
      <c r="B784" s="44" t="n"/>
      <c r="C784" s="44" t="n"/>
      <c r="D784" s="45" t="n"/>
      <c r="E784" s="45" t="n"/>
      <c r="F784" s="45" t="n"/>
      <c r="G784" s="46">
        <f>IF($F784="","",IFERROR(INDEX(사건마스터!$B$5:$B$64,MATCH($F784,사건마스터!$A$5:$A$64,0)),""))</f>
        <v/>
      </c>
      <c r="H784" s="47">
        <f>IF($F784="","",IFERROR(INDEX(사건마스터!$C$5:$C$64,MATCH($F784,사건마스터!$A$5:$A$64,0)),""))</f>
        <v/>
      </c>
      <c r="I784" s="48">
        <f>IF($F784="","",IFERROR(INDEX(사건마스터!$H$5:$H$64,MATCH($F784,사건마스터!$A$5:$A$64,0)),""))</f>
        <v/>
      </c>
      <c r="J784" s="48">
        <f>IF($F784="","",IFERROR(INDEX(사건마스터!$AH$5:$AH$64,MATCH($F784,사건마스터!$A$5:$A$64,0)),""))</f>
        <v/>
      </c>
      <c r="K784" s="48">
        <f>IF($F784="","",IFERROR(INDEX(사건마스터!$AI$5:$AI$64,MATCH($F784,사건마스터!$A$5:$A$64,0)),""))</f>
        <v/>
      </c>
      <c r="L784" s="48">
        <f>IF($F784="","",IFERROR(INDEX(사건마스터!$AJ$5:$AJ$64,MATCH($F784,사건마스터!$A$5:$A$64,0)),""))</f>
        <v/>
      </c>
      <c r="M784" s="48">
        <f>IF($F784="","",IFERROR(INDEX(사건마스터!$AK$5:$AK$64,MATCH($F784,사건마스터!$A$5:$A$64,0)),""))</f>
        <v/>
      </c>
      <c r="N784" s="48">
        <f>IF($F784="","",IFERROR(INDEX(사건마스터!$AL$5:$AL$64,MATCH($F784,사건마스터!$A$5:$A$64,0)),""))</f>
        <v/>
      </c>
      <c r="O784" s="43">
        <f>IF($I784="","",COUNTIF($I784:$N784,"?*"))</f>
        <v/>
      </c>
      <c r="P784" s="46">
        <f>IF($I784="","",_xlfn.TEXTJOIN(", ",TRUE,$I784:$N784))</f>
        <v/>
      </c>
      <c r="Q784" s="47">
        <f>IF($I784="","",IFERROR(INDEX(코드설정!$D$5:$D$24,MATCH($I784,코드설정!$C$5:$C$24,0)),""))</f>
        <v/>
      </c>
      <c r="R784" s="49" t="n"/>
      <c r="S784" s="50" t="n"/>
      <c r="T784" s="51" t="n"/>
      <c r="U784" s="43">
        <f>IF(OR($B784="",$C784=""),"",$C784-$B784+1)</f>
        <v/>
      </c>
      <c r="V784" s="52" t="n"/>
      <c r="W784" s="53">
        <f>IF(OR($V784="",$O784=""),"",$V784*$O784)</f>
        <v/>
      </c>
      <c r="X784" s="45" t="n"/>
      <c r="Y784" s="49" t="n"/>
    </row>
    <row r="785">
      <c r="A785" s="43">
        <f>IF($B785="","",COUNT($B$5:$B785))</f>
        <v/>
      </c>
      <c r="B785" s="44" t="n"/>
      <c r="C785" s="44" t="n"/>
      <c r="D785" s="45" t="n"/>
      <c r="E785" s="45" t="n"/>
      <c r="F785" s="45" t="n"/>
      <c r="G785" s="46">
        <f>IF($F785="","",IFERROR(INDEX(사건마스터!$B$5:$B$64,MATCH($F785,사건마스터!$A$5:$A$64,0)),""))</f>
        <v/>
      </c>
      <c r="H785" s="47">
        <f>IF($F785="","",IFERROR(INDEX(사건마스터!$C$5:$C$64,MATCH($F785,사건마스터!$A$5:$A$64,0)),""))</f>
        <v/>
      </c>
      <c r="I785" s="48">
        <f>IF($F785="","",IFERROR(INDEX(사건마스터!$H$5:$H$64,MATCH($F785,사건마스터!$A$5:$A$64,0)),""))</f>
        <v/>
      </c>
      <c r="J785" s="48">
        <f>IF($F785="","",IFERROR(INDEX(사건마스터!$AH$5:$AH$64,MATCH($F785,사건마스터!$A$5:$A$64,0)),""))</f>
        <v/>
      </c>
      <c r="K785" s="48">
        <f>IF($F785="","",IFERROR(INDEX(사건마스터!$AI$5:$AI$64,MATCH($F785,사건마스터!$A$5:$A$64,0)),""))</f>
        <v/>
      </c>
      <c r="L785" s="48">
        <f>IF($F785="","",IFERROR(INDEX(사건마스터!$AJ$5:$AJ$64,MATCH($F785,사건마스터!$A$5:$A$64,0)),""))</f>
        <v/>
      </c>
      <c r="M785" s="48">
        <f>IF($F785="","",IFERROR(INDEX(사건마스터!$AK$5:$AK$64,MATCH($F785,사건마스터!$A$5:$A$64,0)),""))</f>
        <v/>
      </c>
      <c r="N785" s="48">
        <f>IF($F785="","",IFERROR(INDEX(사건마스터!$AL$5:$AL$64,MATCH($F785,사건마스터!$A$5:$A$64,0)),""))</f>
        <v/>
      </c>
      <c r="O785" s="43">
        <f>IF($I785="","",COUNTIF($I785:$N785,"?*"))</f>
        <v/>
      </c>
      <c r="P785" s="46">
        <f>IF($I785="","",_xlfn.TEXTJOIN(", ",TRUE,$I785:$N785))</f>
        <v/>
      </c>
      <c r="Q785" s="47">
        <f>IF($I785="","",IFERROR(INDEX(코드설정!$D$5:$D$24,MATCH($I785,코드설정!$C$5:$C$24,0)),""))</f>
        <v/>
      </c>
      <c r="R785" s="49" t="n"/>
      <c r="S785" s="50" t="n"/>
      <c r="T785" s="51" t="n"/>
      <c r="U785" s="43">
        <f>IF(OR($B785="",$C785=""),"",$C785-$B785+1)</f>
        <v/>
      </c>
      <c r="V785" s="52" t="n"/>
      <c r="W785" s="53">
        <f>IF(OR($V785="",$O785=""),"",$V785*$O785)</f>
        <v/>
      </c>
      <c r="X785" s="45" t="n"/>
      <c r="Y785" s="49" t="n"/>
    </row>
    <row r="786">
      <c r="A786" s="43">
        <f>IF($B786="","",COUNT($B$5:$B786))</f>
        <v/>
      </c>
      <c r="B786" s="44" t="n"/>
      <c r="C786" s="44" t="n"/>
      <c r="D786" s="45" t="n"/>
      <c r="E786" s="45" t="n"/>
      <c r="F786" s="45" t="n"/>
      <c r="G786" s="46">
        <f>IF($F786="","",IFERROR(INDEX(사건마스터!$B$5:$B$64,MATCH($F786,사건마스터!$A$5:$A$64,0)),""))</f>
        <v/>
      </c>
      <c r="H786" s="47">
        <f>IF($F786="","",IFERROR(INDEX(사건마스터!$C$5:$C$64,MATCH($F786,사건마스터!$A$5:$A$64,0)),""))</f>
        <v/>
      </c>
      <c r="I786" s="48">
        <f>IF($F786="","",IFERROR(INDEX(사건마스터!$H$5:$H$64,MATCH($F786,사건마스터!$A$5:$A$64,0)),""))</f>
        <v/>
      </c>
      <c r="J786" s="48">
        <f>IF($F786="","",IFERROR(INDEX(사건마스터!$AH$5:$AH$64,MATCH($F786,사건마스터!$A$5:$A$64,0)),""))</f>
        <v/>
      </c>
      <c r="K786" s="48">
        <f>IF($F786="","",IFERROR(INDEX(사건마스터!$AI$5:$AI$64,MATCH($F786,사건마스터!$A$5:$A$64,0)),""))</f>
        <v/>
      </c>
      <c r="L786" s="48">
        <f>IF($F786="","",IFERROR(INDEX(사건마스터!$AJ$5:$AJ$64,MATCH($F786,사건마스터!$A$5:$A$64,0)),""))</f>
        <v/>
      </c>
      <c r="M786" s="48">
        <f>IF($F786="","",IFERROR(INDEX(사건마스터!$AK$5:$AK$64,MATCH($F786,사건마스터!$A$5:$A$64,0)),""))</f>
        <v/>
      </c>
      <c r="N786" s="48">
        <f>IF($F786="","",IFERROR(INDEX(사건마스터!$AL$5:$AL$64,MATCH($F786,사건마스터!$A$5:$A$64,0)),""))</f>
        <v/>
      </c>
      <c r="O786" s="43">
        <f>IF($I786="","",COUNTIF($I786:$N786,"?*"))</f>
        <v/>
      </c>
      <c r="P786" s="46">
        <f>IF($I786="","",_xlfn.TEXTJOIN(", ",TRUE,$I786:$N786))</f>
        <v/>
      </c>
      <c r="Q786" s="47">
        <f>IF($I786="","",IFERROR(INDEX(코드설정!$D$5:$D$24,MATCH($I786,코드설정!$C$5:$C$24,0)),""))</f>
        <v/>
      </c>
      <c r="R786" s="49" t="n"/>
      <c r="S786" s="50" t="n"/>
      <c r="T786" s="51" t="n"/>
      <c r="U786" s="43">
        <f>IF(OR($B786="",$C786=""),"",$C786-$B786+1)</f>
        <v/>
      </c>
      <c r="V786" s="52" t="n"/>
      <c r="W786" s="53">
        <f>IF(OR($V786="",$O786=""),"",$V786*$O786)</f>
        <v/>
      </c>
      <c r="X786" s="45" t="n"/>
      <c r="Y786" s="49" t="n"/>
    </row>
    <row r="787">
      <c r="A787" s="43">
        <f>IF($B787="","",COUNT($B$5:$B787))</f>
        <v/>
      </c>
      <c r="B787" s="44" t="n"/>
      <c r="C787" s="44" t="n"/>
      <c r="D787" s="45" t="n"/>
      <c r="E787" s="45" t="n"/>
      <c r="F787" s="45" t="n"/>
      <c r="G787" s="46">
        <f>IF($F787="","",IFERROR(INDEX(사건마스터!$B$5:$B$64,MATCH($F787,사건마스터!$A$5:$A$64,0)),""))</f>
        <v/>
      </c>
      <c r="H787" s="47">
        <f>IF($F787="","",IFERROR(INDEX(사건마스터!$C$5:$C$64,MATCH($F787,사건마스터!$A$5:$A$64,0)),""))</f>
        <v/>
      </c>
      <c r="I787" s="48">
        <f>IF($F787="","",IFERROR(INDEX(사건마스터!$H$5:$H$64,MATCH($F787,사건마스터!$A$5:$A$64,0)),""))</f>
        <v/>
      </c>
      <c r="J787" s="48">
        <f>IF($F787="","",IFERROR(INDEX(사건마스터!$AH$5:$AH$64,MATCH($F787,사건마스터!$A$5:$A$64,0)),""))</f>
        <v/>
      </c>
      <c r="K787" s="48">
        <f>IF($F787="","",IFERROR(INDEX(사건마스터!$AI$5:$AI$64,MATCH($F787,사건마스터!$A$5:$A$64,0)),""))</f>
        <v/>
      </c>
      <c r="L787" s="48">
        <f>IF($F787="","",IFERROR(INDEX(사건마스터!$AJ$5:$AJ$64,MATCH($F787,사건마스터!$A$5:$A$64,0)),""))</f>
        <v/>
      </c>
      <c r="M787" s="48">
        <f>IF($F787="","",IFERROR(INDEX(사건마스터!$AK$5:$AK$64,MATCH($F787,사건마스터!$A$5:$A$64,0)),""))</f>
        <v/>
      </c>
      <c r="N787" s="48">
        <f>IF($F787="","",IFERROR(INDEX(사건마스터!$AL$5:$AL$64,MATCH($F787,사건마스터!$A$5:$A$64,0)),""))</f>
        <v/>
      </c>
      <c r="O787" s="43">
        <f>IF($I787="","",COUNTIF($I787:$N787,"?*"))</f>
        <v/>
      </c>
      <c r="P787" s="46">
        <f>IF($I787="","",_xlfn.TEXTJOIN(", ",TRUE,$I787:$N787))</f>
        <v/>
      </c>
      <c r="Q787" s="47">
        <f>IF($I787="","",IFERROR(INDEX(코드설정!$D$5:$D$24,MATCH($I787,코드설정!$C$5:$C$24,0)),""))</f>
        <v/>
      </c>
      <c r="R787" s="49" t="n"/>
      <c r="S787" s="50" t="n"/>
      <c r="T787" s="51" t="n"/>
      <c r="U787" s="43">
        <f>IF(OR($B787="",$C787=""),"",$C787-$B787+1)</f>
        <v/>
      </c>
      <c r="V787" s="52" t="n"/>
      <c r="W787" s="53">
        <f>IF(OR($V787="",$O787=""),"",$V787*$O787)</f>
        <v/>
      </c>
      <c r="X787" s="45" t="n"/>
      <c r="Y787" s="49" t="n"/>
    </row>
    <row r="788">
      <c r="A788" s="43">
        <f>IF($B788="","",COUNT($B$5:$B788))</f>
        <v/>
      </c>
      <c r="B788" s="44" t="n"/>
      <c r="C788" s="44" t="n"/>
      <c r="D788" s="45" t="n"/>
      <c r="E788" s="45" t="n"/>
      <c r="F788" s="45" t="n"/>
      <c r="G788" s="46">
        <f>IF($F788="","",IFERROR(INDEX(사건마스터!$B$5:$B$64,MATCH($F788,사건마스터!$A$5:$A$64,0)),""))</f>
        <v/>
      </c>
      <c r="H788" s="47">
        <f>IF($F788="","",IFERROR(INDEX(사건마스터!$C$5:$C$64,MATCH($F788,사건마스터!$A$5:$A$64,0)),""))</f>
        <v/>
      </c>
      <c r="I788" s="48">
        <f>IF($F788="","",IFERROR(INDEX(사건마스터!$H$5:$H$64,MATCH($F788,사건마스터!$A$5:$A$64,0)),""))</f>
        <v/>
      </c>
      <c r="J788" s="48">
        <f>IF($F788="","",IFERROR(INDEX(사건마스터!$AH$5:$AH$64,MATCH($F788,사건마스터!$A$5:$A$64,0)),""))</f>
        <v/>
      </c>
      <c r="K788" s="48">
        <f>IF($F788="","",IFERROR(INDEX(사건마스터!$AI$5:$AI$64,MATCH($F788,사건마스터!$A$5:$A$64,0)),""))</f>
        <v/>
      </c>
      <c r="L788" s="48">
        <f>IF($F788="","",IFERROR(INDEX(사건마스터!$AJ$5:$AJ$64,MATCH($F788,사건마스터!$A$5:$A$64,0)),""))</f>
        <v/>
      </c>
      <c r="M788" s="48">
        <f>IF($F788="","",IFERROR(INDEX(사건마스터!$AK$5:$AK$64,MATCH($F788,사건마스터!$A$5:$A$64,0)),""))</f>
        <v/>
      </c>
      <c r="N788" s="48">
        <f>IF($F788="","",IFERROR(INDEX(사건마스터!$AL$5:$AL$64,MATCH($F788,사건마스터!$A$5:$A$64,0)),""))</f>
        <v/>
      </c>
      <c r="O788" s="43">
        <f>IF($I788="","",COUNTIF($I788:$N788,"?*"))</f>
        <v/>
      </c>
      <c r="P788" s="46">
        <f>IF($I788="","",_xlfn.TEXTJOIN(", ",TRUE,$I788:$N788))</f>
        <v/>
      </c>
      <c r="Q788" s="47">
        <f>IF($I788="","",IFERROR(INDEX(코드설정!$D$5:$D$24,MATCH($I788,코드설정!$C$5:$C$24,0)),""))</f>
        <v/>
      </c>
      <c r="R788" s="49" t="n"/>
      <c r="S788" s="50" t="n"/>
      <c r="T788" s="51" t="n"/>
      <c r="U788" s="43">
        <f>IF(OR($B788="",$C788=""),"",$C788-$B788+1)</f>
        <v/>
      </c>
      <c r="V788" s="52" t="n"/>
      <c r="W788" s="53">
        <f>IF(OR($V788="",$O788=""),"",$V788*$O788)</f>
        <v/>
      </c>
      <c r="X788" s="45" t="n"/>
      <c r="Y788" s="49" t="n"/>
    </row>
    <row r="789">
      <c r="A789" s="43">
        <f>IF($B789="","",COUNT($B$5:$B789))</f>
        <v/>
      </c>
      <c r="B789" s="44" t="n"/>
      <c r="C789" s="44" t="n"/>
      <c r="D789" s="45" t="n"/>
      <c r="E789" s="45" t="n"/>
      <c r="F789" s="45" t="n"/>
      <c r="G789" s="46">
        <f>IF($F789="","",IFERROR(INDEX(사건마스터!$B$5:$B$64,MATCH($F789,사건마스터!$A$5:$A$64,0)),""))</f>
        <v/>
      </c>
      <c r="H789" s="47">
        <f>IF($F789="","",IFERROR(INDEX(사건마스터!$C$5:$C$64,MATCH($F789,사건마스터!$A$5:$A$64,0)),""))</f>
        <v/>
      </c>
      <c r="I789" s="48">
        <f>IF($F789="","",IFERROR(INDEX(사건마스터!$H$5:$H$64,MATCH($F789,사건마스터!$A$5:$A$64,0)),""))</f>
        <v/>
      </c>
      <c r="J789" s="48">
        <f>IF($F789="","",IFERROR(INDEX(사건마스터!$AH$5:$AH$64,MATCH($F789,사건마스터!$A$5:$A$64,0)),""))</f>
        <v/>
      </c>
      <c r="K789" s="48">
        <f>IF($F789="","",IFERROR(INDEX(사건마스터!$AI$5:$AI$64,MATCH($F789,사건마스터!$A$5:$A$64,0)),""))</f>
        <v/>
      </c>
      <c r="L789" s="48">
        <f>IF($F789="","",IFERROR(INDEX(사건마스터!$AJ$5:$AJ$64,MATCH($F789,사건마스터!$A$5:$A$64,0)),""))</f>
        <v/>
      </c>
      <c r="M789" s="48">
        <f>IF($F789="","",IFERROR(INDEX(사건마스터!$AK$5:$AK$64,MATCH($F789,사건마스터!$A$5:$A$64,0)),""))</f>
        <v/>
      </c>
      <c r="N789" s="48">
        <f>IF($F789="","",IFERROR(INDEX(사건마스터!$AL$5:$AL$64,MATCH($F789,사건마스터!$A$5:$A$64,0)),""))</f>
        <v/>
      </c>
      <c r="O789" s="43">
        <f>IF($I789="","",COUNTIF($I789:$N789,"?*"))</f>
        <v/>
      </c>
      <c r="P789" s="46">
        <f>IF($I789="","",_xlfn.TEXTJOIN(", ",TRUE,$I789:$N789))</f>
        <v/>
      </c>
      <c r="Q789" s="47">
        <f>IF($I789="","",IFERROR(INDEX(코드설정!$D$5:$D$24,MATCH($I789,코드설정!$C$5:$C$24,0)),""))</f>
        <v/>
      </c>
      <c r="R789" s="49" t="n"/>
      <c r="S789" s="50" t="n"/>
      <c r="T789" s="51" t="n"/>
      <c r="U789" s="43">
        <f>IF(OR($B789="",$C789=""),"",$C789-$B789+1)</f>
        <v/>
      </c>
      <c r="V789" s="52" t="n"/>
      <c r="W789" s="53">
        <f>IF(OR($V789="",$O789=""),"",$V789*$O789)</f>
        <v/>
      </c>
      <c r="X789" s="45" t="n"/>
      <c r="Y789" s="49" t="n"/>
    </row>
    <row r="790">
      <c r="A790" s="43">
        <f>IF($B790="","",COUNT($B$5:$B790))</f>
        <v/>
      </c>
      <c r="B790" s="44" t="n"/>
      <c r="C790" s="44" t="n"/>
      <c r="D790" s="45" t="n"/>
      <c r="E790" s="45" t="n"/>
      <c r="F790" s="45" t="n"/>
      <c r="G790" s="46">
        <f>IF($F790="","",IFERROR(INDEX(사건마스터!$B$5:$B$64,MATCH($F790,사건마스터!$A$5:$A$64,0)),""))</f>
        <v/>
      </c>
      <c r="H790" s="47">
        <f>IF($F790="","",IFERROR(INDEX(사건마스터!$C$5:$C$64,MATCH($F790,사건마스터!$A$5:$A$64,0)),""))</f>
        <v/>
      </c>
      <c r="I790" s="48">
        <f>IF($F790="","",IFERROR(INDEX(사건마스터!$H$5:$H$64,MATCH($F790,사건마스터!$A$5:$A$64,0)),""))</f>
        <v/>
      </c>
      <c r="J790" s="48">
        <f>IF($F790="","",IFERROR(INDEX(사건마스터!$AH$5:$AH$64,MATCH($F790,사건마스터!$A$5:$A$64,0)),""))</f>
        <v/>
      </c>
      <c r="K790" s="48">
        <f>IF($F790="","",IFERROR(INDEX(사건마스터!$AI$5:$AI$64,MATCH($F790,사건마스터!$A$5:$A$64,0)),""))</f>
        <v/>
      </c>
      <c r="L790" s="48">
        <f>IF($F790="","",IFERROR(INDEX(사건마스터!$AJ$5:$AJ$64,MATCH($F790,사건마스터!$A$5:$A$64,0)),""))</f>
        <v/>
      </c>
      <c r="M790" s="48">
        <f>IF($F790="","",IFERROR(INDEX(사건마스터!$AK$5:$AK$64,MATCH($F790,사건마스터!$A$5:$A$64,0)),""))</f>
        <v/>
      </c>
      <c r="N790" s="48">
        <f>IF($F790="","",IFERROR(INDEX(사건마스터!$AL$5:$AL$64,MATCH($F790,사건마스터!$A$5:$A$64,0)),""))</f>
        <v/>
      </c>
      <c r="O790" s="43">
        <f>IF($I790="","",COUNTIF($I790:$N790,"?*"))</f>
        <v/>
      </c>
      <c r="P790" s="46">
        <f>IF($I790="","",_xlfn.TEXTJOIN(", ",TRUE,$I790:$N790))</f>
        <v/>
      </c>
      <c r="Q790" s="47">
        <f>IF($I790="","",IFERROR(INDEX(코드설정!$D$5:$D$24,MATCH($I790,코드설정!$C$5:$C$24,0)),""))</f>
        <v/>
      </c>
      <c r="R790" s="49" t="n"/>
      <c r="S790" s="50" t="n"/>
      <c r="T790" s="51" t="n"/>
      <c r="U790" s="43">
        <f>IF(OR($B790="",$C790=""),"",$C790-$B790+1)</f>
        <v/>
      </c>
      <c r="V790" s="52" t="n"/>
      <c r="W790" s="53">
        <f>IF(OR($V790="",$O790=""),"",$V790*$O790)</f>
        <v/>
      </c>
      <c r="X790" s="45" t="n"/>
      <c r="Y790" s="49" t="n"/>
    </row>
    <row r="791">
      <c r="A791" s="43">
        <f>IF($B791="","",COUNT($B$5:$B791))</f>
        <v/>
      </c>
      <c r="B791" s="44" t="n"/>
      <c r="C791" s="44" t="n"/>
      <c r="D791" s="45" t="n"/>
      <c r="E791" s="45" t="n"/>
      <c r="F791" s="45" t="n"/>
      <c r="G791" s="46">
        <f>IF($F791="","",IFERROR(INDEX(사건마스터!$B$5:$B$64,MATCH($F791,사건마스터!$A$5:$A$64,0)),""))</f>
        <v/>
      </c>
      <c r="H791" s="47">
        <f>IF($F791="","",IFERROR(INDEX(사건마스터!$C$5:$C$64,MATCH($F791,사건마스터!$A$5:$A$64,0)),""))</f>
        <v/>
      </c>
      <c r="I791" s="48">
        <f>IF($F791="","",IFERROR(INDEX(사건마스터!$H$5:$H$64,MATCH($F791,사건마스터!$A$5:$A$64,0)),""))</f>
        <v/>
      </c>
      <c r="J791" s="48">
        <f>IF($F791="","",IFERROR(INDEX(사건마스터!$AH$5:$AH$64,MATCH($F791,사건마스터!$A$5:$A$64,0)),""))</f>
        <v/>
      </c>
      <c r="K791" s="48">
        <f>IF($F791="","",IFERROR(INDEX(사건마스터!$AI$5:$AI$64,MATCH($F791,사건마스터!$A$5:$A$64,0)),""))</f>
        <v/>
      </c>
      <c r="L791" s="48">
        <f>IF($F791="","",IFERROR(INDEX(사건마스터!$AJ$5:$AJ$64,MATCH($F791,사건마스터!$A$5:$A$64,0)),""))</f>
        <v/>
      </c>
      <c r="M791" s="48">
        <f>IF($F791="","",IFERROR(INDEX(사건마스터!$AK$5:$AK$64,MATCH($F791,사건마스터!$A$5:$A$64,0)),""))</f>
        <v/>
      </c>
      <c r="N791" s="48">
        <f>IF($F791="","",IFERROR(INDEX(사건마스터!$AL$5:$AL$64,MATCH($F791,사건마스터!$A$5:$A$64,0)),""))</f>
        <v/>
      </c>
      <c r="O791" s="43">
        <f>IF($I791="","",COUNTIF($I791:$N791,"?*"))</f>
        <v/>
      </c>
      <c r="P791" s="46">
        <f>IF($I791="","",_xlfn.TEXTJOIN(", ",TRUE,$I791:$N791))</f>
        <v/>
      </c>
      <c r="Q791" s="47">
        <f>IF($I791="","",IFERROR(INDEX(코드설정!$D$5:$D$24,MATCH($I791,코드설정!$C$5:$C$24,0)),""))</f>
        <v/>
      </c>
      <c r="R791" s="49" t="n"/>
      <c r="S791" s="50" t="n"/>
      <c r="T791" s="51" t="n"/>
      <c r="U791" s="43">
        <f>IF(OR($B791="",$C791=""),"",$C791-$B791+1)</f>
        <v/>
      </c>
      <c r="V791" s="52" t="n"/>
      <c r="W791" s="53">
        <f>IF(OR($V791="",$O791=""),"",$V791*$O791)</f>
        <v/>
      </c>
      <c r="X791" s="45" t="n"/>
      <c r="Y791" s="49" t="n"/>
    </row>
    <row r="792">
      <c r="A792" s="43">
        <f>IF($B792="","",COUNT($B$5:$B792))</f>
        <v/>
      </c>
      <c r="B792" s="44" t="n"/>
      <c r="C792" s="44" t="n"/>
      <c r="D792" s="45" t="n"/>
      <c r="E792" s="45" t="n"/>
      <c r="F792" s="45" t="n"/>
      <c r="G792" s="46">
        <f>IF($F792="","",IFERROR(INDEX(사건마스터!$B$5:$B$64,MATCH($F792,사건마스터!$A$5:$A$64,0)),""))</f>
        <v/>
      </c>
      <c r="H792" s="47">
        <f>IF($F792="","",IFERROR(INDEX(사건마스터!$C$5:$C$64,MATCH($F792,사건마스터!$A$5:$A$64,0)),""))</f>
        <v/>
      </c>
      <c r="I792" s="48">
        <f>IF($F792="","",IFERROR(INDEX(사건마스터!$H$5:$H$64,MATCH($F792,사건마스터!$A$5:$A$64,0)),""))</f>
        <v/>
      </c>
      <c r="J792" s="48">
        <f>IF($F792="","",IFERROR(INDEX(사건마스터!$AH$5:$AH$64,MATCH($F792,사건마스터!$A$5:$A$64,0)),""))</f>
        <v/>
      </c>
      <c r="K792" s="48">
        <f>IF($F792="","",IFERROR(INDEX(사건마스터!$AI$5:$AI$64,MATCH($F792,사건마스터!$A$5:$A$64,0)),""))</f>
        <v/>
      </c>
      <c r="L792" s="48">
        <f>IF($F792="","",IFERROR(INDEX(사건마스터!$AJ$5:$AJ$64,MATCH($F792,사건마스터!$A$5:$A$64,0)),""))</f>
        <v/>
      </c>
      <c r="M792" s="48">
        <f>IF($F792="","",IFERROR(INDEX(사건마스터!$AK$5:$AK$64,MATCH($F792,사건마스터!$A$5:$A$64,0)),""))</f>
        <v/>
      </c>
      <c r="N792" s="48">
        <f>IF($F792="","",IFERROR(INDEX(사건마스터!$AL$5:$AL$64,MATCH($F792,사건마스터!$A$5:$A$64,0)),""))</f>
        <v/>
      </c>
      <c r="O792" s="43">
        <f>IF($I792="","",COUNTIF($I792:$N792,"?*"))</f>
        <v/>
      </c>
      <c r="P792" s="46">
        <f>IF($I792="","",_xlfn.TEXTJOIN(", ",TRUE,$I792:$N792))</f>
        <v/>
      </c>
      <c r="Q792" s="47">
        <f>IF($I792="","",IFERROR(INDEX(코드설정!$D$5:$D$24,MATCH($I792,코드설정!$C$5:$C$24,0)),""))</f>
        <v/>
      </c>
      <c r="R792" s="49" t="n"/>
      <c r="S792" s="50" t="n"/>
      <c r="T792" s="51" t="n"/>
      <c r="U792" s="43">
        <f>IF(OR($B792="",$C792=""),"",$C792-$B792+1)</f>
        <v/>
      </c>
      <c r="V792" s="52" t="n"/>
      <c r="W792" s="53">
        <f>IF(OR($V792="",$O792=""),"",$V792*$O792)</f>
        <v/>
      </c>
      <c r="X792" s="45" t="n"/>
      <c r="Y792" s="49" t="n"/>
    </row>
    <row r="793">
      <c r="A793" s="43">
        <f>IF($B793="","",COUNT($B$5:$B793))</f>
        <v/>
      </c>
      <c r="B793" s="44" t="n"/>
      <c r="C793" s="44" t="n"/>
      <c r="D793" s="45" t="n"/>
      <c r="E793" s="45" t="n"/>
      <c r="F793" s="45" t="n"/>
      <c r="G793" s="46">
        <f>IF($F793="","",IFERROR(INDEX(사건마스터!$B$5:$B$64,MATCH($F793,사건마스터!$A$5:$A$64,0)),""))</f>
        <v/>
      </c>
      <c r="H793" s="47">
        <f>IF($F793="","",IFERROR(INDEX(사건마스터!$C$5:$C$64,MATCH($F793,사건마스터!$A$5:$A$64,0)),""))</f>
        <v/>
      </c>
      <c r="I793" s="48">
        <f>IF($F793="","",IFERROR(INDEX(사건마스터!$H$5:$H$64,MATCH($F793,사건마스터!$A$5:$A$64,0)),""))</f>
        <v/>
      </c>
      <c r="J793" s="48">
        <f>IF($F793="","",IFERROR(INDEX(사건마스터!$AH$5:$AH$64,MATCH($F793,사건마스터!$A$5:$A$64,0)),""))</f>
        <v/>
      </c>
      <c r="K793" s="48">
        <f>IF($F793="","",IFERROR(INDEX(사건마스터!$AI$5:$AI$64,MATCH($F793,사건마스터!$A$5:$A$64,0)),""))</f>
        <v/>
      </c>
      <c r="L793" s="48">
        <f>IF($F793="","",IFERROR(INDEX(사건마스터!$AJ$5:$AJ$64,MATCH($F793,사건마스터!$A$5:$A$64,0)),""))</f>
        <v/>
      </c>
      <c r="M793" s="48">
        <f>IF($F793="","",IFERROR(INDEX(사건마스터!$AK$5:$AK$64,MATCH($F793,사건마스터!$A$5:$A$64,0)),""))</f>
        <v/>
      </c>
      <c r="N793" s="48">
        <f>IF($F793="","",IFERROR(INDEX(사건마스터!$AL$5:$AL$64,MATCH($F793,사건마스터!$A$5:$A$64,0)),""))</f>
        <v/>
      </c>
      <c r="O793" s="43">
        <f>IF($I793="","",COUNTIF($I793:$N793,"?*"))</f>
        <v/>
      </c>
      <c r="P793" s="46">
        <f>IF($I793="","",_xlfn.TEXTJOIN(", ",TRUE,$I793:$N793))</f>
        <v/>
      </c>
      <c r="Q793" s="47">
        <f>IF($I793="","",IFERROR(INDEX(코드설정!$D$5:$D$24,MATCH($I793,코드설정!$C$5:$C$24,0)),""))</f>
        <v/>
      </c>
      <c r="R793" s="49" t="n"/>
      <c r="S793" s="50" t="n"/>
      <c r="T793" s="51" t="n"/>
      <c r="U793" s="43">
        <f>IF(OR($B793="",$C793=""),"",$C793-$B793+1)</f>
        <v/>
      </c>
      <c r="V793" s="52" t="n"/>
      <c r="W793" s="53">
        <f>IF(OR($V793="",$O793=""),"",$V793*$O793)</f>
        <v/>
      </c>
      <c r="X793" s="45" t="n"/>
      <c r="Y793" s="49" t="n"/>
    </row>
    <row r="794">
      <c r="A794" s="43">
        <f>IF($B794="","",COUNT($B$5:$B794))</f>
        <v/>
      </c>
      <c r="B794" s="44" t="n"/>
      <c r="C794" s="44" t="n"/>
      <c r="D794" s="45" t="n"/>
      <c r="E794" s="45" t="n"/>
      <c r="F794" s="45" t="n"/>
      <c r="G794" s="46">
        <f>IF($F794="","",IFERROR(INDEX(사건마스터!$B$5:$B$64,MATCH($F794,사건마스터!$A$5:$A$64,0)),""))</f>
        <v/>
      </c>
      <c r="H794" s="47">
        <f>IF($F794="","",IFERROR(INDEX(사건마스터!$C$5:$C$64,MATCH($F794,사건마스터!$A$5:$A$64,0)),""))</f>
        <v/>
      </c>
      <c r="I794" s="48">
        <f>IF($F794="","",IFERROR(INDEX(사건마스터!$H$5:$H$64,MATCH($F794,사건마스터!$A$5:$A$64,0)),""))</f>
        <v/>
      </c>
      <c r="J794" s="48">
        <f>IF($F794="","",IFERROR(INDEX(사건마스터!$AH$5:$AH$64,MATCH($F794,사건마스터!$A$5:$A$64,0)),""))</f>
        <v/>
      </c>
      <c r="K794" s="48">
        <f>IF($F794="","",IFERROR(INDEX(사건마스터!$AI$5:$AI$64,MATCH($F794,사건마스터!$A$5:$A$64,0)),""))</f>
        <v/>
      </c>
      <c r="L794" s="48">
        <f>IF($F794="","",IFERROR(INDEX(사건마스터!$AJ$5:$AJ$64,MATCH($F794,사건마스터!$A$5:$A$64,0)),""))</f>
        <v/>
      </c>
      <c r="M794" s="48">
        <f>IF($F794="","",IFERROR(INDEX(사건마스터!$AK$5:$AK$64,MATCH($F794,사건마스터!$A$5:$A$64,0)),""))</f>
        <v/>
      </c>
      <c r="N794" s="48">
        <f>IF($F794="","",IFERROR(INDEX(사건마스터!$AL$5:$AL$64,MATCH($F794,사건마스터!$A$5:$A$64,0)),""))</f>
        <v/>
      </c>
      <c r="O794" s="43">
        <f>IF($I794="","",COUNTIF($I794:$N794,"?*"))</f>
        <v/>
      </c>
      <c r="P794" s="46">
        <f>IF($I794="","",_xlfn.TEXTJOIN(", ",TRUE,$I794:$N794))</f>
        <v/>
      </c>
      <c r="Q794" s="47">
        <f>IF($I794="","",IFERROR(INDEX(코드설정!$D$5:$D$24,MATCH($I794,코드설정!$C$5:$C$24,0)),""))</f>
        <v/>
      </c>
      <c r="R794" s="49" t="n"/>
      <c r="S794" s="50" t="n"/>
      <c r="T794" s="51" t="n"/>
      <c r="U794" s="43">
        <f>IF(OR($B794="",$C794=""),"",$C794-$B794+1)</f>
        <v/>
      </c>
      <c r="V794" s="52" t="n"/>
      <c r="W794" s="53">
        <f>IF(OR($V794="",$O794=""),"",$V794*$O794)</f>
        <v/>
      </c>
      <c r="X794" s="45" t="n"/>
      <c r="Y794" s="49" t="n"/>
    </row>
    <row r="795">
      <c r="A795" s="43">
        <f>IF($B795="","",COUNT($B$5:$B795))</f>
        <v/>
      </c>
      <c r="B795" s="44" t="n"/>
      <c r="C795" s="44" t="n"/>
      <c r="D795" s="45" t="n"/>
      <c r="E795" s="45" t="n"/>
      <c r="F795" s="45" t="n"/>
      <c r="G795" s="46">
        <f>IF($F795="","",IFERROR(INDEX(사건마스터!$B$5:$B$64,MATCH($F795,사건마스터!$A$5:$A$64,0)),""))</f>
        <v/>
      </c>
      <c r="H795" s="47">
        <f>IF($F795="","",IFERROR(INDEX(사건마스터!$C$5:$C$64,MATCH($F795,사건마스터!$A$5:$A$64,0)),""))</f>
        <v/>
      </c>
      <c r="I795" s="48">
        <f>IF($F795="","",IFERROR(INDEX(사건마스터!$H$5:$H$64,MATCH($F795,사건마스터!$A$5:$A$64,0)),""))</f>
        <v/>
      </c>
      <c r="J795" s="48">
        <f>IF($F795="","",IFERROR(INDEX(사건마스터!$AH$5:$AH$64,MATCH($F795,사건마스터!$A$5:$A$64,0)),""))</f>
        <v/>
      </c>
      <c r="K795" s="48">
        <f>IF($F795="","",IFERROR(INDEX(사건마스터!$AI$5:$AI$64,MATCH($F795,사건마스터!$A$5:$A$64,0)),""))</f>
        <v/>
      </c>
      <c r="L795" s="48">
        <f>IF($F795="","",IFERROR(INDEX(사건마스터!$AJ$5:$AJ$64,MATCH($F795,사건마스터!$A$5:$A$64,0)),""))</f>
        <v/>
      </c>
      <c r="M795" s="48">
        <f>IF($F795="","",IFERROR(INDEX(사건마스터!$AK$5:$AK$64,MATCH($F795,사건마스터!$A$5:$A$64,0)),""))</f>
        <v/>
      </c>
      <c r="N795" s="48">
        <f>IF($F795="","",IFERROR(INDEX(사건마스터!$AL$5:$AL$64,MATCH($F795,사건마스터!$A$5:$A$64,0)),""))</f>
        <v/>
      </c>
      <c r="O795" s="43">
        <f>IF($I795="","",COUNTIF($I795:$N795,"?*"))</f>
        <v/>
      </c>
      <c r="P795" s="46">
        <f>IF($I795="","",_xlfn.TEXTJOIN(", ",TRUE,$I795:$N795))</f>
        <v/>
      </c>
      <c r="Q795" s="47">
        <f>IF($I795="","",IFERROR(INDEX(코드설정!$D$5:$D$24,MATCH($I795,코드설정!$C$5:$C$24,0)),""))</f>
        <v/>
      </c>
      <c r="R795" s="49" t="n"/>
      <c r="S795" s="50" t="n"/>
      <c r="T795" s="51" t="n"/>
      <c r="U795" s="43">
        <f>IF(OR($B795="",$C795=""),"",$C795-$B795+1)</f>
        <v/>
      </c>
      <c r="V795" s="52" t="n"/>
      <c r="W795" s="53">
        <f>IF(OR($V795="",$O795=""),"",$V795*$O795)</f>
        <v/>
      </c>
      <c r="X795" s="45" t="n"/>
      <c r="Y795" s="49" t="n"/>
    </row>
    <row r="796">
      <c r="A796" s="43">
        <f>IF($B796="","",COUNT($B$5:$B796))</f>
        <v/>
      </c>
      <c r="B796" s="44" t="n"/>
      <c r="C796" s="44" t="n"/>
      <c r="D796" s="45" t="n"/>
      <c r="E796" s="45" t="n"/>
      <c r="F796" s="45" t="n"/>
      <c r="G796" s="46">
        <f>IF($F796="","",IFERROR(INDEX(사건마스터!$B$5:$B$64,MATCH($F796,사건마스터!$A$5:$A$64,0)),""))</f>
        <v/>
      </c>
      <c r="H796" s="47">
        <f>IF($F796="","",IFERROR(INDEX(사건마스터!$C$5:$C$64,MATCH($F796,사건마스터!$A$5:$A$64,0)),""))</f>
        <v/>
      </c>
      <c r="I796" s="48">
        <f>IF($F796="","",IFERROR(INDEX(사건마스터!$H$5:$H$64,MATCH($F796,사건마스터!$A$5:$A$64,0)),""))</f>
        <v/>
      </c>
      <c r="J796" s="48">
        <f>IF($F796="","",IFERROR(INDEX(사건마스터!$AH$5:$AH$64,MATCH($F796,사건마스터!$A$5:$A$64,0)),""))</f>
        <v/>
      </c>
      <c r="K796" s="48">
        <f>IF($F796="","",IFERROR(INDEX(사건마스터!$AI$5:$AI$64,MATCH($F796,사건마스터!$A$5:$A$64,0)),""))</f>
        <v/>
      </c>
      <c r="L796" s="48">
        <f>IF($F796="","",IFERROR(INDEX(사건마스터!$AJ$5:$AJ$64,MATCH($F796,사건마스터!$A$5:$A$64,0)),""))</f>
        <v/>
      </c>
      <c r="M796" s="48">
        <f>IF($F796="","",IFERROR(INDEX(사건마스터!$AK$5:$AK$64,MATCH($F796,사건마스터!$A$5:$A$64,0)),""))</f>
        <v/>
      </c>
      <c r="N796" s="48">
        <f>IF($F796="","",IFERROR(INDEX(사건마스터!$AL$5:$AL$64,MATCH($F796,사건마스터!$A$5:$A$64,0)),""))</f>
        <v/>
      </c>
      <c r="O796" s="43">
        <f>IF($I796="","",COUNTIF($I796:$N796,"?*"))</f>
        <v/>
      </c>
      <c r="P796" s="46">
        <f>IF($I796="","",_xlfn.TEXTJOIN(", ",TRUE,$I796:$N796))</f>
        <v/>
      </c>
      <c r="Q796" s="47">
        <f>IF($I796="","",IFERROR(INDEX(코드설정!$D$5:$D$24,MATCH($I796,코드설정!$C$5:$C$24,0)),""))</f>
        <v/>
      </c>
      <c r="R796" s="49" t="n"/>
      <c r="S796" s="50" t="n"/>
      <c r="T796" s="51" t="n"/>
      <c r="U796" s="43">
        <f>IF(OR($B796="",$C796=""),"",$C796-$B796+1)</f>
        <v/>
      </c>
      <c r="V796" s="52" t="n"/>
      <c r="W796" s="53">
        <f>IF(OR($V796="",$O796=""),"",$V796*$O796)</f>
        <v/>
      </c>
      <c r="X796" s="45" t="n"/>
      <c r="Y796" s="49" t="n"/>
    </row>
    <row r="797">
      <c r="A797" s="43">
        <f>IF($B797="","",COUNT($B$5:$B797))</f>
        <v/>
      </c>
      <c r="B797" s="44" t="n"/>
      <c r="C797" s="44" t="n"/>
      <c r="D797" s="45" t="n"/>
      <c r="E797" s="45" t="n"/>
      <c r="F797" s="45" t="n"/>
      <c r="G797" s="46">
        <f>IF($F797="","",IFERROR(INDEX(사건마스터!$B$5:$B$64,MATCH($F797,사건마스터!$A$5:$A$64,0)),""))</f>
        <v/>
      </c>
      <c r="H797" s="47">
        <f>IF($F797="","",IFERROR(INDEX(사건마스터!$C$5:$C$64,MATCH($F797,사건마스터!$A$5:$A$64,0)),""))</f>
        <v/>
      </c>
      <c r="I797" s="48">
        <f>IF($F797="","",IFERROR(INDEX(사건마스터!$H$5:$H$64,MATCH($F797,사건마스터!$A$5:$A$64,0)),""))</f>
        <v/>
      </c>
      <c r="J797" s="48">
        <f>IF($F797="","",IFERROR(INDEX(사건마스터!$AH$5:$AH$64,MATCH($F797,사건마스터!$A$5:$A$64,0)),""))</f>
        <v/>
      </c>
      <c r="K797" s="48">
        <f>IF($F797="","",IFERROR(INDEX(사건마스터!$AI$5:$AI$64,MATCH($F797,사건마스터!$A$5:$A$64,0)),""))</f>
        <v/>
      </c>
      <c r="L797" s="48">
        <f>IF($F797="","",IFERROR(INDEX(사건마스터!$AJ$5:$AJ$64,MATCH($F797,사건마스터!$A$5:$A$64,0)),""))</f>
        <v/>
      </c>
      <c r="M797" s="48">
        <f>IF($F797="","",IFERROR(INDEX(사건마스터!$AK$5:$AK$64,MATCH($F797,사건마스터!$A$5:$A$64,0)),""))</f>
        <v/>
      </c>
      <c r="N797" s="48">
        <f>IF($F797="","",IFERROR(INDEX(사건마스터!$AL$5:$AL$64,MATCH($F797,사건마스터!$A$5:$A$64,0)),""))</f>
        <v/>
      </c>
      <c r="O797" s="43">
        <f>IF($I797="","",COUNTIF($I797:$N797,"?*"))</f>
        <v/>
      </c>
      <c r="P797" s="46">
        <f>IF($I797="","",_xlfn.TEXTJOIN(", ",TRUE,$I797:$N797))</f>
        <v/>
      </c>
      <c r="Q797" s="47">
        <f>IF($I797="","",IFERROR(INDEX(코드설정!$D$5:$D$24,MATCH($I797,코드설정!$C$5:$C$24,0)),""))</f>
        <v/>
      </c>
      <c r="R797" s="49" t="n"/>
      <c r="S797" s="50" t="n"/>
      <c r="T797" s="51" t="n"/>
      <c r="U797" s="43">
        <f>IF(OR($B797="",$C797=""),"",$C797-$B797+1)</f>
        <v/>
      </c>
      <c r="V797" s="52" t="n"/>
      <c r="W797" s="53">
        <f>IF(OR($V797="",$O797=""),"",$V797*$O797)</f>
        <v/>
      </c>
      <c r="X797" s="45" t="n"/>
      <c r="Y797" s="49" t="n"/>
    </row>
    <row r="798">
      <c r="A798" s="43">
        <f>IF($B798="","",COUNT($B$5:$B798))</f>
        <v/>
      </c>
      <c r="B798" s="44" t="n"/>
      <c r="C798" s="44" t="n"/>
      <c r="D798" s="45" t="n"/>
      <c r="E798" s="45" t="n"/>
      <c r="F798" s="45" t="n"/>
      <c r="G798" s="46">
        <f>IF($F798="","",IFERROR(INDEX(사건마스터!$B$5:$B$64,MATCH($F798,사건마스터!$A$5:$A$64,0)),""))</f>
        <v/>
      </c>
      <c r="H798" s="47">
        <f>IF($F798="","",IFERROR(INDEX(사건마스터!$C$5:$C$64,MATCH($F798,사건마스터!$A$5:$A$64,0)),""))</f>
        <v/>
      </c>
      <c r="I798" s="48">
        <f>IF($F798="","",IFERROR(INDEX(사건마스터!$H$5:$H$64,MATCH($F798,사건마스터!$A$5:$A$64,0)),""))</f>
        <v/>
      </c>
      <c r="J798" s="48">
        <f>IF($F798="","",IFERROR(INDEX(사건마스터!$AH$5:$AH$64,MATCH($F798,사건마스터!$A$5:$A$64,0)),""))</f>
        <v/>
      </c>
      <c r="K798" s="48">
        <f>IF($F798="","",IFERROR(INDEX(사건마스터!$AI$5:$AI$64,MATCH($F798,사건마스터!$A$5:$A$64,0)),""))</f>
        <v/>
      </c>
      <c r="L798" s="48">
        <f>IF($F798="","",IFERROR(INDEX(사건마스터!$AJ$5:$AJ$64,MATCH($F798,사건마스터!$A$5:$A$64,0)),""))</f>
        <v/>
      </c>
      <c r="M798" s="48">
        <f>IF($F798="","",IFERROR(INDEX(사건마스터!$AK$5:$AK$64,MATCH($F798,사건마스터!$A$5:$A$64,0)),""))</f>
        <v/>
      </c>
      <c r="N798" s="48">
        <f>IF($F798="","",IFERROR(INDEX(사건마스터!$AL$5:$AL$64,MATCH($F798,사건마스터!$A$5:$A$64,0)),""))</f>
        <v/>
      </c>
      <c r="O798" s="43">
        <f>IF($I798="","",COUNTIF($I798:$N798,"?*"))</f>
        <v/>
      </c>
      <c r="P798" s="46">
        <f>IF($I798="","",_xlfn.TEXTJOIN(", ",TRUE,$I798:$N798))</f>
        <v/>
      </c>
      <c r="Q798" s="47">
        <f>IF($I798="","",IFERROR(INDEX(코드설정!$D$5:$D$24,MATCH($I798,코드설정!$C$5:$C$24,0)),""))</f>
        <v/>
      </c>
      <c r="R798" s="49" t="n"/>
      <c r="S798" s="50" t="n"/>
      <c r="T798" s="51" t="n"/>
      <c r="U798" s="43">
        <f>IF(OR($B798="",$C798=""),"",$C798-$B798+1)</f>
        <v/>
      </c>
      <c r="V798" s="52" t="n"/>
      <c r="W798" s="53">
        <f>IF(OR($V798="",$O798=""),"",$V798*$O798)</f>
        <v/>
      </c>
      <c r="X798" s="45" t="n"/>
      <c r="Y798" s="49" t="n"/>
    </row>
    <row r="799">
      <c r="A799" s="43">
        <f>IF($B799="","",COUNT($B$5:$B799))</f>
        <v/>
      </c>
      <c r="B799" s="44" t="n"/>
      <c r="C799" s="44" t="n"/>
      <c r="D799" s="45" t="n"/>
      <c r="E799" s="45" t="n"/>
      <c r="F799" s="45" t="n"/>
      <c r="G799" s="46">
        <f>IF($F799="","",IFERROR(INDEX(사건마스터!$B$5:$B$64,MATCH($F799,사건마스터!$A$5:$A$64,0)),""))</f>
        <v/>
      </c>
      <c r="H799" s="47">
        <f>IF($F799="","",IFERROR(INDEX(사건마스터!$C$5:$C$64,MATCH($F799,사건마스터!$A$5:$A$64,0)),""))</f>
        <v/>
      </c>
      <c r="I799" s="48">
        <f>IF($F799="","",IFERROR(INDEX(사건마스터!$H$5:$H$64,MATCH($F799,사건마스터!$A$5:$A$64,0)),""))</f>
        <v/>
      </c>
      <c r="J799" s="48">
        <f>IF($F799="","",IFERROR(INDEX(사건마스터!$AH$5:$AH$64,MATCH($F799,사건마스터!$A$5:$A$64,0)),""))</f>
        <v/>
      </c>
      <c r="K799" s="48">
        <f>IF($F799="","",IFERROR(INDEX(사건마스터!$AI$5:$AI$64,MATCH($F799,사건마스터!$A$5:$A$64,0)),""))</f>
        <v/>
      </c>
      <c r="L799" s="48">
        <f>IF($F799="","",IFERROR(INDEX(사건마스터!$AJ$5:$AJ$64,MATCH($F799,사건마스터!$A$5:$A$64,0)),""))</f>
        <v/>
      </c>
      <c r="M799" s="48">
        <f>IF($F799="","",IFERROR(INDEX(사건마스터!$AK$5:$AK$64,MATCH($F799,사건마스터!$A$5:$A$64,0)),""))</f>
        <v/>
      </c>
      <c r="N799" s="48">
        <f>IF($F799="","",IFERROR(INDEX(사건마스터!$AL$5:$AL$64,MATCH($F799,사건마스터!$A$5:$A$64,0)),""))</f>
        <v/>
      </c>
      <c r="O799" s="43">
        <f>IF($I799="","",COUNTIF($I799:$N799,"?*"))</f>
        <v/>
      </c>
      <c r="P799" s="46">
        <f>IF($I799="","",_xlfn.TEXTJOIN(", ",TRUE,$I799:$N799))</f>
        <v/>
      </c>
      <c r="Q799" s="47">
        <f>IF($I799="","",IFERROR(INDEX(코드설정!$D$5:$D$24,MATCH($I799,코드설정!$C$5:$C$24,0)),""))</f>
        <v/>
      </c>
      <c r="R799" s="49" t="n"/>
      <c r="S799" s="50" t="n"/>
      <c r="T799" s="51" t="n"/>
      <c r="U799" s="43">
        <f>IF(OR($B799="",$C799=""),"",$C799-$B799+1)</f>
        <v/>
      </c>
      <c r="V799" s="52" t="n"/>
      <c r="W799" s="53">
        <f>IF(OR($V799="",$O799=""),"",$V799*$O799)</f>
        <v/>
      </c>
      <c r="X799" s="45" t="n"/>
      <c r="Y799" s="49" t="n"/>
    </row>
    <row r="800">
      <c r="A800" s="43">
        <f>IF($B800="","",COUNT($B$5:$B800))</f>
        <v/>
      </c>
      <c r="B800" s="44" t="n"/>
      <c r="C800" s="44" t="n"/>
      <c r="D800" s="45" t="n"/>
      <c r="E800" s="45" t="n"/>
      <c r="F800" s="45" t="n"/>
      <c r="G800" s="46">
        <f>IF($F800="","",IFERROR(INDEX(사건마스터!$B$5:$B$64,MATCH($F800,사건마스터!$A$5:$A$64,0)),""))</f>
        <v/>
      </c>
      <c r="H800" s="47">
        <f>IF($F800="","",IFERROR(INDEX(사건마스터!$C$5:$C$64,MATCH($F800,사건마스터!$A$5:$A$64,0)),""))</f>
        <v/>
      </c>
      <c r="I800" s="48">
        <f>IF($F800="","",IFERROR(INDEX(사건마스터!$H$5:$H$64,MATCH($F800,사건마스터!$A$5:$A$64,0)),""))</f>
        <v/>
      </c>
      <c r="J800" s="48">
        <f>IF($F800="","",IFERROR(INDEX(사건마스터!$AH$5:$AH$64,MATCH($F800,사건마스터!$A$5:$A$64,0)),""))</f>
        <v/>
      </c>
      <c r="K800" s="48">
        <f>IF($F800="","",IFERROR(INDEX(사건마스터!$AI$5:$AI$64,MATCH($F800,사건마스터!$A$5:$A$64,0)),""))</f>
        <v/>
      </c>
      <c r="L800" s="48">
        <f>IF($F800="","",IFERROR(INDEX(사건마스터!$AJ$5:$AJ$64,MATCH($F800,사건마스터!$A$5:$A$64,0)),""))</f>
        <v/>
      </c>
      <c r="M800" s="48">
        <f>IF($F800="","",IFERROR(INDEX(사건마스터!$AK$5:$AK$64,MATCH($F800,사건마스터!$A$5:$A$64,0)),""))</f>
        <v/>
      </c>
      <c r="N800" s="48">
        <f>IF($F800="","",IFERROR(INDEX(사건마스터!$AL$5:$AL$64,MATCH($F800,사건마스터!$A$5:$A$64,0)),""))</f>
        <v/>
      </c>
      <c r="O800" s="43">
        <f>IF($I800="","",COUNTIF($I800:$N800,"?*"))</f>
        <v/>
      </c>
      <c r="P800" s="46">
        <f>IF($I800="","",_xlfn.TEXTJOIN(", ",TRUE,$I800:$N800))</f>
        <v/>
      </c>
      <c r="Q800" s="47">
        <f>IF($I800="","",IFERROR(INDEX(코드설정!$D$5:$D$24,MATCH($I800,코드설정!$C$5:$C$24,0)),""))</f>
        <v/>
      </c>
      <c r="R800" s="49" t="n"/>
      <c r="S800" s="50" t="n"/>
      <c r="T800" s="51" t="n"/>
      <c r="U800" s="43">
        <f>IF(OR($B800="",$C800=""),"",$C800-$B800+1)</f>
        <v/>
      </c>
      <c r="V800" s="52" t="n"/>
      <c r="W800" s="53">
        <f>IF(OR($V800="",$O800=""),"",$V800*$O800)</f>
        <v/>
      </c>
      <c r="X800" s="45" t="n"/>
      <c r="Y800" s="49" t="n"/>
    </row>
    <row r="801">
      <c r="A801" s="43">
        <f>IF($B801="","",COUNT($B$5:$B801))</f>
        <v/>
      </c>
      <c r="B801" s="44" t="n"/>
      <c r="C801" s="44" t="n"/>
      <c r="D801" s="45" t="n"/>
      <c r="E801" s="45" t="n"/>
      <c r="F801" s="45" t="n"/>
      <c r="G801" s="46">
        <f>IF($F801="","",IFERROR(INDEX(사건마스터!$B$5:$B$64,MATCH($F801,사건마스터!$A$5:$A$64,0)),""))</f>
        <v/>
      </c>
      <c r="H801" s="47">
        <f>IF($F801="","",IFERROR(INDEX(사건마스터!$C$5:$C$64,MATCH($F801,사건마스터!$A$5:$A$64,0)),""))</f>
        <v/>
      </c>
      <c r="I801" s="48">
        <f>IF($F801="","",IFERROR(INDEX(사건마스터!$H$5:$H$64,MATCH($F801,사건마스터!$A$5:$A$64,0)),""))</f>
        <v/>
      </c>
      <c r="J801" s="48">
        <f>IF($F801="","",IFERROR(INDEX(사건마스터!$AH$5:$AH$64,MATCH($F801,사건마스터!$A$5:$A$64,0)),""))</f>
        <v/>
      </c>
      <c r="K801" s="48">
        <f>IF($F801="","",IFERROR(INDEX(사건마스터!$AI$5:$AI$64,MATCH($F801,사건마스터!$A$5:$A$64,0)),""))</f>
        <v/>
      </c>
      <c r="L801" s="48">
        <f>IF($F801="","",IFERROR(INDEX(사건마스터!$AJ$5:$AJ$64,MATCH($F801,사건마스터!$A$5:$A$64,0)),""))</f>
        <v/>
      </c>
      <c r="M801" s="48">
        <f>IF($F801="","",IFERROR(INDEX(사건마스터!$AK$5:$AK$64,MATCH($F801,사건마스터!$A$5:$A$64,0)),""))</f>
        <v/>
      </c>
      <c r="N801" s="48">
        <f>IF($F801="","",IFERROR(INDEX(사건마스터!$AL$5:$AL$64,MATCH($F801,사건마스터!$A$5:$A$64,0)),""))</f>
        <v/>
      </c>
      <c r="O801" s="43">
        <f>IF($I801="","",COUNTIF($I801:$N801,"?*"))</f>
        <v/>
      </c>
      <c r="P801" s="46">
        <f>IF($I801="","",_xlfn.TEXTJOIN(", ",TRUE,$I801:$N801))</f>
        <v/>
      </c>
      <c r="Q801" s="47">
        <f>IF($I801="","",IFERROR(INDEX(코드설정!$D$5:$D$24,MATCH($I801,코드설정!$C$5:$C$24,0)),""))</f>
        <v/>
      </c>
      <c r="R801" s="49" t="n"/>
      <c r="S801" s="50" t="n"/>
      <c r="T801" s="51" t="n"/>
      <c r="U801" s="43">
        <f>IF(OR($B801="",$C801=""),"",$C801-$B801+1)</f>
        <v/>
      </c>
      <c r="V801" s="52" t="n"/>
      <c r="W801" s="53">
        <f>IF(OR($V801="",$O801=""),"",$V801*$O801)</f>
        <v/>
      </c>
      <c r="X801" s="45" t="n"/>
      <c r="Y801" s="49" t="n"/>
    </row>
    <row r="802">
      <c r="A802" s="43">
        <f>IF($B802="","",COUNT($B$5:$B802))</f>
        <v/>
      </c>
      <c r="B802" s="44" t="n"/>
      <c r="C802" s="44" t="n"/>
      <c r="D802" s="45" t="n"/>
      <c r="E802" s="45" t="n"/>
      <c r="F802" s="45" t="n"/>
      <c r="G802" s="46">
        <f>IF($F802="","",IFERROR(INDEX(사건마스터!$B$5:$B$64,MATCH($F802,사건마스터!$A$5:$A$64,0)),""))</f>
        <v/>
      </c>
      <c r="H802" s="47">
        <f>IF($F802="","",IFERROR(INDEX(사건마스터!$C$5:$C$64,MATCH($F802,사건마스터!$A$5:$A$64,0)),""))</f>
        <v/>
      </c>
      <c r="I802" s="48">
        <f>IF($F802="","",IFERROR(INDEX(사건마스터!$H$5:$H$64,MATCH($F802,사건마스터!$A$5:$A$64,0)),""))</f>
        <v/>
      </c>
      <c r="J802" s="48">
        <f>IF($F802="","",IFERROR(INDEX(사건마스터!$AH$5:$AH$64,MATCH($F802,사건마스터!$A$5:$A$64,0)),""))</f>
        <v/>
      </c>
      <c r="K802" s="48">
        <f>IF($F802="","",IFERROR(INDEX(사건마스터!$AI$5:$AI$64,MATCH($F802,사건마스터!$A$5:$A$64,0)),""))</f>
        <v/>
      </c>
      <c r="L802" s="48">
        <f>IF($F802="","",IFERROR(INDEX(사건마스터!$AJ$5:$AJ$64,MATCH($F802,사건마스터!$A$5:$A$64,0)),""))</f>
        <v/>
      </c>
      <c r="M802" s="48">
        <f>IF($F802="","",IFERROR(INDEX(사건마스터!$AK$5:$AK$64,MATCH($F802,사건마스터!$A$5:$A$64,0)),""))</f>
        <v/>
      </c>
      <c r="N802" s="48">
        <f>IF($F802="","",IFERROR(INDEX(사건마스터!$AL$5:$AL$64,MATCH($F802,사건마스터!$A$5:$A$64,0)),""))</f>
        <v/>
      </c>
      <c r="O802" s="43">
        <f>IF($I802="","",COUNTIF($I802:$N802,"?*"))</f>
        <v/>
      </c>
      <c r="P802" s="46">
        <f>IF($I802="","",_xlfn.TEXTJOIN(", ",TRUE,$I802:$N802))</f>
        <v/>
      </c>
      <c r="Q802" s="47">
        <f>IF($I802="","",IFERROR(INDEX(코드설정!$D$5:$D$24,MATCH($I802,코드설정!$C$5:$C$24,0)),""))</f>
        <v/>
      </c>
      <c r="R802" s="49" t="n"/>
      <c r="S802" s="50" t="n"/>
      <c r="T802" s="51" t="n"/>
      <c r="U802" s="43">
        <f>IF(OR($B802="",$C802=""),"",$C802-$B802+1)</f>
        <v/>
      </c>
      <c r="V802" s="52" t="n"/>
      <c r="W802" s="53">
        <f>IF(OR($V802="",$O802=""),"",$V802*$O802)</f>
        <v/>
      </c>
      <c r="X802" s="45" t="n"/>
      <c r="Y802" s="49" t="n"/>
    </row>
    <row r="803">
      <c r="A803" s="43">
        <f>IF($B803="","",COUNT($B$5:$B803))</f>
        <v/>
      </c>
      <c r="B803" s="44" t="n"/>
      <c r="C803" s="44" t="n"/>
      <c r="D803" s="45" t="n"/>
      <c r="E803" s="45" t="n"/>
      <c r="F803" s="45" t="n"/>
      <c r="G803" s="46">
        <f>IF($F803="","",IFERROR(INDEX(사건마스터!$B$5:$B$64,MATCH($F803,사건마스터!$A$5:$A$64,0)),""))</f>
        <v/>
      </c>
      <c r="H803" s="47">
        <f>IF($F803="","",IFERROR(INDEX(사건마스터!$C$5:$C$64,MATCH($F803,사건마스터!$A$5:$A$64,0)),""))</f>
        <v/>
      </c>
      <c r="I803" s="48">
        <f>IF($F803="","",IFERROR(INDEX(사건마스터!$H$5:$H$64,MATCH($F803,사건마스터!$A$5:$A$64,0)),""))</f>
        <v/>
      </c>
      <c r="J803" s="48">
        <f>IF($F803="","",IFERROR(INDEX(사건마스터!$AH$5:$AH$64,MATCH($F803,사건마스터!$A$5:$A$64,0)),""))</f>
        <v/>
      </c>
      <c r="K803" s="48">
        <f>IF($F803="","",IFERROR(INDEX(사건마스터!$AI$5:$AI$64,MATCH($F803,사건마스터!$A$5:$A$64,0)),""))</f>
        <v/>
      </c>
      <c r="L803" s="48">
        <f>IF($F803="","",IFERROR(INDEX(사건마스터!$AJ$5:$AJ$64,MATCH($F803,사건마스터!$A$5:$A$64,0)),""))</f>
        <v/>
      </c>
      <c r="M803" s="48">
        <f>IF($F803="","",IFERROR(INDEX(사건마스터!$AK$5:$AK$64,MATCH($F803,사건마스터!$A$5:$A$64,0)),""))</f>
        <v/>
      </c>
      <c r="N803" s="48">
        <f>IF($F803="","",IFERROR(INDEX(사건마스터!$AL$5:$AL$64,MATCH($F803,사건마스터!$A$5:$A$64,0)),""))</f>
        <v/>
      </c>
      <c r="O803" s="43">
        <f>IF($I803="","",COUNTIF($I803:$N803,"?*"))</f>
        <v/>
      </c>
      <c r="P803" s="46">
        <f>IF($I803="","",_xlfn.TEXTJOIN(", ",TRUE,$I803:$N803))</f>
        <v/>
      </c>
      <c r="Q803" s="47">
        <f>IF($I803="","",IFERROR(INDEX(코드설정!$D$5:$D$24,MATCH($I803,코드설정!$C$5:$C$24,0)),""))</f>
        <v/>
      </c>
      <c r="R803" s="49" t="n"/>
      <c r="S803" s="50" t="n"/>
      <c r="T803" s="51" t="n"/>
      <c r="U803" s="43">
        <f>IF(OR($B803="",$C803=""),"",$C803-$B803+1)</f>
        <v/>
      </c>
      <c r="V803" s="52" t="n"/>
      <c r="W803" s="53">
        <f>IF(OR($V803="",$O803=""),"",$V803*$O803)</f>
        <v/>
      </c>
      <c r="X803" s="45" t="n"/>
      <c r="Y803" s="49" t="n"/>
    </row>
    <row r="804">
      <c r="A804" s="43">
        <f>IF($B804="","",COUNT($B$5:$B804))</f>
        <v/>
      </c>
      <c r="B804" s="44" t="n"/>
      <c r="C804" s="44" t="n"/>
      <c r="D804" s="45" t="n"/>
      <c r="E804" s="45" t="n"/>
      <c r="F804" s="45" t="n"/>
      <c r="G804" s="46">
        <f>IF($F804="","",IFERROR(INDEX(사건마스터!$B$5:$B$64,MATCH($F804,사건마스터!$A$5:$A$64,0)),""))</f>
        <v/>
      </c>
      <c r="H804" s="47">
        <f>IF($F804="","",IFERROR(INDEX(사건마스터!$C$5:$C$64,MATCH($F804,사건마스터!$A$5:$A$64,0)),""))</f>
        <v/>
      </c>
      <c r="I804" s="48">
        <f>IF($F804="","",IFERROR(INDEX(사건마스터!$H$5:$H$64,MATCH($F804,사건마스터!$A$5:$A$64,0)),""))</f>
        <v/>
      </c>
      <c r="J804" s="48">
        <f>IF($F804="","",IFERROR(INDEX(사건마스터!$AH$5:$AH$64,MATCH($F804,사건마스터!$A$5:$A$64,0)),""))</f>
        <v/>
      </c>
      <c r="K804" s="48">
        <f>IF($F804="","",IFERROR(INDEX(사건마스터!$AI$5:$AI$64,MATCH($F804,사건마스터!$A$5:$A$64,0)),""))</f>
        <v/>
      </c>
      <c r="L804" s="48">
        <f>IF($F804="","",IFERROR(INDEX(사건마스터!$AJ$5:$AJ$64,MATCH($F804,사건마스터!$A$5:$A$64,0)),""))</f>
        <v/>
      </c>
      <c r="M804" s="48">
        <f>IF($F804="","",IFERROR(INDEX(사건마스터!$AK$5:$AK$64,MATCH($F804,사건마스터!$A$5:$A$64,0)),""))</f>
        <v/>
      </c>
      <c r="N804" s="48">
        <f>IF($F804="","",IFERROR(INDEX(사건마스터!$AL$5:$AL$64,MATCH($F804,사건마스터!$A$5:$A$64,0)),""))</f>
        <v/>
      </c>
      <c r="O804" s="43">
        <f>IF($I804="","",COUNTIF($I804:$N804,"?*"))</f>
        <v/>
      </c>
      <c r="P804" s="46">
        <f>IF($I804="","",_xlfn.TEXTJOIN(", ",TRUE,$I804:$N804))</f>
        <v/>
      </c>
      <c r="Q804" s="47">
        <f>IF($I804="","",IFERROR(INDEX(코드설정!$D$5:$D$24,MATCH($I804,코드설정!$C$5:$C$24,0)),""))</f>
        <v/>
      </c>
      <c r="R804" s="49" t="n"/>
      <c r="S804" s="50" t="n"/>
      <c r="T804" s="51" t="n"/>
      <c r="U804" s="43">
        <f>IF(OR($B804="",$C804=""),"",$C804-$B804+1)</f>
        <v/>
      </c>
      <c r="V804" s="52" t="n"/>
      <c r="W804" s="53">
        <f>IF(OR($V804="",$O804=""),"",$V804*$O804)</f>
        <v/>
      </c>
      <c r="X804" s="45" t="n"/>
      <c r="Y804" s="49" t="n"/>
    </row>
    <row r="805">
      <c r="A805" s="43">
        <f>IF($B805="","",COUNT($B$5:$B805))</f>
        <v/>
      </c>
      <c r="B805" s="44" t="n"/>
      <c r="C805" s="44" t="n"/>
      <c r="D805" s="45" t="n"/>
      <c r="E805" s="45" t="n"/>
      <c r="F805" s="45" t="n"/>
      <c r="G805" s="46">
        <f>IF($F805="","",IFERROR(INDEX(사건마스터!$B$5:$B$64,MATCH($F805,사건마스터!$A$5:$A$64,0)),""))</f>
        <v/>
      </c>
      <c r="H805" s="47">
        <f>IF($F805="","",IFERROR(INDEX(사건마스터!$C$5:$C$64,MATCH($F805,사건마스터!$A$5:$A$64,0)),""))</f>
        <v/>
      </c>
      <c r="I805" s="48">
        <f>IF($F805="","",IFERROR(INDEX(사건마스터!$H$5:$H$64,MATCH($F805,사건마스터!$A$5:$A$64,0)),""))</f>
        <v/>
      </c>
      <c r="J805" s="48">
        <f>IF($F805="","",IFERROR(INDEX(사건마스터!$AH$5:$AH$64,MATCH($F805,사건마스터!$A$5:$A$64,0)),""))</f>
        <v/>
      </c>
      <c r="K805" s="48">
        <f>IF($F805="","",IFERROR(INDEX(사건마스터!$AI$5:$AI$64,MATCH($F805,사건마스터!$A$5:$A$64,0)),""))</f>
        <v/>
      </c>
      <c r="L805" s="48">
        <f>IF($F805="","",IFERROR(INDEX(사건마스터!$AJ$5:$AJ$64,MATCH($F805,사건마스터!$A$5:$A$64,0)),""))</f>
        <v/>
      </c>
      <c r="M805" s="48">
        <f>IF($F805="","",IFERROR(INDEX(사건마스터!$AK$5:$AK$64,MATCH($F805,사건마스터!$A$5:$A$64,0)),""))</f>
        <v/>
      </c>
      <c r="N805" s="48">
        <f>IF($F805="","",IFERROR(INDEX(사건마스터!$AL$5:$AL$64,MATCH($F805,사건마스터!$A$5:$A$64,0)),""))</f>
        <v/>
      </c>
      <c r="O805" s="43">
        <f>IF($I805="","",COUNTIF($I805:$N805,"?*"))</f>
        <v/>
      </c>
      <c r="P805" s="46">
        <f>IF($I805="","",_xlfn.TEXTJOIN(", ",TRUE,$I805:$N805))</f>
        <v/>
      </c>
      <c r="Q805" s="47">
        <f>IF($I805="","",IFERROR(INDEX(코드설정!$D$5:$D$24,MATCH($I805,코드설정!$C$5:$C$24,0)),""))</f>
        <v/>
      </c>
      <c r="R805" s="49" t="n"/>
      <c r="S805" s="50" t="n"/>
      <c r="T805" s="51" t="n"/>
      <c r="U805" s="43">
        <f>IF(OR($B805="",$C805=""),"",$C805-$B805+1)</f>
        <v/>
      </c>
      <c r="V805" s="52" t="n"/>
      <c r="W805" s="53">
        <f>IF(OR($V805="",$O805=""),"",$V805*$O805)</f>
        <v/>
      </c>
      <c r="X805" s="45" t="n"/>
      <c r="Y805" s="49" t="n"/>
    </row>
    <row r="806">
      <c r="A806" s="43">
        <f>IF($B806="","",COUNT($B$5:$B806))</f>
        <v/>
      </c>
      <c r="B806" s="44" t="n"/>
      <c r="C806" s="44" t="n"/>
      <c r="D806" s="45" t="n"/>
      <c r="E806" s="45" t="n"/>
      <c r="F806" s="45" t="n"/>
      <c r="G806" s="46">
        <f>IF($F806="","",IFERROR(INDEX(사건마스터!$B$5:$B$64,MATCH($F806,사건마스터!$A$5:$A$64,0)),""))</f>
        <v/>
      </c>
      <c r="H806" s="47">
        <f>IF($F806="","",IFERROR(INDEX(사건마스터!$C$5:$C$64,MATCH($F806,사건마스터!$A$5:$A$64,0)),""))</f>
        <v/>
      </c>
      <c r="I806" s="48">
        <f>IF($F806="","",IFERROR(INDEX(사건마스터!$H$5:$H$64,MATCH($F806,사건마스터!$A$5:$A$64,0)),""))</f>
        <v/>
      </c>
      <c r="J806" s="48">
        <f>IF($F806="","",IFERROR(INDEX(사건마스터!$AH$5:$AH$64,MATCH($F806,사건마스터!$A$5:$A$64,0)),""))</f>
        <v/>
      </c>
      <c r="K806" s="48">
        <f>IF($F806="","",IFERROR(INDEX(사건마스터!$AI$5:$AI$64,MATCH($F806,사건마스터!$A$5:$A$64,0)),""))</f>
        <v/>
      </c>
      <c r="L806" s="48">
        <f>IF($F806="","",IFERROR(INDEX(사건마스터!$AJ$5:$AJ$64,MATCH($F806,사건마스터!$A$5:$A$64,0)),""))</f>
        <v/>
      </c>
      <c r="M806" s="48">
        <f>IF($F806="","",IFERROR(INDEX(사건마스터!$AK$5:$AK$64,MATCH($F806,사건마스터!$A$5:$A$64,0)),""))</f>
        <v/>
      </c>
      <c r="N806" s="48">
        <f>IF($F806="","",IFERROR(INDEX(사건마스터!$AL$5:$AL$64,MATCH($F806,사건마스터!$A$5:$A$64,0)),""))</f>
        <v/>
      </c>
      <c r="O806" s="43">
        <f>IF($I806="","",COUNTIF($I806:$N806,"?*"))</f>
        <v/>
      </c>
      <c r="P806" s="46">
        <f>IF($I806="","",_xlfn.TEXTJOIN(", ",TRUE,$I806:$N806))</f>
        <v/>
      </c>
      <c r="Q806" s="47">
        <f>IF($I806="","",IFERROR(INDEX(코드설정!$D$5:$D$24,MATCH($I806,코드설정!$C$5:$C$24,0)),""))</f>
        <v/>
      </c>
      <c r="R806" s="49" t="n"/>
      <c r="S806" s="50" t="n"/>
      <c r="T806" s="51" t="n"/>
      <c r="U806" s="43">
        <f>IF(OR($B806="",$C806=""),"",$C806-$B806+1)</f>
        <v/>
      </c>
      <c r="V806" s="52" t="n"/>
      <c r="W806" s="53">
        <f>IF(OR($V806="",$O806=""),"",$V806*$O806)</f>
        <v/>
      </c>
      <c r="X806" s="45" t="n"/>
      <c r="Y806" s="49" t="n"/>
    </row>
    <row r="807">
      <c r="A807" s="43">
        <f>IF($B807="","",COUNT($B$5:$B807))</f>
        <v/>
      </c>
      <c r="B807" s="44" t="n"/>
      <c r="C807" s="44" t="n"/>
      <c r="D807" s="45" t="n"/>
      <c r="E807" s="45" t="n"/>
      <c r="F807" s="45" t="n"/>
      <c r="G807" s="46">
        <f>IF($F807="","",IFERROR(INDEX(사건마스터!$B$5:$B$64,MATCH($F807,사건마스터!$A$5:$A$64,0)),""))</f>
        <v/>
      </c>
      <c r="H807" s="47">
        <f>IF($F807="","",IFERROR(INDEX(사건마스터!$C$5:$C$64,MATCH($F807,사건마스터!$A$5:$A$64,0)),""))</f>
        <v/>
      </c>
      <c r="I807" s="48">
        <f>IF($F807="","",IFERROR(INDEX(사건마스터!$H$5:$H$64,MATCH($F807,사건마스터!$A$5:$A$64,0)),""))</f>
        <v/>
      </c>
      <c r="J807" s="48">
        <f>IF($F807="","",IFERROR(INDEX(사건마스터!$AH$5:$AH$64,MATCH($F807,사건마스터!$A$5:$A$64,0)),""))</f>
        <v/>
      </c>
      <c r="K807" s="48">
        <f>IF($F807="","",IFERROR(INDEX(사건마스터!$AI$5:$AI$64,MATCH($F807,사건마스터!$A$5:$A$64,0)),""))</f>
        <v/>
      </c>
      <c r="L807" s="48">
        <f>IF($F807="","",IFERROR(INDEX(사건마스터!$AJ$5:$AJ$64,MATCH($F807,사건마스터!$A$5:$A$64,0)),""))</f>
        <v/>
      </c>
      <c r="M807" s="48">
        <f>IF($F807="","",IFERROR(INDEX(사건마스터!$AK$5:$AK$64,MATCH($F807,사건마스터!$A$5:$A$64,0)),""))</f>
        <v/>
      </c>
      <c r="N807" s="48">
        <f>IF($F807="","",IFERROR(INDEX(사건마스터!$AL$5:$AL$64,MATCH($F807,사건마스터!$A$5:$A$64,0)),""))</f>
        <v/>
      </c>
      <c r="O807" s="43">
        <f>IF($I807="","",COUNTIF($I807:$N807,"?*"))</f>
        <v/>
      </c>
      <c r="P807" s="46">
        <f>IF($I807="","",_xlfn.TEXTJOIN(", ",TRUE,$I807:$N807))</f>
        <v/>
      </c>
      <c r="Q807" s="47">
        <f>IF($I807="","",IFERROR(INDEX(코드설정!$D$5:$D$24,MATCH($I807,코드설정!$C$5:$C$24,0)),""))</f>
        <v/>
      </c>
      <c r="R807" s="49" t="n"/>
      <c r="S807" s="50" t="n"/>
      <c r="T807" s="51" t="n"/>
      <c r="U807" s="43">
        <f>IF(OR($B807="",$C807=""),"",$C807-$B807+1)</f>
        <v/>
      </c>
      <c r="V807" s="52" t="n"/>
      <c r="W807" s="53">
        <f>IF(OR($V807="",$O807=""),"",$V807*$O807)</f>
        <v/>
      </c>
      <c r="X807" s="45" t="n"/>
      <c r="Y807" s="49" t="n"/>
    </row>
    <row r="808">
      <c r="A808" s="43">
        <f>IF($B808="","",COUNT($B$5:$B808))</f>
        <v/>
      </c>
      <c r="B808" s="44" t="n"/>
      <c r="C808" s="44" t="n"/>
      <c r="D808" s="45" t="n"/>
      <c r="E808" s="45" t="n"/>
      <c r="F808" s="45" t="n"/>
      <c r="G808" s="46">
        <f>IF($F808="","",IFERROR(INDEX(사건마스터!$B$5:$B$64,MATCH($F808,사건마스터!$A$5:$A$64,0)),""))</f>
        <v/>
      </c>
      <c r="H808" s="47">
        <f>IF($F808="","",IFERROR(INDEX(사건마스터!$C$5:$C$64,MATCH($F808,사건마스터!$A$5:$A$64,0)),""))</f>
        <v/>
      </c>
      <c r="I808" s="48">
        <f>IF($F808="","",IFERROR(INDEX(사건마스터!$H$5:$H$64,MATCH($F808,사건마스터!$A$5:$A$64,0)),""))</f>
        <v/>
      </c>
      <c r="J808" s="48">
        <f>IF($F808="","",IFERROR(INDEX(사건마스터!$AH$5:$AH$64,MATCH($F808,사건마스터!$A$5:$A$64,0)),""))</f>
        <v/>
      </c>
      <c r="K808" s="48">
        <f>IF($F808="","",IFERROR(INDEX(사건마스터!$AI$5:$AI$64,MATCH($F808,사건마스터!$A$5:$A$64,0)),""))</f>
        <v/>
      </c>
      <c r="L808" s="48">
        <f>IF($F808="","",IFERROR(INDEX(사건마스터!$AJ$5:$AJ$64,MATCH($F808,사건마스터!$A$5:$A$64,0)),""))</f>
        <v/>
      </c>
      <c r="M808" s="48">
        <f>IF($F808="","",IFERROR(INDEX(사건마스터!$AK$5:$AK$64,MATCH($F808,사건마스터!$A$5:$A$64,0)),""))</f>
        <v/>
      </c>
      <c r="N808" s="48">
        <f>IF($F808="","",IFERROR(INDEX(사건마스터!$AL$5:$AL$64,MATCH($F808,사건마스터!$A$5:$A$64,0)),""))</f>
        <v/>
      </c>
      <c r="O808" s="43">
        <f>IF($I808="","",COUNTIF($I808:$N808,"?*"))</f>
        <v/>
      </c>
      <c r="P808" s="46">
        <f>IF($I808="","",_xlfn.TEXTJOIN(", ",TRUE,$I808:$N808))</f>
        <v/>
      </c>
      <c r="Q808" s="47">
        <f>IF($I808="","",IFERROR(INDEX(코드설정!$D$5:$D$24,MATCH($I808,코드설정!$C$5:$C$24,0)),""))</f>
        <v/>
      </c>
      <c r="R808" s="49" t="n"/>
      <c r="S808" s="50" t="n"/>
      <c r="T808" s="51" t="n"/>
      <c r="U808" s="43">
        <f>IF(OR($B808="",$C808=""),"",$C808-$B808+1)</f>
        <v/>
      </c>
      <c r="V808" s="52" t="n"/>
      <c r="W808" s="53">
        <f>IF(OR($V808="",$O808=""),"",$V808*$O808)</f>
        <v/>
      </c>
      <c r="X808" s="45" t="n"/>
      <c r="Y808" s="49" t="n"/>
    </row>
    <row r="809">
      <c r="A809" s="43">
        <f>IF($B809="","",COUNT($B$5:$B809))</f>
        <v/>
      </c>
      <c r="B809" s="44" t="n"/>
      <c r="C809" s="44" t="n"/>
      <c r="D809" s="45" t="n"/>
      <c r="E809" s="45" t="n"/>
      <c r="F809" s="45" t="n"/>
      <c r="G809" s="46">
        <f>IF($F809="","",IFERROR(INDEX(사건마스터!$B$5:$B$64,MATCH($F809,사건마스터!$A$5:$A$64,0)),""))</f>
        <v/>
      </c>
      <c r="H809" s="47">
        <f>IF($F809="","",IFERROR(INDEX(사건마스터!$C$5:$C$64,MATCH($F809,사건마스터!$A$5:$A$64,0)),""))</f>
        <v/>
      </c>
      <c r="I809" s="48">
        <f>IF($F809="","",IFERROR(INDEX(사건마스터!$H$5:$H$64,MATCH($F809,사건마스터!$A$5:$A$64,0)),""))</f>
        <v/>
      </c>
      <c r="J809" s="48">
        <f>IF($F809="","",IFERROR(INDEX(사건마스터!$AH$5:$AH$64,MATCH($F809,사건마스터!$A$5:$A$64,0)),""))</f>
        <v/>
      </c>
      <c r="K809" s="48">
        <f>IF($F809="","",IFERROR(INDEX(사건마스터!$AI$5:$AI$64,MATCH($F809,사건마스터!$A$5:$A$64,0)),""))</f>
        <v/>
      </c>
      <c r="L809" s="48">
        <f>IF($F809="","",IFERROR(INDEX(사건마스터!$AJ$5:$AJ$64,MATCH($F809,사건마스터!$A$5:$A$64,0)),""))</f>
        <v/>
      </c>
      <c r="M809" s="48">
        <f>IF($F809="","",IFERROR(INDEX(사건마스터!$AK$5:$AK$64,MATCH($F809,사건마스터!$A$5:$A$64,0)),""))</f>
        <v/>
      </c>
      <c r="N809" s="48">
        <f>IF($F809="","",IFERROR(INDEX(사건마스터!$AL$5:$AL$64,MATCH($F809,사건마스터!$A$5:$A$64,0)),""))</f>
        <v/>
      </c>
      <c r="O809" s="43">
        <f>IF($I809="","",COUNTIF($I809:$N809,"?*"))</f>
        <v/>
      </c>
      <c r="P809" s="46">
        <f>IF($I809="","",_xlfn.TEXTJOIN(", ",TRUE,$I809:$N809))</f>
        <v/>
      </c>
      <c r="Q809" s="47">
        <f>IF($I809="","",IFERROR(INDEX(코드설정!$D$5:$D$24,MATCH($I809,코드설정!$C$5:$C$24,0)),""))</f>
        <v/>
      </c>
      <c r="R809" s="49" t="n"/>
      <c r="S809" s="50" t="n"/>
      <c r="T809" s="51" t="n"/>
      <c r="U809" s="43">
        <f>IF(OR($B809="",$C809=""),"",$C809-$B809+1)</f>
        <v/>
      </c>
      <c r="V809" s="52" t="n"/>
      <c r="W809" s="53">
        <f>IF(OR($V809="",$O809=""),"",$V809*$O809)</f>
        <v/>
      </c>
      <c r="X809" s="45" t="n"/>
      <c r="Y809" s="49" t="n"/>
    </row>
    <row r="810">
      <c r="A810" s="43">
        <f>IF($B810="","",COUNT($B$5:$B810))</f>
        <v/>
      </c>
      <c r="B810" s="44" t="n"/>
      <c r="C810" s="44" t="n"/>
      <c r="D810" s="45" t="n"/>
      <c r="E810" s="45" t="n"/>
      <c r="F810" s="45" t="n"/>
      <c r="G810" s="46">
        <f>IF($F810="","",IFERROR(INDEX(사건마스터!$B$5:$B$64,MATCH($F810,사건마스터!$A$5:$A$64,0)),""))</f>
        <v/>
      </c>
      <c r="H810" s="47">
        <f>IF($F810="","",IFERROR(INDEX(사건마스터!$C$5:$C$64,MATCH($F810,사건마스터!$A$5:$A$64,0)),""))</f>
        <v/>
      </c>
      <c r="I810" s="48">
        <f>IF($F810="","",IFERROR(INDEX(사건마스터!$H$5:$H$64,MATCH($F810,사건마스터!$A$5:$A$64,0)),""))</f>
        <v/>
      </c>
      <c r="J810" s="48">
        <f>IF($F810="","",IFERROR(INDEX(사건마스터!$AH$5:$AH$64,MATCH($F810,사건마스터!$A$5:$A$64,0)),""))</f>
        <v/>
      </c>
      <c r="K810" s="48">
        <f>IF($F810="","",IFERROR(INDEX(사건마스터!$AI$5:$AI$64,MATCH($F810,사건마스터!$A$5:$A$64,0)),""))</f>
        <v/>
      </c>
      <c r="L810" s="48">
        <f>IF($F810="","",IFERROR(INDEX(사건마스터!$AJ$5:$AJ$64,MATCH($F810,사건마스터!$A$5:$A$64,0)),""))</f>
        <v/>
      </c>
      <c r="M810" s="48">
        <f>IF($F810="","",IFERROR(INDEX(사건마스터!$AK$5:$AK$64,MATCH($F810,사건마스터!$A$5:$A$64,0)),""))</f>
        <v/>
      </c>
      <c r="N810" s="48">
        <f>IF($F810="","",IFERROR(INDEX(사건마스터!$AL$5:$AL$64,MATCH($F810,사건마스터!$A$5:$A$64,0)),""))</f>
        <v/>
      </c>
      <c r="O810" s="43">
        <f>IF($I810="","",COUNTIF($I810:$N810,"?*"))</f>
        <v/>
      </c>
      <c r="P810" s="46">
        <f>IF($I810="","",_xlfn.TEXTJOIN(", ",TRUE,$I810:$N810))</f>
        <v/>
      </c>
      <c r="Q810" s="47">
        <f>IF($I810="","",IFERROR(INDEX(코드설정!$D$5:$D$24,MATCH($I810,코드설정!$C$5:$C$24,0)),""))</f>
        <v/>
      </c>
      <c r="R810" s="49" t="n"/>
      <c r="S810" s="50" t="n"/>
      <c r="T810" s="51" t="n"/>
      <c r="U810" s="43">
        <f>IF(OR($B810="",$C810=""),"",$C810-$B810+1)</f>
        <v/>
      </c>
      <c r="V810" s="52" t="n"/>
      <c r="W810" s="53">
        <f>IF(OR($V810="",$O810=""),"",$V810*$O810)</f>
        <v/>
      </c>
      <c r="X810" s="45" t="n"/>
      <c r="Y810" s="49" t="n"/>
    </row>
    <row r="811">
      <c r="A811" s="43">
        <f>IF($B811="","",COUNT($B$5:$B811))</f>
        <v/>
      </c>
      <c r="B811" s="44" t="n"/>
      <c r="C811" s="44" t="n"/>
      <c r="D811" s="45" t="n"/>
      <c r="E811" s="45" t="n"/>
      <c r="F811" s="45" t="n"/>
      <c r="G811" s="46">
        <f>IF($F811="","",IFERROR(INDEX(사건마스터!$B$5:$B$64,MATCH($F811,사건마스터!$A$5:$A$64,0)),""))</f>
        <v/>
      </c>
      <c r="H811" s="47">
        <f>IF($F811="","",IFERROR(INDEX(사건마스터!$C$5:$C$64,MATCH($F811,사건마스터!$A$5:$A$64,0)),""))</f>
        <v/>
      </c>
      <c r="I811" s="48">
        <f>IF($F811="","",IFERROR(INDEX(사건마스터!$H$5:$H$64,MATCH($F811,사건마스터!$A$5:$A$64,0)),""))</f>
        <v/>
      </c>
      <c r="J811" s="48">
        <f>IF($F811="","",IFERROR(INDEX(사건마스터!$AH$5:$AH$64,MATCH($F811,사건마스터!$A$5:$A$64,0)),""))</f>
        <v/>
      </c>
      <c r="K811" s="48">
        <f>IF($F811="","",IFERROR(INDEX(사건마스터!$AI$5:$AI$64,MATCH($F811,사건마스터!$A$5:$A$64,0)),""))</f>
        <v/>
      </c>
      <c r="L811" s="48">
        <f>IF($F811="","",IFERROR(INDEX(사건마스터!$AJ$5:$AJ$64,MATCH($F811,사건마스터!$A$5:$A$64,0)),""))</f>
        <v/>
      </c>
      <c r="M811" s="48">
        <f>IF($F811="","",IFERROR(INDEX(사건마스터!$AK$5:$AK$64,MATCH($F811,사건마스터!$A$5:$A$64,0)),""))</f>
        <v/>
      </c>
      <c r="N811" s="48">
        <f>IF($F811="","",IFERROR(INDEX(사건마스터!$AL$5:$AL$64,MATCH($F811,사건마스터!$A$5:$A$64,0)),""))</f>
        <v/>
      </c>
      <c r="O811" s="43">
        <f>IF($I811="","",COUNTIF($I811:$N811,"?*"))</f>
        <v/>
      </c>
      <c r="P811" s="46">
        <f>IF($I811="","",_xlfn.TEXTJOIN(", ",TRUE,$I811:$N811))</f>
        <v/>
      </c>
      <c r="Q811" s="47">
        <f>IF($I811="","",IFERROR(INDEX(코드설정!$D$5:$D$24,MATCH($I811,코드설정!$C$5:$C$24,0)),""))</f>
        <v/>
      </c>
      <c r="R811" s="49" t="n"/>
      <c r="S811" s="50" t="n"/>
      <c r="T811" s="51" t="n"/>
      <c r="U811" s="43">
        <f>IF(OR($B811="",$C811=""),"",$C811-$B811+1)</f>
        <v/>
      </c>
      <c r="V811" s="52" t="n"/>
      <c r="W811" s="53">
        <f>IF(OR($V811="",$O811=""),"",$V811*$O811)</f>
        <v/>
      </c>
      <c r="X811" s="45" t="n"/>
      <c r="Y811" s="49" t="n"/>
    </row>
    <row r="812">
      <c r="A812" s="43">
        <f>IF($B812="","",COUNT($B$5:$B812))</f>
        <v/>
      </c>
      <c r="B812" s="44" t="n"/>
      <c r="C812" s="44" t="n"/>
      <c r="D812" s="45" t="n"/>
      <c r="E812" s="45" t="n"/>
      <c r="F812" s="45" t="n"/>
      <c r="G812" s="46">
        <f>IF($F812="","",IFERROR(INDEX(사건마스터!$B$5:$B$64,MATCH($F812,사건마스터!$A$5:$A$64,0)),""))</f>
        <v/>
      </c>
      <c r="H812" s="47">
        <f>IF($F812="","",IFERROR(INDEX(사건마스터!$C$5:$C$64,MATCH($F812,사건마스터!$A$5:$A$64,0)),""))</f>
        <v/>
      </c>
      <c r="I812" s="48">
        <f>IF($F812="","",IFERROR(INDEX(사건마스터!$H$5:$H$64,MATCH($F812,사건마스터!$A$5:$A$64,0)),""))</f>
        <v/>
      </c>
      <c r="J812" s="48">
        <f>IF($F812="","",IFERROR(INDEX(사건마스터!$AH$5:$AH$64,MATCH($F812,사건마스터!$A$5:$A$64,0)),""))</f>
        <v/>
      </c>
      <c r="K812" s="48">
        <f>IF($F812="","",IFERROR(INDEX(사건마스터!$AI$5:$AI$64,MATCH($F812,사건마스터!$A$5:$A$64,0)),""))</f>
        <v/>
      </c>
      <c r="L812" s="48">
        <f>IF($F812="","",IFERROR(INDEX(사건마스터!$AJ$5:$AJ$64,MATCH($F812,사건마스터!$A$5:$A$64,0)),""))</f>
        <v/>
      </c>
      <c r="M812" s="48">
        <f>IF($F812="","",IFERROR(INDEX(사건마스터!$AK$5:$AK$64,MATCH($F812,사건마스터!$A$5:$A$64,0)),""))</f>
        <v/>
      </c>
      <c r="N812" s="48">
        <f>IF($F812="","",IFERROR(INDEX(사건마스터!$AL$5:$AL$64,MATCH($F812,사건마스터!$A$5:$A$64,0)),""))</f>
        <v/>
      </c>
      <c r="O812" s="43">
        <f>IF($I812="","",COUNTIF($I812:$N812,"?*"))</f>
        <v/>
      </c>
      <c r="P812" s="46">
        <f>IF($I812="","",_xlfn.TEXTJOIN(", ",TRUE,$I812:$N812))</f>
        <v/>
      </c>
      <c r="Q812" s="47">
        <f>IF($I812="","",IFERROR(INDEX(코드설정!$D$5:$D$24,MATCH($I812,코드설정!$C$5:$C$24,0)),""))</f>
        <v/>
      </c>
      <c r="R812" s="49" t="n"/>
      <c r="S812" s="50" t="n"/>
      <c r="T812" s="51" t="n"/>
      <c r="U812" s="43">
        <f>IF(OR($B812="",$C812=""),"",$C812-$B812+1)</f>
        <v/>
      </c>
      <c r="V812" s="52" t="n"/>
      <c r="W812" s="53">
        <f>IF(OR($V812="",$O812=""),"",$V812*$O812)</f>
        <v/>
      </c>
      <c r="X812" s="45" t="n"/>
      <c r="Y812" s="49" t="n"/>
    </row>
    <row r="813">
      <c r="A813" s="43">
        <f>IF($B813="","",COUNT($B$5:$B813))</f>
        <v/>
      </c>
      <c r="B813" s="44" t="n"/>
      <c r="C813" s="44" t="n"/>
      <c r="D813" s="45" t="n"/>
      <c r="E813" s="45" t="n"/>
      <c r="F813" s="45" t="n"/>
      <c r="G813" s="46">
        <f>IF($F813="","",IFERROR(INDEX(사건마스터!$B$5:$B$64,MATCH($F813,사건마스터!$A$5:$A$64,0)),""))</f>
        <v/>
      </c>
      <c r="H813" s="47">
        <f>IF($F813="","",IFERROR(INDEX(사건마스터!$C$5:$C$64,MATCH($F813,사건마스터!$A$5:$A$64,0)),""))</f>
        <v/>
      </c>
      <c r="I813" s="48">
        <f>IF($F813="","",IFERROR(INDEX(사건마스터!$H$5:$H$64,MATCH($F813,사건마스터!$A$5:$A$64,0)),""))</f>
        <v/>
      </c>
      <c r="J813" s="48">
        <f>IF($F813="","",IFERROR(INDEX(사건마스터!$AH$5:$AH$64,MATCH($F813,사건마스터!$A$5:$A$64,0)),""))</f>
        <v/>
      </c>
      <c r="K813" s="48">
        <f>IF($F813="","",IFERROR(INDEX(사건마스터!$AI$5:$AI$64,MATCH($F813,사건마스터!$A$5:$A$64,0)),""))</f>
        <v/>
      </c>
      <c r="L813" s="48">
        <f>IF($F813="","",IFERROR(INDEX(사건마스터!$AJ$5:$AJ$64,MATCH($F813,사건마스터!$A$5:$A$64,0)),""))</f>
        <v/>
      </c>
      <c r="M813" s="48">
        <f>IF($F813="","",IFERROR(INDEX(사건마스터!$AK$5:$AK$64,MATCH($F813,사건마스터!$A$5:$A$64,0)),""))</f>
        <v/>
      </c>
      <c r="N813" s="48">
        <f>IF($F813="","",IFERROR(INDEX(사건마스터!$AL$5:$AL$64,MATCH($F813,사건마스터!$A$5:$A$64,0)),""))</f>
        <v/>
      </c>
      <c r="O813" s="43">
        <f>IF($I813="","",COUNTIF($I813:$N813,"?*"))</f>
        <v/>
      </c>
      <c r="P813" s="46">
        <f>IF($I813="","",_xlfn.TEXTJOIN(", ",TRUE,$I813:$N813))</f>
        <v/>
      </c>
      <c r="Q813" s="47">
        <f>IF($I813="","",IFERROR(INDEX(코드설정!$D$5:$D$24,MATCH($I813,코드설정!$C$5:$C$24,0)),""))</f>
        <v/>
      </c>
      <c r="R813" s="49" t="n"/>
      <c r="S813" s="50" t="n"/>
      <c r="T813" s="51" t="n"/>
      <c r="U813" s="43">
        <f>IF(OR($B813="",$C813=""),"",$C813-$B813+1)</f>
        <v/>
      </c>
      <c r="V813" s="52" t="n"/>
      <c r="W813" s="53">
        <f>IF(OR($V813="",$O813=""),"",$V813*$O813)</f>
        <v/>
      </c>
      <c r="X813" s="45" t="n"/>
      <c r="Y813" s="49" t="n"/>
    </row>
    <row r="814">
      <c r="A814" s="43">
        <f>IF($B814="","",COUNT($B$5:$B814))</f>
        <v/>
      </c>
      <c r="B814" s="44" t="n"/>
      <c r="C814" s="44" t="n"/>
      <c r="D814" s="45" t="n"/>
      <c r="E814" s="45" t="n"/>
      <c r="F814" s="45" t="n"/>
      <c r="G814" s="46">
        <f>IF($F814="","",IFERROR(INDEX(사건마스터!$B$5:$B$64,MATCH($F814,사건마스터!$A$5:$A$64,0)),""))</f>
        <v/>
      </c>
      <c r="H814" s="47">
        <f>IF($F814="","",IFERROR(INDEX(사건마스터!$C$5:$C$64,MATCH($F814,사건마스터!$A$5:$A$64,0)),""))</f>
        <v/>
      </c>
      <c r="I814" s="48">
        <f>IF($F814="","",IFERROR(INDEX(사건마스터!$H$5:$H$64,MATCH($F814,사건마스터!$A$5:$A$64,0)),""))</f>
        <v/>
      </c>
      <c r="J814" s="48">
        <f>IF($F814="","",IFERROR(INDEX(사건마스터!$AH$5:$AH$64,MATCH($F814,사건마스터!$A$5:$A$64,0)),""))</f>
        <v/>
      </c>
      <c r="K814" s="48">
        <f>IF($F814="","",IFERROR(INDEX(사건마스터!$AI$5:$AI$64,MATCH($F814,사건마스터!$A$5:$A$64,0)),""))</f>
        <v/>
      </c>
      <c r="L814" s="48">
        <f>IF($F814="","",IFERROR(INDEX(사건마스터!$AJ$5:$AJ$64,MATCH($F814,사건마스터!$A$5:$A$64,0)),""))</f>
        <v/>
      </c>
      <c r="M814" s="48">
        <f>IF($F814="","",IFERROR(INDEX(사건마스터!$AK$5:$AK$64,MATCH($F814,사건마스터!$A$5:$A$64,0)),""))</f>
        <v/>
      </c>
      <c r="N814" s="48">
        <f>IF($F814="","",IFERROR(INDEX(사건마스터!$AL$5:$AL$64,MATCH($F814,사건마스터!$A$5:$A$64,0)),""))</f>
        <v/>
      </c>
      <c r="O814" s="43">
        <f>IF($I814="","",COUNTIF($I814:$N814,"?*"))</f>
        <v/>
      </c>
      <c r="P814" s="46">
        <f>IF($I814="","",_xlfn.TEXTJOIN(", ",TRUE,$I814:$N814))</f>
        <v/>
      </c>
      <c r="Q814" s="47">
        <f>IF($I814="","",IFERROR(INDEX(코드설정!$D$5:$D$24,MATCH($I814,코드설정!$C$5:$C$24,0)),""))</f>
        <v/>
      </c>
      <c r="R814" s="49" t="n"/>
      <c r="S814" s="50" t="n"/>
      <c r="T814" s="51" t="n"/>
      <c r="U814" s="43">
        <f>IF(OR($B814="",$C814=""),"",$C814-$B814+1)</f>
        <v/>
      </c>
      <c r="V814" s="52" t="n"/>
      <c r="W814" s="53">
        <f>IF(OR($V814="",$O814=""),"",$V814*$O814)</f>
        <v/>
      </c>
      <c r="X814" s="45" t="n"/>
      <c r="Y814" s="49" t="n"/>
    </row>
    <row r="815">
      <c r="A815" s="43">
        <f>IF($B815="","",COUNT($B$5:$B815))</f>
        <v/>
      </c>
      <c r="B815" s="44" t="n"/>
      <c r="C815" s="44" t="n"/>
      <c r="D815" s="45" t="n"/>
      <c r="E815" s="45" t="n"/>
      <c r="F815" s="45" t="n"/>
      <c r="G815" s="46">
        <f>IF($F815="","",IFERROR(INDEX(사건마스터!$B$5:$B$64,MATCH($F815,사건마스터!$A$5:$A$64,0)),""))</f>
        <v/>
      </c>
      <c r="H815" s="47">
        <f>IF($F815="","",IFERROR(INDEX(사건마스터!$C$5:$C$64,MATCH($F815,사건마스터!$A$5:$A$64,0)),""))</f>
        <v/>
      </c>
      <c r="I815" s="48">
        <f>IF($F815="","",IFERROR(INDEX(사건마스터!$H$5:$H$64,MATCH($F815,사건마스터!$A$5:$A$64,0)),""))</f>
        <v/>
      </c>
      <c r="J815" s="48">
        <f>IF($F815="","",IFERROR(INDEX(사건마스터!$AH$5:$AH$64,MATCH($F815,사건마스터!$A$5:$A$64,0)),""))</f>
        <v/>
      </c>
      <c r="K815" s="48">
        <f>IF($F815="","",IFERROR(INDEX(사건마스터!$AI$5:$AI$64,MATCH($F815,사건마스터!$A$5:$A$64,0)),""))</f>
        <v/>
      </c>
      <c r="L815" s="48">
        <f>IF($F815="","",IFERROR(INDEX(사건마스터!$AJ$5:$AJ$64,MATCH($F815,사건마스터!$A$5:$A$64,0)),""))</f>
        <v/>
      </c>
      <c r="M815" s="48">
        <f>IF($F815="","",IFERROR(INDEX(사건마스터!$AK$5:$AK$64,MATCH($F815,사건마스터!$A$5:$A$64,0)),""))</f>
        <v/>
      </c>
      <c r="N815" s="48">
        <f>IF($F815="","",IFERROR(INDEX(사건마스터!$AL$5:$AL$64,MATCH($F815,사건마스터!$A$5:$A$64,0)),""))</f>
        <v/>
      </c>
      <c r="O815" s="43">
        <f>IF($I815="","",COUNTIF($I815:$N815,"?*"))</f>
        <v/>
      </c>
      <c r="P815" s="46">
        <f>IF($I815="","",_xlfn.TEXTJOIN(", ",TRUE,$I815:$N815))</f>
        <v/>
      </c>
      <c r="Q815" s="47">
        <f>IF($I815="","",IFERROR(INDEX(코드설정!$D$5:$D$24,MATCH($I815,코드설정!$C$5:$C$24,0)),""))</f>
        <v/>
      </c>
      <c r="R815" s="49" t="n"/>
      <c r="S815" s="50" t="n"/>
      <c r="T815" s="51" t="n"/>
      <c r="U815" s="43">
        <f>IF(OR($B815="",$C815=""),"",$C815-$B815+1)</f>
        <v/>
      </c>
      <c r="V815" s="52" t="n"/>
      <c r="W815" s="53">
        <f>IF(OR($V815="",$O815=""),"",$V815*$O815)</f>
        <v/>
      </c>
      <c r="X815" s="45" t="n"/>
      <c r="Y815" s="49" t="n"/>
    </row>
    <row r="816">
      <c r="A816" s="43">
        <f>IF($B816="","",COUNT($B$5:$B816))</f>
        <v/>
      </c>
      <c r="B816" s="44" t="n"/>
      <c r="C816" s="44" t="n"/>
      <c r="D816" s="45" t="n"/>
      <c r="E816" s="45" t="n"/>
      <c r="F816" s="45" t="n"/>
      <c r="G816" s="46">
        <f>IF($F816="","",IFERROR(INDEX(사건마스터!$B$5:$B$64,MATCH($F816,사건마스터!$A$5:$A$64,0)),""))</f>
        <v/>
      </c>
      <c r="H816" s="47">
        <f>IF($F816="","",IFERROR(INDEX(사건마스터!$C$5:$C$64,MATCH($F816,사건마스터!$A$5:$A$64,0)),""))</f>
        <v/>
      </c>
      <c r="I816" s="48">
        <f>IF($F816="","",IFERROR(INDEX(사건마스터!$H$5:$H$64,MATCH($F816,사건마스터!$A$5:$A$64,0)),""))</f>
        <v/>
      </c>
      <c r="J816" s="48">
        <f>IF($F816="","",IFERROR(INDEX(사건마스터!$AH$5:$AH$64,MATCH($F816,사건마스터!$A$5:$A$64,0)),""))</f>
        <v/>
      </c>
      <c r="K816" s="48">
        <f>IF($F816="","",IFERROR(INDEX(사건마스터!$AI$5:$AI$64,MATCH($F816,사건마스터!$A$5:$A$64,0)),""))</f>
        <v/>
      </c>
      <c r="L816" s="48">
        <f>IF($F816="","",IFERROR(INDEX(사건마스터!$AJ$5:$AJ$64,MATCH($F816,사건마스터!$A$5:$A$64,0)),""))</f>
        <v/>
      </c>
      <c r="M816" s="48">
        <f>IF($F816="","",IFERROR(INDEX(사건마스터!$AK$5:$AK$64,MATCH($F816,사건마스터!$A$5:$A$64,0)),""))</f>
        <v/>
      </c>
      <c r="N816" s="48">
        <f>IF($F816="","",IFERROR(INDEX(사건마스터!$AL$5:$AL$64,MATCH($F816,사건마스터!$A$5:$A$64,0)),""))</f>
        <v/>
      </c>
      <c r="O816" s="43">
        <f>IF($I816="","",COUNTIF($I816:$N816,"?*"))</f>
        <v/>
      </c>
      <c r="P816" s="46">
        <f>IF($I816="","",_xlfn.TEXTJOIN(", ",TRUE,$I816:$N816))</f>
        <v/>
      </c>
      <c r="Q816" s="47">
        <f>IF($I816="","",IFERROR(INDEX(코드설정!$D$5:$D$24,MATCH($I816,코드설정!$C$5:$C$24,0)),""))</f>
        <v/>
      </c>
      <c r="R816" s="49" t="n"/>
      <c r="S816" s="50" t="n"/>
      <c r="T816" s="51" t="n"/>
      <c r="U816" s="43">
        <f>IF(OR($B816="",$C816=""),"",$C816-$B816+1)</f>
        <v/>
      </c>
      <c r="V816" s="52" t="n"/>
      <c r="W816" s="53">
        <f>IF(OR($V816="",$O816=""),"",$V816*$O816)</f>
        <v/>
      </c>
      <c r="X816" s="45" t="n"/>
      <c r="Y816" s="49" t="n"/>
    </row>
    <row r="817">
      <c r="A817" s="43">
        <f>IF($B817="","",COUNT($B$5:$B817))</f>
        <v/>
      </c>
      <c r="B817" s="44" t="n"/>
      <c r="C817" s="44" t="n"/>
      <c r="D817" s="45" t="n"/>
      <c r="E817" s="45" t="n"/>
      <c r="F817" s="45" t="n"/>
      <c r="G817" s="46">
        <f>IF($F817="","",IFERROR(INDEX(사건마스터!$B$5:$B$64,MATCH($F817,사건마스터!$A$5:$A$64,0)),""))</f>
        <v/>
      </c>
      <c r="H817" s="47">
        <f>IF($F817="","",IFERROR(INDEX(사건마스터!$C$5:$C$64,MATCH($F817,사건마스터!$A$5:$A$64,0)),""))</f>
        <v/>
      </c>
      <c r="I817" s="48">
        <f>IF($F817="","",IFERROR(INDEX(사건마스터!$H$5:$H$64,MATCH($F817,사건마스터!$A$5:$A$64,0)),""))</f>
        <v/>
      </c>
      <c r="J817" s="48">
        <f>IF($F817="","",IFERROR(INDEX(사건마스터!$AH$5:$AH$64,MATCH($F817,사건마스터!$A$5:$A$64,0)),""))</f>
        <v/>
      </c>
      <c r="K817" s="48">
        <f>IF($F817="","",IFERROR(INDEX(사건마스터!$AI$5:$AI$64,MATCH($F817,사건마스터!$A$5:$A$64,0)),""))</f>
        <v/>
      </c>
      <c r="L817" s="48">
        <f>IF($F817="","",IFERROR(INDEX(사건마스터!$AJ$5:$AJ$64,MATCH($F817,사건마스터!$A$5:$A$64,0)),""))</f>
        <v/>
      </c>
      <c r="M817" s="48">
        <f>IF($F817="","",IFERROR(INDEX(사건마스터!$AK$5:$AK$64,MATCH($F817,사건마스터!$A$5:$A$64,0)),""))</f>
        <v/>
      </c>
      <c r="N817" s="48">
        <f>IF($F817="","",IFERROR(INDEX(사건마스터!$AL$5:$AL$64,MATCH($F817,사건마스터!$A$5:$A$64,0)),""))</f>
        <v/>
      </c>
      <c r="O817" s="43">
        <f>IF($I817="","",COUNTIF($I817:$N817,"?*"))</f>
        <v/>
      </c>
      <c r="P817" s="46">
        <f>IF($I817="","",_xlfn.TEXTJOIN(", ",TRUE,$I817:$N817))</f>
        <v/>
      </c>
      <c r="Q817" s="47">
        <f>IF($I817="","",IFERROR(INDEX(코드설정!$D$5:$D$24,MATCH($I817,코드설정!$C$5:$C$24,0)),""))</f>
        <v/>
      </c>
      <c r="R817" s="49" t="n"/>
      <c r="S817" s="50" t="n"/>
      <c r="T817" s="51" t="n"/>
      <c r="U817" s="43">
        <f>IF(OR($B817="",$C817=""),"",$C817-$B817+1)</f>
        <v/>
      </c>
      <c r="V817" s="52" t="n"/>
      <c r="W817" s="53">
        <f>IF(OR($V817="",$O817=""),"",$V817*$O817)</f>
        <v/>
      </c>
      <c r="X817" s="45" t="n"/>
      <c r="Y817" s="49" t="n"/>
    </row>
    <row r="818">
      <c r="A818" s="43">
        <f>IF($B818="","",COUNT($B$5:$B818))</f>
        <v/>
      </c>
      <c r="B818" s="44" t="n"/>
      <c r="C818" s="44" t="n"/>
      <c r="D818" s="45" t="n"/>
      <c r="E818" s="45" t="n"/>
      <c r="F818" s="45" t="n"/>
      <c r="G818" s="46">
        <f>IF($F818="","",IFERROR(INDEX(사건마스터!$B$5:$B$64,MATCH($F818,사건마스터!$A$5:$A$64,0)),""))</f>
        <v/>
      </c>
      <c r="H818" s="47">
        <f>IF($F818="","",IFERROR(INDEX(사건마스터!$C$5:$C$64,MATCH($F818,사건마스터!$A$5:$A$64,0)),""))</f>
        <v/>
      </c>
      <c r="I818" s="48">
        <f>IF($F818="","",IFERROR(INDEX(사건마스터!$H$5:$H$64,MATCH($F818,사건마스터!$A$5:$A$64,0)),""))</f>
        <v/>
      </c>
      <c r="J818" s="48">
        <f>IF($F818="","",IFERROR(INDEX(사건마스터!$AH$5:$AH$64,MATCH($F818,사건마스터!$A$5:$A$64,0)),""))</f>
        <v/>
      </c>
      <c r="K818" s="48">
        <f>IF($F818="","",IFERROR(INDEX(사건마스터!$AI$5:$AI$64,MATCH($F818,사건마스터!$A$5:$A$64,0)),""))</f>
        <v/>
      </c>
      <c r="L818" s="48">
        <f>IF($F818="","",IFERROR(INDEX(사건마스터!$AJ$5:$AJ$64,MATCH($F818,사건마스터!$A$5:$A$64,0)),""))</f>
        <v/>
      </c>
      <c r="M818" s="48">
        <f>IF($F818="","",IFERROR(INDEX(사건마스터!$AK$5:$AK$64,MATCH($F818,사건마스터!$A$5:$A$64,0)),""))</f>
        <v/>
      </c>
      <c r="N818" s="48">
        <f>IF($F818="","",IFERROR(INDEX(사건마스터!$AL$5:$AL$64,MATCH($F818,사건마스터!$A$5:$A$64,0)),""))</f>
        <v/>
      </c>
      <c r="O818" s="43">
        <f>IF($I818="","",COUNTIF($I818:$N818,"?*"))</f>
        <v/>
      </c>
      <c r="P818" s="46">
        <f>IF($I818="","",_xlfn.TEXTJOIN(", ",TRUE,$I818:$N818))</f>
        <v/>
      </c>
      <c r="Q818" s="47">
        <f>IF($I818="","",IFERROR(INDEX(코드설정!$D$5:$D$24,MATCH($I818,코드설정!$C$5:$C$24,0)),""))</f>
        <v/>
      </c>
      <c r="R818" s="49" t="n"/>
      <c r="S818" s="50" t="n"/>
      <c r="T818" s="51" t="n"/>
      <c r="U818" s="43">
        <f>IF(OR($B818="",$C818=""),"",$C818-$B818+1)</f>
        <v/>
      </c>
      <c r="V818" s="52" t="n"/>
      <c r="W818" s="53">
        <f>IF(OR($V818="",$O818=""),"",$V818*$O818)</f>
        <v/>
      </c>
      <c r="X818" s="45" t="n"/>
      <c r="Y818" s="49" t="n"/>
    </row>
    <row r="819">
      <c r="A819" s="43">
        <f>IF($B819="","",COUNT($B$5:$B819))</f>
        <v/>
      </c>
      <c r="B819" s="44" t="n"/>
      <c r="C819" s="44" t="n"/>
      <c r="D819" s="45" t="n"/>
      <c r="E819" s="45" t="n"/>
      <c r="F819" s="45" t="n"/>
      <c r="G819" s="46">
        <f>IF($F819="","",IFERROR(INDEX(사건마스터!$B$5:$B$64,MATCH($F819,사건마스터!$A$5:$A$64,0)),""))</f>
        <v/>
      </c>
      <c r="H819" s="47">
        <f>IF($F819="","",IFERROR(INDEX(사건마스터!$C$5:$C$64,MATCH($F819,사건마스터!$A$5:$A$64,0)),""))</f>
        <v/>
      </c>
      <c r="I819" s="48">
        <f>IF($F819="","",IFERROR(INDEX(사건마스터!$H$5:$H$64,MATCH($F819,사건마스터!$A$5:$A$64,0)),""))</f>
        <v/>
      </c>
      <c r="J819" s="48">
        <f>IF($F819="","",IFERROR(INDEX(사건마스터!$AH$5:$AH$64,MATCH($F819,사건마스터!$A$5:$A$64,0)),""))</f>
        <v/>
      </c>
      <c r="K819" s="48">
        <f>IF($F819="","",IFERROR(INDEX(사건마스터!$AI$5:$AI$64,MATCH($F819,사건마스터!$A$5:$A$64,0)),""))</f>
        <v/>
      </c>
      <c r="L819" s="48">
        <f>IF($F819="","",IFERROR(INDEX(사건마스터!$AJ$5:$AJ$64,MATCH($F819,사건마스터!$A$5:$A$64,0)),""))</f>
        <v/>
      </c>
      <c r="M819" s="48">
        <f>IF($F819="","",IFERROR(INDEX(사건마스터!$AK$5:$AK$64,MATCH($F819,사건마스터!$A$5:$A$64,0)),""))</f>
        <v/>
      </c>
      <c r="N819" s="48">
        <f>IF($F819="","",IFERROR(INDEX(사건마스터!$AL$5:$AL$64,MATCH($F819,사건마스터!$A$5:$A$64,0)),""))</f>
        <v/>
      </c>
      <c r="O819" s="43">
        <f>IF($I819="","",COUNTIF($I819:$N819,"?*"))</f>
        <v/>
      </c>
      <c r="P819" s="46">
        <f>IF($I819="","",_xlfn.TEXTJOIN(", ",TRUE,$I819:$N819))</f>
        <v/>
      </c>
      <c r="Q819" s="47">
        <f>IF($I819="","",IFERROR(INDEX(코드설정!$D$5:$D$24,MATCH($I819,코드설정!$C$5:$C$24,0)),""))</f>
        <v/>
      </c>
      <c r="R819" s="49" t="n"/>
      <c r="S819" s="50" t="n"/>
      <c r="T819" s="51" t="n"/>
      <c r="U819" s="43">
        <f>IF(OR($B819="",$C819=""),"",$C819-$B819+1)</f>
        <v/>
      </c>
      <c r="V819" s="52" t="n"/>
      <c r="W819" s="53">
        <f>IF(OR($V819="",$O819=""),"",$V819*$O819)</f>
        <v/>
      </c>
      <c r="X819" s="45" t="n"/>
      <c r="Y819" s="49" t="n"/>
    </row>
    <row r="820">
      <c r="A820" s="43">
        <f>IF($B820="","",COUNT($B$5:$B820))</f>
        <v/>
      </c>
      <c r="B820" s="44" t="n"/>
      <c r="C820" s="44" t="n"/>
      <c r="D820" s="45" t="n"/>
      <c r="E820" s="45" t="n"/>
      <c r="F820" s="45" t="n"/>
      <c r="G820" s="46">
        <f>IF($F820="","",IFERROR(INDEX(사건마스터!$B$5:$B$64,MATCH($F820,사건마스터!$A$5:$A$64,0)),""))</f>
        <v/>
      </c>
      <c r="H820" s="47">
        <f>IF($F820="","",IFERROR(INDEX(사건마스터!$C$5:$C$64,MATCH($F820,사건마스터!$A$5:$A$64,0)),""))</f>
        <v/>
      </c>
      <c r="I820" s="48">
        <f>IF($F820="","",IFERROR(INDEX(사건마스터!$H$5:$H$64,MATCH($F820,사건마스터!$A$5:$A$64,0)),""))</f>
        <v/>
      </c>
      <c r="J820" s="48">
        <f>IF($F820="","",IFERROR(INDEX(사건마스터!$AH$5:$AH$64,MATCH($F820,사건마스터!$A$5:$A$64,0)),""))</f>
        <v/>
      </c>
      <c r="K820" s="48">
        <f>IF($F820="","",IFERROR(INDEX(사건마스터!$AI$5:$AI$64,MATCH($F820,사건마스터!$A$5:$A$64,0)),""))</f>
        <v/>
      </c>
      <c r="L820" s="48">
        <f>IF($F820="","",IFERROR(INDEX(사건마스터!$AJ$5:$AJ$64,MATCH($F820,사건마스터!$A$5:$A$64,0)),""))</f>
        <v/>
      </c>
      <c r="M820" s="48">
        <f>IF($F820="","",IFERROR(INDEX(사건마스터!$AK$5:$AK$64,MATCH($F820,사건마스터!$A$5:$A$64,0)),""))</f>
        <v/>
      </c>
      <c r="N820" s="48">
        <f>IF($F820="","",IFERROR(INDEX(사건마스터!$AL$5:$AL$64,MATCH($F820,사건마스터!$A$5:$A$64,0)),""))</f>
        <v/>
      </c>
      <c r="O820" s="43">
        <f>IF($I820="","",COUNTIF($I820:$N820,"?*"))</f>
        <v/>
      </c>
      <c r="P820" s="46">
        <f>IF($I820="","",_xlfn.TEXTJOIN(", ",TRUE,$I820:$N820))</f>
        <v/>
      </c>
      <c r="Q820" s="47">
        <f>IF($I820="","",IFERROR(INDEX(코드설정!$D$5:$D$24,MATCH($I820,코드설정!$C$5:$C$24,0)),""))</f>
        <v/>
      </c>
      <c r="R820" s="49" t="n"/>
      <c r="S820" s="50" t="n"/>
      <c r="T820" s="51" t="n"/>
      <c r="U820" s="43">
        <f>IF(OR($B820="",$C820=""),"",$C820-$B820+1)</f>
        <v/>
      </c>
      <c r="V820" s="52" t="n"/>
      <c r="W820" s="53">
        <f>IF(OR($V820="",$O820=""),"",$V820*$O820)</f>
        <v/>
      </c>
      <c r="X820" s="45" t="n"/>
      <c r="Y820" s="49" t="n"/>
    </row>
    <row r="821">
      <c r="A821" s="43">
        <f>IF($B821="","",COUNT($B$5:$B821))</f>
        <v/>
      </c>
      <c r="B821" s="44" t="n"/>
      <c r="C821" s="44" t="n"/>
      <c r="D821" s="45" t="n"/>
      <c r="E821" s="45" t="n"/>
      <c r="F821" s="45" t="n"/>
      <c r="G821" s="46">
        <f>IF($F821="","",IFERROR(INDEX(사건마스터!$B$5:$B$64,MATCH($F821,사건마스터!$A$5:$A$64,0)),""))</f>
        <v/>
      </c>
      <c r="H821" s="47">
        <f>IF($F821="","",IFERROR(INDEX(사건마스터!$C$5:$C$64,MATCH($F821,사건마스터!$A$5:$A$64,0)),""))</f>
        <v/>
      </c>
      <c r="I821" s="48">
        <f>IF($F821="","",IFERROR(INDEX(사건마스터!$H$5:$H$64,MATCH($F821,사건마스터!$A$5:$A$64,0)),""))</f>
        <v/>
      </c>
      <c r="J821" s="48">
        <f>IF($F821="","",IFERROR(INDEX(사건마스터!$AH$5:$AH$64,MATCH($F821,사건마스터!$A$5:$A$64,0)),""))</f>
        <v/>
      </c>
      <c r="K821" s="48">
        <f>IF($F821="","",IFERROR(INDEX(사건마스터!$AI$5:$AI$64,MATCH($F821,사건마스터!$A$5:$A$64,0)),""))</f>
        <v/>
      </c>
      <c r="L821" s="48">
        <f>IF($F821="","",IFERROR(INDEX(사건마스터!$AJ$5:$AJ$64,MATCH($F821,사건마스터!$A$5:$A$64,0)),""))</f>
        <v/>
      </c>
      <c r="M821" s="48">
        <f>IF($F821="","",IFERROR(INDEX(사건마스터!$AK$5:$AK$64,MATCH($F821,사건마스터!$A$5:$A$64,0)),""))</f>
        <v/>
      </c>
      <c r="N821" s="48">
        <f>IF($F821="","",IFERROR(INDEX(사건마스터!$AL$5:$AL$64,MATCH($F821,사건마스터!$A$5:$A$64,0)),""))</f>
        <v/>
      </c>
      <c r="O821" s="43">
        <f>IF($I821="","",COUNTIF($I821:$N821,"?*"))</f>
        <v/>
      </c>
      <c r="P821" s="46">
        <f>IF($I821="","",_xlfn.TEXTJOIN(", ",TRUE,$I821:$N821))</f>
        <v/>
      </c>
      <c r="Q821" s="47">
        <f>IF($I821="","",IFERROR(INDEX(코드설정!$D$5:$D$24,MATCH($I821,코드설정!$C$5:$C$24,0)),""))</f>
        <v/>
      </c>
      <c r="R821" s="49" t="n"/>
      <c r="S821" s="50" t="n"/>
      <c r="T821" s="51" t="n"/>
      <c r="U821" s="43">
        <f>IF(OR($B821="",$C821=""),"",$C821-$B821+1)</f>
        <v/>
      </c>
      <c r="V821" s="52" t="n"/>
      <c r="W821" s="53">
        <f>IF(OR($V821="",$O821=""),"",$V821*$O821)</f>
        <v/>
      </c>
      <c r="X821" s="45" t="n"/>
      <c r="Y821" s="49" t="n"/>
    </row>
    <row r="822">
      <c r="A822" s="43">
        <f>IF($B822="","",COUNT($B$5:$B822))</f>
        <v/>
      </c>
      <c r="B822" s="44" t="n"/>
      <c r="C822" s="44" t="n"/>
      <c r="D822" s="45" t="n"/>
      <c r="E822" s="45" t="n"/>
      <c r="F822" s="45" t="n"/>
      <c r="G822" s="46">
        <f>IF($F822="","",IFERROR(INDEX(사건마스터!$B$5:$B$64,MATCH($F822,사건마스터!$A$5:$A$64,0)),""))</f>
        <v/>
      </c>
      <c r="H822" s="47">
        <f>IF($F822="","",IFERROR(INDEX(사건마스터!$C$5:$C$64,MATCH($F822,사건마스터!$A$5:$A$64,0)),""))</f>
        <v/>
      </c>
      <c r="I822" s="48">
        <f>IF($F822="","",IFERROR(INDEX(사건마스터!$H$5:$H$64,MATCH($F822,사건마스터!$A$5:$A$64,0)),""))</f>
        <v/>
      </c>
      <c r="J822" s="48">
        <f>IF($F822="","",IFERROR(INDEX(사건마스터!$AH$5:$AH$64,MATCH($F822,사건마스터!$A$5:$A$64,0)),""))</f>
        <v/>
      </c>
      <c r="K822" s="48">
        <f>IF($F822="","",IFERROR(INDEX(사건마스터!$AI$5:$AI$64,MATCH($F822,사건마스터!$A$5:$A$64,0)),""))</f>
        <v/>
      </c>
      <c r="L822" s="48">
        <f>IF($F822="","",IFERROR(INDEX(사건마스터!$AJ$5:$AJ$64,MATCH($F822,사건마스터!$A$5:$A$64,0)),""))</f>
        <v/>
      </c>
      <c r="M822" s="48">
        <f>IF($F822="","",IFERROR(INDEX(사건마스터!$AK$5:$AK$64,MATCH($F822,사건마스터!$A$5:$A$64,0)),""))</f>
        <v/>
      </c>
      <c r="N822" s="48">
        <f>IF($F822="","",IFERROR(INDEX(사건마스터!$AL$5:$AL$64,MATCH($F822,사건마스터!$A$5:$A$64,0)),""))</f>
        <v/>
      </c>
      <c r="O822" s="43">
        <f>IF($I822="","",COUNTIF($I822:$N822,"?*"))</f>
        <v/>
      </c>
      <c r="P822" s="46">
        <f>IF($I822="","",_xlfn.TEXTJOIN(", ",TRUE,$I822:$N822))</f>
        <v/>
      </c>
      <c r="Q822" s="47">
        <f>IF($I822="","",IFERROR(INDEX(코드설정!$D$5:$D$24,MATCH($I822,코드설정!$C$5:$C$24,0)),""))</f>
        <v/>
      </c>
      <c r="R822" s="49" t="n"/>
      <c r="S822" s="50" t="n"/>
      <c r="T822" s="51" t="n"/>
      <c r="U822" s="43">
        <f>IF(OR($B822="",$C822=""),"",$C822-$B822+1)</f>
        <v/>
      </c>
      <c r="V822" s="52" t="n"/>
      <c r="W822" s="53">
        <f>IF(OR($V822="",$O822=""),"",$V822*$O822)</f>
        <v/>
      </c>
      <c r="X822" s="45" t="n"/>
      <c r="Y822" s="49" t="n"/>
    </row>
    <row r="823">
      <c r="A823" s="43">
        <f>IF($B823="","",COUNT($B$5:$B823))</f>
        <v/>
      </c>
      <c r="B823" s="44" t="n"/>
      <c r="C823" s="44" t="n"/>
      <c r="D823" s="45" t="n"/>
      <c r="E823" s="45" t="n"/>
      <c r="F823" s="45" t="n"/>
      <c r="G823" s="46">
        <f>IF($F823="","",IFERROR(INDEX(사건마스터!$B$5:$B$64,MATCH($F823,사건마스터!$A$5:$A$64,0)),""))</f>
        <v/>
      </c>
      <c r="H823" s="47">
        <f>IF($F823="","",IFERROR(INDEX(사건마스터!$C$5:$C$64,MATCH($F823,사건마스터!$A$5:$A$64,0)),""))</f>
        <v/>
      </c>
      <c r="I823" s="48">
        <f>IF($F823="","",IFERROR(INDEX(사건마스터!$H$5:$H$64,MATCH($F823,사건마스터!$A$5:$A$64,0)),""))</f>
        <v/>
      </c>
      <c r="J823" s="48">
        <f>IF($F823="","",IFERROR(INDEX(사건마스터!$AH$5:$AH$64,MATCH($F823,사건마스터!$A$5:$A$64,0)),""))</f>
        <v/>
      </c>
      <c r="K823" s="48">
        <f>IF($F823="","",IFERROR(INDEX(사건마스터!$AI$5:$AI$64,MATCH($F823,사건마스터!$A$5:$A$64,0)),""))</f>
        <v/>
      </c>
      <c r="L823" s="48">
        <f>IF($F823="","",IFERROR(INDEX(사건마스터!$AJ$5:$AJ$64,MATCH($F823,사건마스터!$A$5:$A$64,0)),""))</f>
        <v/>
      </c>
      <c r="M823" s="48">
        <f>IF($F823="","",IFERROR(INDEX(사건마스터!$AK$5:$AK$64,MATCH($F823,사건마스터!$A$5:$A$64,0)),""))</f>
        <v/>
      </c>
      <c r="N823" s="48">
        <f>IF($F823="","",IFERROR(INDEX(사건마스터!$AL$5:$AL$64,MATCH($F823,사건마스터!$A$5:$A$64,0)),""))</f>
        <v/>
      </c>
      <c r="O823" s="43">
        <f>IF($I823="","",COUNTIF($I823:$N823,"?*"))</f>
        <v/>
      </c>
      <c r="P823" s="46">
        <f>IF($I823="","",_xlfn.TEXTJOIN(", ",TRUE,$I823:$N823))</f>
        <v/>
      </c>
      <c r="Q823" s="47">
        <f>IF($I823="","",IFERROR(INDEX(코드설정!$D$5:$D$24,MATCH($I823,코드설정!$C$5:$C$24,0)),""))</f>
        <v/>
      </c>
      <c r="R823" s="49" t="n"/>
      <c r="S823" s="50" t="n"/>
      <c r="T823" s="51" t="n"/>
      <c r="U823" s="43">
        <f>IF(OR($B823="",$C823=""),"",$C823-$B823+1)</f>
        <v/>
      </c>
      <c r="V823" s="52" t="n"/>
      <c r="W823" s="53">
        <f>IF(OR($V823="",$O823=""),"",$V823*$O823)</f>
        <v/>
      </c>
      <c r="X823" s="45" t="n"/>
      <c r="Y823" s="49" t="n"/>
    </row>
    <row r="824">
      <c r="A824" s="43">
        <f>IF($B824="","",COUNT($B$5:$B824))</f>
        <v/>
      </c>
      <c r="B824" s="44" t="n"/>
      <c r="C824" s="44" t="n"/>
      <c r="D824" s="45" t="n"/>
      <c r="E824" s="45" t="n"/>
      <c r="F824" s="45" t="n"/>
      <c r="G824" s="46">
        <f>IF($F824="","",IFERROR(INDEX(사건마스터!$B$5:$B$64,MATCH($F824,사건마스터!$A$5:$A$64,0)),""))</f>
        <v/>
      </c>
      <c r="H824" s="47">
        <f>IF($F824="","",IFERROR(INDEX(사건마스터!$C$5:$C$64,MATCH($F824,사건마스터!$A$5:$A$64,0)),""))</f>
        <v/>
      </c>
      <c r="I824" s="48">
        <f>IF($F824="","",IFERROR(INDEX(사건마스터!$H$5:$H$64,MATCH($F824,사건마스터!$A$5:$A$64,0)),""))</f>
        <v/>
      </c>
      <c r="J824" s="48">
        <f>IF($F824="","",IFERROR(INDEX(사건마스터!$AH$5:$AH$64,MATCH($F824,사건마스터!$A$5:$A$64,0)),""))</f>
        <v/>
      </c>
      <c r="K824" s="48">
        <f>IF($F824="","",IFERROR(INDEX(사건마스터!$AI$5:$AI$64,MATCH($F824,사건마스터!$A$5:$A$64,0)),""))</f>
        <v/>
      </c>
      <c r="L824" s="48">
        <f>IF($F824="","",IFERROR(INDEX(사건마스터!$AJ$5:$AJ$64,MATCH($F824,사건마스터!$A$5:$A$64,0)),""))</f>
        <v/>
      </c>
      <c r="M824" s="48">
        <f>IF($F824="","",IFERROR(INDEX(사건마스터!$AK$5:$AK$64,MATCH($F824,사건마스터!$A$5:$A$64,0)),""))</f>
        <v/>
      </c>
      <c r="N824" s="48">
        <f>IF($F824="","",IFERROR(INDEX(사건마스터!$AL$5:$AL$64,MATCH($F824,사건마스터!$A$5:$A$64,0)),""))</f>
        <v/>
      </c>
      <c r="O824" s="43">
        <f>IF($I824="","",COUNTIF($I824:$N824,"?*"))</f>
        <v/>
      </c>
      <c r="P824" s="46">
        <f>IF($I824="","",_xlfn.TEXTJOIN(", ",TRUE,$I824:$N824))</f>
        <v/>
      </c>
      <c r="Q824" s="47">
        <f>IF($I824="","",IFERROR(INDEX(코드설정!$D$5:$D$24,MATCH($I824,코드설정!$C$5:$C$24,0)),""))</f>
        <v/>
      </c>
      <c r="R824" s="49" t="n"/>
      <c r="S824" s="50" t="n"/>
      <c r="T824" s="51" t="n"/>
      <c r="U824" s="43">
        <f>IF(OR($B824="",$C824=""),"",$C824-$B824+1)</f>
        <v/>
      </c>
      <c r="V824" s="52" t="n"/>
      <c r="W824" s="53">
        <f>IF(OR($V824="",$O824=""),"",$V824*$O824)</f>
        <v/>
      </c>
      <c r="X824" s="45" t="n"/>
      <c r="Y824" s="49" t="n"/>
    </row>
    <row r="825">
      <c r="A825" s="43">
        <f>IF($B825="","",COUNT($B$5:$B825))</f>
        <v/>
      </c>
      <c r="B825" s="44" t="n"/>
      <c r="C825" s="44" t="n"/>
      <c r="D825" s="45" t="n"/>
      <c r="E825" s="45" t="n"/>
      <c r="F825" s="45" t="n"/>
      <c r="G825" s="46">
        <f>IF($F825="","",IFERROR(INDEX(사건마스터!$B$5:$B$64,MATCH($F825,사건마스터!$A$5:$A$64,0)),""))</f>
        <v/>
      </c>
      <c r="H825" s="47">
        <f>IF($F825="","",IFERROR(INDEX(사건마스터!$C$5:$C$64,MATCH($F825,사건마스터!$A$5:$A$64,0)),""))</f>
        <v/>
      </c>
      <c r="I825" s="48">
        <f>IF($F825="","",IFERROR(INDEX(사건마스터!$H$5:$H$64,MATCH($F825,사건마스터!$A$5:$A$64,0)),""))</f>
        <v/>
      </c>
      <c r="J825" s="48">
        <f>IF($F825="","",IFERROR(INDEX(사건마스터!$AH$5:$AH$64,MATCH($F825,사건마스터!$A$5:$A$64,0)),""))</f>
        <v/>
      </c>
      <c r="K825" s="48">
        <f>IF($F825="","",IFERROR(INDEX(사건마스터!$AI$5:$AI$64,MATCH($F825,사건마스터!$A$5:$A$64,0)),""))</f>
        <v/>
      </c>
      <c r="L825" s="48">
        <f>IF($F825="","",IFERROR(INDEX(사건마스터!$AJ$5:$AJ$64,MATCH($F825,사건마스터!$A$5:$A$64,0)),""))</f>
        <v/>
      </c>
      <c r="M825" s="48">
        <f>IF($F825="","",IFERROR(INDEX(사건마스터!$AK$5:$AK$64,MATCH($F825,사건마스터!$A$5:$A$64,0)),""))</f>
        <v/>
      </c>
      <c r="N825" s="48">
        <f>IF($F825="","",IFERROR(INDEX(사건마스터!$AL$5:$AL$64,MATCH($F825,사건마스터!$A$5:$A$64,0)),""))</f>
        <v/>
      </c>
      <c r="O825" s="43">
        <f>IF($I825="","",COUNTIF($I825:$N825,"?*"))</f>
        <v/>
      </c>
      <c r="P825" s="46">
        <f>IF($I825="","",_xlfn.TEXTJOIN(", ",TRUE,$I825:$N825))</f>
        <v/>
      </c>
      <c r="Q825" s="47">
        <f>IF($I825="","",IFERROR(INDEX(코드설정!$D$5:$D$24,MATCH($I825,코드설정!$C$5:$C$24,0)),""))</f>
        <v/>
      </c>
      <c r="R825" s="49" t="n"/>
      <c r="S825" s="50" t="n"/>
      <c r="T825" s="51" t="n"/>
      <c r="U825" s="43">
        <f>IF(OR($B825="",$C825=""),"",$C825-$B825+1)</f>
        <v/>
      </c>
      <c r="V825" s="52" t="n"/>
      <c r="W825" s="53">
        <f>IF(OR($V825="",$O825=""),"",$V825*$O825)</f>
        <v/>
      </c>
      <c r="X825" s="45" t="n"/>
      <c r="Y825" s="49" t="n"/>
    </row>
    <row r="826">
      <c r="A826" s="43">
        <f>IF($B826="","",COUNT($B$5:$B826))</f>
        <v/>
      </c>
      <c r="B826" s="44" t="n"/>
      <c r="C826" s="44" t="n"/>
      <c r="D826" s="45" t="n"/>
      <c r="E826" s="45" t="n"/>
      <c r="F826" s="45" t="n"/>
      <c r="G826" s="46">
        <f>IF($F826="","",IFERROR(INDEX(사건마스터!$B$5:$B$64,MATCH($F826,사건마스터!$A$5:$A$64,0)),""))</f>
        <v/>
      </c>
      <c r="H826" s="47">
        <f>IF($F826="","",IFERROR(INDEX(사건마스터!$C$5:$C$64,MATCH($F826,사건마스터!$A$5:$A$64,0)),""))</f>
        <v/>
      </c>
      <c r="I826" s="48">
        <f>IF($F826="","",IFERROR(INDEX(사건마스터!$H$5:$H$64,MATCH($F826,사건마스터!$A$5:$A$64,0)),""))</f>
        <v/>
      </c>
      <c r="J826" s="48">
        <f>IF($F826="","",IFERROR(INDEX(사건마스터!$AH$5:$AH$64,MATCH($F826,사건마스터!$A$5:$A$64,0)),""))</f>
        <v/>
      </c>
      <c r="K826" s="48">
        <f>IF($F826="","",IFERROR(INDEX(사건마스터!$AI$5:$AI$64,MATCH($F826,사건마스터!$A$5:$A$64,0)),""))</f>
        <v/>
      </c>
      <c r="L826" s="48">
        <f>IF($F826="","",IFERROR(INDEX(사건마스터!$AJ$5:$AJ$64,MATCH($F826,사건마스터!$A$5:$A$64,0)),""))</f>
        <v/>
      </c>
      <c r="M826" s="48">
        <f>IF($F826="","",IFERROR(INDEX(사건마스터!$AK$5:$AK$64,MATCH($F826,사건마스터!$A$5:$A$64,0)),""))</f>
        <v/>
      </c>
      <c r="N826" s="48">
        <f>IF($F826="","",IFERROR(INDEX(사건마스터!$AL$5:$AL$64,MATCH($F826,사건마스터!$A$5:$A$64,0)),""))</f>
        <v/>
      </c>
      <c r="O826" s="43">
        <f>IF($I826="","",COUNTIF($I826:$N826,"?*"))</f>
        <v/>
      </c>
      <c r="P826" s="46">
        <f>IF($I826="","",_xlfn.TEXTJOIN(", ",TRUE,$I826:$N826))</f>
        <v/>
      </c>
      <c r="Q826" s="47">
        <f>IF($I826="","",IFERROR(INDEX(코드설정!$D$5:$D$24,MATCH($I826,코드설정!$C$5:$C$24,0)),""))</f>
        <v/>
      </c>
      <c r="R826" s="49" t="n"/>
      <c r="S826" s="50" t="n"/>
      <c r="T826" s="51" t="n"/>
      <c r="U826" s="43">
        <f>IF(OR($B826="",$C826=""),"",$C826-$B826+1)</f>
        <v/>
      </c>
      <c r="V826" s="52" t="n"/>
      <c r="W826" s="53">
        <f>IF(OR($V826="",$O826=""),"",$V826*$O826)</f>
        <v/>
      </c>
      <c r="X826" s="45" t="n"/>
      <c r="Y826" s="49" t="n"/>
    </row>
    <row r="827">
      <c r="A827" s="43">
        <f>IF($B827="","",COUNT($B$5:$B827))</f>
        <v/>
      </c>
      <c r="B827" s="44" t="n"/>
      <c r="C827" s="44" t="n"/>
      <c r="D827" s="45" t="n"/>
      <c r="E827" s="45" t="n"/>
      <c r="F827" s="45" t="n"/>
      <c r="G827" s="46">
        <f>IF($F827="","",IFERROR(INDEX(사건마스터!$B$5:$B$64,MATCH($F827,사건마스터!$A$5:$A$64,0)),""))</f>
        <v/>
      </c>
      <c r="H827" s="47">
        <f>IF($F827="","",IFERROR(INDEX(사건마스터!$C$5:$C$64,MATCH($F827,사건마스터!$A$5:$A$64,0)),""))</f>
        <v/>
      </c>
      <c r="I827" s="48">
        <f>IF($F827="","",IFERROR(INDEX(사건마스터!$H$5:$H$64,MATCH($F827,사건마스터!$A$5:$A$64,0)),""))</f>
        <v/>
      </c>
      <c r="J827" s="48">
        <f>IF($F827="","",IFERROR(INDEX(사건마스터!$AH$5:$AH$64,MATCH($F827,사건마스터!$A$5:$A$64,0)),""))</f>
        <v/>
      </c>
      <c r="K827" s="48">
        <f>IF($F827="","",IFERROR(INDEX(사건마스터!$AI$5:$AI$64,MATCH($F827,사건마스터!$A$5:$A$64,0)),""))</f>
        <v/>
      </c>
      <c r="L827" s="48">
        <f>IF($F827="","",IFERROR(INDEX(사건마스터!$AJ$5:$AJ$64,MATCH($F827,사건마스터!$A$5:$A$64,0)),""))</f>
        <v/>
      </c>
      <c r="M827" s="48">
        <f>IF($F827="","",IFERROR(INDEX(사건마스터!$AK$5:$AK$64,MATCH($F827,사건마스터!$A$5:$A$64,0)),""))</f>
        <v/>
      </c>
      <c r="N827" s="48">
        <f>IF($F827="","",IFERROR(INDEX(사건마스터!$AL$5:$AL$64,MATCH($F827,사건마스터!$A$5:$A$64,0)),""))</f>
        <v/>
      </c>
      <c r="O827" s="43">
        <f>IF($I827="","",COUNTIF($I827:$N827,"?*"))</f>
        <v/>
      </c>
      <c r="P827" s="46">
        <f>IF($I827="","",_xlfn.TEXTJOIN(", ",TRUE,$I827:$N827))</f>
        <v/>
      </c>
      <c r="Q827" s="47">
        <f>IF($I827="","",IFERROR(INDEX(코드설정!$D$5:$D$24,MATCH($I827,코드설정!$C$5:$C$24,0)),""))</f>
        <v/>
      </c>
      <c r="R827" s="49" t="n"/>
      <c r="S827" s="50" t="n"/>
      <c r="T827" s="51" t="n"/>
      <c r="U827" s="43">
        <f>IF(OR($B827="",$C827=""),"",$C827-$B827+1)</f>
        <v/>
      </c>
      <c r="V827" s="52" t="n"/>
      <c r="W827" s="53">
        <f>IF(OR($V827="",$O827=""),"",$V827*$O827)</f>
        <v/>
      </c>
      <c r="X827" s="45" t="n"/>
      <c r="Y827" s="49" t="n"/>
    </row>
    <row r="828">
      <c r="A828" s="43">
        <f>IF($B828="","",COUNT($B$5:$B828))</f>
        <v/>
      </c>
      <c r="B828" s="44" t="n"/>
      <c r="C828" s="44" t="n"/>
      <c r="D828" s="45" t="n"/>
      <c r="E828" s="45" t="n"/>
      <c r="F828" s="45" t="n"/>
      <c r="G828" s="46">
        <f>IF($F828="","",IFERROR(INDEX(사건마스터!$B$5:$B$64,MATCH($F828,사건마스터!$A$5:$A$64,0)),""))</f>
        <v/>
      </c>
      <c r="H828" s="47">
        <f>IF($F828="","",IFERROR(INDEX(사건마스터!$C$5:$C$64,MATCH($F828,사건마스터!$A$5:$A$64,0)),""))</f>
        <v/>
      </c>
      <c r="I828" s="48">
        <f>IF($F828="","",IFERROR(INDEX(사건마스터!$H$5:$H$64,MATCH($F828,사건마스터!$A$5:$A$64,0)),""))</f>
        <v/>
      </c>
      <c r="J828" s="48">
        <f>IF($F828="","",IFERROR(INDEX(사건마스터!$AH$5:$AH$64,MATCH($F828,사건마스터!$A$5:$A$64,0)),""))</f>
        <v/>
      </c>
      <c r="K828" s="48">
        <f>IF($F828="","",IFERROR(INDEX(사건마스터!$AI$5:$AI$64,MATCH($F828,사건마스터!$A$5:$A$64,0)),""))</f>
        <v/>
      </c>
      <c r="L828" s="48">
        <f>IF($F828="","",IFERROR(INDEX(사건마스터!$AJ$5:$AJ$64,MATCH($F828,사건마스터!$A$5:$A$64,0)),""))</f>
        <v/>
      </c>
      <c r="M828" s="48">
        <f>IF($F828="","",IFERROR(INDEX(사건마스터!$AK$5:$AK$64,MATCH($F828,사건마스터!$A$5:$A$64,0)),""))</f>
        <v/>
      </c>
      <c r="N828" s="48">
        <f>IF($F828="","",IFERROR(INDEX(사건마스터!$AL$5:$AL$64,MATCH($F828,사건마스터!$A$5:$A$64,0)),""))</f>
        <v/>
      </c>
      <c r="O828" s="43">
        <f>IF($I828="","",COUNTIF($I828:$N828,"?*"))</f>
        <v/>
      </c>
      <c r="P828" s="46">
        <f>IF($I828="","",_xlfn.TEXTJOIN(", ",TRUE,$I828:$N828))</f>
        <v/>
      </c>
      <c r="Q828" s="47">
        <f>IF($I828="","",IFERROR(INDEX(코드설정!$D$5:$D$24,MATCH($I828,코드설정!$C$5:$C$24,0)),""))</f>
        <v/>
      </c>
      <c r="R828" s="49" t="n"/>
      <c r="S828" s="50" t="n"/>
      <c r="T828" s="51" t="n"/>
      <c r="U828" s="43">
        <f>IF(OR($B828="",$C828=""),"",$C828-$B828+1)</f>
        <v/>
      </c>
      <c r="V828" s="52" t="n"/>
      <c r="W828" s="53">
        <f>IF(OR($V828="",$O828=""),"",$V828*$O828)</f>
        <v/>
      </c>
      <c r="X828" s="45" t="n"/>
      <c r="Y828" s="49" t="n"/>
    </row>
    <row r="829">
      <c r="A829" s="43">
        <f>IF($B829="","",COUNT($B$5:$B829))</f>
        <v/>
      </c>
      <c r="B829" s="44" t="n"/>
      <c r="C829" s="44" t="n"/>
      <c r="D829" s="45" t="n"/>
      <c r="E829" s="45" t="n"/>
      <c r="F829" s="45" t="n"/>
      <c r="G829" s="46">
        <f>IF($F829="","",IFERROR(INDEX(사건마스터!$B$5:$B$64,MATCH($F829,사건마스터!$A$5:$A$64,0)),""))</f>
        <v/>
      </c>
      <c r="H829" s="47">
        <f>IF($F829="","",IFERROR(INDEX(사건마스터!$C$5:$C$64,MATCH($F829,사건마스터!$A$5:$A$64,0)),""))</f>
        <v/>
      </c>
      <c r="I829" s="48">
        <f>IF($F829="","",IFERROR(INDEX(사건마스터!$H$5:$H$64,MATCH($F829,사건마스터!$A$5:$A$64,0)),""))</f>
        <v/>
      </c>
      <c r="J829" s="48">
        <f>IF($F829="","",IFERROR(INDEX(사건마스터!$AH$5:$AH$64,MATCH($F829,사건마스터!$A$5:$A$64,0)),""))</f>
        <v/>
      </c>
      <c r="K829" s="48">
        <f>IF($F829="","",IFERROR(INDEX(사건마스터!$AI$5:$AI$64,MATCH($F829,사건마스터!$A$5:$A$64,0)),""))</f>
        <v/>
      </c>
      <c r="L829" s="48">
        <f>IF($F829="","",IFERROR(INDEX(사건마스터!$AJ$5:$AJ$64,MATCH($F829,사건마스터!$A$5:$A$64,0)),""))</f>
        <v/>
      </c>
      <c r="M829" s="48">
        <f>IF($F829="","",IFERROR(INDEX(사건마스터!$AK$5:$AK$64,MATCH($F829,사건마스터!$A$5:$A$64,0)),""))</f>
        <v/>
      </c>
      <c r="N829" s="48">
        <f>IF($F829="","",IFERROR(INDEX(사건마스터!$AL$5:$AL$64,MATCH($F829,사건마스터!$A$5:$A$64,0)),""))</f>
        <v/>
      </c>
      <c r="O829" s="43">
        <f>IF($I829="","",COUNTIF($I829:$N829,"?*"))</f>
        <v/>
      </c>
      <c r="P829" s="46">
        <f>IF($I829="","",_xlfn.TEXTJOIN(", ",TRUE,$I829:$N829))</f>
        <v/>
      </c>
      <c r="Q829" s="47">
        <f>IF($I829="","",IFERROR(INDEX(코드설정!$D$5:$D$24,MATCH($I829,코드설정!$C$5:$C$24,0)),""))</f>
        <v/>
      </c>
      <c r="R829" s="49" t="n"/>
      <c r="S829" s="50" t="n"/>
      <c r="T829" s="51" t="n"/>
      <c r="U829" s="43">
        <f>IF(OR($B829="",$C829=""),"",$C829-$B829+1)</f>
        <v/>
      </c>
      <c r="V829" s="52" t="n"/>
      <c r="W829" s="53">
        <f>IF(OR($V829="",$O829=""),"",$V829*$O829)</f>
        <v/>
      </c>
      <c r="X829" s="45" t="n"/>
      <c r="Y829" s="49" t="n"/>
    </row>
    <row r="830">
      <c r="A830" s="43">
        <f>IF($B830="","",COUNT($B$5:$B830))</f>
        <v/>
      </c>
      <c r="B830" s="44" t="n"/>
      <c r="C830" s="44" t="n"/>
      <c r="D830" s="45" t="n"/>
      <c r="E830" s="45" t="n"/>
      <c r="F830" s="45" t="n"/>
      <c r="G830" s="46">
        <f>IF($F830="","",IFERROR(INDEX(사건마스터!$B$5:$B$64,MATCH($F830,사건마스터!$A$5:$A$64,0)),""))</f>
        <v/>
      </c>
      <c r="H830" s="47">
        <f>IF($F830="","",IFERROR(INDEX(사건마스터!$C$5:$C$64,MATCH($F830,사건마스터!$A$5:$A$64,0)),""))</f>
        <v/>
      </c>
      <c r="I830" s="48">
        <f>IF($F830="","",IFERROR(INDEX(사건마스터!$H$5:$H$64,MATCH($F830,사건마스터!$A$5:$A$64,0)),""))</f>
        <v/>
      </c>
      <c r="J830" s="48">
        <f>IF($F830="","",IFERROR(INDEX(사건마스터!$AH$5:$AH$64,MATCH($F830,사건마스터!$A$5:$A$64,0)),""))</f>
        <v/>
      </c>
      <c r="K830" s="48">
        <f>IF($F830="","",IFERROR(INDEX(사건마스터!$AI$5:$AI$64,MATCH($F830,사건마스터!$A$5:$A$64,0)),""))</f>
        <v/>
      </c>
      <c r="L830" s="48">
        <f>IF($F830="","",IFERROR(INDEX(사건마스터!$AJ$5:$AJ$64,MATCH($F830,사건마스터!$A$5:$A$64,0)),""))</f>
        <v/>
      </c>
      <c r="M830" s="48">
        <f>IF($F830="","",IFERROR(INDEX(사건마스터!$AK$5:$AK$64,MATCH($F830,사건마스터!$A$5:$A$64,0)),""))</f>
        <v/>
      </c>
      <c r="N830" s="48">
        <f>IF($F830="","",IFERROR(INDEX(사건마스터!$AL$5:$AL$64,MATCH($F830,사건마스터!$A$5:$A$64,0)),""))</f>
        <v/>
      </c>
      <c r="O830" s="43">
        <f>IF($I830="","",COUNTIF($I830:$N830,"?*"))</f>
        <v/>
      </c>
      <c r="P830" s="46">
        <f>IF($I830="","",_xlfn.TEXTJOIN(", ",TRUE,$I830:$N830))</f>
        <v/>
      </c>
      <c r="Q830" s="47">
        <f>IF($I830="","",IFERROR(INDEX(코드설정!$D$5:$D$24,MATCH($I830,코드설정!$C$5:$C$24,0)),""))</f>
        <v/>
      </c>
      <c r="R830" s="49" t="n"/>
      <c r="S830" s="50" t="n"/>
      <c r="T830" s="51" t="n"/>
      <c r="U830" s="43">
        <f>IF(OR($B830="",$C830=""),"",$C830-$B830+1)</f>
        <v/>
      </c>
      <c r="V830" s="52" t="n"/>
      <c r="W830" s="53">
        <f>IF(OR($V830="",$O830=""),"",$V830*$O830)</f>
        <v/>
      </c>
      <c r="X830" s="45" t="n"/>
      <c r="Y830" s="49" t="n"/>
    </row>
    <row r="831">
      <c r="A831" s="43">
        <f>IF($B831="","",COUNT($B$5:$B831))</f>
        <v/>
      </c>
      <c r="B831" s="44" t="n"/>
      <c r="C831" s="44" t="n"/>
      <c r="D831" s="45" t="n"/>
      <c r="E831" s="45" t="n"/>
      <c r="F831" s="45" t="n"/>
      <c r="G831" s="46">
        <f>IF($F831="","",IFERROR(INDEX(사건마스터!$B$5:$B$64,MATCH($F831,사건마스터!$A$5:$A$64,0)),""))</f>
        <v/>
      </c>
      <c r="H831" s="47">
        <f>IF($F831="","",IFERROR(INDEX(사건마스터!$C$5:$C$64,MATCH($F831,사건마스터!$A$5:$A$64,0)),""))</f>
        <v/>
      </c>
      <c r="I831" s="48">
        <f>IF($F831="","",IFERROR(INDEX(사건마스터!$H$5:$H$64,MATCH($F831,사건마스터!$A$5:$A$64,0)),""))</f>
        <v/>
      </c>
      <c r="J831" s="48">
        <f>IF($F831="","",IFERROR(INDEX(사건마스터!$AH$5:$AH$64,MATCH($F831,사건마스터!$A$5:$A$64,0)),""))</f>
        <v/>
      </c>
      <c r="K831" s="48">
        <f>IF($F831="","",IFERROR(INDEX(사건마스터!$AI$5:$AI$64,MATCH($F831,사건마스터!$A$5:$A$64,0)),""))</f>
        <v/>
      </c>
      <c r="L831" s="48">
        <f>IF($F831="","",IFERROR(INDEX(사건마스터!$AJ$5:$AJ$64,MATCH($F831,사건마스터!$A$5:$A$64,0)),""))</f>
        <v/>
      </c>
      <c r="M831" s="48">
        <f>IF($F831="","",IFERROR(INDEX(사건마스터!$AK$5:$AK$64,MATCH($F831,사건마스터!$A$5:$A$64,0)),""))</f>
        <v/>
      </c>
      <c r="N831" s="48">
        <f>IF($F831="","",IFERROR(INDEX(사건마스터!$AL$5:$AL$64,MATCH($F831,사건마스터!$A$5:$A$64,0)),""))</f>
        <v/>
      </c>
      <c r="O831" s="43">
        <f>IF($I831="","",COUNTIF($I831:$N831,"?*"))</f>
        <v/>
      </c>
      <c r="P831" s="46">
        <f>IF($I831="","",_xlfn.TEXTJOIN(", ",TRUE,$I831:$N831))</f>
        <v/>
      </c>
      <c r="Q831" s="47">
        <f>IF($I831="","",IFERROR(INDEX(코드설정!$D$5:$D$24,MATCH($I831,코드설정!$C$5:$C$24,0)),""))</f>
        <v/>
      </c>
      <c r="R831" s="49" t="n"/>
      <c r="S831" s="50" t="n"/>
      <c r="T831" s="51" t="n"/>
      <c r="U831" s="43">
        <f>IF(OR($B831="",$C831=""),"",$C831-$B831+1)</f>
        <v/>
      </c>
      <c r="V831" s="52" t="n"/>
      <c r="W831" s="53">
        <f>IF(OR($V831="",$O831=""),"",$V831*$O831)</f>
        <v/>
      </c>
      <c r="X831" s="45" t="n"/>
      <c r="Y831" s="49" t="n"/>
    </row>
    <row r="832">
      <c r="A832" s="43">
        <f>IF($B832="","",COUNT($B$5:$B832))</f>
        <v/>
      </c>
      <c r="B832" s="44" t="n"/>
      <c r="C832" s="44" t="n"/>
      <c r="D832" s="45" t="n"/>
      <c r="E832" s="45" t="n"/>
      <c r="F832" s="45" t="n"/>
      <c r="G832" s="46">
        <f>IF($F832="","",IFERROR(INDEX(사건마스터!$B$5:$B$64,MATCH($F832,사건마스터!$A$5:$A$64,0)),""))</f>
        <v/>
      </c>
      <c r="H832" s="47">
        <f>IF($F832="","",IFERROR(INDEX(사건마스터!$C$5:$C$64,MATCH($F832,사건마스터!$A$5:$A$64,0)),""))</f>
        <v/>
      </c>
      <c r="I832" s="48">
        <f>IF($F832="","",IFERROR(INDEX(사건마스터!$H$5:$H$64,MATCH($F832,사건마스터!$A$5:$A$64,0)),""))</f>
        <v/>
      </c>
      <c r="J832" s="48">
        <f>IF($F832="","",IFERROR(INDEX(사건마스터!$AH$5:$AH$64,MATCH($F832,사건마스터!$A$5:$A$64,0)),""))</f>
        <v/>
      </c>
      <c r="K832" s="48">
        <f>IF($F832="","",IFERROR(INDEX(사건마스터!$AI$5:$AI$64,MATCH($F832,사건마스터!$A$5:$A$64,0)),""))</f>
        <v/>
      </c>
      <c r="L832" s="48">
        <f>IF($F832="","",IFERROR(INDEX(사건마스터!$AJ$5:$AJ$64,MATCH($F832,사건마스터!$A$5:$A$64,0)),""))</f>
        <v/>
      </c>
      <c r="M832" s="48">
        <f>IF($F832="","",IFERROR(INDEX(사건마스터!$AK$5:$AK$64,MATCH($F832,사건마스터!$A$5:$A$64,0)),""))</f>
        <v/>
      </c>
      <c r="N832" s="48">
        <f>IF($F832="","",IFERROR(INDEX(사건마스터!$AL$5:$AL$64,MATCH($F832,사건마스터!$A$5:$A$64,0)),""))</f>
        <v/>
      </c>
      <c r="O832" s="43">
        <f>IF($I832="","",COUNTIF($I832:$N832,"?*"))</f>
        <v/>
      </c>
      <c r="P832" s="46">
        <f>IF($I832="","",_xlfn.TEXTJOIN(", ",TRUE,$I832:$N832))</f>
        <v/>
      </c>
      <c r="Q832" s="47">
        <f>IF($I832="","",IFERROR(INDEX(코드설정!$D$5:$D$24,MATCH($I832,코드설정!$C$5:$C$24,0)),""))</f>
        <v/>
      </c>
      <c r="R832" s="49" t="n"/>
      <c r="S832" s="50" t="n"/>
      <c r="T832" s="51" t="n"/>
      <c r="U832" s="43">
        <f>IF(OR($B832="",$C832=""),"",$C832-$B832+1)</f>
        <v/>
      </c>
      <c r="V832" s="52" t="n"/>
      <c r="W832" s="53">
        <f>IF(OR($V832="",$O832=""),"",$V832*$O832)</f>
        <v/>
      </c>
      <c r="X832" s="45" t="n"/>
      <c r="Y832" s="49" t="n"/>
    </row>
    <row r="833">
      <c r="A833" s="43">
        <f>IF($B833="","",COUNT($B$5:$B833))</f>
        <v/>
      </c>
      <c r="B833" s="44" t="n"/>
      <c r="C833" s="44" t="n"/>
      <c r="D833" s="45" t="n"/>
      <c r="E833" s="45" t="n"/>
      <c r="F833" s="45" t="n"/>
      <c r="G833" s="46">
        <f>IF($F833="","",IFERROR(INDEX(사건마스터!$B$5:$B$64,MATCH($F833,사건마스터!$A$5:$A$64,0)),""))</f>
        <v/>
      </c>
      <c r="H833" s="47">
        <f>IF($F833="","",IFERROR(INDEX(사건마스터!$C$5:$C$64,MATCH($F833,사건마스터!$A$5:$A$64,0)),""))</f>
        <v/>
      </c>
      <c r="I833" s="48">
        <f>IF($F833="","",IFERROR(INDEX(사건마스터!$H$5:$H$64,MATCH($F833,사건마스터!$A$5:$A$64,0)),""))</f>
        <v/>
      </c>
      <c r="J833" s="48">
        <f>IF($F833="","",IFERROR(INDEX(사건마스터!$AH$5:$AH$64,MATCH($F833,사건마스터!$A$5:$A$64,0)),""))</f>
        <v/>
      </c>
      <c r="K833" s="48">
        <f>IF($F833="","",IFERROR(INDEX(사건마스터!$AI$5:$AI$64,MATCH($F833,사건마스터!$A$5:$A$64,0)),""))</f>
        <v/>
      </c>
      <c r="L833" s="48">
        <f>IF($F833="","",IFERROR(INDEX(사건마스터!$AJ$5:$AJ$64,MATCH($F833,사건마스터!$A$5:$A$64,0)),""))</f>
        <v/>
      </c>
      <c r="M833" s="48">
        <f>IF($F833="","",IFERROR(INDEX(사건마스터!$AK$5:$AK$64,MATCH($F833,사건마스터!$A$5:$A$64,0)),""))</f>
        <v/>
      </c>
      <c r="N833" s="48">
        <f>IF($F833="","",IFERROR(INDEX(사건마스터!$AL$5:$AL$64,MATCH($F833,사건마스터!$A$5:$A$64,0)),""))</f>
        <v/>
      </c>
      <c r="O833" s="43">
        <f>IF($I833="","",COUNTIF($I833:$N833,"?*"))</f>
        <v/>
      </c>
      <c r="P833" s="46">
        <f>IF($I833="","",_xlfn.TEXTJOIN(", ",TRUE,$I833:$N833))</f>
        <v/>
      </c>
      <c r="Q833" s="47">
        <f>IF($I833="","",IFERROR(INDEX(코드설정!$D$5:$D$24,MATCH($I833,코드설정!$C$5:$C$24,0)),""))</f>
        <v/>
      </c>
      <c r="R833" s="49" t="n"/>
      <c r="S833" s="50" t="n"/>
      <c r="T833" s="51" t="n"/>
      <c r="U833" s="43">
        <f>IF(OR($B833="",$C833=""),"",$C833-$B833+1)</f>
        <v/>
      </c>
      <c r="V833" s="52" t="n"/>
      <c r="W833" s="53">
        <f>IF(OR($V833="",$O833=""),"",$V833*$O833)</f>
        <v/>
      </c>
      <c r="X833" s="45" t="n"/>
      <c r="Y833" s="49" t="n"/>
    </row>
    <row r="834">
      <c r="A834" s="43">
        <f>IF($B834="","",COUNT($B$5:$B834))</f>
        <v/>
      </c>
      <c r="B834" s="44" t="n"/>
      <c r="C834" s="44" t="n"/>
      <c r="D834" s="45" t="n"/>
      <c r="E834" s="45" t="n"/>
      <c r="F834" s="45" t="n"/>
      <c r="G834" s="46">
        <f>IF($F834="","",IFERROR(INDEX(사건마스터!$B$5:$B$64,MATCH($F834,사건마스터!$A$5:$A$64,0)),""))</f>
        <v/>
      </c>
      <c r="H834" s="47">
        <f>IF($F834="","",IFERROR(INDEX(사건마스터!$C$5:$C$64,MATCH($F834,사건마스터!$A$5:$A$64,0)),""))</f>
        <v/>
      </c>
      <c r="I834" s="48">
        <f>IF($F834="","",IFERROR(INDEX(사건마스터!$H$5:$H$64,MATCH($F834,사건마스터!$A$5:$A$64,0)),""))</f>
        <v/>
      </c>
      <c r="J834" s="48">
        <f>IF($F834="","",IFERROR(INDEX(사건마스터!$AH$5:$AH$64,MATCH($F834,사건마스터!$A$5:$A$64,0)),""))</f>
        <v/>
      </c>
      <c r="K834" s="48">
        <f>IF($F834="","",IFERROR(INDEX(사건마스터!$AI$5:$AI$64,MATCH($F834,사건마스터!$A$5:$A$64,0)),""))</f>
        <v/>
      </c>
      <c r="L834" s="48">
        <f>IF($F834="","",IFERROR(INDEX(사건마스터!$AJ$5:$AJ$64,MATCH($F834,사건마스터!$A$5:$A$64,0)),""))</f>
        <v/>
      </c>
      <c r="M834" s="48">
        <f>IF($F834="","",IFERROR(INDEX(사건마스터!$AK$5:$AK$64,MATCH($F834,사건마스터!$A$5:$A$64,0)),""))</f>
        <v/>
      </c>
      <c r="N834" s="48">
        <f>IF($F834="","",IFERROR(INDEX(사건마스터!$AL$5:$AL$64,MATCH($F834,사건마스터!$A$5:$A$64,0)),""))</f>
        <v/>
      </c>
      <c r="O834" s="43">
        <f>IF($I834="","",COUNTIF($I834:$N834,"?*"))</f>
        <v/>
      </c>
      <c r="P834" s="46">
        <f>IF($I834="","",_xlfn.TEXTJOIN(", ",TRUE,$I834:$N834))</f>
        <v/>
      </c>
      <c r="Q834" s="47">
        <f>IF($I834="","",IFERROR(INDEX(코드설정!$D$5:$D$24,MATCH($I834,코드설정!$C$5:$C$24,0)),""))</f>
        <v/>
      </c>
      <c r="R834" s="49" t="n"/>
      <c r="S834" s="50" t="n"/>
      <c r="T834" s="51" t="n"/>
      <c r="U834" s="43">
        <f>IF(OR($B834="",$C834=""),"",$C834-$B834+1)</f>
        <v/>
      </c>
      <c r="V834" s="52" t="n"/>
      <c r="W834" s="53">
        <f>IF(OR($V834="",$O834=""),"",$V834*$O834)</f>
        <v/>
      </c>
      <c r="X834" s="45" t="n"/>
      <c r="Y834" s="49" t="n"/>
    </row>
    <row r="835">
      <c r="A835" s="43">
        <f>IF($B835="","",COUNT($B$5:$B835))</f>
        <v/>
      </c>
      <c r="B835" s="44" t="n"/>
      <c r="C835" s="44" t="n"/>
      <c r="D835" s="45" t="n"/>
      <c r="E835" s="45" t="n"/>
      <c r="F835" s="45" t="n"/>
      <c r="G835" s="46">
        <f>IF($F835="","",IFERROR(INDEX(사건마스터!$B$5:$B$64,MATCH($F835,사건마스터!$A$5:$A$64,0)),""))</f>
        <v/>
      </c>
      <c r="H835" s="47">
        <f>IF($F835="","",IFERROR(INDEX(사건마스터!$C$5:$C$64,MATCH($F835,사건마스터!$A$5:$A$64,0)),""))</f>
        <v/>
      </c>
      <c r="I835" s="48">
        <f>IF($F835="","",IFERROR(INDEX(사건마스터!$H$5:$H$64,MATCH($F835,사건마스터!$A$5:$A$64,0)),""))</f>
        <v/>
      </c>
      <c r="J835" s="48">
        <f>IF($F835="","",IFERROR(INDEX(사건마스터!$AH$5:$AH$64,MATCH($F835,사건마스터!$A$5:$A$64,0)),""))</f>
        <v/>
      </c>
      <c r="K835" s="48">
        <f>IF($F835="","",IFERROR(INDEX(사건마스터!$AI$5:$AI$64,MATCH($F835,사건마스터!$A$5:$A$64,0)),""))</f>
        <v/>
      </c>
      <c r="L835" s="48">
        <f>IF($F835="","",IFERROR(INDEX(사건마스터!$AJ$5:$AJ$64,MATCH($F835,사건마스터!$A$5:$A$64,0)),""))</f>
        <v/>
      </c>
      <c r="M835" s="48">
        <f>IF($F835="","",IFERROR(INDEX(사건마스터!$AK$5:$AK$64,MATCH($F835,사건마스터!$A$5:$A$64,0)),""))</f>
        <v/>
      </c>
      <c r="N835" s="48">
        <f>IF($F835="","",IFERROR(INDEX(사건마스터!$AL$5:$AL$64,MATCH($F835,사건마스터!$A$5:$A$64,0)),""))</f>
        <v/>
      </c>
      <c r="O835" s="43">
        <f>IF($I835="","",COUNTIF($I835:$N835,"?*"))</f>
        <v/>
      </c>
      <c r="P835" s="46">
        <f>IF($I835="","",_xlfn.TEXTJOIN(", ",TRUE,$I835:$N835))</f>
        <v/>
      </c>
      <c r="Q835" s="47">
        <f>IF($I835="","",IFERROR(INDEX(코드설정!$D$5:$D$24,MATCH($I835,코드설정!$C$5:$C$24,0)),""))</f>
        <v/>
      </c>
      <c r="R835" s="49" t="n"/>
      <c r="S835" s="50" t="n"/>
      <c r="T835" s="51" t="n"/>
      <c r="U835" s="43">
        <f>IF(OR($B835="",$C835=""),"",$C835-$B835+1)</f>
        <v/>
      </c>
      <c r="V835" s="52" t="n"/>
      <c r="W835" s="53">
        <f>IF(OR($V835="",$O835=""),"",$V835*$O835)</f>
        <v/>
      </c>
      <c r="X835" s="45" t="n"/>
      <c r="Y835" s="49" t="n"/>
    </row>
    <row r="836">
      <c r="A836" s="43">
        <f>IF($B836="","",COUNT($B$5:$B836))</f>
        <v/>
      </c>
      <c r="B836" s="44" t="n"/>
      <c r="C836" s="44" t="n"/>
      <c r="D836" s="45" t="n"/>
      <c r="E836" s="45" t="n"/>
      <c r="F836" s="45" t="n"/>
      <c r="G836" s="46">
        <f>IF($F836="","",IFERROR(INDEX(사건마스터!$B$5:$B$64,MATCH($F836,사건마스터!$A$5:$A$64,0)),""))</f>
        <v/>
      </c>
      <c r="H836" s="47">
        <f>IF($F836="","",IFERROR(INDEX(사건마스터!$C$5:$C$64,MATCH($F836,사건마스터!$A$5:$A$64,0)),""))</f>
        <v/>
      </c>
      <c r="I836" s="48">
        <f>IF($F836="","",IFERROR(INDEX(사건마스터!$H$5:$H$64,MATCH($F836,사건마스터!$A$5:$A$64,0)),""))</f>
        <v/>
      </c>
      <c r="J836" s="48">
        <f>IF($F836="","",IFERROR(INDEX(사건마스터!$AH$5:$AH$64,MATCH($F836,사건마스터!$A$5:$A$64,0)),""))</f>
        <v/>
      </c>
      <c r="K836" s="48">
        <f>IF($F836="","",IFERROR(INDEX(사건마스터!$AI$5:$AI$64,MATCH($F836,사건마스터!$A$5:$A$64,0)),""))</f>
        <v/>
      </c>
      <c r="L836" s="48">
        <f>IF($F836="","",IFERROR(INDEX(사건마스터!$AJ$5:$AJ$64,MATCH($F836,사건마스터!$A$5:$A$64,0)),""))</f>
        <v/>
      </c>
      <c r="M836" s="48">
        <f>IF($F836="","",IFERROR(INDEX(사건마스터!$AK$5:$AK$64,MATCH($F836,사건마스터!$A$5:$A$64,0)),""))</f>
        <v/>
      </c>
      <c r="N836" s="48">
        <f>IF($F836="","",IFERROR(INDEX(사건마스터!$AL$5:$AL$64,MATCH($F836,사건마스터!$A$5:$A$64,0)),""))</f>
        <v/>
      </c>
      <c r="O836" s="43">
        <f>IF($I836="","",COUNTIF($I836:$N836,"?*"))</f>
        <v/>
      </c>
      <c r="P836" s="46">
        <f>IF($I836="","",_xlfn.TEXTJOIN(", ",TRUE,$I836:$N836))</f>
        <v/>
      </c>
      <c r="Q836" s="47">
        <f>IF($I836="","",IFERROR(INDEX(코드설정!$D$5:$D$24,MATCH($I836,코드설정!$C$5:$C$24,0)),""))</f>
        <v/>
      </c>
      <c r="R836" s="49" t="n"/>
      <c r="S836" s="50" t="n"/>
      <c r="T836" s="51" t="n"/>
      <c r="U836" s="43">
        <f>IF(OR($B836="",$C836=""),"",$C836-$B836+1)</f>
        <v/>
      </c>
      <c r="V836" s="52" t="n"/>
      <c r="W836" s="53">
        <f>IF(OR($V836="",$O836=""),"",$V836*$O836)</f>
        <v/>
      </c>
      <c r="X836" s="45" t="n"/>
      <c r="Y836" s="49" t="n"/>
    </row>
    <row r="837">
      <c r="A837" s="43">
        <f>IF($B837="","",COUNT($B$5:$B837))</f>
        <v/>
      </c>
      <c r="B837" s="44" t="n"/>
      <c r="C837" s="44" t="n"/>
      <c r="D837" s="45" t="n"/>
      <c r="E837" s="45" t="n"/>
      <c r="F837" s="45" t="n"/>
      <c r="G837" s="46">
        <f>IF($F837="","",IFERROR(INDEX(사건마스터!$B$5:$B$64,MATCH($F837,사건마스터!$A$5:$A$64,0)),""))</f>
        <v/>
      </c>
      <c r="H837" s="47">
        <f>IF($F837="","",IFERROR(INDEX(사건마스터!$C$5:$C$64,MATCH($F837,사건마스터!$A$5:$A$64,0)),""))</f>
        <v/>
      </c>
      <c r="I837" s="48">
        <f>IF($F837="","",IFERROR(INDEX(사건마스터!$H$5:$H$64,MATCH($F837,사건마스터!$A$5:$A$64,0)),""))</f>
        <v/>
      </c>
      <c r="J837" s="48">
        <f>IF($F837="","",IFERROR(INDEX(사건마스터!$AH$5:$AH$64,MATCH($F837,사건마스터!$A$5:$A$64,0)),""))</f>
        <v/>
      </c>
      <c r="K837" s="48">
        <f>IF($F837="","",IFERROR(INDEX(사건마스터!$AI$5:$AI$64,MATCH($F837,사건마스터!$A$5:$A$64,0)),""))</f>
        <v/>
      </c>
      <c r="L837" s="48">
        <f>IF($F837="","",IFERROR(INDEX(사건마스터!$AJ$5:$AJ$64,MATCH($F837,사건마스터!$A$5:$A$64,0)),""))</f>
        <v/>
      </c>
      <c r="M837" s="48">
        <f>IF($F837="","",IFERROR(INDEX(사건마스터!$AK$5:$AK$64,MATCH($F837,사건마스터!$A$5:$A$64,0)),""))</f>
        <v/>
      </c>
      <c r="N837" s="48">
        <f>IF($F837="","",IFERROR(INDEX(사건마스터!$AL$5:$AL$64,MATCH($F837,사건마스터!$A$5:$A$64,0)),""))</f>
        <v/>
      </c>
      <c r="O837" s="43">
        <f>IF($I837="","",COUNTIF($I837:$N837,"?*"))</f>
        <v/>
      </c>
      <c r="P837" s="46">
        <f>IF($I837="","",_xlfn.TEXTJOIN(", ",TRUE,$I837:$N837))</f>
        <v/>
      </c>
      <c r="Q837" s="47">
        <f>IF($I837="","",IFERROR(INDEX(코드설정!$D$5:$D$24,MATCH($I837,코드설정!$C$5:$C$24,0)),""))</f>
        <v/>
      </c>
      <c r="R837" s="49" t="n"/>
      <c r="S837" s="50" t="n"/>
      <c r="T837" s="51" t="n"/>
      <c r="U837" s="43">
        <f>IF(OR($B837="",$C837=""),"",$C837-$B837+1)</f>
        <v/>
      </c>
      <c r="V837" s="52" t="n"/>
      <c r="W837" s="53">
        <f>IF(OR($V837="",$O837=""),"",$V837*$O837)</f>
        <v/>
      </c>
      <c r="X837" s="45" t="n"/>
      <c r="Y837" s="49" t="n"/>
    </row>
    <row r="838">
      <c r="A838" s="43">
        <f>IF($B838="","",COUNT($B$5:$B838))</f>
        <v/>
      </c>
      <c r="B838" s="44" t="n"/>
      <c r="C838" s="44" t="n"/>
      <c r="D838" s="45" t="n"/>
      <c r="E838" s="45" t="n"/>
      <c r="F838" s="45" t="n"/>
      <c r="G838" s="46">
        <f>IF($F838="","",IFERROR(INDEX(사건마스터!$B$5:$B$64,MATCH($F838,사건마스터!$A$5:$A$64,0)),""))</f>
        <v/>
      </c>
      <c r="H838" s="47">
        <f>IF($F838="","",IFERROR(INDEX(사건마스터!$C$5:$C$64,MATCH($F838,사건마스터!$A$5:$A$64,0)),""))</f>
        <v/>
      </c>
      <c r="I838" s="48">
        <f>IF($F838="","",IFERROR(INDEX(사건마스터!$H$5:$H$64,MATCH($F838,사건마스터!$A$5:$A$64,0)),""))</f>
        <v/>
      </c>
      <c r="J838" s="48">
        <f>IF($F838="","",IFERROR(INDEX(사건마스터!$AH$5:$AH$64,MATCH($F838,사건마스터!$A$5:$A$64,0)),""))</f>
        <v/>
      </c>
      <c r="K838" s="48">
        <f>IF($F838="","",IFERROR(INDEX(사건마스터!$AI$5:$AI$64,MATCH($F838,사건마스터!$A$5:$A$64,0)),""))</f>
        <v/>
      </c>
      <c r="L838" s="48">
        <f>IF($F838="","",IFERROR(INDEX(사건마스터!$AJ$5:$AJ$64,MATCH($F838,사건마스터!$A$5:$A$64,0)),""))</f>
        <v/>
      </c>
      <c r="M838" s="48">
        <f>IF($F838="","",IFERROR(INDEX(사건마스터!$AK$5:$AK$64,MATCH($F838,사건마스터!$A$5:$A$64,0)),""))</f>
        <v/>
      </c>
      <c r="N838" s="48">
        <f>IF($F838="","",IFERROR(INDEX(사건마스터!$AL$5:$AL$64,MATCH($F838,사건마스터!$A$5:$A$64,0)),""))</f>
        <v/>
      </c>
      <c r="O838" s="43">
        <f>IF($I838="","",COUNTIF($I838:$N838,"?*"))</f>
        <v/>
      </c>
      <c r="P838" s="46">
        <f>IF($I838="","",_xlfn.TEXTJOIN(", ",TRUE,$I838:$N838))</f>
        <v/>
      </c>
      <c r="Q838" s="47">
        <f>IF($I838="","",IFERROR(INDEX(코드설정!$D$5:$D$24,MATCH($I838,코드설정!$C$5:$C$24,0)),""))</f>
        <v/>
      </c>
      <c r="R838" s="49" t="n"/>
      <c r="S838" s="50" t="n"/>
      <c r="T838" s="51" t="n"/>
      <c r="U838" s="43">
        <f>IF(OR($B838="",$C838=""),"",$C838-$B838+1)</f>
        <v/>
      </c>
      <c r="V838" s="52" t="n"/>
      <c r="W838" s="53">
        <f>IF(OR($V838="",$O838=""),"",$V838*$O838)</f>
        <v/>
      </c>
      <c r="X838" s="45" t="n"/>
      <c r="Y838" s="49" t="n"/>
    </row>
    <row r="839">
      <c r="A839" s="43">
        <f>IF($B839="","",COUNT($B$5:$B839))</f>
        <v/>
      </c>
      <c r="B839" s="44" t="n"/>
      <c r="C839" s="44" t="n"/>
      <c r="D839" s="45" t="n"/>
      <c r="E839" s="45" t="n"/>
      <c r="F839" s="45" t="n"/>
      <c r="G839" s="46">
        <f>IF($F839="","",IFERROR(INDEX(사건마스터!$B$5:$B$64,MATCH($F839,사건마스터!$A$5:$A$64,0)),""))</f>
        <v/>
      </c>
      <c r="H839" s="47">
        <f>IF($F839="","",IFERROR(INDEX(사건마스터!$C$5:$C$64,MATCH($F839,사건마스터!$A$5:$A$64,0)),""))</f>
        <v/>
      </c>
      <c r="I839" s="48">
        <f>IF($F839="","",IFERROR(INDEX(사건마스터!$H$5:$H$64,MATCH($F839,사건마스터!$A$5:$A$64,0)),""))</f>
        <v/>
      </c>
      <c r="J839" s="48">
        <f>IF($F839="","",IFERROR(INDEX(사건마스터!$AH$5:$AH$64,MATCH($F839,사건마스터!$A$5:$A$64,0)),""))</f>
        <v/>
      </c>
      <c r="K839" s="48">
        <f>IF($F839="","",IFERROR(INDEX(사건마스터!$AI$5:$AI$64,MATCH($F839,사건마스터!$A$5:$A$64,0)),""))</f>
        <v/>
      </c>
      <c r="L839" s="48">
        <f>IF($F839="","",IFERROR(INDEX(사건마스터!$AJ$5:$AJ$64,MATCH($F839,사건마스터!$A$5:$A$64,0)),""))</f>
        <v/>
      </c>
      <c r="M839" s="48">
        <f>IF($F839="","",IFERROR(INDEX(사건마스터!$AK$5:$AK$64,MATCH($F839,사건마스터!$A$5:$A$64,0)),""))</f>
        <v/>
      </c>
      <c r="N839" s="48">
        <f>IF($F839="","",IFERROR(INDEX(사건마스터!$AL$5:$AL$64,MATCH($F839,사건마스터!$A$5:$A$64,0)),""))</f>
        <v/>
      </c>
      <c r="O839" s="43">
        <f>IF($I839="","",COUNTIF($I839:$N839,"?*"))</f>
        <v/>
      </c>
      <c r="P839" s="46">
        <f>IF($I839="","",_xlfn.TEXTJOIN(", ",TRUE,$I839:$N839))</f>
        <v/>
      </c>
      <c r="Q839" s="47">
        <f>IF($I839="","",IFERROR(INDEX(코드설정!$D$5:$D$24,MATCH($I839,코드설정!$C$5:$C$24,0)),""))</f>
        <v/>
      </c>
      <c r="R839" s="49" t="n"/>
      <c r="S839" s="50" t="n"/>
      <c r="T839" s="51" t="n"/>
      <c r="U839" s="43">
        <f>IF(OR($B839="",$C839=""),"",$C839-$B839+1)</f>
        <v/>
      </c>
      <c r="V839" s="52" t="n"/>
      <c r="W839" s="53">
        <f>IF(OR($V839="",$O839=""),"",$V839*$O839)</f>
        <v/>
      </c>
      <c r="X839" s="45" t="n"/>
      <c r="Y839" s="49" t="n"/>
    </row>
    <row r="840">
      <c r="A840" s="43">
        <f>IF($B840="","",COUNT($B$5:$B840))</f>
        <v/>
      </c>
      <c r="B840" s="44" t="n"/>
      <c r="C840" s="44" t="n"/>
      <c r="D840" s="45" t="n"/>
      <c r="E840" s="45" t="n"/>
      <c r="F840" s="45" t="n"/>
      <c r="G840" s="46">
        <f>IF($F840="","",IFERROR(INDEX(사건마스터!$B$5:$B$64,MATCH($F840,사건마스터!$A$5:$A$64,0)),""))</f>
        <v/>
      </c>
      <c r="H840" s="47">
        <f>IF($F840="","",IFERROR(INDEX(사건마스터!$C$5:$C$64,MATCH($F840,사건마스터!$A$5:$A$64,0)),""))</f>
        <v/>
      </c>
      <c r="I840" s="48">
        <f>IF($F840="","",IFERROR(INDEX(사건마스터!$H$5:$H$64,MATCH($F840,사건마스터!$A$5:$A$64,0)),""))</f>
        <v/>
      </c>
      <c r="J840" s="48">
        <f>IF($F840="","",IFERROR(INDEX(사건마스터!$AH$5:$AH$64,MATCH($F840,사건마스터!$A$5:$A$64,0)),""))</f>
        <v/>
      </c>
      <c r="K840" s="48">
        <f>IF($F840="","",IFERROR(INDEX(사건마스터!$AI$5:$AI$64,MATCH($F840,사건마스터!$A$5:$A$64,0)),""))</f>
        <v/>
      </c>
      <c r="L840" s="48">
        <f>IF($F840="","",IFERROR(INDEX(사건마스터!$AJ$5:$AJ$64,MATCH($F840,사건마스터!$A$5:$A$64,0)),""))</f>
        <v/>
      </c>
      <c r="M840" s="48">
        <f>IF($F840="","",IFERROR(INDEX(사건마스터!$AK$5:$AK$64,MATCH($F840,사건마스터!$A$5:$A$64,0)),""))</f>
        <v/>
      </c>
      <c r="N840" s="48">
        <f>IF($F840="","",IFERROR(INDEX(사건마스터!$AL$5:$AL$64,MATCH($F840,사건마스터!$A$5:$A$64,0)),""))</f>
        <v/>
      </c>
      <c r="O840" s="43">
        <f>IF($I840="","",COUNTIF($I840:$N840,"?*"))</f>
        <v/>
      </c>
      <c r="P840" s="46">
        <f>IF($I840="","",_xlfn.TEXTJOIN(", ",TRUE,$I840:$N840))</f>
        <v/>
      </c>
      <c r="Q840" s="47">
        <f>IF($I840="","",IFERROR(INDEX(코드설정!$D$5:$D$24,MATCH($I840,코드설정!$C$5:$C$24,0)),""))</f>
        <v/>
      </c>
      <c r="R840" s="49" t="n"/>
      <c r="S840" s="50" t="n"/>
      <c r="T840" s="51" t="n"/>
      <c r="U840" s="43">
        <f>IF(OR($B840="",$C840=""),"",$C840-$B840+1)</f>
        <v/>
      </c>
      <c r="V840" s="52" t="n"/>
      <c r="W840" s="53">
        <f>IF(OR($V840="",$O840=""),"",$V840*$O840)</f>
        <v/>
      </c>
      <c r="X840" s="45" t="n"/>
      <c r="Y840" s="49" t="n"/>
    </row>
    <row r="841">
      <c r="A841" s="43">
        <f>IF($B841="","",COUNT($B$5:$B841))</f>
        <v/>
      </c>
      <c r="B841" s="44" t="n"/>
      <c r="C841" s="44" t="n"/>
      <c r="D841" s="45" t="n"/>
      <c r="E841" s="45" t="n"/>
      <c r="F841" s="45" t="n"/>
      <c r="G841" s="46">
        <f>IF($F841="","",IFERROR(INDEX(사건마스터!$B$5:$B$64,MATCH($F841,사건마스터!$A$5:$A$64,0)),""))</f>
        <v/>
      </c>
      <c r="H841" s="47">
        <f>IF($F841="","",IFERROR(INDEX(사건마스터!$C$5:$C$64,MATCH($F841,사건마스터!$A$5:$A$64,0)),""))</f>
        <v/>
      </c>
      <c r="I841" s="48">
        <f>IF($F841="","",IFERROR(INDEX(사건마스터!$H$5:$H$64,MATCH($F841,사건마스터!$A$5:$A$64,0)),""))</f>
        <v/>
      </c>
      <c r="J841" s="48">
        <f>IF($F841="","",IFERROR(INDEX(사건마스터!$AH$5:$AH$64,MATCH($F841,사건마스터!$A$5:$A$64,0)),""))</f>
        <v/>
      </c>
      <c r="K841" s="48">
        <f>IF($F841="","",IFERROR(INDEX(사건마스터!$AI$5:$AI$64,MATCH($F841,사건마스터!$A$5:$A$64,0)),""))</f>
        <v/>
      </c>
      <c r="L841" s="48">
        <f>IF($F841="","",IFERROR(INDEX(사건마스터!$AJ$5:$AJ$64,MATCH($F841,사건마스터!$A$5:$A$64,0)),""))</f>
        <v/>
      </c>
      <c r="M841" s="48">
        <f>IF($F841="","",IFERROR(INDEX(사건마스터!$AK$5:$AK$64,MATCH($F841,사건마스터!$A$5:$A$64,0)),""))</f>
        <v/>
      </c>
      <c r="N841" s="48">
        <f>IF($F841="","",IFERROR(INDEX(사건마스터!$AL$5:$AL$64,MATCH($F841,사건마스터!$A$5:$A$64,0)),""))</f>
        <v/>
      </c>
      <c r="O841" s="43">
        <f>IF($I841="","",COUNTIF($I841:$N841,"?*"))</f>
        <v/>
      </c>
      <c r="P841" s="46">
        <f>IF($I841="","",_xlfn.TEXTJOIN(", ",TRUE,$I841:$N841))</f>
        <v/>
      </c>
      <c r="Q841" s="47">
        <f>IF($I841="","",IFERROR(INDEX(코드설정!$D$5:$D$24,MATCH($I841,코드설정!$C$5:$C$24,0)),""))</f>
        <v/>
      </c>
      <c r="R841" s="49" t="n"/>
      <c r="S841" s="50" t="n"/>
      <c r="T841" s="51" t="n"/>
      <c r="U841" s="43">
        <f>IF(OR($B841="",$C841=""),"",$C841-$B841+1)</f>
        <v/>
      </c>
      <c r="V841" s="52" t="n"/>
      <c r="W841" s="53">
        <f>IF(OR($V841="",$O841=""),"",$V841*$O841)</f>
        <v/>
      </c>
      <c r="X841" s="45" t="n"/>
      <c r="Y841" s="49" t="n"/>
    </row>
    <row r="842">
      <c r="A842" s="43">
        <f>IF($B842="","",COUNT($B$5:$B842))</f>
        <v/>
      </c>
      <c r="B842" s="44" t="n"/>
      <c r="C842" s="44" t="n"/>
      <c r="D842" s="45" t="n"/>
      <c r="E842" s="45" t="n"/>
      <c r="F842" s="45" t="n"/>
      <c r="G842" s="46">
        <f>IF($F842="","",IFERROR(INDEX(사건마스터!$B$5:$B$64,MATCH($F842,사건마스터!$A$5:$A$64,0)),""))</f>
        <v/>
      </c>
      <c r="H842" s="47">
        <f>IF($F842="","",IFERROR(INDEX(사건마스터!$C$5:$C$64,MATCH($F842,사건마스터!$A$5:$A$64,0)),""))</f>
        <v/>
      </c>
      <c r="I842" s="48">
        <f>IF($F842="","",IFERROR(INDEX(사건마스터!$H$5:$H$64,MATCH($F842,사건마스터!$A$5:$A$64,0)),""))</f>
        <v/>
      </c>
      <c r="J842" s="48">
        <f>IF($F842="","",IFERROR(INDEX(사건마스터!$AH$5:$AH$64,MATCH($F842,사건마스터!$A$5:$A$64,0)),""))</f>
        <v/>
      </c>
      <c r="K842" s="48">
        <f>IF($F842="","",IFERROR(INDEX(사건마스터!$AI$5:$AI$64,MATCH($F842,사건마스터!$A$5:$A$64,0)),""))</f>
        <v/>
      </c>
      <c r="L842" s="48">
        <f>IF($F842="","",IFERROR(INDEX(사건마스터!$AJ$5:$AJ$64,MATCH($F842,사건마스터!$A$5:$A$64,0)),""))</f>
        <v/>
      </c>
      <c r="M842" s="48">
        <f>IF($F842="","",IFERROR(INDEX(사건마스터!$AK$5:$AK$64,MATCH($F842,사건마스터!$A$5:$A$64,0)),""))</f>
        <v/>
      </c>
      <c r="N842" s="48">
        <f>IF($F842="","",IFERROR(INDEX(사건마스터!$AL$5:$AL$64,MATCH($F842,사건마스터!$A$5:$A$64,0)),""))</f>
        <v/>
      </c>
      <c r="O842" s="43">
        <f>IF($I842="","",COUNTIF($I842:$N842,"?*"))</f>
        <v/>
      </c>
      <c r="P842" s="46">
        <f>IF($I842="","",_xlfn.TEXTJOIN(", ",TRUE,$I842:$N842))</f>
        <v/>
      </c>
      <c r="Q842" s="47">
        <f>IF($I842="","",IFERROR(INDEX(코드설정!$D$5:$D$24,MATCH($I842,코드설정!$C$5:$C$24,0)),""))</f>
        <v/>
      </c>
      <c r="R842" s="49" t="n"/>
      <c r="S842" s="50" t="n"/>
      <c r="T842" s="51" t="n"/>
      <c r="U842" s="43">
        <f>IF(OR($B842="",$C842=""),"",$C842-$B842+1)</f>
        <v/>
      </c>
      <c r="V842" s="52" t="n"/>
      <c r="W842" s="53">
        <f>IF(OR($V842="",$O842=""),"",$V842*$O842)</f>
        <v/>
      </c>
      <c r="X842" s="45" t="n"/>
      <c r="Y842" s="49" t="n"/>
    </row>
    <row r="843">
      <c r="A843" s="43">
        <f>IF($B843="","",COUNT($B$5:$B843))</f>
        <v/>
      </c>
      <c r="B843" s="44" t="n"/>
      <c r="C843" s="44" t="n"/>
      <c r="D843" s="45" t="n"/>
      <c r="E843" s="45" t="n"/>
      <c r="F843" s="45" t="n"/>
      <c r="G843" s="46">
        <f>IF($F843="","",IFERROR(INDEX(사건마스터!$B$5:$B$64,MATCH($F843,사건마스터!$A$5:$A$64,0)),""))</f>
        <v/>
      </c>
      <c r="H843" s="47">
        <f>IF($F843="","",IFERROR(INDEX(사건마스터!$C$5:$C$64,MATCH($F843,사건마스터!$A$5:$A$64,0)),""))</f>
        <v/>
      </c>
      <c r="I843" s="48">
        <f>IF($F843="","",IFERROR(INDEX(사건마스터!$H$5:$H$64,MATCH($F843,사건마스터!$A$5:$A$64,0)),""))</f>
        <v/>
      </c>
      <c r="J843" s="48">
        <f>IF($F843="","",IFERROR(INDEX(사건마스터!$AH$5:$AH$64,MATCH($F843,사건마스터!$A$5:$A$64,0)),""))</f>
        <v/>
      </c>
      <c r="K843" s="48">
        <f>IF($F843="","",IFERROR(INDEX(사건마스터!$AI$5:$AI$64,MATCH($F843,사건마스터!$A$5:$A$64,0)),""))</f>
        <v/>
      </c>
      <c r="L843" s="48">
        <f>IF($F843="","",IFERROR(INDEX(사건마스터!$AJ$5:$AJ$64,MATCH($F843,사건마스터!$A$5:$A$64,0)),""))</f>
        <v/>
      </c>
      <c r="M843" s="48">
        <f>IF($F843="","",IFERROR(INDEX(사건마스터!$AK$5:$AK$64,MATCH($F843,사건마스터!$A$5:$A$64,0)),""))</f>
        <v/>
      </c>
      <c r="N843" s="48">
        <f>IF($F843="","",IFERROR(INDEX(사건마스터!$AL$5:$AL$64,MATCH($F843,사건마스터!$A$5:$A$64,0)),""))</f>
        <v/>
      </c>
      <c r="O843" s="43">
        <f>IF($I843="","",COUNTIF($I843:$N843,"?*"))</f>
        <v/>
      </c>
      <c r="P843" s="46">
        <f>IF($I843="","",_xlfn.TEXTJOIN(", ",TRUE,$I843:$N843))</f>
        <v/>
      </c>
      <c r="Q843" s="47">
        <f>IF($I843="","",IFERROR(INDEX(코드설정!$D$5:$D$24,MATCH($I843,코드설정!$C$5:$C$24,0)),""))</f>
        <v/>
      </c>
      <c r="R843" s="49" t="n"/>
      <c r="S843" s="50" t="n"/>
      <c r="T843" s="51" t="n"/>
      <c r="U843" s="43">
        <f>IF(OR($B843="",$C843=""),"",$C843-$B843+1)</f>
        <v/>
      </c>
      <c r="V843" s="52" t="n"/>
      <c r="W843" s="53">
        <f>IF(OR($V843="",$O843=""),"",$V843*$O843)</f>
        <v/>
      </c>
      <c r="X843" s="45" t="n"/>
      <c r="Y843" s="49" t="n"/>
    </row>
    <row r="844">
      <c r="A844" s="43">
        <f>IF($B844="","",COUNT($B$5:$B844))</f>
        <v/>
      </c>
      <c r="B844" s="44" t="n"/>
      <c r="C844" s="44" t="n"/>
      <c r="D844" s="45" t="n"/>
      <c r="E844" s="45" t="n"/>
      <c r="F844" s="45" t="n"/>
      <c r="G844" s="46">
        <f>IF($F844="","",IFERROR(INDEX(사건마스터!$B$5:$B$64,MATCH($F844,사건마스터!$A$5:$A$64,0)),""))</f>
        <v/>
      </c>
      <c r="H844" s="47">
        <f>IF($F844="","",IFERROR(INDEX(사건마스터!$C$5:$C$64,MATCH($F844,사건마스터!$A$5:$A$64,0)),""))</f>
        <v/>
      </c>
      <c r="I844" s="48">
        <f>IF($F844="","",IFERROR(INDEX(사건마스터!$H$5:$H$64,MATCH($F844,사건마스터!$A$5:$A$64,0)),""))</f>
        <v/>
      </c>
      <c r="J844" s="48">
        <f>IF($F844="","",IFERROR(INDEX(사건마스터!$AH$5:$AH$64,MATCH($F844,사건마스터!$A$5:$A$64,0)),""))</f>
        <v/>
      </c>
      <c r="K844" s="48">
        <f>IF($F844="","",IFERROR(INDEX(사건마스터!$AI$5:$AI$64,MATCH($F844,사건마스터!$A$5:$A$64,0)),""))</f>
        <v/>
      </c>
      <c r="L844" s="48">
        <f>IF($F844="","",IFERROR(INDEX(사건마스터!$AJ$5:$AJ$64,MATCH($F844,사건마스터!$A$5:$A$64,0)),""))</f>
        <v/>
      </c>
      <c r="M844" s="48">
        <f>IF($F844="","",IFERROR(INDEX(사건마스터!$AK$5:$AK$64,MATCH($F844,사건마스터!$A$5:$A$64,0)),""))</f>
        <v/>
      </c>
      <c r="N844" s="48">
        <f>IF($F844="","",IFERROR(INDEX(사건마스터!$AL$5:$AL$64,MATCH($F844,사건마스터!$A$5:$A$64,0)),""))</f>
        <v/>
      </c>
      <c r="O844" s="43">
        <f>IF($I844="","",COUNTIF($I844:$N844,"?*"))</f>
        <v/>
      </c>
      <c r="P844" s="46">
        <f>IF($I844="","",_xlfn.TEXTJOIN(", ",TRUE,$I844:$N844))</f>
        <v/>
      </c>
      <c r="Q844" s="47">
        <f>IF($I844="","",IFERROR(INDEX(코드설정!$D$5:$D$24,MATCH($I844,코드설정!$C$5:$C$24,0)),""))</f>
        <v/>
      </c>
      <c r="R844" s="49" t="n"/>
      <c r="S844" s="50" t="n"/>
      <c r="T844" s="51" t="n"/>
      <c r="U844" s="43">
        <f>IF(OR($B844="",$C844=""),"",$C844-$B844+1)</f>
        <v/>
      </c>
      <c r="V844" s="52" t="n"/>
      <c r="W844" s="53">
        <f>IF(OR($V844="",$O844=""),"",$V844*$O844)</f>
        <v/>
      </c>
      <c r="X844" s="45" t="n"/>
      <c r="Y844" s="49" t="n"/>
    </row>
    <row r="845">
      <c r="A845" s="43">
        <f>IF($B845="","",COUNT($B$5:$B845))</f>
        <v/>
      </c>
      <c r="B845" s="44" t="n"/>
      <c r="C845" s="44" t="n"/>
      <c r="D845" s="45" t="n"/>
      <c r="E845" s="45" t="n"/>
      <c r="F845" s="45" t="n"/>
      <c r="G845" s="46">
        <f>IF($F845="","",IFERROR(INDEX(사건마스터!$B$5:$B$64,MATCH($F845,사건마스터!$A$5:$A$64,0)),""))</f>
        <v/>
      </c>
      <c r="H845" s="47">
        <f>IF($F845="","",IFERROR(INDEX(사건마스터!$C$5:$C$64,MATCH($F845,사건마스터!$A$5:$A$64,0)),""))</f>
        <v/>
      </c>
      <c r="I845" s="48">
        <f>IF($F845="","",IFERROR(INDEX(사건마스터!$H$5:$H$64,MATCH($F845,사건마스터!$A$5:$A$64,0)),""))</f>
        <v/>
      </c>
      <c r="J845" s="48">
        <f>IF($F845="","",IFERROR(INDEX(사건마스터!$AH$5:$AH$64,MATCH($F845,사건마스터!$A$5:$A$64,0)),""))</f>
        <v/>
      </c>
      <c r="K845" s="48">
        <f>IF($F845="","",IFERROR(INDEX(사건마스터!$AI$5:$AI$64,MATCH($F845,사건마스터!$A$5:$A$64,0)),""))</f>
        <v/>
      </c>
      <c r="L845" s="48">
        <f>IF($F845="","",IFERROR(INDEX(사건마스터!$AJ$5:$AJ$64,MATCH($F845,사건마스터!$A$5:$A$64,0)),""))</f>
        <v/>
      </c>
      <c r="M845" s="48">
        <f>IF($F845="","",IFERROR(INDEX(사건마스터!$AK$5:$AK$64,MATCH($F845,사건마스터!$A$5:$A$64,0)),""))</f>
        <v/>
      </c>
      <c r="N845" s="48">
        <f>IF($F845="","",IFERROR(INDEX(사건마스터!$AL$5:$AL$64,MATCH($F845,사건마스터!$A$5:$A$64,0)),""))</f>
        <v/>
      </c>
      <c r="O845" s="43">
        <f>IF($I845="","",COUNTIF($I845:$N845,"?*"))</f>
        <v/>
      </c>
      <c r="P845" s="46">
        <f>IF($I845="","",_xlfn.TEXTJOIN(", ",TRUE,$I845:$N845))</f>
        <v/>
      </c>
      <c r="Q845" s="47">
        <f>IF($I845="","",IFERROR(INDEX(코드설정!$D$5:$D$24,MATCH($I845,코드설정!$C$5:$C$24,0)),""))</f>
        <v/>
      </c>
      <c r="R845" s="49" t="n"/>
      <c r="S845" s="50" t="n"/>
      <c r="T845" s="51" t="n"/>
      <c r="U845" s="43">
        <f>IF(OR($B845="",$C845=""),"",$C845-$B845+1)</f>
        <v/>
      </c>
      <c r="V845" s="52" t="n"/>
      <c r="W845" s="53">
        <f>IF(OR($V845="",$O845=""),"",$V845*$O845)</f>
        <v/>
      </c>
      <c r="X845" s="45" t="n"/>
      <c r="Y845" s="49" t="n"/>
    </row>
    <row r="846">
      <c r="A846" s="43">
        <f>IF($B846="","",COUNT($B$5:$B846))</f>
        <v/>
      </c>
      <c r="B846" s="44" t="n"/>
      <c r="C846" s="44" t="n"/>
      <c r="D846" s="45" t="n"/>
      <c r="E846" s="45" t="n"/>
      <c r="F846" s="45" t="n"/>
      <c r="G846" s="46">
        <f>IF($F846="","",IFERROR(INDEX(사건마스터!$B$5:$B$64,MATCH($F846,사건마스터!$A$5:$A$64,0)),""))</f>
        <v/>
      </c>
      <c r="H846" s="47">
        <f>IF($F846="","",IFERROR(INDEX(사건마스터!$C$5:$C$64,MATCH($F846,사건마스터!$A$5:$A$64,0)),""))</f>
        <v/>
      </c>
      <c r="I846" s="48">
        <f>IF($F846="","",IFERROR(INDEX(사건마스터!$H$5:$H$64,MATCH($F846,사건마스터!$A$5:$A$64,0)),""))</f>
        <v/>
      </c>
      <c r="J846" s="48">
        <f>IF($F846="","",IFERROR(INDEX(사건마스터!$AH$5:$AH$64,MATCH($F846,사건마스터!$A$5:$A$64,0)),""))</f>
        <v/>
      </c>
      <c r="K846" s="48">
        <f>IF($F846="","",IFERROR(INDEX(사건마스터!$AI$5:$AI$64,MATCH($F846,사건마스터!$A$5:$A$64,0)),""))</f>
        <v/>
      </c>
      <c r="L846" s="48">
        <f>IF($F846="","",IFERROR(INDEX(사건마스터!$AJ$5:$AJ$64,MATCH($F846,사건마스터!$A$5:$A$64,0)),""))</f>
        <v/>
      </c>
      <c r="M846" s="48">
        <f>IF($F846="","",IFERROR(INDEX(사건마스터!$AK$5:$AK$64,MATCH($F846,사건마스터!$A$5:$A$64,0)),""))</f>
        <v/>
      </c>
      <c r="N846" s="48">
        <f>IF($F846="","",IFERROR(INDEX(사건마스터!$AL$5:$AL$64,MATCH($F846,사건마스터!$A$5:$A$64,0)),""))</f>
        <v/>
      </c>
      <c r="O846" s="43">
        <f>IF($I846="","",COUNTIF($I846:$N846,"?*"))</f>
        <v/>
      </c>
      <c r="P846" s="46">
        <f>IF($I846="","",_xlfn.TEXTJOIN(", ",TRUE,$I846:$N846))</f>
        <v/>
      </c>
      <c r="Q846" s="47">
        <f>IF($I846="","",IFERROR(INDEX(코드설정!$D$5:$D$24,MATCH($I846,코드설정!$C$5:$C$24,0)),""))</f>
        <v/>
      </c>
      <c r="R846" s="49" t="n"/>
      <c r="S846" s="50" t="n"/>
      <c r="T846" s="51" t="n"/>
      <c r="U846" s="43">
        <f>IF(OR($B846="",$C846=""),"",$C846-$B846+1)</f>
        <v/>
      </c>
      <c r="V846" s="52" t="n"/>
      <c r="W846" s="53">
        <f>IF(OR($V846="",$O846=""),"",$V846*$O846)</f>
        <v/>
      </c>
      <c r="X846" s="45" t="n"/>
      <c r="Y846" s="49" t="n"/>
    </row>
    <row r="847">
      <c r="A847" s="43">
        <f>IF($B847="","",COUNT($B$5:$B847))</f>
        <v/>
      </c>
      <c r="B847" s="44" t="n"/>
      <c r="C847" s="44" t="n"/>
      <c r="D847" s="45" t="n"/>
      <c r="E847" s="45" t="n"/>
      <c r="F847" s="45" t="n"/>
      <c r="G847" s="46">
        <f>IF($F847="","",IFERROR(INDEX(사건마스터!$B$5:$B$64,MATCH($F847,사건마스터!$A$5:$A$64,0)),""))</f>
        <v/>
      </c>
      <c r="H847" s="47">
        <f>IF($F847="","",IFERROR(INDEX(사건마스터!$C$5:$C$64,MATCH($F847,사건마스터!$A$5:$A$64,0)),""))</f>
        <v/>
      </c>
      <c r="I847" s="48">
        <f>IF($F847="","",IFERROR(INDEX(사건마스터!$H$5:$H$64,MATCH($F847,사건마스터!$A$5:$A$64,0)),""))</f>
        <v/>
      </c>
      <c r="J847" s="48">
        <f>IF($F847="","",IFERROR(INDEX(사건마스터!$AH$5:$AH$64,MATCH($F847,사건마스터!$A$5:$A$64,0)),""))</f>
        <v/>
      </c>
      <c r="K847" s="48">
        <f>IF($F847="","",IFERROR(INDEX(사건마스터!$AI$5:$AI$64,MATCH($F847,사건마스터!$A$5:$A$64,0)),""))</f>
        <v/>
      </c>
      <c r="L847" s="48">
        <f>IF($F847="","",IFERROR(INDEX(사건마스터!$AJ$5:$AJ$64,MATCH($F847,사건마스터!$A$5:$A$64,0)),""))</f>
        <v/>
      </c>
      <c r="M847" s="48">
        <f>IF($F847="","",IFERROR(INDEX(사건마스터!$AK$5:$AK$64,MATCH($F847,사건마스터!$A$5:$A$64,0)),""))</f>
        <v/>
      </c>
      <c r="N847" s="48">
        <f>IF($F847="","",IFERROR(INDEX(사건마스터!$AL$5:$AL$64,MATCH($F847,사건마스터!$A$5:$A$64,0)),""))</f>
        <v/>
      </c>
      <c r="O847" s="43">
        <f>IF($I847="","",COUNTIF($I847:$N847,"?*"))</f>
        <v/>
      </c>
      <c r="P847" s="46">
        <f>IF($I847="","",_xlfn.TEXTJOIN(", ",TRUE,$I847:$N847))</f>
        <v/>
      </c>
      <c r="Q847" s="47">
        <f>IF($I847="","",IFERROR(INDEX(코드설정!$D$5:$D$24,MATCH($I847,코드설정!$C$5:$C$24,0)),""))</f>
        <v/>
      </c>
      <c r="R847" s="49" t="n"/>
      <c r="S847" s="50" t="n"/>
      <c r="T847" s="51" t="n"/>
      <c r="U847" s="43">
        <f>IF(OR($B847="",$C847=""),"",$C847-$B847+1)</f>
        <v/>
      </c>
      <c r="V847" s="52" t="n"/>
      <c r="W847" s="53">
        <f>IF(OR($V847="",$O847=""),"",$V847*$O847)</f>
        <v/>
      </c>
      <c r="X847" s="45" t="n"/>
      <c r="Y847" s="49" t="n"/>
    </row>
    <row r="848">
      <c r="A848" s="43">
        <f>IF($B848="","",COUNT($B$5:$B848))</f>
        <v/>
      </c>
      <c r="B848" s="44" t="n"/>
      <c r="C848" s="44" t="n"/>
      <c r="D848" s="45" t="n"/>
      <c r="E848" s="45" t="n"/>
      <c r="F848" s="45" t="n"/>
      <c r="G848" s="46">
        <f>IF($F848="","",IFERROR(INDEX(사건마스터!$B$5:$B$64,MATCH($F848,사건마스터!$A$5:$A$64,0)),""))</f>
        <v/>
      </c>
      <c r="H848" s="47">
        <f>IF($F848="","",IFERROR(INDEX(사건마스터!$C$5:$C$64,MATCH($F848,사건마스터!$A$5:$A$64,0)),""))</f>
        <v/>
      </c>
      <c r="I848" s="48">
        <f>IF($F848="","",IFERROR(INDEX(사건마스터!$H$5:$H$64,MATCH($F848,사건마스터!$A$5:$A$64,0)),""))</f>
        <v/>
      </c>
      <c r="J848" s="48">
        <f>IF($F848="","",IFERROR(INDEX(사건마스터!$AH$5:$AH$64,MATCH($F848,사건마스터!$A$5:$A$64,0)),""))</f>
        <v/>
      </c>
      <c r="K848" s="48">
        <f>IF($F848="","",IFERROR(INDEX(사건마스터!$AI$5:$AI$64,MATCH($F848,사건마스터!$A$5:$A$64,0)),""))</f>
        <v/>
      </c>
      <c r="L848" s="48">
        <f>IF($F848="","",IFERROR(INDEX(사건마스터!$AJ$5:$AJ$64,MATCH($F848,사건마스터!$A$5:$A$64,0)),""))</f>
        <v/>
      </c>
      <c r="M848" s="48">
        <f>IF($F848="","",IFERROR(INDEX(사건마스터!$AK$5:$AK$64,MATCH($F848,사건마스터!$A$5:$A$64,0)),""))</f>
        <v/>
      </c>
      <c r="N848" s="48">
        <f>IF($F848="","",IFERROR(INDEX(사건마스터!$AL$5:$AL$64,MATCH($F848,사건마스터!$A$5:$A$64,0)),""))</f>
        <v/>
      </c>
      <c r="O848" s="43">
        <f>IF($I848="","",COUNTIF($I848:$N848,"?*"))</f>
        <v/>
      </c>
      <c r="P848" s="46">
        <f>IF($I848="","",_xlfn.TEXTJOIN(", ",TRUE,$I848:$N848))</f>
        <v/>
      </c>
      <c r="Q848" s="47">
        <f>IF($I848="","",IFERROR(INDEX(코드설정!$D$5:$D$24,MATCH($I848,코드설정!$C$5:$C$24,0)),""))</f>
        <v/>
      </c>
      <c r="R848" s="49" t="n"/>
      <c r="S848" s="50" t="n"/>
      <c r="T848" s="51" t="n"/>
      <c r="U848" s="43">
        <f>IF(OR($B848="",$C848=""),"",$C848-$B848+1)</f>
        <v/>
      </c>
      <c r="V848" s="52" t="n"/>
      <c r="W848" s="53">
        <f>IF(OR($V848="",$O848=""),"",$V848*$O848)</f>
        <v/>
      </c>
      <c r="X848" s="45" t="n"/>
      <c r="Y848" s="49" t="n"/>
    </row>
    <row r="849">
      <c r="A849" s="43">
        <f>IF($B849="","",COUNT($B$5:$B849))</f>
        <v/>
      </c>
      <c r="B849" s="44" t="n"/>
      <c r="C849" s="44" t="n"/>
      <c r="D849" s="45" t="n"/>
      <c r="E849" s="45" t="n"/>
      <c r="F849" s="45" t="n"/>
      <c r="G849" s="46">
        <f>IF($F849="","",IFERROR(INDEX(사건마스터!$B$5:$B$64,MATCH($F849,사건마스터!$A$5:$A$64,0)),""))</f>
        <v/>
      </c>
      <c r="H849" s="47">
        <f>IF($F849="","",IFERROR(INDEX(사건마스터!$C$5:$C$64,MATCH($F849,사건마스터!$A$5:$A$64,0)),""))</f>
        <v/>
      </c>
      <c r="I849" s="48">
        <f>IF($F849="","",IFERROR(INDEX(사건마스터!$H$5:$H$64,MATCH($F849,사건마스터!$A$5:$A$64,0)),""))</f>
        <v/>
      </c>
      <c r="J849" s="48">
        <f>IF($F849="","",IFERROR(INDEX(사건마스터!$AH$5:$AH$64,MATCH($F849,사건마스터!$A$5:$A$64,0)),""))</f>
        <v/>
      </c>
      <c r="K849" s="48">
        <f>IF($F849="","",IFERROR(INDEX(사건마스터!$AI$5:$AI$64,MATCH($F849,사건마스터!$A$5:$A$64,0)),""))</f>
        <v/>
      </c>
      <c r="L849" s="48">
        <f>IF($F849="","",IFERROR(INDEX(사건마스터!$AJ$5:$AJ$64,MATCH($F849,사건마스터!$A$5:$A$64,0)),""))</f>
        <v/>
      </c>
      <c r="M849" s="48">
        <f>IF($F849="","",IFERROR(INDEX(사건마스터!$AK$5:$AK$64,MATCH($F849,사건마스터!$A$5:$A$64,0)),""))</f>
        <v/>
      </c>
      <c r="N849" s="48">
        <f>IF($F849="","",IFERROR(INDEX(사건마스터!$AL$5:$AL$64,MATCH($F849,사건마스터!$A$5:$A$64,0)),""))</f>
        <v/>
      </c>
      <c r="O849" s="43">
        <f>IF($I849="","",COUNTIF($I849:$N849,"?*"))</f>
        <v/>
      </c>
      <c r="P849" s="46">
        <f>IF($I849="","",_xlfn.TEXTJOIN(", ",TRUE,$I849:$N849))</f>
        <v/>
      </c>
      <c r="Q849" s="47">
        <f>IF($I849="","",IFERROR(INDEX(코드설정!$D$5:$D$24,MATCH($I849,코드설정!$C$5:$C$24,0)),""))</f>
        <v/>
      </c>
      <c r="R849" s="49" t="n"/>
      <c r="S849" s="50" t="n"/>
      <c r="T849" s="51" t="n"/>
      <c r="U849" s="43">
        <f>IF(OR($B849="",$C849=""),"",$C849-$B849+1)</f>
        <v/>
      </c>
      <c r="V849" s="52" t="n"/>
      <c r="W849" s="53">
        <f>IF(OR($V849="",$O849=""),"",$V849*$O849)</f>
        <v/>
      </c>
      <c r="X849" s="45" t="n"/>
      <c r="Y849" s="49" t="n"/>
    </row>
    <row r="850">
      <c r="A850" s="43">
        <f>IF($B850="","",COUNT($B$5:$B850))</f>
        <v/>
      </c>
      <c r="B850" s="44" t="n"/>
      <c r="C850" s="44" t="n"/>
      <c r="D850" s="45" t="n"/>
      <c r="E850" s="45" t="n"/>
      <c r="F850" s="45" t="n"/>
      <c r="G850" s="46">
        <f>IF($F850="","",IFERROR(INDEX(사건마스터!$B$5:$B$64,MATCH($F850,사건마스터!$A$5:$A$64,0)),""))</f>
        <v/>
      </c>
      <c r="H850" s="47">
        <f>IF($F850="","",IFERROR(INDEX(사건마스터!$C$5:$C$64,MATCH($F850,사건마스터!$A$5:$A$64,0)),""))</f>
        <v/>
      </c>
      <c r="I850" s="48">
        <f>IF($F850="","",IFERROR(INDEX(사건마스터!$H$5:$H$64,MATCH($F850,사건마스터!$A$5:$A$64,0)),""))</f>
        <v/>
      </c>
      <c r="J850" s="48">
        <f>IF($F850="","",IFERROR(INDEX(사건마스터!$AH$5:$AH$64,MATCH($F850,사건마스터!$A$5:$A$64,0)),""))</f>
        <v/>
      </c>
      <c r="K850" s="48">
        <f>IF($F850="","",IFERROR(INDEX(사건마스터!$AI$5:$AI$64,MATCH($F850,사건마스터!$A$5:$A$64,0)),""))</f>
        <v/>
      </c>
      <c r="L850" s="48">
        <f>IF($F850="","",IFERROR(INDEX(사건마스터!$AJ$5:$AJ$64,MATCH($F850,사건마스터!$A$5:$A$64,0)),""))</f>
        <v/>
      </c>
      <c r="M850" s="48">
        <f>IF($F850="","",IFERROR(INDEX(사건마스터!$AK$5:$AK$64,MATCH($F850,사건마스터!$A$5:$A$64,0)),""))</f>
        <v/>
      </c>
      <c r="N850" s="48">
        <f>IF($F850="","",IFERROR(INDEX(사건마스터!$AL$5:$AL$64,MATCH($F850,사건마스터!$A$5:$A$64,0)),""))</f>
        <v/>
      </c>
      <c r="O850" s="43">
        <f>IF($I850="","",COUNTIF($I850:$N850,"?*"))</f>
        <v/>
      </c>
      <c r="P850" s="46">
        <f>IF($I850="","",_xlfn.TEXTJOIN(", ",TRUE,$I850:$N850))</f>
        <v/>
      </c>
      <c r="Q850" s="47">
        <f>IF($I850="","",IFERROR(INDEX(코드설정!$D$5:$D$24,MATCH($I850,코드설정!$C$5:$C$24,0)),""))</f>
        <v/>
      </c>
      <c r="R850" s="49" t="n"/>
      <c r="S850" s="50" t="n"/>
      <c r="T850" s="51" t="n"/>
      <c r="U850" s="43">
        <f>IF(OR($B850="",$C850=""),"",$C850-$B850+1)</f>
        <v/>
      </c>
      <c r="V850" s="52" t="n"/>
      <c r="W850" s="53">
        <f>IF(OR($V850="",$O850=""),"",$V850*$O850)</f>
        <v/>
      </c>
      <c r="X850" s="45" t="n"/>
      <c r="Y850" s="49" t="n"/>
    </row>
    <row r="851">
      <c r="A851" s="43">
        <f>IF($B851="","",COUNT($B$5:$B851))</f>
        <v/>
      </c>
      <c r="B851" s="44" t="n"/>
      <c r="C851" s="44" t="n"/>
      <c r="D851" s="45" t="n"/>
      <c r="E851" s="45" t="n"/>
      <c r="F851" s="45" t="n"/>
      <c r="G851" s="46">
        <f>IF($F851="","",IFERROR(INDEX(사건마스터!$B$5:$B$64,MATCH($F851,사건마스터!$A$5:$A$64,0)),""))</f>
        <v/>
      </c>
      <c r="H851" s="47">
        <f>IF($F851="","",IFERROR(INDEX(사건마스터!$C$5:$C$64,MATCH($F851,사건마스터!$A$5:$A$64,0)),""))</f>
        <v/>
      </c>
      <c r="I851" s="48">
        <f>IF($F851="","",IFERROR(INDEX(사건마스터!$H$5:$H$64,MATCH($F851,사건마스터!$A$5:$A$64,0)),""))</f>
        <v/>
      </c>
      <c r="J851" s="48">
        <f>IF($F851="","",IFERROR(INDEX(사건마스터!$AH$5:$AH$64,MATCH($F851,사건마스터!$A$5:$A$64,0)),""))</f>
        <v/>
      </c>
      <c r="K851" s="48">
        <f>IF($F851="","",IFERROR(INDEX(사건마스터!$AI$5:$AI$64,MATCH($F851,사건마스터!$A$5:$A$64,0)),""))</f>
        <v/>
      </c>
      <c r="L851" s="48">
        <f>IF($F851="","",IFERROR(INDEX(사건마스터!$AJ$5:$AJ$64,MATCH($F851,사건마스터!$A$5:$A$64,0)),""))</f>
        <v/>
      </c>
      <c r="M851" s="48">
        <f>IF($F851="","",IFERROR(INDEX(사건마스터!$AK$5:$AK$64,MATCH($F851,사건마스터!$A$5:$A$64,0)),""))</f>
        <v/>
      </c>
      <c r="N851" s="48">
        <f>IF($F851="","",IFERROR(INDEX(사건마스터!$AL$5:$AL$64,MATCH($F851,사건마스터!$A$5:$A$64,0)),""))</f>
        <v/>
      </c>
      <c r="O851" s="43">
        <f>IF($I851="","",COUNTIF($I851:$N851,"?*"))</f>
        <v/>
      </c>
      <c r="P851" s="46">
        <f>IF($I851="","",_xlfn.TEXTJOIN(", ",TRUE,$I851:$N851))</f>
        <v/>
      </c>
      <c r="Q851" s="47">
        <f>IF($I851="","",IFERROR(INDEX(코드설정!$D$5:$D$24,MATCH($I851,코드설정!$C$5:$C$24,0)),""))</f>
        <v/>
      </c>
      <c r="R851" s="49" t="n"/>
      <c r="S851" s="50" t="n"/>
      <c r="T851" s="51" t="n"/>
      <c r="U851" s="43">
        <f>IF(OR($B851="",$C851=""),"",$C851-$B851+1)</f>
        <v/>
      </c>
      <c r="V851" s="52" t="n"/>
      <c r="W851" s="53">
        <f>IF(OR($V851="",$O851=""),"",$V851*$O851)</f>
        <v/>
      </c>
      <c r="X851" s="45" t="n"/>
      <c r="Y851" s="49" t="n"/>
    </row>
    <row r="852">
      <c r="A852" s="43">
        <f>IF($B852="","",COUNT($B$5:$B852))</f>
        <v/>
      </c>
      <c r="B852" s="44" t="n"/>
      <c r="C852" s="44" t="n"/>
      <c r="D852" s="45" t="n"/>
      <c r="E852" s="45" t="n"/>
      <c r="F852" s="45" t="n"/>
      <c r="G852" s="46">
        <f>IF($F852="","",IFERROR(INDEX(사건마스터!$B$5:$B$64,MATCH($F852,사건마스터!$A$5:$A$64,0)),""))</f>
        <v/>
      </c>
      <c r="H852" s="47">
        <f>IF($F852="","",IFERROR(INDEX(사건마스터!$C$5:$C$64,MATCH($F852,사건마스터!$A$5:$A$64,0)),""))</f>
        <v/>
      </c>
      <c r="I852" s="48">
        <f>IF($F852="","",IFERROR(INDEX(사건마스터!$H$5:$H$64,MATCH($F852,사건마스터!$A$5:$A$64,0)),""))</f>
        <v/>
      </c>
      <c r="J852" s="48">
        <f>IF($F852="","",IFERROR(INDEX(사건마스터!$AH$5:$AH$64,MATCH($F852,사건마스터!$A$5:$A$64,0)),""))</f>
        <v/>
      </c>
      <c r="K852" s="48">
        <f>IF($F852="","",IFERROR(INDEX(사건마스터!$AI$5:$AI$64,MATCH($F852,사건마스터!$A$5:$A$64,0)),""))</f>
        <v/>
      </c>
      <c r="L852" s="48">
        <f>IF($F852="","",IFERROR(INDEX(사건마스터!$AJ$5:$AJ$64,MATCH($F852,사건마스터!$A$5:$A$64,0)),""))</f>
        <v/>
      </c>
      <c r="M852" s="48">
        <f>IF($F852="","",IFERROR(INDEX(사건마스터!$AK$5:$AK$64,MATCH($F852,사건마스터!$A$5:$A$64,0)),""))</f>
        <v/>
      </c>
      <c r="N852" s="48">
        <f>IF($F852="","",IFERROR(INDEX(사건마스터!$AL$5:$AL$64,MATCH($F852,사건마스터!$A$5:$A$64,0)),""))</f>
        <v/>
      </c>
      <c r="O852" s="43">
        <f>IF($I852="","",COUNTIF($I852:$N852,"?*"))</f>
        <v/>
      </c>
      <c r="P852" s="46">
        <f>IF($I852="","",_xlfn.TEXTJOIN(", ",TRUE,$I852:$N852))</f>
        <v/>
      </c>
      <c r="Q852" s="47">
        <f>IF($I852="","",IFERROR(INDEX(코드설정!$D$5:$D$24,MATCH($I852,코드설정!$C$5:$C$24,0)),""))</f>
        <v/>
      </c>
      <c r="R852" s="49" t="n"/>
      <c r="S852" s="50" t="n"/>
      <c r="T852" s="51" t="n"/>
      <c r="U852" s="43">
        <f>IF(OR($B852="",$C852=""),"",$C852-$B852+1)</f>
        <v/>
      </c>
      <c r="V852" s="52" t="n"/>
      <c r="W852" s="53">
        <f>IF(OR($V852="",$O852=""),"",$V852*$O852)</f>
        <v/>
      </c>
      <c r="X852" s="45" t="n"/>
      <c r="Y852" s="49" t="n"/>
    </row>
    <row r="853">
      <c r="A853" s="43">
        <f>IF($B853="","",COUNT($B$5:$B853))</f>
        <v/>
      </c>
      <c r="B853" s="44" t="n"/>
      <c r="C853" s="44" t="n"/>
      <c r="D853" s="45" t="n"/>
      <c r="E853" s="45" t="n"/>
      <c r="F853" s="45" t="n"/>
      <c r="G853" s="46">
        <f>IF($F853="","",IFERROR(INDEX(사건마스터!$B$5:$B$64,MATCH($F853,사건마스터!$A$5:$A$64,0)),""))</f>
        <v/>
      </c>
      <c r="H853" s="47">
        <f>IF($F853="","",IFERROR(INDEX(사건마스터!$C$5:$C$64,MATCH($F853,사건마스터!$A$5:$A$64,0)),""))</f>
        <v/>
      </c>
      <c r="I853" s="48">
        <f>IF($F853="","",IFERROR(INDEX(사건마스터!$H$5:$H$64,MATCH($F853,사건마스터!$A$5:$A$64,0)),""))</f>
        <v/>
      </c>
      <c r="J853" s="48">
        <f>IF($F853="","",IFERROR(INDEX(사건마스터!$AH$5:$AH$64,MATCH($F853,사건마스터!$A$5:$A$64,0)),""))</f>
        <v/>
      </c>
      <c r="K853" s="48">
        <f>IF($F853="","",IFERROR(INDEX(사건마스터!$AI$5:$AI$64,MATCH($F853,사건마스터!$A$5:$A$64,0)),""))</f>
        <v/>
      </c>
      <c r="L853" s="48">
        <f>IF($F853="","",IFERROR(INDEX(사건마스터!$AJ$5:$AJ$64,MATCH($F853,사건마스터!$A$5:$A$64,0)),""))</f>
        <v/>
      </c>
      <c r="M853" s="48">
        <f>IF($F853="","",IFERROR(INDEX(사건마스터!$AK$5:$AK$64,MATCH($F853,사건마스터!$A$5:$A$64,0)),""))</f>
        <v/>
      </c>
      <c r="N853" s="48">
        <f>IF($F853="","",IFERROR(INDEX(사건마스터!$AL$5:$AL$64,MATCH($F853,사건마스터!$A$5:$A$64,0)),""))</f>
        <v/>
      </c>
      <c r="O853" s="43">
        <f>IF($I853="","",COUNTIF($I853:$N853,"?*"))</f>
        <v/>
      </c>
      <c r="P853" s="46">
        <f>IF($I853="","",_xlfn.TEXTJOIN(", ",TRUE,$I853:$N853))</f>
        <v/>
      </c>
      <c r="Q853" s="47">
        <f>IF($I853="","",IFERROR(INDEX(코드설정!$D$5:$D$24,MATCH($I853,코드설정!$C$5:$C$24,0)),""))</f>
        <v/>
      </c>
      <c r="R853" s="49" t="n"/>
      <c r="S853" s="50" t="n"/>
      <c r="T853" s="51" t="n"/>
      <c r="U853" s="43">
        <f>IF(OR($B853="",$C853=""),"",$C853-$B853+1)</f>
        <v/>
      </c>
      <c r="V853" s="52" t="n"/>
      <c r="W853" s="53">
        <f>IF(OR($V853="",$O853=""),"",$V853*$O853)</f>
        <v/>
      </c>
      <c r="X853" s="45" t="n"/>
      <c r="Y853" s="49" t="n"/>
    </row>
    <row r="854">
      <c r="A854" s="43">
        <f>IF($B854="","",COUNT($B$5:$B854))</f>
        <v/>
      </c>
      <c r="B854" s="44" t="n"/>
      <c r="C854" s="44" t="n"/>
      <c r="D854" s="45" t="n"/>
      <c r="E854" s="45" t="n"/>
      <c r="F854" s="45" t="n"/>
      <c r="G854" s="46">
        <f>IF($F854="","",IFERROR(INDEX(사건마스터!$B$5:$B$64,MATCH($F854,사건마스터!$A$5:$A$64,0)),""))</f>
        <v/>
      </c>
      <c r="H854" s="47">
        <f>IF($F854="","",IFERROR(INDEX(사건마스터!$C$5:$C$64,MATCH($F854,사건마스터!$A$5:$A$64,0)),""))</f>
        <v/>
      </c>
      <c r="I854" s="48">
        <f>IF($F854="","",IFERROR(INDEX(사건마스터!$H$5:$H$64,MATCH($F854,사건마스터!$A$5:$A$64,0)),""))</f>
        <v/>
      </c>
      <c r="J854" s="48">
        <f>IF($F854="","",IFERROR(INDEX(사건마스터!$AH$5:$AH$64,MATCH($F854,사건마스터!$A$5:$A$64,0)),""))</f>
        <v/>
      </c>
      <c r="K854" s="48">
        <f>IF($F854="","",IFERROR(INDEX(사건마스터!$AI$5:$AI$64,MATCH($F854,사건마스터!$A$5:$A$64,0)),""))</f>
        <v/>
      </c>
      <c r="L854" s="48">
        <f>IF($F854="","",IFERROR(INDEX(사건마스터!$AJ$5:$AJ$64,MATCH($F854,사건마스터!$A$5:$A$64,0)),""))</f>
        <v/>
      </c>
      <c r="M854" s="48">
        <f>IF($F854="","",IFERROR(INDEX(사건마스터!$AK$5:$AK$64,MATCH($F854,사건마스터!$A$5:$A$64,0)),""))</f>
        <v/>
      </c>
      <c r="N854" s="48">
        <f>IF($F854="","",IFERROR(INDEX(사건마스터!$AL$5:$AL$64,MATCH($F854,사건마스터!$A$5:$A$64,0)),""))</f>
        <v/>
      </c>
      <c r="O854" s="43">
        <f>IF($I854="","",COUNTIF($I854:$N854,"?*"))</f>
        <v/>
      </c>
      <c r="P854" s="46">
        <f>IF($I854="","",_xlfn.TEXTJOIN(", ",TRUE,$I854:$N854))</f>
        <v/>
      </c>
      <c r="Q854" s="47">
        <f>IF($I854="","",IFERROR(INDEX(코드설정!$D$5:$D$24,MATCH($I854,코드설정!$C$5:$C$24,0)),""))</f>
        <v/>
      </c>
      <c r="R854" s="49" t="n"/>
      <c r="S854" s="50" t="n"/>
      <c r="T854" s="51" t="n"/>
      <c r="U854" s="43">
        <f>IF(OR($B854="",$C854=""),"",$C854-$B854+1)</f>
        <v/>
      </c>
      <c r="V854" s="52" t="n"/>
      <c r="W854" s="53">
        <f>IF(OR($V854="",$O854=""),"",$V854*$O854)</f>
        <v/>
      </c>
      <c r="X854" s="45" t="n"/>
      <c r="Y854" s="49" t="n"/>
    </row>
    <row r="855">
      <c r="A855" s="43">
        <f>IF($B855="","",COUNT($B$5:$B855))</f>
        <v/>
      </c>
      <c r="B855" s="44" t="n"/>
      <c r="C855" s="44" t="n"/>
      <c r="D855" s="45" t="n"/>
      <c r="E855" s="45" t="n"/>
      <c r="F855" s="45" t="n"/>
      <c r="G855" s="46">
        <f>IF($F855="","",IFERROR(INDEX(사건마스터!$B$5:$B$64,MATCH($F855,사건마스터!$A$5:$A$64,0)),""))</f>
        <v/>
      </c>
      <c r="H855" s="47">
        <f>IF($F855="","",IFERROR(INDEX(사건마스터!$C$5:$C$64,MATCH($F855,사건마스터!$A$5:$A$64,0)),""))</f>
        <v/>
      </c>
      <c r="I855" s="48">
        <f>IF($F855="","",IFERROR(INDEX(사건마스터!$H$5:$H$64,MATCH($F855,사건마스터!$A$5:$A$64,0)),""))</f>
        <v/>
      </c>
      <c r="J855" s="48">
        <f>IF($F855="","",IFERROR(INDEX(사건마스터!$AH$5:$AH$64,MATCH($F855,사건마스터!$A$5:$A$64,0)),""))</f>
        <v/>
      </c>
      <c r="K855" s="48">
        <f>IF($F855="","",IFERROR(INDEX(사건마스터!$AI$5:$AI$64,MATCH($F855,사건마스터!$A$5:$A$64,0)),""))</f>
        <v/>
      </c>
      <c r="L855" s="48">
        <f>IF($F855="","",IFERROR(INDEX(사건마스터!$AJ$5:$AJ$64,MATCH($F855,사건마스터!$A$5:$A$64,0)),""))</f>
        <v/>
      </c>
      <c r="M855" s="48">
        <f>IF($F855="","",IFERROR(INDEX(사건마스터!$AK$5:$AK$64,MATCH($F855,사건마스터!$A$5:$A$64,0)),""))</f>
        <v/>
      </c>
      <c r="N855" s="48">
        <f>IF($F855="","",IFERROR(INDEX(사건마스터!$AL$5:$AL$64,MATCH($F855,사건마스터!$A$5:$A$64,0)),""))</f>
        <v/>
      </c>
      <c r="O855" s="43">
        <f>IF($I855="","",COUNTIF($I855:$N855,"?*"))</f>
        <v/>
      </c>
      <c r="P855" s="46">
        <f>IF($I855="","",_xlfn.TEXTJOIN(", ",TRUE,$I855:$N855))</f>
        <v/>
      </c>
      <c r="Q855" s="47">
        <f>IF($I855="","",IFERROR(INDEX(코드설정!$D$5:$D$24,MATCH($I855,코드설정!$C$5:$C$24,0)),""))</f>
        <v/>
      </c>
      <c r="R855" s="49" t="n"/>
      <c r="S855" s="50" t="n"/>
      <c r="T855" s="51" t="n"/>
      <c r="U855" s="43">
        <f>IF(OR($B855="",$C855=""),"",$C855-$B855+1)</f>
        <v/>
      </c>
      <c r="V855" s="52" t="n"/>
      <c r="W855" s="53">
        <f>IF(OR($V855="",$O855=""),"",$V855*$O855)</f>
        <v/>
      </c>
      <c r="X855" s="45" t="n"/>
      <c r="Y855" s="49" t="n"/>
    </row>
    <row r="856">
      <c r="A856" s="43">
        <f>IF($B856="","",COUNT($B$5:$B856))</f>
        <v/>
      </c>
      <c r="B856" s="44" t="n"/>
      <c r="C856" s="44" t="n"/>
      <c r="D856" s="45" t="n"/>
      <c r="E856" s="45" t="n"/>
      <c r="F856" s="45" t="n"/>
      <c r="G856" s="46">
        <f>IF($F856="","",IFERROR(INDEX(사건마스터!$B$5:$B$64,MATCH($F856,사건마스터!$A$5:$A$64,0)),""))</f>
        <v/>
      </c>
      <c r="H856" s="47">
        <f>IF($F856="","",IFERROR(INDEX(사건마스터!$C$5:$C$64,MATCH($F856,사건마스터!$A$5:$A$64,0)),""))</f>
        <v/>
      </c>
      <c r="I856" s="48">
        <f>IF($F856="","",IFERROR(INDEX(사건마스터!$H$5:$H$64,MATCH($F856,사건마스터!$A$5:$A$64,0)),""))</f>
        <v/>
      </c>
      <c r="J856" s="48">
        <f>IF($F856="","",IFERROR(INDEX(사건마스터!$AH$5:$AH$64,MATCH($F856,사건마스터!$A$5:$A$64,0)),""))</f>
        <v/>
      </c>
      <c r="K856" s="48">
        <f>IF($F856="","",IFERROR(INDEX(사건마스터!$AI$5:$AI$64,MATCH($F856,사건마스터!$A$5:$A$64,0)),""))</f>
        <v/>
      </c>
      <c r="L856" s="48">
        <f>IF($F856="","",IFERROR(INDEX(사건마스터!$AJ$5:$AJ$64,MATCH($F856,사건마스터!$A$5:$A$64,0)),""))</f>
        <v/>
      </c>
      <c r="M856" s="48">
        <f>IF($F856="","",IFERROR(INDEX(사건마스터!$AK$5:$AK$64,MATCH($F856,사건마스터!$A$5:$A$64,0)),""))</f>
        <v/>
      </c>
      <c r="N856" s="48">
        <f>IF($F856="","",IFERROR(INDEX(사건마스터!$AL$5:$AL$64,MATCH($F856,사건마스터!$A$5:$A$64,0)),""))</f>
        <v/>
      </c>
      <c r="O856" s="43">
        <f>IF($I856="","",COUNTIF($I856:$N856,"?*"))</f>
        <v/>
      </c>
      <c r="P856" s="46">
        <f>IF($I856="","",_xlfn.TEXTJOIN(", ",TRUE,$I856:$N856))</f>
        <v/>
      </c>
      <c r="Q856" s="47">
        <f>IF($I856="","",IFERROR(INDEX(코드설정!$D$5:$D$24,MATCH($I856,코드설정!$C$5:$C$24,0)),""))</f>
        <v/>
      </c>
      <c r="R856" s="49" t="n"/>
      <c r="S856" s="50" t="n"/>
      <c r="T856" s="51" t="n"/>
      <c r="U856" s="43">
        <f>IF(OR($B856="",$C856=""),"",$C856-$B856+1)</f>
        <v/>
      </c>
      <c r="V856" s="52" t="n"/>
      <c r="W856" s="53">
        <f>IF(OR($V856="",$O856=""),"",$V856*$O856)</f>
        <v/>
      </c>
      <c r="X856" s="45" t="n"/>
      <c r="Y856" s="49" t="n"/>
    </row>
    <row r="857">
      <c r="A857" s="43">
        <f>IF($B857="","",COUNT($B$5:$B857))</f>
        <v/>
      </c>
      <c r="B857" s="44" t="n"/>
      <c r="C857" s="44" t="n"/>
      <c r="D857" s="45" t="n"/>
      <c r="E857" s="45" t="n"/>
      <c r="F857" s="45" t="n"/>
      <c r="G857" s="46">
        <f>IF($F857="","",IFERROR(INDEX(사건마스터!$B$5:$B$64,MATCH($F857,사건마스터!$A$5:$A$64,0)),""))</f>
        <v/>
      </c>
      <c r="H857" s="47">
        <f>IF($F857="","",IFERROR(INDEX(사건마스터!$C$5:$C$64,MATCH($F857,사건마스터!$A$5:$A$64,0)),""))</f>
        <v/>
      </c>
      <c r="I857" s="48">
        <f>IF($F857="","",IFERROR(INDEX(사건마스터!$H$5:$H$64,MATCH($F857,사건마스터!$A$5:$A$64,0)),""))</f>
        <v/>
      </c>
      <c r="J857" s="48">
        <f>IF($F857="","",IFERROR(INDEX(사건마스터!$AH$5:$AH$64,MATCH($F857,사건마스터!$A$5:$A$64,0)),""))</f>
        <v/>
      </c>
      <c r="K857" s="48">
        <f>IF($F857="","",IFERROR(INDEX(사건마스터!$AI$5:$AI$64,MATCH($F857,사건마스터!$A$5:$A$64,0)),""))</f>
        <v/>
      </c>
      <c r="L857" s="48">
        <f>IF($F857="","",IFERROR(INDEX(사건마스터!$AJ$5:$AJ$64,MATCH($F857,사건마스터!$A$5:$A$64,0)),""))</f>
        <v/>
      </c>
      <c r="M857" s="48">
        <f>IF($F857="","",IFERROR(INDEX(사건마스터!$AK$5:$AK$64,MATCH($F857,사건마스터!$A$5:$A$64,0)),""))</f>
        <v/>
      </c>
      <c r="N857" s="48">
        <f>IF($F857="","",IFERROR(INDEX(사건마스터!$AL$5:$AL$64,MATCH($F857,사건마스터!$A$5:$A$64,0)),""))</f>
        <v/>
      </c>
      <c r="O857" s="43">
        <f>IF($I857="","",COUNTIF($I857:$N857,"?*"))</f>
        <v/>
      </c>
      <c r="P857" s="46">
        <f>IF($I857="","",_xlfn.TEXTJOIN(", ",TRUE,$I857:$N857))</f>
        <v/>
      </c>
      <c r="Q857" s="47">
        <f>IF($I857="","",IFERROR(INDEX(코드설정!$D$5:$D$24,MATCH($I857,코드설정!$C$5:$C$24,0)),""))</f>
        <v/>
      </c>
      <c r="R857" s="49" t="n"/>
      <c r="S857" s="50" t="n"/>
      <c r="T857" s="51" t="n"/>
      <c r="U857" s="43">
        <f>IF(OR($B857="",$C857=""),"",$C857-$B857+1)</f>
        <v/>
      </c>
      <c r="V857" s="52" t="n"/>
      <c r="W857" s="53">
        <f>IF(OR($V857="",$O857=""),"",$V857*$O857)</f>
        <v/>
      </c>
      <c r="X857" s="45" t="n"/>
      <c r="Y857" s="49" t="n"/>
    </row>
    <row r="858">
      <c r="A858" s="43">
        <f>IF($B858="","",COUNT($B$5:$B858))</f>
        <v/>
      </c>
      <c r="B858" s="44" t="n"/>
      <c r="C858" s="44" t="n"/>
      <c r="D858" s="45" t="n"/>
      <c r="E858" s="45" t="n"/>
      <c r="F858" s="45" t="n"/>
      <c r="G858" s="46">
        <f>IF($F858="","",IFERROR(INDEX(사건마스터!$B$5:$B$64,MATCH($F858,사건마스터!$A$5:$A$64,0)),""))</f>
        <v/>
      </c>
      <c r="H858" s="47">
        <f>IF($F858="","",IFERROR(INDEX(사건마스터!$C$5:$C$64,MATCH($F858,사건마스터!$A$5:$A$64,0)),""))</f>
        <v/>
      </c>
      <c r="I858" s="48">
        <f>IF($F858="","",IFERROR(INDEX(사건마스터!$H$5:$H$64,MATCH($F858,사건마스터!$A$5:$A$64,0)),""))</f>
        <v/>
      </c>
      <c r="J858" s="48">
        <f>IF($F858="","",IFERROR(INDEX(사건마스터!$AH$5:$AH$64,MATCH($F858,사건마스터!$A$5:$A$64,0)),""))</f>
        <v/>
      </c>
      <c r="K858" s="48">
        <f>IF($F858="","",IFERROR(INDEX(사건마스터!$AI$5:$AI$64,MATCH($F858,사건마스터!$A$5:$A$64,0)),""))</f>
        <v/>
      </c>
      <c r="L858" s="48">
        <f>IF($F858="","",IFERROR(INDEX(사건마스터!$AJ$5:$AJ$64,MATCH($F858,사건마스터!$A$5:$A$64,0)),""))</f>
        <v/>
      </c>
      <c r="M858" s="48">
        <f>IF($F858="","",IFERROR(INDEX(사건마스터!$AK$5:$AK$64,MATCH($F858,사건마스터!$A$5:$A$64,0)),""))</f>
        <v/>
      </c>
      <c r="N858" s="48">
        <f>IF($F858="","",IFERROR(INDEX(사건마스터!$AL$5:$AL$64,MATCH($F858,사건마스터!$A$5:$A$64,0)),""))</f>
        <v/>
      </c>
      <c r="O858" s="43">
        <f>IF($I858="","",COUNTIF($I858:$N858,"?*"))</f>
        <v/>
      </c>
      <c r="P858" s="46">
        <f>IF($I858="","",_xlfn.TEXTJOIN(", ",TRUE,$I858:$N858))</f>
        <v/>
      </c>
      <c r="Q858" s="47">
        <f>IF($I858="","",IFERROR(INDEX(코드설정!$D$5:$D$24,MATCH($I858,코드설정!$C$5:$C$24,0)),""))</f>
        <v/>
      </c>
      <c r="R858" s="49" t="n"/>
      <c r="S858" s="50" t="n"/>
      <c r="T858" s="51" t="n"/>
      <c r="U858" s="43">
        <f>IF(OR($B858="",$C858=""),"",$C858-$B858+1)</f>
        <v/>
      </c>
      <c r="V858" s="52" t="n"/>
      <c r="W858" s="53">
        <f>IF(OR($V858="",$O858=""),"",$V858*$O858)</f>
        <v/>
      </c>
      <c r="X858" s="45" t="n"/>
      <c r="Y858" s="49" t="n"/>
    </row>
    <row r="859">
      <c r="A859" s="43">
        <f>IF($B859="","",COUNT($B$5:$B859))</f>
        <v/>
      </c>
      <c r="B859" s="44" t="n"/>
      <c r="C859" s="44" t="n"/>
      <c r="D859" s="45" t="n"/>
      <c r="E859" s="45" t="n"/>
      <c r="F859" s="45" t="n"/>
      <c r="G859" s="46">
        <f>IF($F859="","",IFERROR(INDEX(사건마스터!$B$5:$B$64,MATCH($F859,사건마스터!$A$5:$A$64,0)),""))</f>
        <v/>
      </c>
      <c r="H859" s="47">
        <f>IF($F859="","",IFERROR(INDEX(사건마스터!$C$5:$C$64,MATCH($F859,사건마스터!$A$5:$A$64,0)),""))</f>
        <v/>
      </c>
      <c r="I859" s="48">
        <f>IF($F859="","",IFERROR(INDEX(사건마스터!$H$5:$H$64,MATCH($F859,사건마스터!$A$5:$A$64,0)),""))</f>
        <v/>
      </c>
      <c r="J859" s="48">
        <f>IF($F859="","",IFERROR(INDEX(사건마스터!$AH$5:$AH$64,MATCH($F859,사건마스터!$A$5:$A$64,0)),""))</f>
        <v/>
      </c>
      <c r="K859" s="48">
        <f>IF($F859="","",IFERROR(INDEX(사건마스터!$AI$5:$AI$64,MATCH($F859,사건마스터!$A$5:$A$64,0)),""))</f>
        <v/>
      </c>
      <c r="L859" s="48">
        <f>IF($F859="","",IFERROR(INDEX(사건마스터!$AJ$5:$AJ$64,MATCH($F859,사건마스터!$A$5:$A$64,0)),""))</f>
        <v/>
      </c>
      <c r="M859" s="48">
        <f>IF($F859="","",IFERROR(INDEX(사건마스터!$AK$5:$AK$64,MATCH($F859,사건마스터!$A$5:$A$64,0)),""))</f>
        <v/>
      </c>
      <c r="N859" s="48">
        <f>IF($F859="","",IFERROR(INDEX(사건마스터!$AL$5:$AL$64,MATCH($F859,사건마스터!$A$5:$A$64,0)),""))</f>
        <v/>
      </c>
      <c r="O859" s="43">
        <f>IF($I859="","",COUNTIF($I859:$N859,"?*"))</f>
        <v/>
      </c>
      <c r="P859" s="46">
        <f>IF($I859="","",_xlfn.TEXTJOIN(", ",TRUE,$I859:$N859))</f>
        <v/>
      </c>
      <c r="Q859" s="47">
        <f>IF($I859="","",IFERROR(INDEX(코드설정!$D$5:$D$24,MATCH($I859,코드설정!$C$5:$C$24,0)),""))</f>
        <v/>
      </c>
      <c r="R859" s="49" t="n"/>
      <c r="S859" s="50" t="n"/>
      <c r="T859" s="51" t="n"/>
      <c r="U859" s="43">
        <f>IF(OR($B859="",$C859=""),"",$C859-$B859+1)</f>
        <v/>
      </c>
      <c r="V859" s="52" t="n"/>
      <c r="W859" s="53">
        <f>IF(OR($V859="",$O859=""),"",$V859*$O859)</f>
        <v/>
      </c>
      <c r="X859" s="45" t="n"/>
      <c r="Y859" s="49" t="n"/>
    </row>
    <row r="860">
      <c r="A860" s="43">
        <f>IF($B860="","",COUNT($B$5:$B860))</f>
        <v/>
      </c>
      <c r="B860" s="44" t="n"/>
      <c r="C860" s="44" t="n"/>
      <c r="D860" s="45" t="n"/>
      <c r="E860" s="45" t="n"/>
      <c r="F860" s="45" t="n"/>
      <c r="G860" s="46">
        <f>IF($F860="","",IFERROR(INDEX(사건마스터!$B$5:$B$64,MATCH($F860,사건마스터!$A$5:$A$64,0)),""))</f>
        <v/>
      </c>
      <c r="H860" s="47">
        <f>IF($F860="","",IFERROR(INDEX(사건마스터!$C$5:$C$64,MATCH($F860,사건마스터!$A$5:$A$64,0)),""))</f>
        <v/>
      </c>
      <c r="I860" s="48">
        <f>IF($F860="","",IFERROR(INDEX(사건마스터!$H$5:$H$64,MATCH($F860,사건마스터!$A$5:$A$64,0)),""))</f>
        <v/>
      </c>
      <c r="J860" s="48">
        <f>IF($F860="","",IFERROR(INDEX(사건마스터!$AH$5:$AH$64,MATCH($F860,사건마스터!$A$5:$A$64,0)),""))</f>
        <v/>
      </c>
      <c r="K860" s="48">
        <f>IF($F860="","",IFERROR(INDEX(사건마스터!$AI$5:$AI$64,MATCH($F860,사건마스터!$A$5:$A$64,0)),""))</f>
        <v/>
      </c>
      <c r="L860" s="48">
        <f>IF($F860="","",IFERROR(INDEX(사건마스터!$AJ$5:$AJ$64,MATCH($F860,사건마스터!$A$5:$A$64,0)),""))</f>
        <v/>
      </c>
      <c r="M860" s="48">
        <f>IF($F860="","",IFERROR(INDEX(사건마스터!$AK$5:$AK$64,MATCH($F860,사건마스터!$A$5:$A$64,0)),""))</f>
        <v/>
      </c>
      <c r="N860" s="48">
        <f>IF($F860="","",IFERROR(INDEX(사건마스터!$AL$5:$AL$64,MATCH($F860,사건마스터!$A$5:$A$64,0)),""))</f>
        <v/>
      </c>
      <c r="O860" s="43">
        <f>IF($I860="","",COUNTIF($I860:$N860,"?*"))</f>
        <v/>
      </c>
      <c r="P860" s="46">
        <f>IF($I860="","",_xlfn.TEXTJOIN(", ",TRUE,$I860:$N860))</f>
        <v/>
      </c>
      <c r="Q860" s="47">
        <f>IF($I860="","",IFERROR(INDEX(코드설정!$D$5:$D$24,MATCH($I860,코드설정!$C$5:$C$24,0)),""))</f>
        <v/>
      </c>
      <c r="R860" s="49" t="n"/>
      <c r="S860" s="50" t="n"/>
      <c r="T860" s="51" t="n"/>
      <c r="U860" s="43">
        <f>IF(OR($B860="",$C860=""),"",$C860-$B860+1)</f>
        <v/>
      </c>
      <c r="V860" s="52" t="n"/>
      <c r="W860" s="53">
        <f>IF(OR($V860="",$O860=""),"",$V860*$O860)</f>
        <v/>
      </c>
      <c r="X860" s="45" t="n"/>
      <c r="Y860" s="49" t="n"/>
    </row>
    <row r="861">
      <c r="A861" s="43">
        <f>IF($B861="","",COUNT($B$5:$B861))</f>
        <v/>
      </c>
      <c r="B861" s="44" t="n"/>
      <c r="C861" s="44" t="n"/>
      <c r="D861" s="45" t="n"/>
      <c r="E861" s="45" t="n"/>
      <c r="F861" s="45" t="n"/>
      <c r="G861" s="46">
        <f>IF($F861="","",IFERROR(INDEX(사건마스터!$B$5:$B$64,MATCH($F861,사건마스터!$A$5:$A$64,0)),""))</f>
        <v/>
      </c>
      <c r="H861" s="47">
        <f>IF($F861="","",IFERROR(INDEX(사건마스터!$C$5:$C$64,MATCH($F861,사건마스터!$A$5:$A$64,0)),""))</f>
        <v/>
      </c>
      <c r="I861" s="48">
        <f>IF($F861="","",IFERROR(INDEX(사건마스터!$H$5:$H$64,MATCH($F861,사건마스터!$A$5:$A$64,0)),""))</f>
        <v/>
      </c>
      <c r="J861" s="48">
        <f>IF($F861="","",IFERROR(INDEX(사건마스터!$AH$5:$AH$64,MATCH($F861,사건마스터!$A$5:$A$64,0)),""))</f>
        <v/>
      </c>
      <c r="K861" s="48">
        <f>IF($F861="","",IFERROR(INDEX(사건마스터!$AI$5:$AI$64,MATCH($F861,사건마스터!$A$5:$A$64,0)),""))</f>
        <v/>
      </c>
      <c r="L861" s="48">
        <f>IF($F861="","",IFERROR(INDEX(사건마스터!$AJ$5:$AJ$64,MATCH($F861,사건마스터!$A$5:$A$64,0)),""))</f>
        <v/>
      </c>
      <c r="M861" s="48">
        <f>IF($F861="","",IFERROR(INDEX(사건마스터!$AK$5:$AK$64,MATCH($F861,사건마스터!$A$5:$A$64,0)),""))</f>
        <v/>
      </c>
      <c r="N861" s="48">
        <f>IF($F861="","",IFERROR(INDEX(사건마스터!$AL$5:$AL$64,MATCH($F861,사건마스터!$A$5:$A$64,0)),""))</f>
        <v/>
      </c>
      <c r="O861" s="43">
        <f>IF($I861="","",COUNTIF($I861:$N861,"?*"))</f>
        <v/>
      </c>
      <c r="P861" s="46">
        <f>IF($I861="","",_xlfn.TEXTJOIN(", ",TRUE,$I861:$N861))</f>
        <v/>
      </c>
      <c r="Q861" s="47">
        <f>IF($I861="","",IFERROR(INDEX(코드설정!$D$5:$D$24,MATCH($I861,코드설정!$C$5:$C$24,0)),""))</f>
        <v/>
      </c>
      <c r="R861" s="49" t="n"/>
      <c r="S861" s="50" t="n"/>
      <c r="T861" s="51" t="n"/>
      <c r="U861" s="43">
        <f>IF(OR($B861="",$C861=""),"",$C861-$B861+1)</f>
        <v/>
      </c>
      <c r="V861" s="52" t="n"/>
      <c r="W861" s="53">
        <f>IF(OR($V861="",$O861=""),"",$V861*$O861)</f>
        <v/>
      </c>
      <c r="X861" s="45" t="n"/>
      <c r="Y861" s="49" t="n"/>
    </row>
    <row r="862">
      <c r="A862" s="43">
        <f>IF($B862="","",COUNT($B$5:$B862))</f>
        <v/>
      </c>
      <c r="B862" s="44" t="n"/>
      <c r="C862" s="44" t="n"/>
      <c r="D862" s="45" t="n"/>
      <c r="E862" s="45" t="n"/>
      <c r="F862" s="45" t="n"/>
      <c r="G862" s="46">
        <f>IF($F862="","",IFERROR(INDEX(사건마스터!$B$5:$B$64,MATCH($F862,사건마스터!$A$5:$A$64,0)),""))</f>
        <v/>
      </c>
      <c r="H862" s="47">
        <f>IF($F862="","",IFERROR(INDEX(사건마스터!$C$5:$C$64,MATCH($F862,사건마스터!$A$5:$A$64,0)),""))</f>
        <v/>
      </c>
      <c r="I862" s="48">
        <f>IF($F862="","",IFERROR(INDEX(사건마스터!$H$5:$H$64,MATCH($F862,사건마스터!$A$5:$A$64,0)),""))</f>
        <v/>
      </c>
      <c r="J862" s="48">
        <f>IF($F862="","",IFERROR(INDEX(사건마스터!$AH$5:$AH$64,MATCH($F862,사건마스터!$A$5:$A$64,0)),""))</f>
        <v/>
      </c>
      <c r="K862" s="48">
        <f>IF($F862="","",IFERROR(INDEX(사건마스터!$AI$5:$AI$64,MATCH($F862,사건마스터!$A$5:$A$64,0)),""))</f>
        <v/>
      </c>
      <c r="L862" s="48">
        <f>IF($F862="","",IFERROR(INDEX(사건마스터!$AJ$5:$AJ$64,MATCH($F862,사건마스터!$A$5:$A$64,0)),""))</f>
        <v/>
      </c>
      <c r="M862" s="48">
        <f>IF($F862="","",IFERROR(INDEX(사건마스터!$AK$5:$AK$64,MATCH($F862,사건마스터!$A$5:$A$64,0)),""))</f>
        <v/>
      </c>
      <c r="N862" s="48">
        <f>IF($F862="","",IFERROR(INDEX(사건마스터!$AL$5:$AL$64,MATCH($F862,사건마스터!$A$5:$A$64,0)),""))</f>
        <v/>
      </c>
      <c r="O862" s="43">
        <f>IF($I862="","",COUNTIF($I862:$N862,"?*"))</f>
        <v/>
      </c>
      <c r="P862" s="46">
        <f>IF($I862="","",_xlfn.TEXTJOIN(", ",TRUE,$I862:$N862))</f>
        <v/>
      </c>
      <c r="Q862" s="47">
        <f>IF($I862="","",IFERROR(INDEX(코드설정!$D$5:$D$24,MATCH($I862,코드설정!$C$5:$C$24,0)),""))</f>
        <v/>
      </c>
      <c r="R862" s="49" t="n"/>
      <c r="S862" s="50" t="n"/>
      <c r="T862" s="51" t="n"/>
      <c r="U862" s="43">
        <f>IF(OR($B862="",$C862=""),"",$C862-$B862+1)</f>
        <v/>
      </c>
      <c r="V862" s="52" t="n"/>
      <c r="W862" s="53">
        <f>IF(OR($V862="",$O862=""),"",$V862*$O862)</f>
        <v/>
      </c>
      <c r="X862" s="45" t="n"/>
      <c r="Y862" s="49" t="n"/>
    </row>
    <row r="863">
      <c r="A863" s="43">
        <f>IF($B863="","",COUNT($B$5:$B863))</f>
        <v/>
      </c>
      <c r="B863" s="44" t="n"/>
      <c r="C863" s="44" t="n"/>
      <c r="D863" s="45" t="n"/>
      <c r="E863" s="45" t="n"/>
      <c r="F863" s="45" t="n"/>
      <c r="G863" s="46">
        <f>IF($F863="","",IFERROR(INDEX(사건마스터!$B$5:$B$64,MATCH($F863,사건마스터!$A$5:$A$64,0)),""))</f>
        <v/>
      </c>
      <c r="H863" s="47">
        <f>IF($F863="","",IFERROR(INDEX(사건마스터!$C$5:$C$64,MATCH($F863,사건마스터!$A$5:$A$64,0)),""))</f>
        <v/>
      </c>
      <c r="I863" s="48">
        <f>IF($F863="","",IFERROR(INDEX(사건마스터!$H$5:$H$64,MATCH($F863,사건마스터!$A$5:$A$64,0)),""))</f>
        <v/>
      </c>
      <c r="J863" s="48">
        <f>IF($F863="","",IFERROR(INDEX(사건마스터!$AH$5:$AH$64,MATCH($F863,사건마스터!$A$5:$A$64,0)),""))</f>
        <v/>
      </c>
      <c r="K863" s="48">
        <f>IF($F863="","",IFERROR(INDEX(사건마스터!$AI$5:$AI$64,MATCH($F863,사건마스터!$A$5:$A$64,0)),""))</f>
        <v/>
      </c>
      <c r="L863" s="48">
        <f>IF($F863="","",IFERROR(INDEX(사건마스터!$AJ$5:$AJ$64,MATCH($F863,사건마스터!$A$5:$A$64,0)),""))</f>
        <v/>
      </c>
      <c r="M863" s="48">
        <f>IF($F863="","",IFERROR(INDEX(사건마스터!$AK$5:$AK$64,MATCH($F863,사건마스터!$A$5:$A$64,0)),""))</f>
        <v/>
      </c>
      <c r="N863" s="48">
        <f>IF($F863="","",IFERROR(INDEX(사건마스터!$AL$5:$AL$64,MATCH($F863,사건마스터!$A$5:$A$64,0)),""))</f>
        <v/>
      </c>
      <c r="O863" s="43">
        <f>IF($I863="","",COUNTIF($I863:$N863,"?*"))</f>
        <v/>
      </c>
      <c r="P863" s="46">
        <f>IF($I863="","",_xlfn.TEXTJOIN(", ",TRUE,$I863:$N863))</f>
        <v/>
      </c>
      <c r="Q863" s="47">
        <f>IF($I863="","",IFERROR(INDEX(코드설정!$D$5:$D$24,MATCH($I863,코드설정!$C$5:$C$24,0)),""))</f>
        <v/>
      </c>
      <c r="R863" s="49" t="n"/>
      <c r="S863" s="50" t="n"/>
      <c r="T863" s="51" t="n"/>
      <c r="U863" s="43">
        <f>IF(OR($B863="",$C863=""),"",$C863-$B863+1)</f>
        <v/>
      </c>
      <c r="V863" s="52" t="n"/>
      <c r="W863" s="53">
        <f>IF(OR($V863="",$O863=""),"",$V863*$O863)</f>
        <v/>
      </c>
      <c r="X863" s="45" t="n"/>
      <c r="Y863" s="49" t="n"/>
    </row>
    <row r="864">
      <c r="A864" s="43">
        <f>IF($B864="","",COUNT($B$5:$B864))</f>
        <v/>
      </c>
      <c r="B864" s="44" t="n"/>
      <c r="C864" s="44" t="n"/>
      <c r="D864" s="45" t="n"/>
      <c r="E864" s="45" t="n"/>
      <c r="F864" s="45" t="n"/>
      <c r="G864" s="46">
        <f>IF($F864="","",IFERROR(INDEX(사건마스터!$B$5:$B$64,MATCH($F864,사건마스터!$A$5:$A$64,0)),""))</f>
        <v/>
      </c>
      <c r="H864" s="47">
        <f>IF($F864="","",IFERROR(INDEX(사건마스터!$C$5:$C$64,MATCH($F864,사건마스터!$A$5:$A$64,0)),""))</f>
        <v/>
      </c>
      <c r="I864" s="48">
        <f>IF($F864="","",IFERROR(INDEX(사건마스터!$H$5:$H$64,MATCH($F864,사건마스터!$A$5:$A$64,0)),""))</f>
        <v/>
      </c>
      <c r="J864" s="48">
        <f>IF($F864="","",IFERROR(INDEX(사건마스터!$AH$5:$AH$64,MATCH($F864,사건마스터!$A$5:$A$64,0)),""))</f>
        <v/>
      </c>
      <c r="K864" s="48">
        <f>IF($F864="","",IFERROR(INDEX(사건마스터!$AI$5:$AI$64,MATCH($F864,사건마스터!$A$5:$A$64,0)),""))</f>
        <v/>
      </c>
      <c r="L864" s="48">
        <f>IF($F864="","",IFERROR(INDEX(사건마스터!$AJ$5:$AJ$64,MATCH($F864,사건마스터!$A$5:$A$64,0)),""))</f>
        <v/>
      </c>
      <c r="M864" s="48">
        <f>IF($F864="","",IFERROR(INDEX(사건마스터!$AK$5:$AK$64,MATCH($F864,사건마스터!$A$5:$A$64,0)),""))</f>
        <v/>
      </c>
      <c r="N864" s="48">
        <f>IF($F864="","",IFERROR(INDEX(사건마스터!$AL$5:$AL$64,MATCH($F864,사건마스터!$A$5:$A$64,0)),""))</f>
        <v/>
      </c>
      <c r="O864" s="43">
        <f>IF($I864="","",COUNTIF($I864:$N864,"?*"))</f>
        <v/>
      </c>
      <c r="P864" s="46">
        <f>IF($I864="","",_xlfn.TEXTJOIN(", ",TRUE,$I864:$N864))</f>
        <v/>
      </c>
      <c r="Q864" s="47">
        <f>IF($I864="","",IFERROR(INDEX(코드설정!$D$5:$D$24,MATCH($I864,코드설정!$C$5:$C$24,0)),""))</f>
        <v/>
      </c>
      <c r="R864" s="49" t="n"/>
      <c r="S864" s="50" t="n"/>
      <c r="T864" s="51" t="n"/>
      <c r="U864" s="43">
        <f>IF(OR($B864="",$C864=""),"",$C864-$B864+1)</f>
        <v/>
      </c>
      <c r="V864" s="52" t="n"/>
      <c r="W864" s="53">
        <f>IF(OR($V864="",$O864=""),"",$V864*$O864)</f>
        <v/>
      </c>
      <c r="X864" s="45" t="n"/>
      <c r="Y864" s="49" t="n"/>
    </row>
    <row r="865">
      <c r="A865" s="43">
        <f>IF($B865="","",COUNT($B$5:$B865))</f>
        <v/>
      </c>
      <c r="B865" s="44" t="n"/>
      <c r="C865" s="44" t="n"/>
      <c r="D865" s="45" t="n"/>
      <c r="E865" s="45" t="n"/>
      <c r="F865" s="45" t="n"/>
      <c r="G865" s="46">
        <f>IF($F865="","",IFERROR(INDEX(사건마스터!$B$5:$B$64,MATCH($F865,사건마스터!$A$5:$A$64,0)),""))</f>
        <v/>
      </c>
      <c r="H865" s="47">
        <f>IF($F865="","",IFERROR(INDEX(사건마스터!$C$5:$C$64,MATCH($F865,사건마스터!$A$5:$A$64,0)),""))</f>
        <v/>
      </c>
      <c r="I865" s="48">
        <f>IF($F865="","",IFERROR(INDEX(사건마스터!$H$5:$H$64,MATCH($F865,사건마스터!$A$5:$A$64,0)),""))</f>
        <v/>
      </c>
      <c r="J865" s="48">
        <f>IF($F865="","",IFERROR(INDEX(사건마스터!$AH$5:$AH$64,MATCH($F865,사건마스터!$A$5:$A$64,0)),""))</f>
        <v/>
      </c>
      <c r="K865" s="48">
        <f>IF($F865="","",IFERROR(INDEX(사건마스터!$AI$5:$AI$64,MATCH($F865,사건마스터!$A$5:$A$64,0)),""))</f>
        <v/>
      </c>
      <c r="L865" s="48">
        <f>IF($F865="","",IFERROR(INDEX(사건마스터!$AJ$5:$AJ$64,MATCH($F865,사건마스터!$A$5:$A$64,0)),""))</f>
        <v/>
      </c>
      <c r="M865" s="48">
        <f>IF($F865="","",IFERROR(INDEX(사건마스터!$AK$5:$AK$64,MATCH($F865,사건마스터!$A$5:$A$64,0)),""))</f>
        <v/>
      </c>
      <c r="N865" s="48">
        <f>IF($F865="","",IFERROR(INDEX(사건마스터!$AL$5:$AL$64,MATCH($F865,사건마스터!$A$5:$A$64,0)),""))</f>
        <v/>
      </c>
      <c r="O865" s="43">
        <f>IF($I865="","",COUNTIF($I865:$N865,"?*"))</f>
        <v/>
      </c>
      <c r="P865" s="46">
        <f>IF($I865="","",_xlfn.TEXTJOIN(", ",TRUE,$I865:$N865))</f>
        <v/>
      </c>
      <c r="Q865" s="47">
        <f>IF($I865="","",IFERROR(INDEX(코드설정!$D$5:$D$24,MATCH($I865,코드설정!$C$5:$C$24,0)),""))</f>
        <v/>
      </c>
      <c r="R865" s="49" t="n"/>
      <c r="S865" s="50" t="n"/>
      <c r="T865" s="51" t="n"/>
      <c r="U865" s="43">
        <f>IF(OR($B865="",$C865=""),"",$C865-$B865+1)</f>
        <v/>
      </c>
      <c r="V865" s="52" t="n"/>
      <c r="W865" s="53">
        <f>IF(OR($V865="",$O865=""),"",$V865*$O865)</f>
        <v/>
      </c>
      <c r="X865" s="45" t="n"/>
      <c r="Y865" s="49" t="n"/>
    </row>
    <row r="866">
      <c r="A866" s="43">
        <f>IF($B866="","",COUNT($B$5:$B866))</f>
        <v/>
      </c>
      <c r="B866" s="44" t="n"/>
      <c r="C866" s="44" t="n"/>
      <c r="D866" s="45" t="n"/>
      <c r="E866" s="45" t="n"/>
      <c r="F866" s="45" t="n"/>
      <c r="G866" s="46">
        <f>IF($F866="","",IFERROR(INDEX(사건마스터!$B$5:$B$64,MATCH($F866,사건마스터!$A$5:$A$64,0)),""))</f>
        <v/>
      </c>
      <c r="H866" s="47">
        <f>IF($F866="","",IFERROR(INDEX(사건마스터!$C$5:$C$64,MATCH($F866,사건마스터!$A$5:$A$64,0)),""))</f>
        <v/>
      </c>
      <c r="I866" s="48">
        <f>IF($F866="","",IFERROR(INDEX(사건마스터!$H$5:$H$64,MATCH($F866,사건마스터!$A$5:$A$64,0)),""))</f>
        <v/>
      </c>
      <c r="J866" s="48">
        <f>IF($F866="","",IFERROR(INDEX(사건마스터!$AH$5:$AH$64,MATCH($F866,사건마스터!$A$5:$A$64,0)),""))</f>
        <v/>
      </c>
      <c r="K866" s="48">
        <f>IF($F866="","",IFERROR(INDEX(사건마스터!$AI$5:$AI$64,MATCH($F866,사건마스터!$A$5:$A$64,0)),""))</f>
        <v/>
      </c>
      <c r="L866" s="48">
        <f>IF($F866="","",IFERROR(INDEX(사건마스터!$AJ$5:$AJ$64,MATCH($F866,사건마스터!$A$5:$A$64,0)),""))</f>
        <v/>
      </c>
      <c r="M866" s="48">
        <f>IF($F866="","",IFERROR(INDEX(사건마스터!$AK$5:$AK$64,MATCH($F866,사건마스터!$A$5:$A$64,0)),""))</f>
        <v/>
      </c>
      <c r="N866" s="48">
        <f>IF($F866="","",IFERROR(INDEX(사건마스터!$AL$5:$AL$64,MATCH($F866,사건마스터!$A$5:$A$64,0)),""))</f>
        <v/>
      </c>
      <c r="O866" s="43">
        <f>IF($I866="","",COUNTIF($I866:$N866,"?*"))</f>
        <v/>
      </c>
      <c r="P866" s="46">
        <f>IF($I866="","",_xlfn.TEXTJOIN(", ",TRUE,$I866:$N866))</f>
        <v/>
      </c>
      <c r="Q866" s="47">
        <f>IF($I866="","",IFERROR(INDEX(코드설정!$D$5:$D$24,MATCH($I866,코드설정!$C$5:$C$24,0)),""))</f>
        <v/>
      </c>
      <c r="R866" s="49" t="n"/>
      <c r="S866" s="50" t="n"/>
      <c r="T866" s="51" t="n"/>
      <c r="U866" s="43">
        <f>IF(OR($B866="",$C866=""),"",$C866-$B866+1)</f>
        <v/>
      </c>
      <c r="V866" s="52" t="n"/>
      <c r="W866" s="53">
        <f>IF(OR($V866="",$O866=""),"",$V866*$O866)</f>
        <v/>
      </c>
      <c r="X866" s="45" t="n"/>
      <c r="Y866" s="49" t="n"/>
    </row>
    <row r="867">
      <c r="A867" s="43">
        <f>IF($B867="","",COUNT($B$5:$B867))</f>
        <v/>
      </c>
      <c r="B867" s="44" t="n"/>
      <c r="C867" s="44" t="n"/>
      <c r="D867" s="45" t="n"/>
      <c r="E867" s="45" t="n"/>
      <c r="F867" s="45" t="n"/>
      <c r="G867" s="46">
        <f>IF($F867="","",IFERROR(INDEX(사건마스터!$B$5:$B$64,MATCH($F867,사건마스터!$A$5:$A$64,0)),""))</f>
        <v/>
      </c>
      <c r="H867" s="47">
        <f>IF($F867="","",IFERROR(INDEX(사건마스터!$C$5:$C$64,MATCH($F867,사건마스터!$A$5:$A$64,0)),""))</f>
        <v/>
      </c>
      <c r="I867" s="48">
        <f>IF($F867="","",IFERROR(INDEX(사건마스터!$H$5:$H$64,MATCH($F867,사건마스터!$A$5:$A$64,0)),""))</f>
        <v/>
      </c>
      <c r="J867" s="48">
        <f>IF($F867="","",IFERROR(INDEX(사건마스터!$AH$5:$AH$64,MATCH($F867,사건마스터!$A$5:$A$64,0)),""))</f>
        <v/>
      </c>
      <c r="K867" s="48">
        <f>IF($F867="","",IFERROR(INDEX(사건마스터!$AI$5:$AI$64,MATCH($F867,사건마스터!$A$5:$A$64,0)),""))</f>
        <v/>
      </c>
      <c r="L867" s="48">
        <f>IF($F867="","",IFERROR(INDEX(사건마스터!$AJ$5:$AJ$64,MATCH($F867,사건마스터!$A$5:$A$64,0)),""))</f>
        <v/>
      </c>
      <c r="M867" s="48">
        <f>IF($F867="","",IFERROR(INDEX(사건마스터!$AK$5:$AK$64,MATCH($F867,사건마스터!$A$5:$A$64,0)),""))</f>
        <v/>
      </c>
      <c r="N867" s="48">
        <f>IF($F867="","",IFERROR(INDEX(사건마스터!$AL$5:$AL$64,MATCH($F867,사건마스터!$A$5:$A$64,0)),""))</f>
        <v/>
      </c>
      <c r="O867" s="43">
        <f>IF($I867="","",COUNTIF($I867:$N867,"?*"))</f>
        <v/>
      </c>
      <c r="P867" s="46">
        <f>IF($I867="","",_xlfn.TEXTJOIN(", ",TRUE,$I867:$N867))</f>
        <v/>
      </c>
      <c r="Q867" s="47">
        <f>IF($I867="","",IFERROR(INDEX(코드설정!$D$5:$D$24,MATCH($I867,코드설정!$C$5:$C$24,0)),""))</f>
        <v/>
      </c>
      <c r="R867" s="49" t="n"/>
      <c r="S867" s="50" t="n"/>
      <c r="T867" s="51" t="n"/>
      <c r="U867" s="43">
        <f>IF(OR($B867="",$C867=""),"",$C867-$B867+1)</f>
        <v/>
      </c>
      <c r="V867" s="52" t="n"/>
      <c r="W867" s="53">
        <f>IF(OR($V867="",$O867=""),"",$V867*$O867)</f>
        <v/>
      </c>
      <c r="X867" s="45" t="n"/>
      <c r="Y867" s="49" t="n"/>
    </row>
    <row r="868">
      <c r="A868" s="43">
        <f>IF($B868="","",COUNT($B$5:$B868))</f>
        <v/>
      </c>
      <c r="B868" s="44" t="n"/>
      <c r="C868" s="44" t="n"/>
      <c r="D868" s="45" t="n"/>
      <c r="E868" s="45" t="n"/>
      <c r="F868" s="45" t="n"/>
      <c r="G868" s="46">
        <f>IF($F868="","",IFERROR(INDEX(사건마스터!$B$5:$B$64,MATCH($F868,사건마스터!$A$5:$A$64,0)),""))</f>
        <v/>
      </c>
      <c r="H868" s="47">
        <f>IF($F868="","",IFERROR(INDEX(사건마스터!$C$5:$C$64,MATCH($F868,사건마스터!$A$5:$A$64,0)),""))</f>
        <v/>
      </c>
      <c r="I868" s="48">
        <f>IF($F868="","",IFERROR(INDEX(사건마스터!$H$5:$H$64,MATCH($F868,사건마스터!$A$5:$A$64,0)),""))</f>
        <v/>
      </c>
      <c r="J868" s="48">
        <f>IF($F868="","",IFERROR(INDEX(사건마스터!$AH$5:$AH$64,MATCH($F868,사건마스터!$A$5:$A$64,0)),""))</f>
        <v/>
      </c>
      <c r="K868" s="48">
        <f>IF($F868="","",IFERROR(INDEX(사건마스터!$AI$5:$AI$64,MATCH($F868,사건마스터!$A$5:$A$64,0)),""))</f>
        <v/>
      </c>
      <c r="L868" s="48">
        <f>IF($F868="","",IFERROR(INDEX(사건마스터!$AJ$5:$AJ$64,MATCH($F868,사건마스터!$A$5:$A$64,0)),""))</f>
        <v/>
      </c>
      <c r="M868" s="48">
        <f>IF($F868="","",IFERROR(INDEX(사건마스터!$AK$5:$AK$64,MATCH($F868,사건마스터!$A$5:$A$64,0)),""))</f>
        <v/>
      </c>
      <c r="N868" s="48">
        <f>IF($F868="","",IFERROR(INDEX(사건마스터!$AL$5:$AL$64,MATCH($F868,사건마스터!$A$5:$A$64,0)),""))</f>
        <v/>
      </c>
      <c r="O868" s="43">
        <f>IF($I868="","",COUNTIF($I868:$N868,"?*"))</f>
        <v/>
      </c>
      <c r="P868" s="46">
        <f>IF($I868="","",_xlfn.TEXTJOIN(", ",TRUE,$I868:$N868))</f>
        <v/>
      </c>
      <c r="Q868" s="47">
        <f>IF($I868="","",IFERROR(INDEX(코드설정!$D$5:$D$24,MATCH($I868,코드설정!$C$5:$C$24,0)),""))</f>
        <v/>
      </c>
      <c r="R868" s="49" t="n"/>
      <c r="S868" s="50" t="n"/>
      <c r="T868" s="51" t="n"/>
      <c r="U868" s="43">
        <f>IF(OR($B868="",$C868=""),"",$C868-$B868+1)</f>
        <v/>
      </c>
      <c r="V868" s="52" t="n"/>
      <c r="W868" s="53">
        <f>IF(OR($V868="",$O868=""),"",$V868*$O868)</f>
        <v/>
      </c>
      <c r="X868" s="45" t="n"/>
      <c r="Y868" s="49" t="n"/>
    </row>
    <row r="869">
      <c r="A869" s="43">
        <f>IF($B869="","",COUNT($B$5:$B869))</f>
        <v/>
      </c>
      <c r="B869" s="44" t="n"/>
      <c r="C869" s="44" t="n"/>
      <c r="D869" s="45" t="n"/>
      <c r="E869" s="45" t="n"/>
      <c r="F869" s="45" t="n"/>
      <c r="G869" s="46">
        <f>IF($F869="","",IFERROR(INDEX(사건마스터!$B$5:$B$64,MATCH($F869,사건마스터!$A$5:$A$64,0)),""))</f>
        <v/>
      </c>
      <c r="H869" s="47">
        <f>IF($F869="","",IFERROR(INDEX(사건마스터!$C$5:$C$64,MATCH($F869,사건마스터!$A$5:$A$64,0)),""))</f>
        <v/>
      </c>
      <c r="I869" s="48">
        <f>IF($F869="","",IFERROR(INDEX(사건마스터!$H$5:$H$64,MATCH($F869,사건마스터!$A$5:$A$64,0)),""))</f>
        <v/>
      </c>
      <c r="J869" s="48">
        <f>IF($F869="","",IFERROR(INDEX(사건마스터!$AH$5:$AH$64,MATCH($F869,사건마스터!$A$5:$A$64,0)),""))</f>
        <v/>
      </c>
      <c r="K869" s="48">
        <f>IF($F869="","",IFERROR(INDEX(사건마스터!$AI$5:$AI$64,MATCH($F869,사건마스터!$A$5:$A$64,0)),""))</f>
        <v/>
      </c>
      <c r="L869" s="48">
        <f>IF($F869="","",IFERROR(INDEX(사건마스터!$AJ$5:$AJ$64,MATCH($F869,사건마스터!$A$5:$A$64,0)),""))</f>
        <v/>
      </c>
      <c r="M869" s="48">
        <f>IF($F869="","",IFERROR(INDEX(사건마스터!$AK$5:$AK$64,MATCH($F869,사건마스터!$A$5:$A$64,0)),""))</f>
        <v/>
      </c>
      <c r="N869" s="48">
        <f>IF($F869="","",IFERROR(INDEX(사건마스터!$AL$5:$AL$64,MATCH($F869,사건마스터!$A$5:$A$64,0)),""))</f>
        <v/>
      </c>
      <c r="O869" s="43">
        <f>IF($I869="","",COUNTIF($I869:$N869,"?*"))</f>
        <v/>
      </c>
      <c r="P869" s="46">
        <f>IF($I869="","",_xlfn.TEXTJOIN(", ",TRUE,$I869:$N869))</f>
        <v/>
      </c>
      <c r="Q869" s="47">
        <f>IF($I869="","",IFERROR(INDEX(코드설정!$D$5:$D$24,MATCH($I869,코드설정!$C$5:$C$24,0)),""))</f>
        <v/>
      </c>
      <c r="R869" s="49" t="n"/>
      <c r="S869" s="50" t="n"/>
      <c r="T869" s="51" t="n"/>
      <c r="U869" s="43">
        <f>IF(OR($B869="",$C869=""),"",$C869-$B869+1)</f>
        <v/>
      </c>
      <c r="V869" s="52" t="n"/>
      <c r="W869" s="53">
        <f>IF(OR($V869="",$O869=""),"",$V869*$O869)</f>
        <v/>
      </c>
      <c r="X869" s="45" t="n"/>
      <c r="Y869" s="49" t="n"/>
    </row>
    <row r="870">
      <c r="A870" s="43">
        <f>IF($B870="","",COUNT($B$5:$B870))</f>
        <v/>
      </c>
      <c r="B870" s="44" t="n"/>
      <c r="C870" s="44" t="n"/>
      <c r="D870" s="45" t="n"/>
      <c r="E870" s="45" t="n"/>
      <c r="F870" s="45" t="n"/>
      <c r="G870" s="46">
        <f>IF($F870="","",IFERROR(INDEX(사건마스터!$B$5:$B$64,MATCH($F870,사건마스터!$A$5:$A$64,0)),""))</f>
        <v/>
      </c>
      <c r="H870" s="47">
        <f>IF($F870="","",IFERROR(INDEX(사건마스터!$C$5:$C$64,MATCH($F870,사건마스터!$A$5:$A$64,0)),""))</f>
        <v/>
      </c>
      <c r="I870" s="48">
        <f>IF($F870="","",IFERROR(INDEX(사건마스터!$H$5:$H$64,MATCH($F870,사건마스터!$A$5:$A$64,0)),""))</f>
        <v/>
      </c>
      <c r="J870" s="48">
        <f>IF($F870="","",IFERROR(INDEX(사건마스터!$AH$5:$AH$64,MATCH($F870,사건마스터!$A$5:$A$64,0)),""))</f>
        <v/>
      </c>
      <c r="K870" s="48">
        <f>IF($F870="","",IFERROR(INDEX(사건마스터!$AI$5:$AI$64,MATCH($F870,사건마스터!$A$5:$A$64,0)),""))</f>
        <v/>
      </c>
      <c r="L870" s="48">
        <f>IF($F870="","",IFERROR(INDEX(사건마스터!$AJ$5:$AJ$64,MATCH($F870,사건마스터!$A$5:$A$64,0)),""))</f>
        <v/>
      </c>
      <c r="M870" s="48">
        <f>IF($F870="","",IFERROR(INDEX(사건마스터!$AK$5:$AK$64,MATCH($F870,사건마스터!$A$5:$A$64,0)),""))</f>
        <v/>
      </c>
      <c r="N870" s="48">
        <f>IF($F870="","",IFERROR(INDEX(사건마스터!$AL$5:$AL$64,MATCH($F870,사건마스터!$A$5:$A$64,0)),""))</f>
        <v/>
      </c>
      <c r="O870" s="43">
        <f>IF($I870="","",COUNTIF($I870:$N870,"?*"))</f>
        <v/>
      </c>
      <c r="P870" s="46">
        <f>IF($I870="","",_xlfn.TEXTJOIN(", ",TRUE,$I870:$N870))</f>
        <v/>
      </c>
      <c r="Q870" s="47">
        <f>IF($I870="","",IFERROR(INDEX(코드설정!$D$5:$D$24,MATCH($I870,코드설정!$C$5:$C$24,0)),""))</f>
        <v/>
      </c>
      <c r="R870" s="49" t="n"/>
      <c r="S870" s="50" t="n"/>
      <c r="T870" s="51" t="n"/>
      <c r="U870" s="43">
        <f>IF(OR($B870="",$C870=""),"",$C870-$B870+1)</f>
        <v/>
      </c>
      <c r="V870" s="52" t="n"/>
      <c r="W870" s="53">
        <f>IF(OR($V870="",$O870=""),"",$V870*$O870)</f>
        <v/>
      </c>
      <c r="X870" s="45" t="n"/>
      <c r="Y870" s="49" t="n"/>
    </row>
    <row r="871">
      <c r="A871" s="43">
        <f>IF($B871="","",COUNT($B$5:$B871))</f>
        <v/>
      </c>
      <c r="B871" s="44" t="n"/>
      <c r="C871" s="44" t="n"/>
      <c r="D871" s="45" t="n"/>
      <c r="E871" s="45" t="n"/>
      <c r="F871" s="45" t="n"/>
      <c r="G871" s="46">
        <f>IF($F871="","",IFERROR(INDEX(사건마스터!$B$5:$B$64,MATCH($F871,사건마스터!$A$5:$A$64,0)),""))</f>
        <v/>
      </c>
      <c r="H871" s="47">
        <f>IF($F871="","",IFERROR(INDEX(사건마스터!$C$5:$C$64,MATCH($F871,사건마스터!$A$5:$A$64,0)),""))</f>
        <v/>
      </c>
      <c r="I871" s="48">
        <f>IF($F871="","",IFERROR(INDEX(사건마스터!$H$5:$H$64,MATCH($F871,사건마스터!$A$5:$A$64,0)),""))</f>
        <v/>
      </c>
      <c r="J871" s="48">
        <f>IF($F871="","",IFERROR(INDEX(사건마스터!$AH$5:$AH$64,MATCH($F871,사건마스터!$A$5:$A$64,0)),""))</f>
        <v/>
      </c>
      <c r="K871" s="48">
        <f>IF($F871="","",IFERROR(INDEX(사건마스터!$AI$5:$AI$64,MATCH($F871,사건마스터!$A$5:$A$64,0)),""))</f>
        <v/>
      </c>
      <c r="L871" s="48">
        <f>IF($F871="","",IFERROR(INDEX(사건마스터!$AJ$5:$AJ$64,MATCH($F871,사건마스터!$A$5:$A$64,0)),""))</f>
        <v/>
      </c>
      <c r="M871" s="48">
        <f>IF($F871="","",IFERROR(INDEX(사건마스터!$AK$5:$AK$64,MATCH($F871,사건마스터!$A$5:$A$64,0)),""))</f>
        <v/>
      </c>
      <c r="N871" s="48">
        <f>IF($F871="","",IFERROR(INDEX(사건마스터!$AL$5:$AL$64,MATCH($F871,사건마스터!$A$5:$A$64,0)),""))</f>
        <v/>
      </c>
      <c r="O871" s="43">
        <f>IF($I871="","",COUNTIF($I871:$N871,"?*"))</f>
        <v/>
      </c>
      <c r="P871" s="46">
        <f>IF($I871="","",_xlfn.TEXTJOIN(", ",TRUE,$I871:$N871))</f>
        <v/>
      </c>
      <c r="Q871" s="47">
        <f>IF($I871="","",IFERROR(INDEX(코드설정!$D$5:$D$24,MATCH($I871,코드설정!$C$5:$C$24,0)),""))</f>
        <v/>
      </c>
      <c r="R871" s="49" t="n"/>
      <c r="S871" s="50" t="n"/>
      <c r="T871" s="51" t="n"/>
      <c r="U871" s="43">
        <f>IF(OR($B871="",$C871=""),"",$C871-$B871+1)</f>
        <v/>
      </c>
      <c r="V871" s="52" t="n"/>
      <c r="W871" s="53">
        <f>IF(OR($V871="",$O871=""),"",$V871*$O871)</f>
        <v/>
      </c>
      <c r="X871" s="45" t="n"/>
      <c r="Y871" s="49" t="n"/>
    </row>
    <row r="872">
      <c r="A872" s="43">
        <f>IF($B872="","",COUNT($B$5:$B872))</f>
        <v/>
      </c>
      <c r="B872" s="44" t="n"/>
      <c r="C872" s="44" t="n"/>
      <c r="D872" s="45" t="n"/>
      <c r="E872" s="45" t="n"/>
      <c r="F872" s="45" t="n"/>
      <c r="G872" s="46">
        <f>IF($F872="","",IFERROR(INDEX(사건마스터!$B$5:$B$64,MATCH($F872,사건마스터!$A$5:$A$64,0)),""))</f>
        <v/>
      </c>
      <c r="H872" s="47">
        <f>IF($F872="","",IFERROR(INDEX(사건마스터!$C$5:$C$64,MATCH($F872,사건마스터!$A$5:$A$64,0)),""))</f>
        <v/>
      </c>
      <c r="I872" s="48">
        <f>IF($F872="","",IFERROR(INDEX(사건마스터!$H$5:$H$64,MATCH($F872,사건마스터!$A$5:$A$64,0)),""))</f>
        <v/>
      </c>
      <c r="J872" s="48">
        <f>IF($F872="","",IFERROR(INDEX(사건마스터!$AH$5:$AH$64,MATCH($F872,사건마스터!$A$5:$A$64,0)),""))</f>
        <v/>
      </c>
      <c r="K872" s="48">
        <f>IF($F872="","",IFERROR(INDEX(사건마스터!$AI$5:$AI$64,MATCH($F872,사건마스터!$A$5:$A$64,0)),""))</f>
        <v/>
      </c>
      <c r="L872" s="48">
        <f>IF($F872="","",IFERROR(INDEX(사건마스터!$AJ$5:$AJ$64,MATCH($F872,사건마스터!$A$5:$A$64,0)),""))</f>
        <v/>
      </c>
      <c r="M872" s="48">
        <f>IF($F872="","",IFERROR(INDEX(사건마스터!$AK$5:$AK$64,MATCH($F872,사건마스터!$A$5:$A$64,0)),""))</f>
        <v/>
      </c>
      <c r="N872" s="48">
        <f>IF($F872="","",IFERROR(INDEX(사건마스터!$AL$5:$AL$64,MATCH($F872,사건마스터!$A$5:$A$64,0)),""))</f>
        <v/>
      </c>
      <c r="O872" s="43">
        <f>IF($I872="","",COUNTIF($I872:$N872,"?*"))</f>
        <v/>
      </c>
      <c r="P872" s="46">
        <f>IF($I872="","",_xlfn.TEXTJOIN(", ",TRUE,$I872:$N872))</f>
        <v/>
      </c>
      <c r="Q872" s="47">
        <f>IF($I872="","",IFERROR(INDEX(코드설정!$D$5:$D$24,MATCH($I872,코드설정!$C$5:$C$24,0)),""))</f>
        <v/>
      </c>
      <c r="R872" s="49" t="n"/>
      <c r="S872" s="50" t="n"/>
      <c r="T872" s="51" t="n"/>
      <c r="U872" s="43">
        <f>IF(OR($B872="",$C872=""),"",$C872-$B872+1)</f>
        <v/>
      </c>
      <c r="V872" s="52" t="n"/>
      <c r="W872" s="53">
        <f>IF(OR($V872="",$O872=""),"",$V872*$O872)</f>
        <v/>
      </c>
      <c r="X872" s="45" t="n"/>
      <c r="Y872" s="49" t="n"/>
    </row>
    <row r="873">
      <c r="A873" s="43">
        <f>IF($B873="","",COUNT($B$5:$B873))</f>
        <v/>
      </c>
      <c r="B873" s="44" t="n"/>
      <c r="C873" s="44" t="n"/>
      <c r="D873" s="45" t="n"/>
      <c r="E873" s="45" t="n"/>
      <c r="F873" s="45" t="n"/>
      <c r="G873" s="46">
        <f>IF($F873="","",IFERROR(INDEX(사건마스터!$B$5:$B$64,MATCH($F873,사건마스터!$A$5:$A$64,0)),""))</f>
        <v/>
      </c>
      <c r="H873" s="47">
        <f>IF($F873="","",IFERROR(INDEX(사건마스터!$C$5:$C$64,MATCH($F873,사건마스터!$A$5:$A$64,0)),""))</f>
        <v/>
      </c>
      <c r="I873" s="48">
        <f>IF($F873="","",IFERROR(INDEX(사건마스터!$H$5:$H$64,MATCH($F873,사건마스터!$A$5:$A$64,0)),""))</f>
        <v/>
      </c>
      <c r="J873" s="48">
        <f>IF($F873="","",IFERROR(INDEX(사건마스터!$AH$5:$AH$64,MATCH($F873,사건마스터!$A$5:$A$64,0)),""))</f>
        <v/>
      </c>
      <c r="K873" s="48">
        <f>IF($F873="","",IFERROR(INDEX(사건마스터!$AI$5:$AI$64,MATCH($F873,사건마스터!$A$5:$A$64,0)),""))</f>
        <v/>
      </c>
      <c r="L873" s="48">
        <f>IF($F873="","",IFERROR(INDEX(사건마스터!$AJ$5:$AJ$64,MATCH($F873,사건마스터!$A$5:$A$64,0)),""))</f>
        <v/>
      </c>
      <c r="M873" s="48">
        <f>IF($F873="","",IFERROR(INDEX(사건마스터!$AK$5:$AK$64,MATCH($F873,사건마스터!$A$5:$A$64,0)),""))</f>
        <v/>
      </c>
      <c r="N873" s="48">
        <f>IF($F873="","",IFERROR(INDEX(사건마스터!$AL$5:$AL$64,MATCH($F873,사건마스터!$A$5:$A$64,0)),""))</f>
        <v/>
      </c>
      <c r="O873" s="43">
        <f>IF($I873="","",COUNTIF($I873:$N873,"?*"))</f>
        <v/>
      </c>
      <c r="P873" s="46">
        <f>IF($I873="","",_xlfn.TEXTJOIN(", ",TRUE,$I873:$N873))</f>
        <v/>
      </c>
      <c r="Q873" s="47">
        <f>IF($I873="","",IFERROR(INDEX(코드설정!$D$5:$D$24,MATCH($I873,코드설정!$C$5:$C$24,0)),""))</f>
        <v/>
      </c>
      <c r="R873" s="49" t="n"/>
      <c r="S873" s="50" t="n"/>
      <c r="T873" s="51" t="n"/>
      <c r="U873" s="43">
        <f>IF(OR($B873="",$C873=""),"",$C873-$B873+1)</f>
        <v/>
      </c>
      <c r="V873" s="52" t="n"/>
      <c r="W873" s="53">
        <f>IF(OR($V873="",$O873=""),"",$V873*$O873)</f>
        <v/>
      </c>
      <c r="X873" s="45" t="n"/>
      <c r="Y873" s="49" t="n"/>
    </row>
    <row r="874">
      <c r="A874" s="43">
        <f>IF($B874="","",COUNT($B$5:$B874))</f>
        <v/>
      </c>
      <c r="B874" s="44" t="n"/>
      <c r="C874" s="44" t="n"/>
      <c r="D874" s="45" t="n"/>
      <c r="E874" s="45" t="n"/>
      <c r="F874" s="45" t="n"/>
      <c r="G874" s="46">
        <f>IF($F874="","",IFERROR(INDEX(사건마스터!$B$5:$B$64,MATCH($F874,사건마스터!$A$5:$A$64,0)),""))</f>
        <v/>
      </c>
      <c r="H874" s="47">
        <f>IF($F874="","",IFERROR(INDEX(사건마스터!$C$5:$C$64,MATCH($F874,사건마스터!$A$5:$A$64,0)),""))</f>
        <v/>
      </c>
      <c r="I874" s="48">
        <f>IF($F874="","",IFERROR(INDEX(사건마스터!$H$5:$H$64,MATCH($F874,사건마스터!$A$5:$A$64,0)),""))</f>
        <v/>
      </c>
      <c r="J874" s="48">
        <f>IF($F874="","",IFERROR(INDEX(사건마스터!$AH$5:$AH$64,MATCH($F874,사건마스터!$A$5:$A$64,0)),""))</f>
        <v/>
      </c>
      <c r="K874" s="48">
        <f>IF($F874="","",IFERROR(INDEX(사건마스터!$AI$5:$AI$64,MATCH($F874,사건마스터!$A$5:$A$64,0)),""))</f>
        <v/>
      </c>
      <c r="L874" s="48">
        <f>IF($F874="","",IFERROR(INDEX(사건마스터!$AJ$5:$AJ$64,MATCH($F874,사건마스터!$A$5:$A$64,0)),""))</f>
        <v/>
      </c>
      <c r="M874" s="48">
        <f>IF($F874="","",IFERROR(INDEX(사건마스터!$AK$5:$AK$64,MATCH($F874,사건마스터!$A$5:$A$64,0)),""))</f>
        <v/>
      </c>
      <c r="N874" s="48">
        <f>IF($F874="","",IFERROR(INDEX(사건마스터!$AL$5:$AL$64,MATCH($F874,사건마스터!$A$5:$A$64,0)),""))</f>
        <v/>
      </c>
      <c r="O874" s="43">
        <f>IF($I874="","",COUNTIF($I874:$N874,"?*"))</f>
        <v/>
      </c>
      <c r="P874" s="46">
        <f>IF($I874="","",_xlfn.TEXTJOIN(", ",TRUE,$I874:$N874))</f>
        <v/>
      </c>
      <c r="Q874" s="47">
        <f>IF($I874="","",IFERROR(INDEX(코드설정!$D$5:$D$24,MATCH($I874,코드설정!$C$5:$C$24,0)),""))</f>
        <v/>
      </c>
      <c r="R874" s="49" t="n"/>
      <c r="S874" s="50" t="n"/>
      <c r="T874" s="51" t="n"/>
      <c r="U874" s="43">
        <f>IF(OR($B874="",$C874=""),"",$C874-$B874+1)</f>
        <v/>
      </c>
      <c r="V874" s="52" t="n"/>
      <c r="W874" s="53">
        <f>IF(OR($V874="",$O874=""),"",$V874*$O874)</f>
        <v/>
      </c>
      <c r="X874" s="45" t="n"/>
      <c r="Y874" s="49" t="n"/>
    </row>
    <row r="875">
      <c r="A875" s="43">
        <f>IF($B875="","",COUNT($B$5:$B875))</f>
        <v/>
      </c>
      <c r="B875" s="44" t="n"/>
      <c r="C875" s="44" t="n"/>
      <c r="D875" s="45" t="n"/>
      <c r="E875" s="45" t="n"/>
      <c r="F875" s="45" t="n"/>
      <c r="G875" s="46">
        <f>IF($F875="","",IFERROR(INDEX(사건마스터!$B$5:$B$64,MATCH($F875,사건마스터!$A$5:$A$64,0)),""))</f>
        <v/>
      </c>
      <c r="H875" s="47">
        <f>IF($F875="","",IFERROR(INDEX(사건마스터!$C$5:$C$64,MATCH($F875,사건마스터!$A$5:$A$64,0)),""))</f>
        <v/>
      </c>
      <c r="I875" s="48">
        <f>IF($F875="","",IFERROR(INDEX(사건마스터!$H$5:$H$64,MATCH($F875,사건마스터!$A$5:$A$64,0)),""))</f>
        <v/>
      </c>
      <c r="J875" s="48">
        <f>IF($F875="","",IFERROR(INDEX(사건마스터!$AH$5:$AH$64,MATCH($F875,사건마스터!$A$5:$A$64,0)),""))</f>
        <v/>
      </c>
      <c r="K875" s="48">
        <f>IF($F875="","",IFERROR(INDEX(사건마스터!$AI$5:$AI$64,MATCH($F875,사건마스터!$A$5:$A$64,0)),""))</f>
        <v/>
      </c>
      <c r="L875" s="48">
        <f>IF($F875="","",IFERROR(INDEX(사건마스터!$AJ$5:$AJ$64,MATCH($F875,사건마스터!$A$5:$A$64,0)),""))</f>
        <v/>
      </c>
      <c r="M875" s="48">
        <f>IF($F875="","",IFERROR(INDEX(사건마스터!$AK$5:$AK$64,MATCH($F875,사건마스터!$A$5:$A$64,0)),""))</f>
        <v/>
      </c>
      <c r="N875" s="48">
        <f>IF($F875="","",IFERROR(INDEX(사건마스터!$AL$5:$AL$64,MATCH($F875,사건마스터!$A$5:$A$64,0)),""))</f>
        <v/>
      </c>
      <c r="O875" s="43">
        <f>IF($I875="","",COUNTIF($I875:$N875,"?*"))</f>
        <v/>
      </c>
      <c r="P875" s="46">
        <f>IF($I875="","",_xlfn.TEXTJOIN(", ",TRUE,$I875:$N875))</f>
        <v/>
      </c>
      <c r="Q875" s="47">
        <f>IF($I875="","",IFERROR(INDEX(코드설정!$D$5:$D$24,MATCH($I875,코드설정!$C$5:$C$24,0)),""))</f>
        <v/>
      </c>
      <c r="R875" s="49" t="n"/>
      <c r="S875" s="50" t="n"/>
      <c r="T875" s="51" t="n"/>
      <c r="U875" s="43">
        <f>IF(OR($B875="",$C875=""),"",$C875-$B875+1)</f>
        <v/>
      </c>
      <c r="V875" s="52" t="n"/>
      <c r="W875" s="53">
        <f>IF(OR($V875="",$O875=""),"",$V875*$O875)</f>
        <v/>
      </c>
      <c r="X875" s="45" t="n"/>
      <c r="Y875" s="49" t="n"/>
    </row>
    <row r="876">
      <c r="A876" s="43">
        <f>IF($B876="","",COUNT($B$5:$B876))</f>
        <v/>
      </c>
      <c r="B876" s="44" t="n"/>
      <c r="C876" s="44" t="n"/>
      <c r="D876" s="45" t="n"/>
      <c r="E876" s="45" t="n"/>
      <c r="F876" s="45" t="n"/>
      <c r="G876" s="46">
        <f>IF($F876="","",IFERROR(INDEX(사건마스터!$B$5:$B$64,MATCH($F876,사건마스터!$A$5:$A$64,0)),""))</f>
        <v/>
      </c>
      <c r="H876" s="47">
        <f>IF($F876="","",IFERROR(INDEX(사건마스터!$C$5:$C$64,MATCH($F876,사건마스터!$A$5:$A$64,0)),""))</f>
        <v/>
      </c>
      <c r="I876" s="48">
        <f>IF($F876="","",IFERROR(INDEX(사건마스터!$H$5:$H$64,MATCH($F876,사건마스터!$A$5:$A$64,0)),""))</f>
        <v/>
      </c>
      <c r="J876" s="48">
        <f>IF($F876="","",IFERROR(INDEX(사건마스터!$AH$5:$AH$64,MATCH($F876,사건마스터!$A$5:$A$64,0)),""))</f>
        <v/>
      </c>
      <c r="K876" s="48">
        <f>IF($F876="","",IFERROR(INDEX(사건마스터!$AI$5:$AI$64,MATCH($F876,사건마스터!$A$5:$A$64,0)),""))</f>
        <v/>
      </c>
      <c r="L876" s="48">
        <f>IF($F876="","",IFERROR(INDEX(사건마스터!$AJ$5:$AJ$64,MATCH($F876,사건마스터!$A$5:$A$64,0)),""))</f>
        <v/>
      </c>
      <c r="M876" s="48">
        <f>IF($F876="","",IFERROR(INDEX(사건마스터!$AK$5:$AK$64,MATCH($F876,사건마스터!$A$5:$A$64,0)),""))</f>
        <v/>
      </c>
      <c r="N876" s="48">
        <f>IF($F876="","",IFERROR(INDEX(사건마스터!$AL$5:$AL$64,MATCH($F876,사건마스터!$A$5:$A$64,0)),""))</f>
        <v/>
      </c>
      <c r="O876" s="43">
        <f>IF($I876="","",COUNTIF($I876:$N876,"?*"))</f>
        <v/>
      </c>
      <c r="P876" s="46">
        <f>IF($I876="","",_xlfn.TEXTJOIN(", ",TRUE,$I876:$N876))</f>
        <v/>
      </c>
      <c r="Q876" s="47">
        <f>IF($I876="","",IFERROR(INDEX(코드설정!$D$5:$D$24,MATCH($I876,코드설정!$C$5:$C$24,0)),""))</f>
        <v/>
      </c>
      <c r="R876" s="49" t="n"/>
      <c r="S876" s="50" t="n"/>
      <c r="T876" s="51" t="n"/>
      <c r="U876" s="43">
        <f>IF(OR($B876="",$C876=""),"",$C876-$B876+1)</f>
        <v/>
      </c>
      <c r="V876" s="52" t="n"/>
      <c r="W876" s="53">
        <f>IF(OR($V876="",$O876=""),"",$V876*$O876)</f>
        <v/>
      </c>
      <c r="X876" s="45" t="n"/>
      <c r="Y876" s="49" t="n"/>
    </row>
    <row r="877">
      <c r="A877" s="43">
        <f>IF($B877="","",COUNT($B$5:$B877))</f>
        <v/>
      </c>
      <c r="B877" s="44" t="n"/>
      <c r="C877" s="44" t="n"/>
      <c r="D877" s="45" t="n"/>
      <c r="E877" s="45" t="n"/>
      <c r="F877" s="45" t="n"/>
      <c r="G877" s="46">
        <f>IF($F877="","",IFERROR(INDEX(사건마스터!$B$5:$B$64,MATCH($F877,사건마스터!$A$5:$A$64,0)),""))</f>
        <v/>
      </c>
      <c r="H877" s="47">
        <f>IF($F877="","",IFERROR(INDEX(사건마스터!$C$5:$C$64,MATCH($F877,사건마스터!$A$5:$A$64,0)),""))</f>
        <v/>
      </c>
      <c r="I877" s="48">
        <f>IF($F877="","",IFERROR(INDEX(사건마스터!$H$5:$H$64,MATCH($F877,사건마스터!$A$5:$A$64,0)),""))</f>
        <v/>
      </c>
      <c r="J877" s="48">
        <f>IF($F877="","",IFERROR(INDEX(사건마스터!$AH$5:$AH$64,MATCH($F877,사건마스터!$A$5:$A$64,0)),""))</f>
        <v/>
      </c>
      <c r="K877" s="48">
        <f>IF($F877="","",IFERROR(INDEX(사건마스터!$AI$5:$AI$64,MATCH($F877,사건마스터!$A$5:$A$64,0)),""))</f>
        <v/>
      </c>
      <c r="L877" s="48">
        <f>IF($F877="","",IFERROR(INDEX(사건마스터!$AJ$5:$AJ$64,MATCH($F877,사건마스터!$A$5:$A$64,0)),""))</f>
        <v/>
      </c>
      <c r="M877" s="48">
        <f>IF($F877="","",IFERROR(INDEX(사건마스터!$AK$5:$AK$64,MATCH($F877,사건마스터!$A$5:$A$64,0)),""))</f>
        <v/>
      </c>
      <c r="N877" s="48">
        <f>IF($F877="","",IFERROR(INDEX(사건마스터!$AL$5:$AL$64,MATCH($F877,사건마스터!$A$5:$A$64,0)),""))</f>
        <v/>
      </c>
      <c r="O877" s="43">
        <f>IF($I877="","",COUNTIF($I877:$N877,"?*"))</f>
        <v/>
      </c>
      <c r="P877" s="46">
        <f>IF($I877="","",_xlfn.TEXTJOIN(", ",TRUE,$I877:$N877))</f>
        <v/>
      </c>
      <c r="Q877" s="47">
        <f>IF($I877="","",IFERROR(INDEX(코드설정!$D$5:$D$24,MATCH($I877,코드설정!$C$5:$C$24,0)),""))</f>
        <v/>
      </c>
      <c r="R877" s="49" t="n"/>
      <c r="S877" s="50" t="n"/>
      <c r="T877" s="51" t="n"/>
      <c r="U877" s="43">
        <f>IF(OR($B877="",$C877=""),"",$C877-$B877+1)</f>
        <v/>
      </c>
      <c r="V877" s="52" t="n"/>
      <c r="W877" s="53">
        <f>IF(OR($V877="",$O877=""),"",$V877*$O877)</f>
        <v/>
      </c>
      <c r="X877" s="45" t="n"/>
      <c r="Y877" s="49" t="n"/>
    </row>
    <row r="878">
      <c r="A878" s="43">
        <f>IF($B878="","",COUNT($B$5:$B878))</f>
        <v/>
      </c>
      <c r="B878" s="44" t="n"/>
      <c r="C878" s="44" t="n"/>
      <c r="D878" s="45" t="n"/>
      <c r="E878" s="45" t="n"/>
      <c r="F878" s="45" t="n"/>
      <c r="G878" s="46">
        <f>IF($F878="","",IFERROR(INDEX(사건마스터!$B$5:$B$64,MATCH($F878,사건마스터!$A$5:$A$64,0)),""))</f>
        <v/>
      </c>
      <c r="H878" s="47">
        <f>IF($F878="","",IFERROR(INDEX(사건마스터!$C$5:$C$64,MATCH($F878,사건마스터!$A$5:$A$64,0)),""))</f>
        <v/>
      </c>
      <c r="I878" s="48">
        <f>IF($F878="","",IFERROR(INDEX(사건마스터!$H$5:$H$64,MATCH($F878,사건마스터!$A$5:$A$64,0)),""))</f>
        <v/>
      </c>
      <c r="J878" s="48">
        <f>IF($F878="","",IFERROR(INDEX(사건마스터!$AH$5:$AH$64,MATCH($F878,사건마스터!$A$5:$A$64,0)),""))</f>
        <v/>
      </c>
      <c r="K878" s="48">
        <f>IF($F878="","",IFERROR(INDEX(사건마스터!$AI$5:$AI$64,MATCH($F878,사건마스터!$A$5:$A$64,0)),""))</f>
        <v/>
      </c>
      <c r="L878" s="48">
        <f>IF($F878="","",IFERROR(INDEX(사건마스터!$AJ$5:$AJ$64,MATCH($F878,사건마스터!$A$5:$A$64,0)),""))</f>
        <v/>
      </c>
      <c r="M878" s="48">
        <f>IF($F878="","",IFERROR(INDEX(사건마스터!$AK$5:$AK$64,MATCH($F878,사건마스터!$A$5:$A$64,0)),""))</f>
        <v/>
      </c>
      <c r="N878" s="48">
        <f>IF($F878="","",IFERROR(INDEX(사건마스터!$AL$5:$AL$64,MATCH($F878,사건마스터!$A$5:$A$64,0)),""))</f>
        <v/>
      </c>
      <c r="O878" s="43">
        <f>IF($I878="","",COUNTIF($I878:$N878,"?*"))</f>
        <v/>
      </c>
      <c r="P878" s="46">
        <f>IF($I878="","",_xlfn.TEXTJOIN(", ",TRUE,$I878:$N878))</f>
        <v/>
      </c>
      <c r="Q878" s="47">
        <f>IF($I878="","",IFERROR(INDEX(코드설정!$D$5:$D$24,MATCH($I878,코드설정!$C$5:$C$24,0)),""))</f>
        <v/>
      </c>
      <c r="R878" s="49" t="n"/>
      <c r="S878" s="50" t="n"/>
      <c r="T878" s="51" t="n"/>
      <c r="U878" s="43">
        <f>IF(OR($B878="",$C878=""),"",$C878-$B878+1)</f>
        <v/>
      </c>
      <c r="V878" s="52" t="n"/>
      <c r="W878" s="53">
        <f>IF(OR($V878="",$O878=""),"",$V878*$O878)</f>
        <v/>
      </c>
      <c r="X878" s="45" t="n"/>
      <c r="Y878" s="49" t="n"/>
    </row>
    <row r="879">
      <c r="A879" s="43">
        <f>IF($B879="","",COUNT($B$5:$B879))</f>
        <v/>
      </c>
      <c r="B879" s="44" t="n"/>
      <c r="C879" s="44" t="n"/>
      <c r="D879" s="45" t="n"/>
      <c r="E879" s="45" t="n"/>
      <c r="F879" s="45" t="n"/>
      <c r="G879" s="46">
        <f>IF($F879="","",IFERROR(INDEX(사건마스터!$B$5:$B$64,MATCH($F879,사건마스터!$A$5:$A$64,0)),""))</f>
        <v/>
      </c>
      <c r="H879" s="47">
        <f>IF($F879="","",IFERROR(INDEX(사건마스터!$C$5:$C$64,MATCH($F879,사건마스터!$A$5:$A$64,0)),""))</f>
        <v/>
      </c>
      <c r="I879" s="48">
        <f>IF($F879="","",IFERROR(INDEX(사건마스터!$H$5:$H$64,MATCH($F879,사건마스터!$A$5:$A$64,0)),""))</f>
        <v/>
      </c>
      <c r="J879" s="48">
        <f>IF($F879="","",IFERROR(INDEX(사건마스터!$AH$5:$AH$64,MATCH($F879,사건마스터!$A$5:$A$64,0)),""))</f>
        <v/>
      </c>
      <c r="K879" s="48">
        <f>IF($F879="","",IFERROR(INDEX(사건마스터!$AI$5:$AI$64,MATCH($F879,사건마스터!$A$5:$A$64,0)),""))</f>
        <v/>
      </c>
      <c r="L879" s="48">
        <f>IF($F879="","",IFERROR(INDEX(사건마스터!$AJ$5:$AJ$64,MATCH($F879,사건마스터!$A$5:$A$64,0)),""))</f>
        <v/>
      </c>
      <c r="M879" s="48">
        <f>IF($F879="","",IFERROR(INDEX(사건마스터!$AK$5:$AK$64,MATCH($F879,사건마스터!$A$5:$A$64,0)),""))</f>
        <v/>
      </c>
      <c r="N879" s="48">
        <f>IF($F879="","",IFERROR(INDEX(사건마스터!$AL$5:$AL$64,MATCH($F879,사건마스터!$A$5:$A$64,0)),""))</f>
        <v/>
      </c>
      <c r="O879" s="43">
        <f>IF($I879="","",COUNTIF($I879:$N879,"?*"))</f>
        <v/>
      </c>
      <c r="P879" s="46">
        <f>IF($I879="","",_xlfn.TEXTJOIN(", ",TRUE,$I879:$N879))</f>
        <v/>
      </c>
      <c r="Q879" s="47">
        <f>IF($I879="","",IFERROR(INDEX(코드설정!$D$5:$D$24,MATCH($I879,코드설정!$C$5:$C$24,0)),""))</f>
        <v/>
      </c>
      <c r="R879" s="49" t="n"/>
      <c r="S879" s="50" t="n"/>
      <c r="T879" s="51" t="n"/>
      <c r="U879" s="43">
        <f>IF(OR($B879="",$C879=""),"",$C879-$B879+1)</f>
        <v/>
      </c>
      <c r="V879" s="52" t="n"/>
      <c r="W879" s="53">
        <f>IF(OR($V879="",$O879=""),"",$V879*$O879)</f>
        <v/>
      </c>
      <c r="X879" s="45" t="n"/>
      <c r="Y879" s="49" t="n"/>
    </row>
    <row r="880">
      <c r="A880" s="43">
        <f>IF($B880="","",COUNT($B$5:$B880))</f>
        <v/>
      </c>
      <c r="B880" s="44" t="n"/>
      <c r="C880" s="44" t="n"/>
      <c r="D880" s="45" t="n"/>
      <c r="E880" s="45" t="n"/>
      <c r="F880" s="45" t="n"/>
      <c r="G880" s="46">
        <f>IF($F880="","",IFERROR(INDEX(사건마스터!$B$5:$B$64,MATCH($F880,사건마스터!$A$5:$A$64,0)),""))</f>
        <v/>
      </c>
      <c r="H880" s="47">
        <f>IF($F880="","",IFERROR(INDEX(사건마스터!$C$5:$C$64,MATCH($F880,사건마스터!$A$5:$A$64,0)),""))</f>
        <v/>
      </c>
      <c r="I880" s="48">
        <f>IF($F880="","",IFERROR(INDEX(사건마스터!$H$5:$H$64,MATCH($F880,사건마스터!$A$5:$A$64,0)),""))</f>
        <v/>
      </c>
      <c r="J880" s="48">
        <f>IF($F880="","",IFERROR(INDEX(사건마스터!$AH$5:$AH$64,MATCH($F880,사건마스터!$A$5:$A$64,0)),""))</f>
        <v/>
      </c>
      <c r="K880" s="48">
        <f>IF($F880="","",IFERROR(INDEX(사건마스터!$AI$5:$AI$64,MATCH($F880,사건마스터!$A$5:$A$64,0)),""))</f>
        <v/>
      </c>
      <c r="L880" s="48">
        <f>IF($F880="","",IFERROR(INDEX(사건마스터!$AJ$5:$AJ$64,MATCH($F880,사건마스터!$A$5:$A$64,0)),""))</f>
        <v/>
      </c>
      <c r="M880" s="48">
        <f>IF($F880="","",IFERROR(INDEX(사건마스터!$AK$5:$AK$64,MATCH($F880,사건마스터!$A$5:$A$64,0)),""))</f>
        <v/>
      </c>
      <c r="N880" s="48">
        <f>IF($F880="","",IFERROR(INDEX(사건마스터!$AL$5:$AL$64,MATCH($F880,사건마스터!$A$5:$A$64,0)),""))</f>
        <v/>
      </c>
      <c r="O880" s="43">
        <f>IF($I880="","",COUNTIF($I880:$N880,"?*"))</f>
        <v/>
      </c>
      <c r="P880" s="46">
        <f>IF($I880="","",_xlfn.TEXTJOIN(", ",TRUE,$I880:$N880))</f>
        <v/>
      </c>
      <c r="Q880" s="47">
        <f>IF($I880="","",IFERROR(INDEX(코드설정!$D$5:$D$24,MATCH($I880,코드설정!$C$5:$C$24,0)),""))</f>
        <v/>
      </c>
      <c r="R880" s="49" t="n"/>
      <c r="S880" s="50" t="n"/>
      <c r="T880" s="51" t="n"/>
      <c r="U880" s="43">
        <f>IF(OR($B880="",$C880=""),"",$C880-$B880+1)</f>
        <v/>
      </c>
      <c r="V880" s="52" t="n"/>
      <c r="W880" s="53">
        <f>IF(OR($V880="",$O880=""),"",$V880*$O880)</f>
        <v/>
      </c>
      <c r="X880" s="45" t="n"/>
      <c r="Y880" s="49" t="n"/>
    </row>
    <row r="881">
      <c r="A881" s="43">
        <f>IF($B881="","",COUNT($B$5:$B881))</f>
        <v/>
      </c>
      <c r="B881" s="44" t="n"/>
      <c r="C881" s="44" t="n"/>
      <c r="D881" s="45" t="n"/>
      <c r="E881" s="45" t="n"/>
      <c r="F881" s="45" t="n"/>
      <c r="G881" s="46">
        <f>IF($F881="","",IFERROR(INDEX(사건마스터!$B$5:$B$64,MATCH($F881,사건마스터!$A$5:$A$64,0)),""))</f>
        <v/>
      </c>
      <c r="H881" s="47">
        <f>IF($F881="","",IFERROR(INDEX(사건마스터!$C$5:$C$64,MATCH($F881,사건마스터!$A$5:$A$64,0)),""))</f>
        <v/>
      </c>
      <c r="I881" s="48">
        <f>IF($F881="","",IFERROR(INDEX(사건마스터!$H$5:$H$64,MATCH($F881,사건마스터!$A$5:$A$64,0)),""))</f>
        <v/>
      </c>
      <c r="J881" s="48">
        <f>IF($F881="","",IFERROR(INDEX(사건마스터!$AH$5:$AH$64,MATCH($F881,사건마스터!$A$5:$A$64,0)),""))</f>
        <v/>
      </c>
      <c r="K881" s="48">
        <f>IF($F881="","",IFERROR(INDEX(사건마스터!$AI$5:$AI$64,MATCH($F881,사건마스터!$A$5:$A$64,0)),""))</f>
        <v/>
      </c>
      <c r="L881" s="48">
        <f>IF($F881="","",IFERROR(INDEX(사건마스터!$AJ$5:$AJ$64,MATCH($F881,사건마스터!$A$5:$A$64,0)),""))</f>
        <v/>
      </c>
      <c r="M881" s="48">
        <f>IF($F881="","",IFERROR(INDEX(사건마스터!$AK$5:$AK$64,MATCH($F881,사건마스터!$A$5:$A$64,0)),""))</f>
        <v/>
      </c>
      <c r="N881" s="48">
        <f>IF($F881="","",IFERROR(INDEX(사건마스터!$AL$5:$AL$64,MATCH($F881,사건마스터!$A$5:$A$64,0)),""))</f>
        <v/>
      </c>
      <c r="O881" s="43">
        <f>IF($I881="","",COUNTIF($I881:$N881,"?*"))</f>
        <v/>
      </c>
      <c r="P881" s="46">
        <f>IF($I881="","",_xlfn.TEXTJOIN(", ",TRUE,$I881:$N881))</f>
        <v/>
      </c>
      <c r="Q881" s="47">
        <f>IF($I881="","",IFERROR(INDEX(코드설정!$D$5:$D$24,MATCH($I881,코드설정!$C$5:$C$24,0)),""))</f>
        <v/>
      </c>
      <c r="R881" s="49" t="n"/>
      <c r="S881" s="50" t="n"/>
      <c r="T881" s="51" t="n"/>
      <c r="U881" s="43">
        <f>IF(OR($B881="",$C881=""),"",$C881-$B881+1)</f>
        <v/>
      </c>
      <c r="V881" s="52" t="n"/>
      <c r="W881" s="53">
        <f>IF(OR($V881="",$O881=""),"",$V881*$O881)</f>
        <v/>
      </c>
      <c r="X881" s="45" t="n"/>
      <c r="Y881" s="49" t="n"/>
    </row>
    <row r="882">
      <c r="A882" s="43">
        <f>IF($B882="","",COUNT($B$5:$B882))</f>
        <v/>
      </c>
      <c r="B882" s="44" t="n"/>
      <c r="C882" s="44" t="n"/>
      <c r="D882" s="45" t="n"/>
      <c r="E882" s="45" t="n"/>
      <c r="F882" s="45" t="n"/>
      <c r="G882" s="46">
        <f>IF($F882="","",IFERROR(INDEX(사건마스터!$B$5:$B$64,MATCH($F882,사건마스터!$A$5:$A$64,0)),""))</f>
        <v/>
      </c>
      <c r="H882" s="47">
        <f>IF($F882="","",IFERROR(INDEX(사건마스터!$C$5:$C$64,MATCH($F882,사건마스터!$A$5:$A$64,0)),""))</f>
        <v/>
      </c>
      <c r="I882" s="48">
        <f>IF($F882="","",IFERROR(INDEX(사건마스터!$H$5:$H$64,MATCH($F882,사건마스터!$A$5:$A$64,0)),""))</f>
        <v/>
      </c>
      <c r="J882" s="48">
        <f>IF($F882="","",IFERROR(INDEX(사건마스터!$AH$5:$AH$64,MATCH($F882,사건마스터!$A$5:$A$64,0)),""))</f>
        <v/>
      </c>
      <c r="K882" s="48">
        <f>IF($F882="","",IFERROR(INDEX(사건마스터!$AI$5:$AI$64,MATCH($F882,사건마스터!$A$5:$A$64,0)),""))</f>
        <v/>
      </c>
      <c r="L882" s="48">
        <f>IF($F882="","",IFERROR(INDEX(사건마스터!$AJ$5:$AJ$64,MATCH($F882,사건마스터!$A$5:$A$64,0)),""))</f>
        <v/>
      </c>
      <c r="M882" s="48">
        <f>IF($F882="","",IFERROR(INDEX(사건마스터!$AK$5:$AK$64,MATCH($F882,사건마스터!$A$5:$A$64,0)),""))</f>
        <v/>
      </c>
      <c r="N882" s="48">
        <f>IF($F882="","",IFERROR(INDEX(사건마스터!$AL$5:$AL$64,MATCH($F882,사건마스터!$A$5:$A$64,0)),""))</f>
        <v/>
      </c>
      <c r="O882" s="43">
        <f>IF($I882="","",COUNTIF($I882:$N882,"?*"))</f>
        <v/>
      </c>
      <c r="P882" s="46">
        <f>IF($I882="","",_xlfn.TEXTJOIN(", ",TRUE,$I882:$N882))</f>
        <v/>
      </c>
      <c r="Q882" s="47">
        <f>IF($I882="","",IFERROR(INDEX(코드설정!$D$5:$D$24,MATCH($I882,코드설정!$C$5:$C$24,0)),""))</f>
        <v/>
      </c>
      <c r="R882" s="49" t="n"/>
      <c r="S882" s="50" t="n"/>
      <c r="T882" s="51" t="n"/>
      <c r="U882" s="43">
        <f>IF(OR($B882="",$C882=""),"",$C882-$B882+1)</f>
        <v/>
      </c>
      <c r="V882" s="52" t="n"/>
      <c r="W882" s="53">
        <f>IF(OR($V882="",$O882=""),"",$V882*$O882)</f>
        <v/>
      </c>
      <c r="X882" s="45" t="n"/>
      <c r="Y882" s="49" t="n"/>
    </row>
    <row r="883">
      <c r="A883" s="43">
        <f>IF($B883="","",COUNT($B$5:$B883))</f>
        <v/>
      </c>
      <c r="B883" s="44" t="n"/>
      <c r="C883" s="44" t="n"/>
      <c r="D883" s="45" t="n"/>
      <c r="E883" s="45" t="n"/>
      <c r="F883" s="45" t="n"/>
      <c r="G883" s="46">
        <f>IF($F883="","",IFERROR(INDEX(사건마스터!$B$5:$B$64,MATCH($F883,사건마스터!$A$5:$A$64,0)),""))</f>
        <v/>
      </c>
      <c r="H883" s="47">
        <f>IF($F883="","",IFERROR(INDEX(사건마스터!$C$5:$C$64,MATCH($F883,사건마스터!$A$5:$A$64,0)),""))</f>
        <v/>
      </c>
      <c r="I883" s="48">
        <f>IF($F883="","",IFERROR(INDEX(사건마스터!$H$5:$H$64,MATCH($F883,사건마스터!$A$5:$A$64,0)),""))</f>
        <v/>
      </c>
      <c r="J883" s="48">
        <f>IF($F883="","",IFERROR(INDEX(사건마스터!$AH$5:$AH$64,MATCH($F883,사건마스터!$A$5:$A$64,0)),""))</f>
        <v/>
      </c>
      <c r="K883" s="48">
        <f>IF($F883="","",IFERROR(INDEX(사건마스터!$AI$5:$AI$64,MATCH($F883,사건마스터!$A$5:$A$64,0)),""))</f>
        <v/>
      </c>
      <c r="L883" s="48">
        <f>IF($F883="","",IFERROR(INDEX(사건마스터!$AJ$5:$AJ$64,MATCH($F883,사건마스터!$A$5:$A$64,0)),""))</f>
        <v/>
      </c>
      <c r="M883" s="48">
        <f>IF($F883="","",IFERROR(INDEX(사건마스터!$AK$5:$AK$64,MATCH($F883,사건마스터!$A$5:$A$64,0)),""))</f>
        <v/>
      </c>
      <c r="N883" s="48">
        <f>IF($F883="","",IFERROR(INDEX(사건마스터!$AL$5:$AL$64,MATCH($F883,사건마스터!$A$5:$A$64,0)),""))</f>
        <v/>
      </c>
      <c r="O883" s="43">
        <f>IF($I883="","",COUNTIF($I883:$N883,"?*"))</f>
        <v/>
      </c>
      <c r="P883" s="46">
        <f>IF($I883="","",_xlfn.TEXTJOIN(", ",TRUE,$I883:$N883))</f>
        <v/>
      </c>
      <c r="Q883" s="47">
        <f>IF($I883="","",IFERROR(INDEX(코드설정!$D$5:$D$24,MATCH($I883,코드설정!$C$5:$C$24,0)),""))</f>
        <v/>
      </c>
      <c r="R883" s="49" t="n"/>
      <c r="S883" s="50" t="n"/>
      <c r="T883" s="51" t="n"/>
      <c r="U883" s="43">
        <f>IF(OR($B883="",$C883=""),"",$C883-$B883+1)</f>
        <v/>
      </c>
      <c r="V883" s="52" t="n"/>
      <c r="W883" s="53">
        <f>IF(OR($V883="",$O883=""),"",$V883*$O883)</f>
        <v/>
      </c>
      <c r="X883" s="45" t="n"/>
      <c r="Y883" s="49" t="n"/>
    </row>
    <row r="884">
      <c r="A884" s="43">
        <f>IF($B884="","",COUNT($B$5:$B884))</f>
        <v/>
      </c>
      <c r="B884" s="44" t="n"/>
      <c r="C884" s="44" t="n"/>
      <c r="D884" s="45" t="n"/>
      <c r="E884" s="45" t="n"/>
      <c r="F884" s="45" t="n"/>
      <c r="G884" s="46">
        <f>IF($F884="","",IFERROR(INDEX(사건마스터!$B$5:$B$64,MATCH($F884,사건마스터!$A$5:$A$64,0)),""))</f>
        <v/>
      </c>
      <c r="H884" s="47">
        <f>IF($F884="","",IFERROR(INDEX(사건마스터!$C$5:$C$64,MATCH($F884,사건마스터!$A$5:$A$64,0)),""))</f>
        <v/>
      </c>
      <c r="I884" s="48">
        <f>IF($F884="","",IFERROR(INDEX(사건마스터!$H$5:$H$64,MATCH($F884,사건마스터!$A$5:$A$64,0)),""))</f>
        <v/>
      </c>
      <c r="J884" s="48">
        <f>IF($F884="","",IFERROR(INDEX(사건마스터!$AH$5:$AH$64,MATCH($F884,사건마스터!$A$5:$A$64,0)),""))</f>
        <v/>
      </c>
      <c r="K884" s="48">
        <f>IF($F884="","",IFERROR(INDEX(사건마스터!$AI$5:$AI$64,MATCH($F884,사건마스터!$A$5:$A$64,0)),""))</f>
        <v/>
      </c>
      <c r="L884" s="48">
        <f>IF($F884="","",IFERROR(INDEX(사건마스터!$AJ$5:$AJ$64,MATCH($F884,사건마스터!$A$5:$A$64,0)),""))</f>
        <v/>
      </c>
      <c r="M884" s="48">
        <f>IF($F884="","",IFERROR(INDEX(사건마스터!$AK$5:$AK$64,MATCH($F884,사건마스터!$A$5:$A$64,0)),""))</f>
        <v/>
      </c>
      <c r="N884" s="48">
        <f>IF($F884="","",IFERROR(INDEX(사건마스터!$AL$5:$AL$64,MATCH($F884,사건마스터!$A$5:$A$64,0)),""))</f>
        <v/>
      </c>
      <c r="O884" s="43">
        <f>IF($I884="","",COUNTIF($I884:$N884,"?*"))</f>
        <v/>
      </c>
      <c r="P884" s="46">
        <f>IF($I884="","",_xlfn.TEXTJOIN(", ",TRUE,$I884:$N884))</f>
        <v/>
      </c>
      <c r="Q884" s="47">
        <f>IF($I884="","",IFERROR(INDEX(코드설정!$D$5:$D$24,MATCH($I884,코드설정!$C$5:$C$24,0)),""))</f>
        <v/>
      </c>
      <c r="R884" s="49" t="n"/>
      <c r="S884" s="50" t="n"/>
      <c r="T884" s="51" t="n"/>
      <c r="U884" s="43">
        <f>IF(OR($B884="",$C884=""),"",$C884-$B884+1)</f>
        <v/>
      </c>
      <c r="V884" s="52" t="n"/>
      <c r="W884" s="53">
        <f>IF(OR($V884="",$O884=""),"",$V884*$O884)</f>
        <v/>
      </c>
      <c r="X884" s="45" t="n"/>
      <c r="Y884" s="49" t="n"/>
    </row>
    <row r="885">
      <c r="A885" s="43">
        <f>IF($B885="","",COUNT($B$5:$B885))</f>
        <v/>
      </c>
      <c r="B885" s="44" t="n"/>
      <c r="C885" s="44" t="n"/>
      <c r="D885" s="45" t="n"/>
      <c r="E885" s="45" t="n"/>
      <c r="F885" s="45" t="n"/>
      <c r="G885" s="46">
        <f>IF($F885="","",IFERROR(INDEX(사건마스터!$B$5:$B$64,MATCH($F885,사건마스터!$A$5:$A$64,0)),""))</f>
        <v/>
      </c>
      <c r="H885" s="47">
        <f>IF($F885="","",IFERROR(INDEX(사건마스터!$C$5:$C$64,MATCH($F885,사건마스터!$A$5:$A$64,0)),""))</f>
        <v/>
      </c>
      <c r="I885" s="48">
        <f>IF($F885="","",IFERROR(INDEX(사건마스터!$H$5:$H$64,MATCH($F885,사건마스터!$A$5:$A$64,0)),""))</f>
        <v/>
      </c>
      <c r="J885" s="48">
        <f>IF($F885="","",IFERROR(INDEX(사건마스터!$AH$5:$AH$64,MATCH($F885,사건마스터!$A$5:$A$64,0)),""))</f>
        <v/>
      </c>
      <c r="K885" s="48">
        <f>IF($F885="","",IFERROR(INDEX(사건마스터!$AI$5:$AI$64,MATCH($F885,사건마스터!$A$5:$A$64,0)),""))</f>
        <v/>
      </c>
      <c r="L885" s="48">
        <f>IF($F885="","",IFERROR(INDEX(사건마스터!$AJ$5:$AJ$64,MATCH($F885,사건마스터!$A$5:$A$64,0)),""))</f>
        <v/>
      </c>
      <c r="M885" s="48">
        <f>IF($F885="","",IFERROR(INDEX(사건마스터!$AK$5:$AK$64,MATCH($F885,사건마스터!$A$5:$A$64,0)),""))</f>
        <v/>
      </c>
      <c r="N885" s="48">
        <f>IF($F885="","",IFERROR(INDEX(사건마스터!$AL$5:$AL$64,MATCH($F885,사건마스터!$A$5:$A$64,0)),""))</f>
        <v/>
      </c>
      <c r="O885" s="43">
        <f>IF($I885="","",COUNTIF($I885:$N885,"?*"))</f>
        <v/>
      </c>
      <c r="P885" s="46">
        <f>IF($I885="","",_xlfn.TEXTJOIN(", ",TRUE,$I885:$N885))</f>
        <v/>
      </c>
      <c r="Q885" s="47">
        <f>IF($I885="","",IFERROR(INDEX(코드설정!$D$5:$D$24,MATCH($I885,코드설정!$C$5:$C$24,0)),""))</f>
        <v/>
      </c>
      <c r="R885" s="49" t="n"/>
      <c r="S885" s="50" t="n"/>
      <c r="T885" s="51" t="n"/>
      <c r="U885" s="43">
        <f>IF(OR($B885="",$C885=""),"",$C885-$B885+1)</f>
        <v/>
      </c>
      <c r="V885" s="52" t="n"/>
      <c r="W885" s="53">
        <f>IF(OR($V885="",$O885=""),"",$V885*$O885)</f>
        <v/>
      </c>
      <c r="X885" s="45" t="n"/>
      <c r="Y885" s="49" t="n"/>
    </row>
    <row r="886">
      <c r="A886" s="43">
        <f>IF($B886="","",COUNT($B$5:$B886))</f>
        <v/>
      </c>
      <c r="B886" s="44" t="n"/>
      <c r="C886" s="44" t="n"/>
      <c r="D886" s="45" t="n"/>
      <c r="E886" s="45" t="n"/>
      <c r="F886" s="45" t="n"/>
      <c r="G886" s="46">
        <f>IF($F886="","",IFERROR(INDEX(사건마스터!$B$5:$B$64,MATCH($F886,사건마스터!$A$5:$A$64,0)),""))</f>
        <v/>
      </c>
      <c r="H886" s="47">
        <f>IF($F886="","",IFERROR(INDEX(사건마스터!$C$5:$C$64,MATCH($F886,사건마스터!$A$5:$A$64,0)),""))</f>
        <v/>
      </c>
      <c r="I886" s="48">
        <f>IF($F886="","",IFERROR(INDEX(사건마스터!$H$5:$H$64,MATCH($F886,사건마스터!$A$5:$A$64,0)),""))</f>
        <v/>
      </c>
      <c r="J886" s="48">
        <f>IF($F886="","",IFERROR(INDEX(사건마스터!$AH$5:$AH$64,MATCH($F886,사건마스터!$A$5:$A$64,0)),""))</f>
        <v/>
      </c>
      <c r="K886" s="48">
        <f>IF($F886="","",IFERROR(INDEX(사건마스터!$AI$5:$AI$64,MATCH($F886,사건마스터!$A$5:$A$64,0)),""))</f>
        <v/>
      </c>
      <c r="L886" s="48">
        <f>IF($F886="","",IFERROR(INDEX(사건마스터!$AJ$5:$AJ$64,MATCH($F886,사건마스터!$A$5:$A$64,0)),""))</f>
        <v/>
      </c>
      <c r="M886" s="48">
        <f>IF($F886="","",IFERROR(INDEX(사건마스터!$AK$5:$AK$64,MATCH($F886,사건마스터!$A$5:$A$64,0)),""))</f>
        <v/>
      </c>
      <c r="N886" s="48">
        <f>IF($F886="","",IFERROR(INDEX(사건마스터!$AL$5:$AL$64,MATCH($F886,사건마스터!$A$5:$A$64,0)),""))</f>
        <v/>
      </c>
      <c r="O886" s="43">
        <f>IF($I886="","",COUNTIF($I886:$N886,"?*"))</f>
        <v/>
      </c>
      <c r="P886" s="46">
        <f>IF($I886="","",_xlfn.TEXTJOIN(", ",TRUE,$I886:$N886))</f>
        <v/>
      </c>
      <c r="Q886" s="47">
        <f>IF($I886="","",IFERROR(INDEX(코드설정!$D$5:$D$24,MATCH($I886,코드설정!$C$5:$C$24,0)),""))</f>
        <v/>
      </c>
      <c r="R886" s="49" t="n"/>
      <c r="S886" s="50" t="n"/>
      <c r="T886" s="51" t="n"/>
      <c r="U886" s="43">
        <f>IF(OR($B886="",$C886=""),"",$C886-$B886+1)</f>
        <v/>
      </c>
      <c r="V886" s="52" t="n"/>
      <c r="W886" s="53">
        <f>IF(OR($V886="",$O886=""),"",$V886*$O886)</f>
        <v/>
      </c>
      <c r="X886" s="45" t="n"/>
      <c r="Y886" s="49" t="n"/>
    </row>
    <row r="887">
      <c r="A887" s="43">
        <f>IF($B887="","",COUNT($B$5:$B887))</f>
        <v/>
      </c>
      <c r="B887" s="44" t="n"/>
      <c r="C887" s="44" t="n"/>
      <c r="D887" s="45" t="n"/>
      <c r="E887" s="45" t="n"/>
      <c r="F887" s="45" t="n"/>
      <c r="G887" s="46">
        <f>IF($F887="","",IFERROR(INDEX(사건마스터!$B$5:$B$64,MATCH($F887,사건마스터!$A$5:$A$64,0)),""))</f>
        <v/>
      </c>
      <c r="H887" s="47">
        <f>IF($F887="","",IFERROR(INDEX(사건마스터!$C$5:$C$64,MATCH($F887,사건마스터!$A$5:$A$64,0)),""))</f>
        <v/>
      </c>
      <c r="I887" s="48">
        <f>IF($F887="","",IFERROR(INDEX(사건마스터!$H$5:$H$64,MATCH($F887,사건마스터!$A$5:$A$64,0)),""))</f>
        <v/>
      </c>
      <c r="J887" s="48">
        <f>IF($F887="","",IFERROR(INDEX(사건마스터!$AH$5:$AH$64,MATCH($F887,사건마스터!$A$5:$A$64,0)),""))</f>
        <v/>
      </c>
      <c r="K887" s="48">
        <f>IF($F887="","",IFERROR(INDEX(사건마스터!$AI$5:$AI$64,MATCH($F887,사건마스터!$A$5:$A$64,0)),""))</f>
        <v/>
      </c>
      <c r="L887" s="48">
        <f>IF($F887="","",IFERROR(INDEX(사건마스터!$AJ$5:$AJ$64,MATCH($F887,사건마스터!$A$5:$A$64,0)),""))</f>
        <v/>
      </c>
      <c r="M887" s="48">
        <f>IF($F887="","",IFERROR(INDEX(사건마스터!$AK$5:$AK$64,MATCH($F887,사건마스터!$A$5:$A$64,0)),""))</f>
        <v/>
      </c>
      <c r="N887" s="48">
        <f>IF($F887="","",IFERROR(INDEX(사건마스터!$AL$5:$AL$64,MATCH($F887,사건마스터!$A$5:$A$64,0)),""))</f>
        <v/>
      </c>
      <c r="O887" s="43">
        <f>IF($I887="","",COUNTIF($I887:$N887,"?*"))</f>
        <v/>
      </c>
      <c r="P887" s="46">
        <f>IF($I887="","",_xlfn.TEXTJOIN(", ",TRUE,$I887:$N887))</f>
        <v/>
      </c>
      <c r="Q887" s="47">
        <f>IF($I887="","",IFERROR(INDEX(코드설정!$D$5:$D$24,MATCH($I887,코드설정!$C$5:$C$24,0)),""))</f>
        <v/>
      </c>
      <c r="R887" s="49" t="n"/>
      <c r="S887" s="50" t="n"/>
      <c r="T887" s="51" t="n"/>
      <c r="U887" s="43">
        <f>IF(OR($B887="",$C887=""),"",$C887-$B887+1)</f>
        <v/>
      </c>
      <c r="V887" s="52" t="n"/>
      <c r="W887" s="53">
        <f>IF(OR($V887="",$O887=""),"",$V887*$O887)</f>
        <v/>
      </c>
      <c r="X887" s="45" t="n"/>
      <c r="Y887" s="49" t="n"/>
    </row>
    <row r="888">
      <c r="A888" s="43">
        <f>IF($B888="","",COUNT($B$5:$B888))</f>
        <v/>
      </c>
      <c r="B888" s="44" t="n"/>
      <c r="C888" s="44" t="n"/>
      <c r="D888" s="45" t="n"/>
      <c r="E888" s="45" t="n"/>
      <c r="F888" s="45" t="n"/>
      <c r="G888" s="46">
        <f>IF($F888="","",IFERROR(INDEX(사건마스터!$B$5:$B$64,MATCH($F888,사건마스터!$A$5:$A$64,0)),""))</f>
        <v/>
      </c>
      <c r="H888" s="47">
        <f>IF($F888="","",IFERROR(INDEX(사건마스터!$C$5:$C$64,MATCH($F888,사건마스터!$A$5:$A$64,0)),""))</f>
        <v/>
      </c>
      <c r="I888" s="48">
        <f>IF($F888="","",IFERROR(INDEX(사건마스터!$H$5:$H$64,MATCH($F888,사건마스터!$A$5:$A$64,0)),""))</f>
        <v/>
      </c>
      <c r="J888" s="48">
        <f>IF($F888="","",IFERROR(INDEX(사건마스터!$AH$5:$AH$64,MATCH($F888,사건마스터!$A$5:$A$64,0)),""))</f>
        <v/>
      </c>
      <c r="K888" s="48">
        <f>IF($F888="","",IFERROR(INDEX(사건마스터!$AI$5:$AI$64,MATCH($F888,사건마스터!$A$5:$A$64,0)),""))</f>
        <v/>
      </c>
      <c r="L888" s="48">
        <f>IF($F888="","",IFERROR(INDEX(사건마스터!$AJ$5:$AJ$64,MATCH($F888,사건마스터!$A$5:$A$64,0)),""))</f>
        <v/>
      </c>
      <c r="M888" s="48">
        <f>IF($F888="","",IFERROR(INDEX(사건마스터!$AK$5:$AK$64,MATCH($F888,사건마스터!$A$5:$A$64,0)),""))</f>
        <v/>
      </c>
      <c r="N888" s="48">
        <f>IF($F888="","",IFERROR(INDEX(사건마스터!$AL$5:$AL$64,MATCH($F888,사건마스터!$A$5:$A$64,0)),""))</f>
        <v/>
      </c>
      <c r="O888" s="43">
        <f>IF($I888="","",COUNTIF($I888:$N888,"?*"))</f>
        <v/>
      </c>
      <c r="P888" s="46">
        <f>IF($I888="","",_xlfn.TEXTJOIN(", ",TRUE,$I888:$N888))</f>
        <v/>
      </c>
      <c r="Q888" s="47">
        <f>IF($I888="","",IFERROR(INDEX(코드설정!$D$5:$D$24,MATCH($I888,코드설정!$C$5:$C$24,0)),""))</f>
        <v/>
      </c>
      <c r="R888" s="49" t="n"/>
      <c r="S888" s="50" t="n"/>
      <c r="T888" s="51" t="n"/>
      <c r="U888" s="43">
        <f>IF(OR($B888="",$C888=""),"",$C888-$B888+1)</f>
        <v/>
      </c>
      <c r="V888" s="52" t="n"/>
      <c r="W888" s="53">
        <f>IF(OR($V888="",$O888=""),"",$V888*$O888)</f>
        <v/>
      </c>
      <c r="X888" s="45" t="n"/>
      <c r="Y888" s="49" t="n"/>
    </row>
    <row r="889">
      <c r="A889" s="43">
        <f>IF($B889="","",COUNT($B$5:$B889))</f>
        <v/>
      </c>
      <c r="B889" s="44" t="n"/>
      <c r="C889" s="44" t="n"/>
      <c r="D889" s="45" t="n"/>
      <c r="E889" s="45" t="n"/>
      <c r="F889" s="45" t="n"/>
      <c r="G889" s="46">
        <f>IF($F889="","",IFERROR(INDEX(사건마스터!$B$5:$B$64,MATCH($F889,사건마스터!$A$5:$A$64,0)),""))</f>
        <v/>
      </c>
      <c r="H889" s="47">
        <f>IF($F889="","",IFERROR(INDEX(사건마스터!$C$5:$C$64,MATCH($F889,사건마스터!$A$5:$A$64,0)),""))</f>
        <v/>
      </c>
      <c r="I889" s="48">
        <f>IF($F889="","",IFERROR(INDEX(사건마스터!$H$5:$H$64,MATCH($F889,사건마스터!$A$5:$A$64,0)),""))</f>
        <v/>
      </c>
      <c r="J889" s="48">
        <f>IF($F889="","",IFERROR(INDEX(사건마스터!$AH$5:$AH$64,MATCH($F889,사건마스터!$A$5:$A$64,0)),""))</f>
        <v/>
      </c>
      <c r="K889" s="48">
        <f>IF($F889="","",IFERROR(INDEX(사건마스터!$AI$5:$AI$64,MATCH($F889,사건마스터!$A$5:$A$64,0)),""))</f>
        <v/>
      </c>
      <c r="L889" s="48">
        <f>IF($F889="","",IFERROR(INDEX(사건마스터!$AJ$5:$AJ$64,MATCH($F889,사건마스터!$A$5:$A$64,0)),""))</f>
        <v/>
      </c>
      <c r="M889" s="48">
        <f>IF($F889="","",IFERROR(INDEX(사건마스터!$AK$5:$AK$64,MATCH($F889,사건마스터!$A$5:$A$64,0)),""))</f>
        <v/>
      </c>
      <c r="N889" s="48">
        <f>IF($F889="","",IFERROR(INDEX(사건마스터!$AL$5:$AL$64,MATCH($F889,사건마스터!$A$5:$A$64,0)),""))</f>
        <v/>
      </c>
      <c r="O889" s="43">
        <f>IF($I889="","",COUNTIF($I889:$N889,"?*"))</f>
        <v/>
      </c>
      <c r="P889" s="46">
        <f>IF($I889="","",_xlfn.TEXTJOIN(", ",TRUE,$I889:$N889))</f>
        <v/>
      </c>
      <c r="Q889" s="47">
        <f>IF($I889="","",IFERROR(INDEX(코드설정!$D$5:$D$24,MATCH($I889,코드설정!$C$5:$C$24,0)),""))</f>
        <v/>
      </c>
      <c r="R889" s="49" t="n"/>
      <c r="S889" s="50" t="n"/>
      <c r="T889" s="51" t="n"/>
      <c r="U889" s="43">
        <f>IF(OR($B889="",$C889=""),"",$C889-$B889+1)</f>
        <v/>
      </c>
      <c r="V889" s="52" t="n"/>
      <c r="W889" s="53">
        <f>IF(OR($V889="",$O889=""),"",$V889*$O889)</f>
        <v/>
      </c>
      <c r="X889" s="45" t="n"/>
      <c r="Y889" s="49" t="n"/>
    </row>
    <row r="890">
      <c r="A890" s="43">
        <f>IF($B890="","",COUNT($B$5:$B890))</f>
        <v/>
      </c>
      <c r="B890" s="44" t="n"/>
      <c r="C890" s="44" t="n"/>
      <c r="D890" s="45" t="n"/>
      <c r="E890" s="45" t="n"/>
      <c r="F890" s="45" t="n"/>
      <c r="G890" s="46">
        <f>IF($F890="","",IFERROR(INDEX(사건마스터!$B$5:$B$64,MATCH($F890,사건마스터!$A$5:$A$64,0)),""))</f>
        <v/>
      </c>
      <c r="H890" s="47">
        <f>IF($F890="","",IFERROR(INDEX(사건마스터!$C$5:$C$64,MATCH($F890,사건마스터!$A$5:$A$64,0)),""))</f>
        <v/>
      </c>
      <c r="I890" s="48">
        <f>IF($F890="","",IFERROR(INDEX(사건마스터!$H$5:$H$64,MATCH($F890,사건마스터!$A$5:$A$64,0)),""))</f>
        <v/>
      </c>
      <c r="J890" s="48">
        <f>IF($F890="","",IFERROR(INDEX(사건마스터!$AH$5:$AH$64,MATCH($F890,사건마스터!$A$5:$A$64,0)),""))</f>
        <v/>
      </c>
      <c r="K890" s="48">
        <f>IF($F890="","",IFERROR(INDEX(사건마스터!$AI$5:$AI$64,MATCH($F890,사건마스터!$A$5:$A$64,0)),""))</f>
        <v/>
      </c>
      <c r="L890" s="48">
        <f>IF($F890="","",IFERROR(INDEX(사건마스터!$AJ$5:$AJ$64,MATCH($F890,사건마스터!$A$5:$A$64,0)),""))</f>
        <v/>
      </c>
      <c r="M890" s="48">
        <f>IF($F890="","",IFERROR(INDEX(사건마스터!$AK$5:$AK$64,MATCH($F890,사건마스터!$A$5:$A$64,0)),""))</f>
        <v/>
      </c>
      <c r="N890" s="48">
        <f>IF($F890="","",IFERROR(INDEX(사건마스터!$AL$5:$AL$64,MATCH($F890,사건마스터!$A$5:$A$64,0)),""))</f>
        <v/>
      </c>
      <c r="O890" s="43">
        <f>IF($I890="","",COUNTIF($I890:$N890,"?*"))</f>
        <v/>
      </c>
      <c r="P890" s="46">
        <f>IF($I890="","",_xlfn.TEXTJOIN(", ",TRUE,$I890:$N890))</f>
        <v/>
      </c>
      <c r="Q890" s="47">
        <f>IF($I890="","",IFERROR(INDEX(코드설정!$D$5:$D$24,MATCH($I890,코드설정!$C$5:$C$24,0)),""))</f>
        <v/>
      </c>
      <c r="R890" s="49" t="n"/>
      <c r="S890" s="50" t="n"/>
      <c r="T890" s="51" t="n"/>
      <c r="U890" s="43">
        <f>IF(OR($B890="",$C890=""),"",$C890-$B890+1)</f>
        <v/>
      </c>
      <c r="V890" s="52" t="n"/>
      <c r="W890" s="53">
        <f>IF(OR($V890="",$O890=""),"",$V890*$O890)</f>
        <v/>
      </c>
      <c r="X890" s="45" t="n"/>
      <c r="Y890" s="49" t="n"/>
    </row>
    <row r="891">
      <c r="A891" s="43">
        <f>IF($B891="","",COUNT($B$5:$B891))</f>
        <v/>
      </c>
      <c r="B891" s="44" t="n"/>
      <c r="C891" s="44" t="n"/>
      <c r="D891" s="45" t="n"/>
      <c r="E891" s="45" t="n"/>
      <c r="F891" s="45" t="n"/>
      <c r="G891" s="46">
        <f>IF($F891="","",IFERROR(INDEX(사건마스터!$B$5:$B$64,MATCH($F891,사건마스터!$A$5:$A$64,0)),""))</f>
        <v/>
      </c>
      <c r="H891" s="47">
        <f>IF($F891="","",IFERROR(INDEX(사건마스터!$C$5:$C$64,MATCH($F891,사건마스터!$A$5:$A$64,0)),""))</f>
        <v/>
      </c>
      <c r="I891" s="48">
        <f>IF($F891="","",IFERROR(INDEX(사건마스터!$H$5:$H$64,MATCH($F891,사건마스터!$A$5:$A$64,0)),""))</f>
        <v/>
      </c>
      <c r="J891" s="48">
        <f>IF($F891="","",IFERROR(INDEX(사건마스터!$AH$5:$AH$64,MATCH($F891,사건마스터!$A$5:$A$64,0)),""))</f>
        <v/>
      </c>
      <c r="K891" s="48">
        <f>IF($F891="","",IFERROR(INDEX(사건마스터!$AI$5:$AI$64,MATCH($F891,사건마스터!$A$5:$A$64,0)),""))</f>
        <v/>
      </c>
      <c r="L891" s="48">
        <f>IF($F891="","",IFERROR(INDEX(사건마스터!$AJ$5:$AJ$64,MATCH($F891,사건마스터!$A$5:$A$64,0)),""))</f>
        <v/>
      </c>
      <c r="M891" s="48">
        <f>IF($F891="","",IFERROR(INDEX(사건마스터!$AK$5:$AK$64,MATCH($F891,사건마스터!$A$5:$A$64,0)),""))</f>
        <v/>
      </c>
      <c r="N891" s="48">
        <f>IF($F891="","",IFERROR(INDEX(사건마스터!$AL$5:$AL$64,MATCH($F891,사건마스터!$A$5:$A$64,0)),""))</f>
        <v/>
      </c>
      <c r="O891" s="43">
        <f>IF($I891="","",COUNTIF($I891:$N891,"?*"))</f>
        <v/>
      </c>
      <c r="P891" s="46">
        <f>IF($I891="","",_xlfn.TEXTJOIN(", ",TRUE,$I891:$N891))</f>
        <v/>
      </c>
      <c r="Q891" s="47">
        <f>IF($I891="","",IFERROR(INDEX(코드설정!$D$5:$D$24,MATCH($I891,코드설정!$C$5:$C$24,0)),""))</f>
        <v/>
      </c>
      <c r="R891" s="49" t="n"/>
      <c r="S891" s="50" t="n"/>
      <c r="T891" s="51" t="n"/>
      <c r="U891" s="43">
        <f>IF(OR($B891="",$C891=""),"",$C891-$B891+1)</f>
        <v/>
      </c>
      <c r="V891" s="52" t="n"/>
      <c r="W891" s="53">
        <f>IF(OR($V891="",$O891=""),"",$V891*$O891)</f>
        <v/>
      </c>
      <c r="X891" s="45" t="n"/>
      <c r="Y891" s="49" t="n"/>
    </row>
    <row r="892">
      <c r="A892" s="43">
        <f>IF($B892="","",COUNT($B$5:$B892))</f>
        <v/>
      </c>
      <c r="B892" s="44" t="n"/>
      <c r="C892" s="44" t="n"/>
      <c r="D892" s="45" t="n"/>
      <c r="E892" s="45" t="n"/>
      <c r="F892" s="45" t="n"/>
      <c r="G892" s="46">
        <f>IF($F892="","",IFERROR(INDEX(사건마스터!$B$5:$B$64,MATCH($F892,사건마스터!$A$5:$A$64,0)),""))</f>
        <v/>
      </c>
      <c r="H892" s="47">
        <f>IF($F892="","",IFERROR(INDEX(사건마스터!$C$5:$C$64,MATCH($F892,사건마스터!$A$5:$A$64,0)),""))</f>
        <v/>
      </c>
      <c r="I892" s="48">
        <f>IF($F892="","",IFERROR(INDEX(사건마스터!$H$5:$H$64,MATCH($F892,사건마스터!$A$5:$A$64,0)),""))</f>
        <v/>
      </c>
      <c r="J892" s="48">
        <f>IF($F892="","",IFERROR(INDEX(사건마스터!$AH$5:$AH$64,MATCH($F892,사건마스터!$A$5:$A$64,0)),""))</f>
        <v/>
      </c>
      <c r="K892" s="48">
        <f>IF($F892="","",IFERROR(INDEX(사건마스터!$AI$5:$AI$64,MATCH($F892,사건마스터!$A$5:$A$64,0)),""))</f>
        <v/>
      </c>
      <c r="L892" s="48">
        <f>IF($F892="","",IFERROR(INDEX(사건마스터!$AJ$5:$AJ$64,MATCH($F892,사건마스터!$A$5:$A$64,0)),""))</f>
        <v/>
      </c>
      <c r="M892" s="48">
        <f>IF($F892="","",IFERROR(INDEX(사건마스터!$AK$5:$AK$64,MATCH($F892,사건마스터!$A$5:$A$64,0)),""))</f>
        <v/>
      </c>
      <c r="N892" s="48">
        <f>IF($F892="","",IFERROR(INDEX(사건마스터!$AL$5:$AL$64,MATCH($F892,사건마스터!$A$5:$A$64,0)),""))</f>
        <v/>
      </c>
      <c r="O892" s="43">
        <f>IF($I892="","",COUNTIF($I892:$N892,"?*"))</f>
        <v/>
      </c>
      <c r="P892" s="46">
        <f>IF($I892="","",_xlfn.TEXTJOIN(", ",TRUE,$I892:$N892))</f>
        <v/>
      </c>
      <c r="Q892" s="47">
        <f>IF($I892="","",IFERROR(INDEX(코드설정!$D$5:$D$24,MATCH($I892,코드설정!$C$5:$C$24,0)),""))</f>
        <v/>
      </c>
      <c r="R892" s="49" t="n"/>
      <c r="S892" s="50" t="n"/>
      <c r="T892" s="51" t="n"/>
      <c r="U892" s="43">
        <f>IF(OR($B892="",$C892=""),"",$C892-$B892+1)</f>
        <v/>
      </c>
      <c r="V892" s="52" t="n"/>
      <c r="W892" s="53">
        <f>IF(OR($V892="",$O892=""),"",$V892*$O892)</f>
        <v/>
      </c>
      <c r="X892" s="45" t="n"/>
      <c r="Y892" s="49" t="n"/>
    </row>
    <row r="893">
      <c r="A893" s="43">
        <f>IF($B893="","",COUNT($B$5:$B893))</f>
        <v/>
      </c>
      <c r="B893" s="44" t="n"/>
      <c r="C893" s="44" t="n"/>
      <c r="D893" s="45" t="n"/>
      <c r="E893" s="45" t="n"/>
      <c r="F893" s="45" t="n"/>
      <c r="G893" s="46">
        <f>IF($F893="","",IFERROR(INDEX(사건마스터!$B$5:$B$64,MATCH($F893,사건마스터!$A$5:$A$64,0)),""))</f>
        <v/>
      </c>
      <c r="H893" s="47">
        <f>IF($F893="","",IFERROR(INDEX(사건마스터!$C$5:$C$64,MATCH($F893,사건마스터!$A$5:$A$64,0)),""))</f>
        <v/>
      </c>
      <c r="I893" s="48">
        <f>IF($F893="","",IFERROR(INDEX(사건마스터!$H$5:$H$64,MATCH($F893,사건마스터!$A$5:$A$64,0)),""))</f>
        <v/>
      </c>
      <c r="J893" s="48">
        <f>IF($F893="","",IFERROR(INDEX(사건마스터!$AH$5:$AH$64,MATCH($F893,사건마스터!$A$5:$A$64,0)),""))</f>
        <v/>
      </c>
      <c r="K893" s="48">
        <f>IF($F893="","",IFERROR(INDEX(사건마스터!$AI$5:$AI$64,MATCH($F893,사건마스터!$A$5:$A$64,0)),""))</f>
        <v/>
      </c>
      <c r="L893" s="48">
        <f>IF($F893="","",IFERROR(INDEX(사건마스터!$AJ$5:$AJ$64,MATCH($F893,사건마스터!$A$5:$A$64,0)),""))</f>
        <v/>
      </c>
      <c r="M893" s="48">
        <f>IF($F893="","",IFERROR(INDEX(사건마스터!$AK$5:$AK$64,MATCH($F893,사건마스터!$A$5:$A$64,0)),""))</f>
        <v/>
      </c>
      <c r="N893" s="48">
        <f>IF($F893="","",IFERROR(INDEX(사건마스터!$AL$5:$AL$64,MATCH($F893,사건마스터!$A$5:$A$64,0)),""))</f>
        <v/>
      </c>
      <c r="O893" s="43">
        <f>IF($I893="","",COUNTIF($I893:$N893,"?*"))</f>
        <v/>
      </c>
      <c r="P893" s="46">
        <f>IF($I893="","",_xlfn.TEXTJOIN(", ",TRUE,$I893:$N893))</f>
        <v/>
      </c>
      <c r="Q893" s="47">
        <f>IF($I893="","",IFERROR(INDEX(코드설정!$D$5:$D$24,MATCH($I893,코드설정!$C$5:$C$24,0)),""))</f>
        <v/>
      </c>
      <c r="R893" s="49" t="n"/>
      <c r="S893" s="50" t="n"/>
      <c r="T893" s="51" t="n"/>
      <c r="U893" s="43">
        <f>IF(OR($B893="",$C893=""),"",$C893-$B893+1)</f>
        <v/>
      </c>
      <c r="V893" s="52" t="n"/>
      <c r="W893" s="53">
        <f>IF(OR($V893="",$O893=""),"",$V893*$O893)</f>
        <v/>
      </c>
      <c r="X893" s="45" t="n"/>
      <c r="Y893" s="49" t="n"/>
    </row>
    <row r="894">
      <c r="A894" s="43">
        <f>IF($B894="","",COUNT($B$5:$B894))</f>
        <v/>
      </c>
      <c r="B894" s="44" t="n"/>
      <c r="C894" s="44" t="n"/>
      <c r="D894" s="45" t="n"/>
      <c r="E894" s="45" t="n"/>
      <c r="F894" s="45" t="n"/>
      <c r="G894" s="46">
        <f>IF($F894="","",IFERROR(INDEX(사건마스터!$B$5:$B$64,MATCH($F894,사건마스터!$A$5:$A$64,0)),""))</f>
        <v/>
      </c>
      <c r="H894" s="47">
        <f>IF($F894="","",IFERROR(INDEX(사건마스터!$C$5:$C$64,MATCH($F894,사건마스터!$A$5:$A$64,0)),""))</f>
        <v/>
      </c>
      <c r="I894" s="48">
        <f>IF($F894="","",IFERROR(INDEX(사건마스터!$H$5:$H$64,MATCH($F894,사건마스터!$A$5:$A$64,0)),""))</f>
        <v/>
      </c>
      <c r="J894" s="48">
        <f>IF($F894="","",IFERROR(INDEX(사건마스터!$AH$5:$AH$64,MATCH($F894,사건마스터!$A$5:$A$64,0)),""))</f>
        <v/>
      </c>
      <c r="K894" s="48">
        <f>IF($F894="","",IFERROR(INDEX(사건마스터!$AI$5:$AI$64,MATCH($F894,사건마스터!$A$5:$A$64,0)),""))</f>
        <v/>
      </c>
      <c r="L894" s="48">
        <f>IF($F894="","",IFERROR(INDEX(사건마스터!$AJ$5:$AJ$64,MATCH($F894,사건마스터!$A$5:$A$64,0)),""))</f>
        <v/>
      </c>
      <c r="M894" s="48">
        <f>IF($F894="","",IFERROR(INDEX(사건마스터!$AK$5:$AK$64,MATCH($F894,사건마스터!$A$5:$A$64,0)),""))</f>
        <v/>
      </c>
      <c r="N894" s="48">
        <f>IF($F894="","",IFERROR(INDEX(사건마스터!$AL$5:$AL$64,MATCH($F894,사건마스터!$A$5:$A$64,0)),""))</f>
        <v/>
      </c>
      <c r="O894" s="43">
        <f>IF($I894="","",COUNTIF($I894:$N894,"?*"))</f>
        <v/>
      </c>
      <c r="P894" s="46">
        <f>IF($I894="","",_xlfn.TEXTJOIN(", ",TRUE,$I894:$N894))</f>
        <v/>
      </c>
      <c r="Q894" s="47">
        <f>IF($I894="","",IFERROR(INDEX(코드설정!$D$5:$D$24,MATCH($I894,코드설정!$C$5:$C$24,0)),""))</f>
        <v/>
      </c>
      <c r="R894" s="49" t="n"/>
      <c r="S894" s="50" t="n"/>
      <c r="T894" s="51" t="n"/>
      <c r="U894" s="43">
        <f>IF(OR($B894="",$C894=""),"",$C894-$B894+1)</f>
        <v/>
      </c>
      <c r="V894" s="52" t="n"/>
      <c r="W894" s="53">
        <f>IF(OR($V894="",$O894=""),"",$V894*$O894)</f>
        <v/>
      </c>
      <c r="X894" s="45" t="n"/>
      <c r="Y894" s="49" t="n"/>
    </row>
    <row r="895">
      <c r="A895" s="43">
        <f>IF($B895="","",COUNT($B$5:$B895))</f>
        <v/>
      </c>
      <c r="B895" s="44" t="n"/>
      <c r="C895" s="44" t="n"/>
      <c r="D895" s="45" t="n"/>
      <c r="E895" s="45" t="n"/>
      <c r="F895" s="45" t="n"/>
      <c r="G895" s="46">
        <f>IF($F895="","",IFERROR(INDEX(사건마스터!$B$5:$B$64,MATCH($F895,사건마스터!$A$5:$A$64,0)),""))</f>
        <v/>
      </c>
      <c r="H895" s="47">
        <f>IF($F895="","",IFERROR(INDEX(사건마스터!$C$5:$C$64,MATCH($F895,사건마스터!$A$5:$A$64,0)),""))</f>
        <v/>
      </c>
      <c r="I895" s="48">
        <f>IF($F895="","",IFERROR(INDEX(사건마스터!$H$5:$H$64,MATCH($F895,사건마스터!$A$5:$A$64,0)),""))</f>
        <v/>
      </c>
      <c r="J895" s="48">
        <f>IF($F895="","",IFERROR(INDEX(사건마스터!$AH$5:$AH$64,MATCH($F895,사건마스터!$A$5:$A$64,0)),""))</f>
        <v/>
      </c>
      <c r="K895" s="48">
        <f>IF($F895="","",IFERROR(INDEX(사건마스터!$AI$5:$AI$64,MATCH($F895,사건마스터!$A$5:$A$64,0)),""))</f>
        <v/>
      </c>
      <c r="L895" s="48">
        <f>IF($F895="","",IFERROR(INDEX(사건마스터!$AJ$5:$AJ$64,MATCH($F895,사건마스터!$A$5:$A$64,0)),""))</f>
        <v/>
      </c>
      <c r="M895" s="48">
        <f>IF($F895="","",IFERROR(INDEX(사건마스터!$AK$5:$AK$64,MATCH($F895,사건마스터!$A$5:$A$64,0)),""))</f>
        <v/>
      </c>
      <c r="N895" s="48">
        <f>IF($F895="","",IFERROR(INDEX(사건마스터!$AL$5:$AL$64,MATCH($F895,사건마스터!$A$5:$A$64,0)),""))</f>
        <v/>
      </c>
      <c r="O895" s="43">
        <f>IF($I895="","",COUNTIF($I895:$N895,"?*"))</f>
        <v/>
      </c>
      <c r="P895" s="46">
        <f>IF($I895="","",_xlfn.TEXTJOIN(", ",TRUE,$I895:$N895))</f>
        <v/>
      </c>
      <c r="Q895" s="47">
        <f>IF($I895="","",IFERROR(INDEX(코드설정!$D$5:$D$24,MATCH($I895,코드설정!$C$5:$C$24,0)),""))</f>
        <v/>
      </c>
      <c r="R895" s="49" t="n"/>
      <c r="S895" s="50" t="n"/>
      <c r="T895" s="51" t="n"/>
      <c r="U895" s="43">
        <f>IF(OR($B895="",$C895=""),"",$C895-$B895+1)</f>
        <v/>
      </c>
      <c r="V895" s="52" t="n"/>
      <c r="W895" s="53">
        <f>IF(OR($V895="",$O895=""),"",$V895*$O895)</f>
        <v/>
      </c>
      <c r="X895" s="45" t="n"/>
      <c r="Y895" s="49" t="n"/>
    </row>
    <row r="896">
      <c r="A896" s="43">
        <f>IF($B896="","",COUNT($B$5:$B896))</f>
        <v/>
      </c>
      <c r="B896" s="44" t="n"/>
      <c r="C896" s="44" t="n"/>
      <c r="D896" s="45" t="n"/>
      <c r="E896" s="45" t="n"/>
      <c r="F896" s="45" t="n"/>
      <c r="G896" s="46">
        <f>IF($F896="","",IFERROR(INDEX(사건마스터!$B$5:$B$64,MATCH($F896,사건마스터!$A$5:$A$64,0)),""))</f>
        <v/>
      </c>
      <c r="H896" s="47">
        <f>IF($F896="","",IFERROR(INDEX(사건마스터!$C$5:$C$64,MATCH($F896,사건마스터!$A$5:$A$64,0)),""))</f>
        <v/>
      </c>
      <c r="I896" s="48">
        <f>IF($F896="","",IFERROR(INDEX(사건마스터!$H$5:$H$64,MATCH($F896,사건마스터!$A$5:$A$64,0)),""))</f>
        <v/>
      </c>
      <c r="J896" s="48">
        <f>IF($F896="","",IFERROR(INDEX(사건마스터!$AH$5:$AH$64,MATCH($F896,사건마스터!$A$5:$A$64,0)),""))</f>
        <v/>
      </c>
      <c r="K896" s="48">
        <f>IF($F896="","",IFERROR(INDEX(사건마스터!$AI$5:$AI$64,MATCH($F896,사건마스터!$A$5:$A$64,0)),""))</f>
        <v/>
      </c>
      <c r="L896" s="48">
        <f>IF($F896="","",IFERROR(INDEX(사건마스터!$AJ$5:$AJ$64,MATCH($F896,사건마스터!$A$5:$A$64,0)),""))</f>
        <v/>
      </c>
      <c r="M896" s="48">
        <f>IF($F896="","",IFERROR(INDEX(사건마스터!$AK$5:$AK$64,MATCH($F896,사건마스터!$A$5:$A$64,0)),""))</f>
        <v/>
      </c>
      <c r="N896" s="48">
        <f>IF($F896="","",IFERROR(INDEX(사건마스터!$AL$5:$AL$64,MATCH($F896,사건마스터!$A$5:$A$64,0)),""))</f>
        <v/>
      </c>
      <c r="O896" s="43">
        <f>IF($I896="","",COUNTIF($I896:$N896,"?*"))</f>
        <v/>
      </c>
      <c r="P896" s="46">
        <f>IF($I896="","",_xlfn.TEXTJOIN(", ",TRUE,$I896:$N896))</f>
        <v/>
      </c>
      <c r="Q896" s="47">
        <f>IF($I896="","",IFERROR(INDEX(코드설정!$D$5:$D$24,MATCH($I896,코드설정!$C$5:$C$24,0)),""))</f>
        <v/>
      </c>
      <c r="R896" s="49" t="n"/>
      <c r="S896" s="50" t="n"/>
      <c r="T896" s="51" t="n"/>
      <c r="U896" s="43">
        <f>IF(OR($B896="",$C896=""),"",$C896-$B896+1)</f>
        <v/>
      </c>
      <c r="V896" s="52" t="n"/>
      <c r="W896" s="53">
        <f>IF(OR($V896="",$O896=""),"",$V896*$O896)</f>
        <v/>
      </c>
      <c r="X896" s="45" t="n"/>
      <c r="Y896" s="49" t="n"/>
    </row>
    <row r="897">
      <c r="A897" s="43">
        <f>IF($B897="","",COUNT($B$5:$B897))</f>
        <v/>
      </c>
      <c r="B897" s="44" t="n"/>
      <c r="C897" s="44" t="n"/>
      <c r="D897" s="45" t="n"/>
      <c r="E897" s="45" t="n"/>
      <c r="F897" s="45" t="n"/>
      <c r="G897" s="46">
        <f>IF($F897="","",IFERROR(INDEX(사건마스터!$B$5:$B$64,MATCH($F897,사건마스터!$A$5:$A$64,0)),""))</f>
        <v/>
      </c>
      <c r="H897" s="47">
        <f>IF($F897="","",IFERROR(INDEX(사건마스터!$C$5:$C$64,MATCH($F897,사건마스터!$A$5:$A$64,0)),""))</f>
        <v/>
      </c>
      <c r="I897" s="48">
        <f>IF($F897="","",IFERROR(INDEX(사건마스터!$H$5:$H$64,MATCH($F897,사건마스터!$A$5:$A$64,0)),""))</f>
        <v/>
      </c>
      <c r="J897" s="48">
        <f>IF($F897="","",IFERROR(INDEX(사건마스터!$AH$5:$AH$64,MATCH($F897,사건마스터!$A$5:$A$64,0)),""))</f>
        <v/>
      </c>
      <c r="K897" s="48">
        <f>IF($F897="","",IFERROR(INDEX(사건마스터!$AI$5:$AI$64,MATCH($F897,사건마스터!$A$5:$A$64,0)),""))</f>
        <v/>
      </c>
      <c r="L897" s="48">
        <f>IF($F897="","",IFERROR(INDEX(사건마스터!$AJ$5:$AJ$64,MATCH($F897,사건마스터!$A$5:$A$64,0)),""))</f>
        <v/>
      </c>
      <c r="M897" s="48">
        <f>IF($F897="","",IFERROR(INDEX(사건마스터!$AK$5:$AK$64,MATCH($F897,사건마스터!$A$5:$A$64,0)),""))</f>
        <v/>
      </c>
      <c r="N897" s="48">
        <f>IF($F897="","",IFERROR(INDEX(사건마스터!$AL$5:$AL$64,MATCH($F897,사건마스터!$A$5:$A$64,0)),""))</f>
        <v/>
      </c>
      <c r="O897" s="43">
        <f>IF($I897="","",COUNTIF($I897:$N897,"?*"))</f>
        <v/>
      </c>
      <c r="P897" s="46">
        <f>IF($I897="","",_xlfn.TEXTJOIN(", ",TRUE,$I897:$N897))</f>
        <v/>
      </c>
      <c r="Q897" s="47">
        <f>IF($I897="","",IFERROR(INDEX(코드설정!$D$5:$D$24,MATCH($I897,코드설정!$C$5:$C$24,0)),""))</f>
        <v/>
      </c>
      <c r="R897" s="49" t="n"/>
      <c r="S897" s="50" t="n"/>
      <c r="T897" s="51" t="n"/>
      <c r="U897" s="43">
        <f>IF(OR($B897="",$C897=""),"",$C897-$B897+1)</f>
        <v/>
      </c>
      <c r="V897" s="52" t="n"/>
      <c r="W897" s="53">
        <f>IF(OR($V897="",$O897=""),"",$V897*$O897)</f>
        <v/>
      </c>
      <c r="X897" s="45" t="n"/>
      <c r="Y897" s="49" t="n"/>
    </row>
    <row r="898">
      <c r="A898" s="43">
        <f>IF($B898="","",COUNT($B$5:$B898))</f>
        <v/>
      </c>
      <c r="B898" s="44" t="n"/>
      <c r="C898" s="44" t="n"/>
      <c r="D898" s="45" t="n"/>
      <c r="E898" s="45" t="n"/>
      <c r="F898" s="45" t="n"/>
      <c r="G898" s="46">
        <f>IF($F898="","",IFERROR(INDEX(사건마스터!$B$5:$B$64,MATCH($F898,사건마스터!$A$5:$A$64,0)),""))</f>
        <v/>
      </c>
      <c r="H898" s="47">
        <f>IF($F898="","",IFERROR(INDEX(사건마스터!$C$5:$C$64,MATCH($F898,사건마스터!$A$5:$A$64,0)),""))</f>
        <v/>
      </c>
      <c r="I898" s="48">
        <f>IF($F898="","",IFERROR(INDEX(사건마스터!$H$5:$H$64,MATCH($F898,사건마스터!$A$5:$A$64,0)),""))</f>
        <v/>
      </c>
      <c r="J898" s="48">
        <f>IF($F898="","",IFERROR(INDEX(사건마스터!$AH$5:$AH$64,MATCH($F898,사건마스터!$A$5:$A$64,0)),""))</f>
        <v/>
      </c>
      <c r="K898" s="48">
        <f>IF($F898="","",IFERROR(INDEX(사건마스터!$AI$5:$AI$64,MATCH($F898,사건마스터!$A$5:$A$64,0)),""))</f>
        <v/>
      </c>
      <c r="L898" s="48">
        <f>IF($F898="","",IFERROR(INDEX(사건마스터!$AJ$5:$AJ$64,MATCH($F898,사건마스터!$A$5:$A$64,0)),""))</f>
        <v/>
      </c>
      <c r="M898" s="48">
        <f>IF($F898="","",IFERROR(INDEX(사건마스터!$AK$5:$AK$64,MATCH($F898,사건마스터!$A$5:$A$64,0)),""))</f>
        <v/>
      </c>
      <c r="N898" s="48">
        <f>IF($F898="","",IFERROR(INDEX(사건마스터!$AL$5:$AL$64,MATCH($F898,사건마스터!$A$5:$A$64,0)),""))</f>
        <v/>
      </c>
      <c r="O898" s="43">
        <f>IF($I898="","",COUNTIF($I898:$N898,"?*"))</f>
        <v/>
      </c>
      <c r="P898" s="46">
        <f>IF($I898="","",_xlfn.TEXTJOIN(", ",TRUE,$I898:$N898))</f>
        <v/>
      </c>
      <c r="Q898" s="47">
        <f>IF($I898="","",IFERROR(INDEX(코드설정!$D$5:$D$24,MATCH($I898,코드설정!$C$5:$C$24,0)),""))</f>
        <v/>
      </c>
      <c r="R898" s="49" t="n"/>
      <c r="S898" s="50" t="n"/>
      <c r="T898" s="51" t="n"/>
      <c r="U898" s="43">
        <f>IF(OR($B898="",$C898=""),"",$C898-$B898+1)</f>
        <v/>
      </c>
      <c r="V898" s="52" t="n"/>
      <c r="W898" s="53">
        <f>IF(OR($V898="",$O898=""),"",$V898*$O898)</f>
        <v/>
      </c>
      <c r="X898" s="45" t="n"/>
      <c r="Y898" s="49" t="n"/>
    </row>
    <row r="899">
      <c r="A899" s="43">
        <f>IF($B899="","",COUNT($B$5:$B899))</f>
        <v/>
      </c>
      <c r="B899" s="44" t="n"/>
      <c r="C899" s="44" t="n"/>
      <c r="D899" s="45" t="n"/>
      <c r="E899" s="45" t="n"/>
      <c r="F899" s="45" t="n"/>
      <c r="G899" s="46">
        <f>IF($F899="","",IFERROR(INDEX(사건마스터!$B$5:$B$64,MATCH($F899,사건마스터!$A$5:$A$64,0)),""))</f>
        <v/>
      </c>
      <c r="H899" s="47">
        <f>IF($F899="","",IFERROR(INDEX(사건마스터!$C$5:$C$64,MATCH($F899,사건마스터!$A$5:$A$64,0)),""))</f>
        <v/>
      </c>
      <c r="I899" s="48">
        <f>IF($F899="","",IFERROR(INDEX(사건마스터!$H$5:$H$64,MATCH($F899,사건마스터!$A$5:$A$64,0)),""))</f>
        <v/>
      </c>
      <c r="J899" s="48">
        <f>IF($F899="","",IFERROR(INDEX(사건마스터!$AH$5:$AH$64,MATCH($F899,사건마스터!$A$5:$A$64,0)),""))</f>
        <v/>
      </c>
      <c r="K899" s="48">
        <f>IF($F899="","",IFERROR(INDEX(사건마스터!$AI$5:$AI$64,MATCH($F899,사건마스터!$A$5:$A$64,0)),""))</f>
        <v/>
      </c>
      <c r="L899" s="48">
        <f>IF($F899="","",IFERROR(INDEX(사건마스터!$AJ$5:$AJ$64,MATCH($F899,사건마스터!$A$5:$A$64,0)),""))</f>
        <v/>
      </c>
      <c r="M899" s="48">
        <f>IF($F899="","",IFERROR(INDEX(사건마스터!$AK$5:$AK$64,MATCH($F899,사건마스터!$A$5:$A$64,0)),""))</f>
        <v/>
      </c>
      <c r="N899" s="48">
        <f>IF($F899="","",IFERROR(INDEX(사건마스터!$AL$5:$AL$64,MATCH($F899,사건마스터!$A$5:$A$64,0)),""))</f>
        <v/>
      </c>
      <c r="O899" s="43">
        <f>IF($I899="","",COUNTIF($I899:$N899,"?*"))</f>
        <v/>
      </c>
      <c r="P899" s="46">
        <f>IF($I899="","",_xlfn.TEXTJOIN(", ",TRUE,$I899:$N899))</f>
        <v/>
      </c>
      <c r="Q899" s="47">
        <f>IF($I899="","",IFERROR(INDEX(코드설정!$D$5:$D$24,MATCH($I899,코드설정!$C$5:$C$24,0)),""))</f>
        <v/>
      </c>
      <c r="R899" s="49" t="n"/>
      <c r="S899" s="50" t="n"/>
      <c r="T899" s="51" t="n"/>
      <c r="U899" s="43">
        <f>IF(OR($B899="",$C899=""),"",$C899-$B899+1)</f>
        <v/>
      </c>
      <c r="V899" s="52" t="n"/>
      <c r="W899" s="53">
        <f>IF(OR($V899="",$O899=""),"",$V899*$O899)</f>
        <v/>
      </c>
      <c r="X899" s="45" t="n"/>
      <c r="Y899" s="49" t="n"/>
    </row>
    <row r="900">
      <c r="A900" s="43">
        <f>IF($B900="","",COUNT($B$5:$B900))</f>
        <v/>
      </c>
      <c r="B900" s="44" t="n"/>
      <c r="C900" s="44" t="n"/>
      <c r="D900" s="45" t="n"/>
      <c r="E900" s="45" t="n"/>
      <c r="F900" s="45" t="n"/>
      <c r="G900" s="46">
        <f>IF($F900="","",IFERROR(INDEX(사건마스터!$B$5:$B$64,MATCH($F900,사건마스터!$A$5:$A$64,0)),""))</f>
        <v/>
      </c>
      <c r="H900" s="47">
        <f>IF($F900="","",IFERROR(INDEX(사건마스터!$C$5:$C$64,MATCH($F900,사건마스터!$A$5:$A$64,0)),""))</f>
        <v/>
      </c>
      <c r="I900" s="48">
        <f>IF($F900="","",IFERROR(INDEX(사건마스터!$H$5:$H$64,MATCH($F900,사건마스터!$A$5:$A$64,0)),""))</f>
        <v/>
      </c>
      <c r="J900" s="48">
        <f>IF($F900="","",IFERROR(INDEX(사건마스터!$AH$5:$AH$64,MATCH($F900,사건마스터!$A$5:$A$64,0)),""))</f>
        <v/>
      </c>
      <c r="K900" s="48">
        <f>IF($F900="","",IFERROR(INDEX(사건마스터!$AI$5:$AI$64,MATCH($F900,사건마스터!$A$5:$A$64,0)),""))</f>
        <v/>
      </c>
      <c r="L900" s="48">
        <f>IF($F900="","",IFERROR(INDEX(사건마스터!$AJ$5:$AJ$64,MATCH($F900,사건마스터!$A$5:$A$64,0)),""))</f>
        <v/>
      </c>
      <c r="M900" s="48">
        <f>IF($F900="","",IFERROR(INDEX(사건마스터!$AK$5:$AK$64,MATCH($F900,사건마스터!$A$5:$A$64,0)),""))</f>
        <v/>
      </c>
      <c r="N900" s="48">
        <f>IF($F900="","",IFERROR(INDEX(사건마스터!$AL$5:$AL$64,MATCH($F900,사건마스터!$A$5:$A$64,0)),""))</f>
        <v/>
      </c>
      <c r="O900" s="43">
        <f>IF($I900="","",COUNTIF($I900:$N900,"?*"))</f>
        <v/>
      </c>
      <c r="P900" s="46">
        <f>IF($I900="","",_xlfn.TEXTJOIN(", ",TRUE,$I900:$N900))</f>
        <v/>
      </c>
      <c r="Q900" s="47">
        <f>IF($I900="","",IFERROR(INDEX(코드설정!$D$5:$D$24,MATCH($I900,코드설정!$C$5:$C$24,0)),""))</f>
        <v/>
      </c>
      <c r="R900" s="49" t="n"/>
      <c r="S900" s="50" t="n"/>
      <c r="T900" s="51" t="n"/>
      <c r="U900" s="43">
        <f>IF(OR($B900="",$C900=""),"",$C900-$B900+1)</f>
        <v/>
      </c>
      <c r="V900" s="52" t="n"/>
      <c r="W900" s="53">
        <f>IF(OR($V900="",$O900=""),"",$V900*$O900)</f>
        <v/>
      </c>
      <c r="X900" s="45" t="n"/>
      <c r="Y900" s="49" t="n"/>
    </row>
    <row r="901">
      <c r="A901" s="43">
        <f>IF($B901="","",COUNT($B$5:$B901))</f>
        <v/>
      </c>
      <c r="B901" s="44" t="n"/>
      <c r="C901" s="44" t="n"/>
      <c r="D901" s="45" t="n"/>
      <c r="E901" s="45" t="n"/>
      <c r="F901" s="45" t="n"/>
      <c r="G901" s="46">
        <f>IF($F901="","",IFERROR(INDEX(사건마스터!$B$5:$B$64,MATCH($F901,사건마스터!$A$5:$A$64,0)),""))</f>
        <v/>
      </c>
      <c r="H901" s="47">
        <f>IF($F901="","",IFERROR(INDEX(사건마스터!$C$5:$C$64,MATCH($F901,사건마스터!$A$5:$A$64,0)),""))</f>
        <v/>
      </c>
      <c r="I901" s="48">
        <f>IF($F901="","",IFERROR(INDEX(사건마스터!$H$5:$H$64,MATCH($F901,사건마스터!$A$5:$A$64,0)),""))</f>
        <v/>
      </c>
      <c r="J901" s="48">
        <f>IF($F901="","",IFERROR(INDEX(사건마스터!$AH$5:$AH$64,MATCH($F901,사건마스터!$A$5:$A$64,0)),""))</f>
        <v/>
      </c>
      <c r="K901" s="48">
        <f>IF($F901="","",IFERROR(INDEX(사건마스터!$AI$5:$AI$64,MATCH($F901,사건마스터!$A$5:$A$64,0)),""))</f>
        <v/>
      </c>
      <c r="L901" s="48">
        <f>IF($F901="","",IFERROR(INDEX(사건마스터!$AJ$5:$AJ$64,MATCH($F901,사건마스터!$A$5:$A$64,0)),""))</f>
        <v/>
      </c>
      <c r="M901" s="48">
        <f>IF($F901="","",IFERROR(INDEX(사건마스터!$AK$5:$AK$64,MATCH($F901,사건마스터!$A$5:$A$64,0)),""))</f>
        <v/>
      </c>
      <c r="N901" s="48">
        <f>IF($F901="","",IFERROR(INDEX(사건마스터!$AL$5:$AL$64,MATCH($F901,사건마스터!$A$5:$A$64,0)),""))</f>
        <v/>
      </c>
      <c r="O901" s="43">
        <f>IF($I901="","",COUNTIF($I901:$N901,"?*"))</f>
        <v/>
      </c>
      <c r="P901" s="46">
        <f>IF($I901="","",_xlfn.TEXTJOIN(", ",TRUE,$I901:$N901))</f>
        <v/>
      </c>
      <c r="Q901" s="47">
        <f>IF($I901="","",IFERROR(INDEX(코드설정!$D$5:$D$24,MATCH($I901,코드설정!$C$5:$C$24,0)),""))</f>
        <v/>
      </c>
      <c r="R901" s="49" t="n"/>
      <c r="S901" s="50" t="n"/>
      <c r="T901" s="51" t="n"/>
      <c r="U901" s="43">
        <f>IF(OR($B901="",$C901=""),"",$C901-$B901+1)</f>
        <v/>
      </c>
      <c r="V901" s="52" t="n"/>
      <c r="W901" s="53">
        <f>IF(OR($V901="",$O901=""),"",$V901*$O901)</f>
        <v/>
      </c>
      <c r="X901" s="45" t="n"/>
      <c r="Y901" s="49" t="n"/>
    </row>
    <row r="902">
      <c r="A902" s="43">
        <f>IF($B902="","",COUNT($B$5:$B902))</f>
        <v/>
      </c>
      <c r="B902" s="44" t="n"/>
      <c r="C902" s="44" t="n"/>
      <c r="D902" s="45" t="n"/>
      <c r="E902" s="45" t="n"/>
      <c r="F902" s="45" t="n"/>
      <c r="G902" s="46">
        <f>IF($F902="","",IFERROR(INDEX(사건마스터!$B$5:$B$64,MATCH($F902,사건마스터!$A$5:$A$64,0)),""))</f>
        <v/>
      </c>
      <c r="H902" s="47">
        <f>IF($F902="","",IFERROR(INDEX(사건마스터!$C$5:$C$64,MATCH($F902,사건마스터!$A$5:$A$64,0)),""))</f>
        <v/>
      </c>
      <c r="I902" s="48">
        <f>IF($F902="","",IFERROR(INDEX(사건마스터!$H$5:$H$64,MATCH($F902,사건마스터!$A$5:$A$64,0)),""))</f>
        <v/>
      </c>
      <c r="J902" s="48">
        <f>IF($F902="","",IFERROR(INDEX(사건마스터!$AH$5:$AH$64,MATCH($F902,사건마스터!$A$5:$A$64,0)),""))</f>
        <v/>
      </c>
      <c r="K902" s="48">
        <f>IF($F902="","",IFERROR(INDEX(사건마스터!$AI$5:$AI$64,MATCH($F902,사건마스터!$A$5:$A$64,0)),""))</f>
        <v/>
      </c>
      <c r="L902" s="48">
        <f>IF($F902="","",IFERROR(INDEX(사건마스터!$AJ$5:$AJ$64,MATCH($F902,사건마스터!$A$5:$A$64,0)),""))</f>
        <v/>
      </c>
      <c r="M902" s="48">
        <f>IF($F902="","",IFERROR(INDEX(사건마스터!$AK$5:$AK$64,MATCH($F902,사건마스터!$A$5:$A$64,0)),""))</f>
        <v/>
      </c>
      <c r="N902" s="48">
        <f>IF($F902="","",IFERROR(INDEX(사건마스터!$AL$5:$AL$64,MATCH($F902,사건마스터!$A$5:$A$64,0)),""))</f>
        <v/>
      </c>
      <c r="O902" s="43">
        <f>IF($I902="","",COUNTIF($I902:$N902,"?*"))</f>
        <v/>
      </c>
      <c r="P902" s="46">
        <f>IF($I902="","",_xlfn.TEXTJOIN(", ",TRUE,$I902:$N902))</f>
        <v/>
      </c>
      <c r="Q902" s="47">
        <f>IF($I902="","",IFERROR(INDEX(코드설정!$D$5:$D$24,MATCH($I902,코드설정!$C$5:$C$24,0)),""))</f>
        <v/>
      </c>
      <c r="R902" s="49" t="n"/>
      <c r="S902" s="50" t="n"/>
      <c r="T902" s="51" t="n"/>
      <c r="U902" s="43">
        <f>IF(OR($B902="",$C902=""),"",$C902-$B902+1)</f>
        <v/>
      </c>
      <c r="V902" s="52" t="n"/>
      <c r="W902" s="53">
        <f>IF(OR($V902="",$O902=""),"",$V902*$O902)</f>
        <v/>
      </c>
      <c r="X902" s="45" t="n"/>
      <c r="Y902" s="49" t="n"/>
    </row>
    <row r="903">
      <c r="A903" s="43">
        <f>IF($B903="","",COUNT($B$5:$B903))</f>
        <v/>
      </c>
      <c r="B903" s="44" t="n"/>
      <c r="C903" s="44" t="n"/>
      <c r="D903" s="45" t="n"/>
      <c r="E903" s="45" t="n"/>
      <c r="F903" s="45" t="n"/>
      <c r="G903" s="46">
        <f>IF($F903="","",IFERROR(INDEX(사건마스터!$B$5:$B$64,MATCH($F903,사건마스터!$A$5:$A$64,0)),""))</f>
        <v/>
      </c>
      <c r="H903" s="47">
        <f>IF($F903="","",IFERROR(INDEX(사건마스터!$C$5:$C$64,MATCH($F903,사건마스터!$A$5:$A$64,0)),""))</f>
        <v/>
      </c>
      <c r="I903" s="48">
        <f>IF($F903="","",IFERROR(INDEX(사건마스터!$H$5:$H$64,MATCH($F903,사건마스터!$A$5:$A$64,0)),""))</f>
        <v/>
      </c>
      <c r="J903" s="48">
        <f>IF($F903="","",IFERROR(INDEX(사건마스터!$AH$5:$AH$64,MATCH($F903,사건마스터!$A$5:$A$64,0)),""))</f>
        <v/>
      </c>
      <c r="K903" s="48">
        <f>IF($F903="","",IFERROR(INDEX(사건마스터!$AI$5:$AI$64,MATCH($F903,사건마스터!$A$5:$A$64,0)),""))</f>
        <v/>
      </c>
      <c r="L903" s="48">
        <f>IF($F903="","",IFERROR(INDEX(사건마스터!$AJ$5:$AJ$64,MATCH($F903,사건마스터!$A$5:$A$64,0)),""))</f>
        <v/>
      </c>
      <c r="M903" s="48">
        <f>IF($F903="","",IFERROR(INDEX(사건마스터!$AK$5:$AK$64,MATCH($F903,사건마스터!$A$5:$A$64,0)),""))</f>
        <v/>
      </c>
      <c r="N903" s="48">
        <f>IF($F903="","",IFERROR(INDEX(사건마스터!$AL$5:$AL$64,MATCH($F903,사건마스터!$A$5:$A$64,0)),""))</f>
        <v/>
      </c>
      <c r="O903" s="43">
        <f>IF($I903="","",COUNTIF($I903:$N903,"?*"))</f>
        <v/>
      </c>
      <c r="P903" s="46">
        <f>IF($I903="","",_xlfn.TEXTJOIN(", ",TRUE,$I903:$N903))</f>
        <v/>
      </c>
      <c r="Q903" s="47">
        <f>IF($I903="","",IFERROR(INDEX(코드설정!$D$5:$D$24,MATCH($I903,코드설정!$C$5:$C$24,0)),""))</f>
        <v/>
      </c>
      <c r="R903" s="49" t="n"/>
      <c r="S903" s="50" t="n"/>
      <c r="T903" s="51" t="n"/>
      <c r="U903" s="43">
        <f>IF(OR($B903="",$C903=""),"",$C903-$B903+1)</f>
        <v/>
      </c>
      <c r="V903" s="52" t="n"/>
      <c r="W903" s="53">
        <f>IF(OR($V903="",$O903=""),"",$V903*$O903)</f>
        <v/>
      </c>
      <c r="X903" s="45" t="n"/>
      <c r="Y903" s="49" t="n"/>
    </row>
    <row r="904">
      <c r="A904" s="43">
        <f>IF($B904="","",COUNT($B$5:$B904))</f>
        <v/>
      </c>
      <c r="B904" s="44" t="n"/>
      <c r="C904" s="44" t="n"/>
      <c r="D904" s="45" t="n"/>
      <c r="E904" s="45" t="n"/>
      <c r="F904" s="45" t="n"/>
      <c r="G904" s="46">
        <f>IF($F904="","",IFERROR(INDEX(사건마스터!$B$5:$B$64,MATCH($F904,사건마스터!$A$5:$A$64,0)),""))</f>
        <v/>
      </c>
      <c r="H904" s="47">
        <f>IF($F904="","",IFERROR(INDEX(사건마스터!$C$5:$C$64,MATCH($F904,사건마스터!$A$5:$A$64,0)),""))</f>
        <v/>
      </c>
      <c r="I904" s="48">
        <f>IF($F904="","",IFERROR(INDEX(사건마스터!$H$5:$H$64,MATCH($F904,사건마스터!$A$5:$A$64,0)),""))</f>
        <v/>
      </c>
      <c r="J904" s="48">
        <f>IF($F904="","",IFERROR(INDEX(사건마스터!$AH$5:$AH$64,MATCH($F904,사건마스터!$A$5:$A$64,0)),""))</f>
        <v/>
      </c>
      <c r="K904" s="48">
        <f>IF($F904="","",IFERROR(INDEX(사건마스터!$AI$5:$AI$64,MATCH($F904,사건마스터!$A$5:$A$64,0)),""))</f>
        <v/>
      </c>
      <c r="L904" s="48">
        <f>IF($F904="","",IFERROR(INDEX(사건마스터!$AJ$5:$AJ$64,MATCH($F904,사건마스터!$A$5:$A$64,0)),""))</f>
        <v/>
      </c>
      <c r="M904" s="48">
        <f>IF($F904="","",IFERROR(INDEX(사건마스터!$AK$5:$AK$64,MATCH($F904,사건마스터!$A$5:$A$64,0)),""))</f>
        <v/>
      </c>
      <c r="N904" s="48">
        <f>IF($F904="","",IFERROR(INDEX(사건마스터!$AL$5:$AL$64,MATCH($F904,사건마스터!$A$5:$A$64,0)),""))</f>
        <v/>
      </c>
      <c r="O904" s="43">
        <f>IF($I904="","",COUNTIF($I904:$N904,"?*"))</f>
        <v/>
      </c>
      <c r="P904" s="46">
        <f>IF($I904="","",_xlfn.TEXTJOIN(", ",TRUE,$I904:$N904))</f>
        <v/>
      </c>
      <c r="Q904" s="47">
        <f>IF($I904="","",IFERROR(INDEX(코드설정!$D$5:$D$24,MATCH($I904,코드설정!$C$5:$C$24,0)),""))</f>
        <v/>
      </c>
      <c r="R904" s="49" t="n"/>
      <c r="S904" s="50" t="n"/>
      <c r="T904" s="51" t="n"/>
      <c r="U904" s="43">
        <f>IF(OR($B904="",$C904=""),"",$C904-$B904+1)</f>
        <v/>
      </c>
      <c r="V904" s="52" t="n"/>
      <c r="W904" s="53">
        <f>IF(OR($V904="",$O904=""),"",$V904*$O904)</f>
        <v/>
      </c>
      <c r="X904" s="45" t="n"/>
      <c r="Y904" s="49" t="n"/>
    </row>
    <row r="905">
      <c r="A905" s="43">
        <f>IF($B905="","",COUNT($B$5:$B905))</f>
        <v/>
      </c>
      <c r="B905" s="44" t="n"/>
      <c r="C905" s="44" t="n"/>
      <c r="D905" s="45" t="n"/>
      <c r="E905" s="45" t="n"/>
      <c r="F905" s="45" t="n"/>
      <c r="G905" s="46">
        <f>IF($F905="","",IFERROR(INDEX(사건마스터!$B$5:$B$64,MATCH($F905,사건마스터!$A$5:$A$64,0)),""))</f>
        <v/>
      </c>
      <c r="H905" s="47">
        <f>IF($F905="","",IFERROR(INDEX(사건마스터!$C$5:$C$64,MATCH($F905,사건마스터!$A$5:$A$64,0)),""))</f>
        <v/>
      </c>
      <c r="I905" s="48">
        <f>IF($F905="","",IFERROR(INDEX(사건마스터!$H$5:$H$64,MATCH($F905,사건마스터!$A$5:$A$64,0)),""))</f>
        <v/>
      </c>
      <c r="J905" s="48">
        <f>IF($F905="","",IFERROR(INDEX(사건마스터!$AH$5:$AH$64,MATCH($F905,사건마스터!$A$5:$A$64,0)),""))</f>
        <v/>
      </c>
      <c r="K905" s="48">
        <f>IF($F905="","",IFERROR(INDEX(사건마스터!$AI$5:$AI$64,MATCH($F905,사건마스터!$A$5:$A$64,0)),""))</f>
        <v/>
      </c>
      <c r="L905" s="48">
        <f>IF($F905="","",IFERROR(INDEX(사건마스터!$AJ$5:$AJ$64,MATCH($F905,사건마스터!$A$5:$A$64,0)),""))</f>
        <v/>
      </c>
      <c r="M905" s="48">
        <f>IF($F905="","",IFERROR(INDEX(사건마스터!$AK$5:$AK$64,MATCH($F905,사건마스터!$A$5:$A$64,0)),""))</f>
        <v/>
      </c>
      <c r="N905" s="48">
        <f>IF($F905="","",IFERROR(INDEX(사건마스터!$AL$5:$AL$64,MATCH($F905,사건마스터!$A$5:$A$64,0)),""))</f>
        <v/>
      </c>
      <c r="O905" s="43">
        <f>IF($I905="","",COUNTIF($I905:$N905,"?*"))</f>
        <v/>
      </c>
      <c r="P905" s="46">
        <f>IF($I905="","",_xlfn.TEXTJOIN(", ",TRUE,$I905:$N905))</f>
        <v/>
      </c>
      <c r="Q905" s="47">
        <f>IF($I905="","",IFERROR(INDEX(코드설정!$D$5:$D$24,MATCH($I905,코드설정!$C$5:$C$24,0)),""))</f>
        <v/>
      </c>
      <c r="R905" s="49" t="n"/>
      <c r="S905" s="50" t="n"/>
      <c r="T905" s="51" t="n"/>
      <c r="U905" s="43">
        <f>IF(OR($B905="",$C905=""),"",$C905-$B905+1)</f>
        <v/>
      </c>
      <c r="V905" s="52" t="n"/>
      <c r="W905" s="53">
        <f>IF(OR($V905="",$O905=""),"",$V905*$O905)</f>
        <v/>
      </c>
      <c r="X905" s="45" t="n"/>
      <c r="Y905" s="49" t="n"/>
    </row>
    <row r="906">
      <c r="A906" s="43">
        <f>IF($B906="","",COUNT($B$5:$B906))</f>
        <v/>
      </c>
      <c r="B906" s="44" t="n"/>
      <c r="C906" s="44" t="n"/>
      <c r="D906" s="45" t="n"/>
      <c r="E906" s="45" t="n"/>
      <c r="F906" s="45" t="n"/>
      <c r="G906" s="46">
        <f>IF($F906="","",IFERROR(INDEX(사건마스터!$B$5:$B$64,MATCH($F906,사건마스터!$A$5:$A$64,0)),""))</f>
        <v/>
      </c>
      <c r="H906" s="47">
        <f>IF($F906="","",IFERROR(INDEX(사건마스터!$C$5:$C$64,MATCH($F906,사건마스터!$A$5:$A$64,0)),""))</f>
        <v/>
      </c>
      <c r="I906" s="48">
        <f>IF($F906="","",IFERROR(INDEX(사건마스터!$H$5:$H$64,MATCH($F906,사건마스터!$A$5:$A$64,0)),""))</f>
        <v/>
      </c>
      <c r="J906" s="48">
        <f>IF($F906="","",IFERROR(INDEX(사건마스터!$AH$5:$AH$64,MATCH($F906,사건마스터!$A$5:$A$64,0)),""))</f>
        <v/>
      </c>
      <c r="K906" s="48">
        <f>IF($F906="","",IFERROR(INDEX(사건마스터!$AI$5:$AI$64,MATCH($F906,사건마스터!$A$5:$A$64,0)),""))</f>
        <v/>
      </c>
      <c r="L906" s="48">
        <f>IF($F906="","",IFERROR(INDEX(사건마스터!$AJ$5:$AJ$64,MATCH($F906,사건마스터!$A$5:$A$64,0)),""))</f>
        <v/>
      </c>
      <c r="M906" s="48">
        <f>IF($F906="","",IFERROR(INDEX(사건마스터!$AK$5:$AK$64,MATCH($F906,사건마스터!$A$5:$A$64,0)),""))</f>
        <v/>
      </c>
      <c r="N906" s="48">
        <f>IF($F906="","",IFERROR(INDEX(사건마스터!$AL$5:$AL$64,MATCH($F906,사건마스터!$A$5:$A$64,0)),""))</f>
        <v/>
      </c>
      <c r="O906" s="43">
        <f>IF($I906="","",COUNTIF($I906:$N906,"?*"))</f>
        <v/>
      </c>
      <c r="P906" s="46">
        <f>IF($I906="","",_xlfn.TEXTJOIN(", ",TRUE,$I906:$N906))</f>
        <v/>
      </c>
      <c r="Q906" s="47">
        <f>IF($I906="","",IFERROR(INDEX(코드설정!$D$5:$D$24,MATCH($I906,코드설정!$C$5:$C$24,0)),""))</f>
        <v/>
      </c>
      <c r="R906" s="49" t="n"/>
      <c r="S906" s="50" t="n"/>
      <c r="T906" s="51" t="n"/>
      <c r="U906" s="43">
        <f>IF(OR($B906="",$C906=""),"",$C906-$B906+1)</f>
        <v/>
      </c>
      <c r="V906" s="52" t="n"/>
      <c r="W906" s="53">
        <f>IF(OR($V906="",$O906=""),"",$V906*$O906)</f>
        <v/>
      </c>
      <c r="X906" s="45" t="n"/>
      <c r="Y906" s="49" t="n"/>
    </row>
    <row r="907">
      <c r="A907" s="43">
        <f>IF($B907="","",COUNT($B$5:$B907))</f>
        <v/>
      </c>
      <c r="B907" s="44" t="n"/>
      <c r="C907" s="44" t="n"/>
      <c r="D907" s="45" t="n"/>
      <c r="E907" s="45" t="n"/>
      <c r="F907" s="45" t="n"/>
      <c r="G907" s="46">
        <f>IF($F907="","",IFERROR(INDEX(사건마스터!$B$5:$B$64,MATCH($F907,사건마스터!$A$5:$A$64,0)),""))</f>
        <v/>
      </c>
      <c r="H907" s="47">
        <f>IF($F907="","",IFERROR(INDEX(사건마스터!$C$5:$C$64,MATCH($F907,사건마스터!$A$5:$A$64,0)),""))</f>
        <v/>
      </c>
      <c r="I907" s="48">
        <f>IF($F907="","",IFERROR(INDEX(사건마스터!$H$5:$H$64,MATCH($F907,사건마스터!$A$5:$A$64,0)),""))</f>
        <v/>
      </c>
      <c r="J907" s="48">
        <f>IF($F907="","",IFERROR(INDEX(사건마스터!$AH$5:$AH$64,MATCH($F907,사건마스터!$A$5:$A$64,0)),""))</f>
        <v/>
      </c>
      <c r="K907" s="48">
        <f>IF($F907="","",IFERROR(INDEX(사건마스터!$AI$5:$AI$64,MATCH($F907,사건마스터!$A$5:$A$64,0)),""))</f>
        <v/>
      </c>
      <c r="L907" s="48">
        <f>IF($F907="","",IFERROR(INDEX(사건마스터!$AJ$5:$AJ$64,MATCH($F907,사건마스터!$A$5:$A$64,0)),""))</f>
        <v/>
      </c>
      <c r="M907" s="48">
        <f>IF($F907="","",IFERROR(INDEX(사건마스터!$AK$5:$AK$64,MATCH($F907,사건마스터!$A$5:$A$64,0)),""))</f>
        <v/>
      </c>
      <c r="N907" s="48">
        <f>IF($F907="","",IFERROR(INDEX(사건마스터!$AL$5:$AL$64,MATCH($F907,사건마스터!$A$5:$A$64,0)),""))</f>
        <v/>
      </c>
      <c r="O907" s="43">
        <f>IF($I907="","",COUNTIF($I907:$N907,"?*"))</f>
        <v/>
      </c>
      <c r="P907" s="46">
        <f>IF($I907="","",_xlfn.TEXTJOIN(", ",TRUE,$I907:$N907))</f>
        <v/>
      </c>
      <c r="Q907" s="47">
        <f>IF($I907="","",IFERROR(INDEX(코드설정!$D$5:$D$24,MATCH($I907,코드설정!$C$5:$C$24,0)),""))</f>
        <v/>
      </c>
      <c r="R907" s="49" t="n"/>
      <c r="S907" s="50" t="n"/>
      <c r="T907" s="51" t="n"/>
      <c r="U907" s="43">
        <f>IF(OR($B907="",$C907=""),"",$C907-$B907+1)</f>
        <v/>
      </c>
      <c r="V907" s="52" t="n"/>
      <c r="W907" s="53">
        <f>IF(OR($V907="",$O907=""),"",$V907*$O907)</f>
        <v/>
      </c>
      <c r="X907" s="45" t="n"/>
      <c r="Y907" s="49" t="n"/>
    </row>
    <row r="908">
      <c r="A908" s="43">
        <f>IF($B908="","",COUNT($B$5:$B908))</f>
        <v/>
      </c>
      <c r="B908" s="44" t="n"/>
      <c r="C908" s="44" t="n"/>
      <c r="D908" s="45" t="n"/>
      <c r="E908" s="45" t="n"/>
      <c r="F908" s="45" t="n"/>
      <c r="G908" s="46">
        <f>IF($F908="","",IFERROR(INDEX(사건마스터!$B$5:$B$64,MATCH($F908,사건마스터!$A$5:$A$64,0)),""))</f>
        <v/>
      </c>
      <c r="H908" s="47">
        <f>IF($F908="","",IFERROR(INDEX(사건마스터!$C$5:$C$64,MATCH($F908,사건마스터!$A$5:$A$64,0)),""))</f>
        <v/>
      </c>
      <c r="I908" s="48">
        <f>IF($F908="","",IFERROR(INDEX(사건마스터!$H$5:$H$64,MATCH($F908,사건마스터!$A$5:$A$64,0)),""))</f>
        <v/>
      </c>
      <c r="J908" s="48">
        <f>IF($F908="","",IFERROR(INDEX(사건마스터!$AH$5:$AH$64,MATCH($F908,사건마스터!$A$5:$A$64,0)),""))</f>
        <v/>
      </c>
      <c r="K908" s="48">
        <f>IF($F908="","",IFERROR(INDEX(사건마스터!$AI$5:$AI$64,MATCH($F908,사건마스터!$A$5:$A$64,0)),""))</f>
        <v/>
      </c>
      <c r="L908" s="48">
        <f>IF($F908="","",IFERROR(INDEX(사건마스터!$AJ$5:$AJ$64,MATCH($F908,사건마스터!$A$5:$A$64,0)),""))</f>
        <v/>
      </c>
      <c r="M908" s="48">
        <f>IF($F908="","",IFERROR(INDEX(사건마스터!$AK$5:$AK$64,MATCH($F908,사건마스터!$A$5:$A$64,0)),""))</f>
        <v/>
      </c>
      <c r="N908" s="48">
        <f>IF($F908="","",IFERROR(INDEX(사건마스터!$AL$5:$AL$64,MATCH($F908,사건마스터!$A$5:$A$64,0)),""))</f>
        <v/>
      </c>
      <c r="O908" s="43">
        <f>IF($I908="","",COUNTIF($I908:$N908,"?*"))</f>
        <v/>
      </c>
      <c r="P908" s="46">
        <f>IF($I908="","",_xlfn.TEXTJOIN(", ",TRUE,$I908:$N908))</f>
        <v/>
      </c>
      <c r="Q908" s="47">
        <f>IF($I908="","",IFERROR(INDEX(코드설정!$D$5:$D$24,MATCH($I908,코드설정!$C$5:$C$24,0)),""))</f>
        <v/>
      </c>
      <c r="R908" s="49" t="n"/>
      <c r="S908" s="50" t="n"/>
      <c r="T908" s="51" t="n"/>
      <c r="U908" s="43">
        <f>IF(OR($B908="",$C908=""),"",$C908-$B908+1)</f>
        <v/>
      </c>
      <c r="V908" s="52" t="n"/>
      <c r="W908" s="53">
        <f>IF(OR($V908="",$O908=""),"",$V908*$O908)</f>
        <v/>
      </c>
      <c r="X908" s="45" t="n"/>
      <c r="Y908" s="49" t="n"/>
    </row>
    <row r="909">
      <c r="A909" s="43">
        <f>IF($B909="","",COUNT($B$5:$B909))</f>
        <v/>
      </c>
      <c r="B909" s="44" t="n"/>
      <c r="C909" s="44" t="n"/>
      <c r="D909" s="45" t="n"/>
      <c r="E909" s="45" t="n"/>
      <c r="F909" s="45" t="n"/>
      <c r="G909" s="46">
        <f>IF($F909="","",IFERROR(INDEX(사건마스터!$B$5:$B$64,MATCH($F909,사건마스터!$A$5:$A$64,0)),""))</f>
        <v/>
      </c>
      <c r="H909" s="47">
        <f>IF($F909="","",IFERROR(INDEX(사건마스터!$C$5:$C$64,MATCH($F909,사건마스터!$A$5:$A$64,0)),""))</f>
        <v/>
      </c>
      <c r="I909" s="48">
        <f>IF($F909="","",IFERROR(INDEX(사건마스터!$H$5:$H$64,MATCH($F909,사건마스터!$A$5:$A$64,0)),""))</f>
        <v/>
      </c>
      <c r="J909" s="48">
        <f>IF($F909="","",IFERROR(INDEX(사건마스터!$AH$5:$AH$64,MATCH($F909,사건마스터!$A$5:$A$64,0)),""))</f>
        <v/>
      </c>
      <c r="K909" s="48">
        <f>IF($F909="","",IFERROR(INDEX(사건마스터!$AI$5:$AI$64,MATCH($F909,사건마스터!$A$5:$A$64,0)),""))</f>
        <v/>
      </c>
      <c r="L909" s="48">
        <f>IF($F909="","",IFERROR(INDEX(사건마스터!$AJ$5:$AJ$64,MATCH($F909,사건마스터!$A$5:$A$64,0)),""))</f>
        <v/>
      </c>
      <c r="M909" s="48">
        <f>IF($F909="","",IFERROR(INDEX(사건마스터!$AK$5:$AK$64,MATCH($F909,사건마스터!$A$5:$A$64,0)),""))</f>
        <v/>
      </c>
      <c r="N909" s="48">
        <f>IF($F909="","",IFERROR(INDEX(사건마스터!$AL$5:$AL$64,MATCH($F909,사건마스터!$A$5:$A$64,0)),""))</f>
        <v/>
      </c>
      <c r="O909" s="43">
        <f>IF($I909="","",COUNTIF($I909:$N909,"?*"))</f>
        <v/>
      </c>
      <c r="P909" s="46">
        <f>IF($I909="","",_xlfn.TEXTJOIN(", ",TRUE,$I909:$N909))</f>
        <v/>
      </c>
      <c r="Q909" s="47">
        <f>IF($I909="","",IFERROR(INDEX(코드설정!$D$5:$D$24,MATCH($I909,코드설정!$C$5:$C$24,0)),""))</f>
        <v/>
      </c>
      <c r="R909" s="49" t="n"/>
      <c r="S909" s="50" t="n"/>
      <c r="T909" s="51" t="n"/>
      <c r="U909" s="43">
        <f>IF(OR($B909="",$C909=""),"",$C909-$B909+1)</f>
        <v/>
      </c>
      <c r="V909" s="52" t="n"/>
      <c r="W909" s="53">
        <f>IF(OR($V909="",$O909=""),"",$V909*$O909)</f>
        <v/>
      </c>
      <c r="X909" s="45" t="n"/>
      <c r="Y909" s="49" t="n"/>
    </row>
    <row r="910">
      <c r="A910" s="43">
        <f>IF($B910="","",COUNT($B$5:$B910))</f>
        <v/>
      </c>
      <c r="B910" s="44" t="n"/>
      <c r="C910" s="44" t="n"/>
      <c r="D910" s="45" t="n"/>
      <c r="E910" s="45" t="n"/>
      <c r="F910" s="45" t="n"/>
      <c r="G910" s="46">
        <f>IF($F910="","",IFERROR(INDEX(사건마스터!$B$5:$B$64,MATCH($F910,사건마스터!$A$5:$A$64,0)),""))</f>
        <v/>
      </c>
      <c r="H910" s="47">
        <f>IF($F910="","",IFERROR(INDEX(사건마스터!$C$5:$C$64,MATCH($F910,사건마스터!$A$5:$A$64,0)),""))</f>
        <v/>
      </c>
      <c r="I910" s="48">
        <f>IF($F910="","",IFERROR(INDEX(사건마스터!$H$5:$H$64,MATCH($F910,사건마스터!$A$5:$A$64,0)),""))</f>
        <v/>
      </c>
      <c r="J910" s="48">
        <f>IF($F910="","",IFERROR(INDEX(사건마스터!$AH$5:$AH$64,MATCH($F910,사건마스터!$A$5:$A$64,0)),""))</f>
        <v/>
      </c>
      <c r="K910" s="48">
        <f>IF($F910="","",IFERROR(INDEX(사건마스터!$AI$5:$AI$64,MATCH($F910,사건마스터!$A$5:$A$64,0)),""))</f>
        <v/>
      </c>
      <c r="L910" s="48">
        <f>IF($F910="","",IFERROR(INDEX(사건마스터!$AJ$5:$AJ$64,MATCH($F910,사건마스터!$A$5:$A$64,0)),""))</f>
        <v/>
      </c>
      <c r="M910" s="48">
        <f>IF($F910="","",IFERROR(INDEX(사건마스터!$AK$5:$AK$64,MATCH($F910,사건마스터!$A$5:$A$64,0)),""))</f>
        <v/>
      </c>
      <c r="N910" s="48">
        <f>IF($F910="","",IFERROR(INDEX(사건마스터!$AL$5:$AL$64,MATCH($F910,사건마스터!$A$5:$A$64,0)),""))</f>
        <v/>
      </c>
      <c r="O910" s="43">
        <f>IF($I910="","",COUNTIF($I910:$N910,"?*"))</f>
        <v/>
      </c>
      <c r="P910" s="46">
        <f>IF($I910="","",_xlfn.TEXTJOIN(", ",TRUE,$I910:$N910))</f>
        <v/>
      </c>
      <c r="Q910" s="47">
        <f>IF($I910="","",IFERROR(INDEX(코드설정!$D$5:$D$24,MATCH($I910,코드설정!$C$5:$C$24,0)),""))</f>
        <v/>
      </c>
      <c r="R910" s="49" t="n"/>
      <c r="S910" s="50" t="n"/>
      <c r="T910" s="51" t="n"/>
      <c r="U910" s="43">
        <f>IF(OR($B910="",$C910=""),"",$C910-$B910+1)</f>
        <v/>
      </c>
      <c r="V910" s="52" t="n"/>
      <c r="W910" s="53">
        <f>IF(OR($V910="",$O910=""),"",$V910*$O910)</f>
        <v/>
      </c>
      <c r="X910" s="45" t="n"/>
      <c r="Y910" s="49" t="n"/>
    </row>
    <row r="911">
      <c r="A911" s="43">
        <f>IF($B911="","",COUNT($B$5:$B911))</f>
        <v/>
      </c>
      <c r="B911" s="44" t="n"/>
      <c r="C911" s="44" t="n"/>
      <c r="D911" s="45" t="n"/>
      <c r="E911" s="45" t="n"/>
      <c r="F911" s="45" t="n"/>
      <c r="G911" s="46">
        <f>IF($F911="","",IFERROR(INDEX(사건마스터!$B$5:$B$64,MATCH($F911,사건마스터!$A$5:$A$64,0)),""))</f>
        <v/>
      </c>
      <c r="H911" s="47">
        <f>IF($F911="","",IFERROR(INDEX(사건마스터!$C$5:$C$64,MATCH($F911,사건마스터!$A$5:$A$64,0)),""))</f>
        <v/>
      </c>
      <c r="I911" s="48">
        <f>IF($F911="","",IFERROR(INDEX(사건마스터!$H$5:$H$64,MATCH($F911,사건마스터!$A$5:$A$64,0)),""))</f>
        <v/>
      </c>
      <c r="J911" s="48">
        <f>IF($F911="","",IFERROR(INDEX(사건마스터!$AH$5:$AH$64,MATCH($F911,사건마스터!$A$5:$A$64,0)),""))</f>
        <v/>
      </c>
      <c r="K911" s="48">
        <f>IF($F911="","",IFERROR(INDEX(사건마스터!$AI$5:$AI$64,MATCH($F911,사건마스터!$A$5:$A$64,0)),""))</f>
        <v/>
      </c>
      <c r="L911" s="48">
        <f>IF($F911="","",IFERROR(INDEX(사건마스터!$AJ$5:$AJ$64,MATCH($F911,사건마스터!$A$5:$A$64,0)),""))</f>
        <v/>
      </c>
      <c r="M911" s="48">
        <f>IF($F911="","",IFERROR(INDEX(사건마스터!$AK$5:$AK$64,MATCH($F911,사건마스터!$A$5:$A$64,0)),""))</f>
        <v/>
      </c>
      <c r="N911" s="48">
        <f>IF($F911="","",IFERROR(INDEX(사건마스터!$AL$5:$AL$64,MATCH($F911,사건마스터!$A$5:$A$64,0)),""))</f>
        <v/>
      </c>
      <c r="O911" s="43">
        <f>IF($I911="","",COUNTIF($I911:$N911,"?*"))</f>
        <v/>
      </c>
      <c r="P911" s="46">
        <f>IF($I911="","",_xlfn.TEXTJOIN(", ",TRUE,$I911:$N911))</f>
        <v/>
      </c>
      <c r="Q911" s="47">
        <f>IF($I911="","",IFERROR(INDEX(코드설정!$D$5:$D$24,MATCH($I911,코드설정!$C$5:$C$24,0)),""))</f>
        <v/>
      </c>
      <c r="R911" s="49" t="n"/>
      <c r="S911" s="50" t="n"/>
      <c r="T911" s="51" t="n"/>
      <c r="U911" s="43">
        <f>IF(OR($B911="",$C911=""),"",$C911-$B911+1)</f>
        <v/>
      </c>
      <c r="V911" s="52" t="n"/>
      <c r="W911" s="53">
        <f>IF(OR($V911="",$O911=""),"",$V911*$O911)</f>
        <v/>
      </c>
      <c r="X911" s="45" t="n"/>
      <c r="Y911" s="49" t="n"/>
    </row>
    <row r="912">
      <c r="A912" s="43">
        <f>IF($B912="","",COUNT($B$5:$B912))</f>
        <v/>
      </c>
      <c r="B912" s="44" t="n"/>
      <c r="C912" s="44" t="n"/>
      <c r="D912" s="45" t="n"/>
      <c r="E912" s="45" t="n"/>
      <c r="F912" s="45" t="n"/>
      <c r="G912" s="46">
        <f>IF($F912="","",IFERROR(INDEX(사건마스터!$B$5:$B$64,MATCH($F912,사건마스터!$A$5:$A$64,0)),""))</f>
        <v/>
      </c>
      <c r="H912" s="47">
        <f>IF($F912="","",IFERROR(INDEX(사건마스터!$C$5:$C$64,MATCH($F912,사건마스터!$A$5:$A$64,0)),""))</f>
        <v/>
      </c>
      <c r="I912" s="48">
        <f>IF($F912="","",IFERROR(INDEX(사건마스터!$H$5:$H$64,MATCH($F912,사건마스터!$A$5:$A$64,0)),""))</f>
        <v/>
      </c>
      <c r="J912" s="48">
        <f>IF($F912="","",IFERROR(INDEX(사건마스터!$AH$5:$AH$64,MATCH($F912,사건마스터!$A$5:$A$64,0)),""))</f>
        <v/>
      </c>
      <c r="K912" s="48">
        <f>IF($F912="","",IFERROR(INDEX(사건마스터!$AI$5:$AI$64,MATCH($F912,사건마스터!$A$5:$A$64,0)),""))</f>
        <v/>
      </c>
      <c r="L912" s="48">
        <f>IF($F912="","",IFERROR(INDEX(사건마스터!$AJ$5:$AJ$64,MATCH($F912,사건마스터!$A$5:$A$64,0)),""))</f>
        <v/>
      </c>
      <c r="M912" s="48">
        <f>IF($F912="","",IFERROR(INDEX(사건마스터!$AK$5:$AK$64,MATCH($F912,사건마스터!$A$5:$A$64,0)),""))</f>
        <v/>
      </c>
      <c r="N912" s="48">
        <f>IF($F912="","",IFERROR(INDEX(사건마스터!$AL$5:$AL$64,MATCH($F912,사건마스터!$A$5:$A$64,0)),""))</f>
        <v/>
      </c>
      <c r="O912" s="43">
        <f>IF($I912="","",COUNTIF($I912:$N912,"?*"))</f>
        <v/>
      </c>
      <c r="P912" s="46">
        <f>IF($I912="","",_xlfn.TEXTJOIN(", ",TRUE,$I912:$N912))</f>
        <v/>
      </c>
      <c r="Q912" s="47">
        <f>IF($I912="","",IFERROR(INDEX(코드설정!$D$5:$D$24,MATCH($I912,코드설정!$C$5:$C$24,0)),""))</f>
        <v/>
      </c>
      <c r="R912" s="49" t="n"/>
      <c r="S912" s="50" t="n"/>
      <c r="T912" s="51" t="n"/>
      <c r="U912" s="43">
        <f>IF(OR($B912="",$C912=""),"",$C912-$B912+1)</f>
        <v/>
      </c>
      <c r="V912" s="52" t="n"/>
      <c r="W912" s="53">
        <f>IF(OR($V912="",$O912=""),"",$V912*$O912)</f>
        <v/>
      </c>
      <c r="X912" s="45" t="n"/>
      <c r="Y912" s="49" t="n"/>
    </row>
    <row r="913">
      <c r="A913" s="43">
        <f>IF($B913="","",COUNT($B$5:$B913))</f>
        <v/>
      </c>
      <c r="B913" s="44" t="n"/>
      <c r="C913" s="44" t="n"/>
      <c r="D913" s="45" t="n"/>
      <c r="E913" s="45" t="n"/>
      <c r="F913" s="45" t="n"/>
      <c r="G913" s="46">
        <f>IF($F913="","",IFERROR(INDEX(사건마스터!$B$5:$B$64,MATCH($F913,사건마스터!$A$5:$A$64,0)),""))</f>
        <v/>
      </c>
      <c r="H913" s="47">
        <f>IF($F913="","",IFERROR(INDEX(사건마스터!$C$5:$C$64,MATCH($F913,사건마스터!$A$5:$A$64,0)),""))</f>
        <v/>
      </c>
      <c r="I913" s="48">
        <f>IF($F913="","",IFERROR(INDEX(사건마스터!$H$5:$H$64,MATCH($F913,사건마스터!$A$5:$A$64,0)),""))</f>
        <v/>
      </c>
      <c r="J913" s="48">
        <f>IF($F913="","",IFERROR(INDEX(사건마스터!$AH$5:$AH$64,MATCH($F913,사건마스터!$A$5:$A$64,0)),""))</f>
        <v/>
      </c>
      <c r="K913" s="48">
        <f>IF($F913="","",IFERROR(INDEX(사건마스터!$AI$5:$AI$64,MATCH($F913,사건마스터!$A$5:$A$64,0)),""))</f>
        <v/>
      </c>
      <c r="L913" s="48">
        <f>IF($F913="","",IFERROR(INDEX(사건마스터!$AJ$5:$AJ$64,MATCH($F913,사건마스터!$A$5:$A$64,0)),""))</f>
        <v/>
      </c>
      <c r="M913" s="48">
        <f>IF($F913="","",IFERROR(INDEX(사건마스터!$AK$5:$AK$64,MATCH($F913,사건마스터!$A$5:$A$64,0)),""))</f>
        <v/>
      </c>
      <c r="N913" s="48">
        <f>IF($F913="","",IFERROR(INDEX(사건마스터!$AL$5:$AL$64,MATCH($F913,사건마스터!$A$5:$A$64,0)),""))</f>
        <v/>
      </c>
      <c r="O913" s="43">
        <f>IF($I913="","",COUNTIF($I913:$N913,"?*"))</f>
        <v/>
      </c>
      <c r="P913" s="46">
        <f>IF($I913="","",_xlfn.TEXTJOIN(", ",TRUE,$I913:$N913))</f>
        <v/>
      </c>
      <c r="Q913" s="47">
        <f>IF($I913="","",IFERROR(INDEX(코드설정!$D$5:$D$24,MATCH($I913,코드설정!$C$5:$C$24,0)),""))</f>
        <v/>
      </c>
      <c r="R913" s="49" t="n"/>
      <c r="S913" s="50" t="n"/>
      <c r="T913" s="51" t="n"/>
      <c r="U913" s="43">
        <f>IF(OR($B913="",$C913=""),"",$C913-$B913+1)</f>
        <v/>
      </c>
      <c r="V913" s="52" t="n"/>
      <c r="W913" s="53">
        <f>IF(OR($V913="",$O913=""),"",$V913*$O913)</f>
        <v/>
      </c>
      <c r="X913" s="45" t="n"/>
      <c r="Y913" s="49" t="n"/>
    </row>
    <row r="914">
      <c r="A914" s="43">
        <f>IF($B914="","",COUNT($B$5:$B914))</f>
        <v/>
      </c>
      <c r="B914" s="44" t="n"/>
      <c r="C914" s="44" t="n"/>
      <c r="D914" s="45" t="n"/>
      <c r="E914" s="45" t="n"/>
      <c r="F914" s="45" t="n"/>
      <c r="G914" s="46">
        <f>IF($F914="","",IFERROR(INDEX(사건마스터!$B$5:$B$64,MATCH($F914,사건마스터!$A$5:$A$64,0)),""))</f>
        <v/>
      </c>
      <c r="H914" s="47">
        <f>IF($F914="","",IFERROR(INDEX(사건마스터!$C$5:$C$64,MATCH($F914,사건마스터!$A$5:$A$64,0)),""))</f>
        <v/>
      </c>
      <c r="I914" s="48">
        <f>IF($F914="","",IFERROR(INDEX(사건마스터!$H$5:$H$64,MATCH($F914,사건마스터!$A$5:$A$64,0)),""))</f>
        <v/>
      </c>
      <c r="J914" s="48">
        <f>IF($F914="","",IFERROR(INDEX(사건마스터!$AH$5:$AH$64,MATCH($F914,사건마스터!$A$5:$A$64,0)),""))</f>
        <v/>
      </c>
      <c r="K914" s="48">
        <f>IF($F914="","",IFERROR(INDEX(사건마스터!$AI$5:$AI$64,MATCH($F914,사건마스터!$A$5:$A$64,0)),""))</f>
        <v/>
      </c>
      <c r="L914" s="48">
        <f>IF($F914="","",IFERROR(INDEX(사건마스터!$AJ$5:$AJ$64,MATCH($F914,사건마스터!$A$5:$A$64,0)),""))</f>
        <v/>
      </c>
      <c r="M914" s="48">
        <f>IF($F914="","",IFERROR(INDEX(사건마스터!$AK$5:$AK$64,MATCH($F914,사건마스터!$A$5:$A$64,0)),""))</f>
        <v/>
      </c>
      <c r="N914" s="48">
        <f>IF($F914="","",IFERROR(INDEX(사건마스터!$AL$5:$AL$64,MATCH($F914,사건마스터!$A$5:$A$64,0)),""))</f>
        <v/>
      </c>
      <c r="O914" s="43">
        <f>IF($I914="","",COUNTIF($I914:$N914,"?*"))</f>
        <v/>
      </c>
      <c r="P914" s="46">
        <f>IF($I914="","",_xlfn.TEXTJOIN(", ",TRUE,$I914:$N914))</f>
        <v/>
      </c>
      <c r="Q914" s="47">
        <f>IF($I914="","",IFERROR(INDEX(코드설정!$D$5:$D$24,MATCH($I914,코드설정!$C$5:$C$24,0)),""))</f>
        <v/>
      </c>
      <c r="R914" s="49" t="n"/>
      <c r="S914" s="50" t="n"/>
      <c r="T914" s="51" t="n"/>
      <c r="U914" s="43">
        <f>IF(OR($B914="",$C914=""),"",$C914-$B914+1)</f>
        <v/>
      </c>
      <c r="V914" s="52" t="n"/>
      <c r="W914" s="53">
        <f>IF(OR($V914="",$O914=""),"",$V914*$O914)</f>
        <v/>
      </c>
      <c r="X914" s="45" t="n"/>
      <c r="Y914" s="49" t="n"/>
    </row>
    <row r="915">
      <c r="A915" s="43">
        <f>IF($B915="","",COUNT($B$5:$B915))</f>
        <v/>
      </c>
      <c r="B915" s="44" t="n"/>
      <c r="C915" s="44" t="n"/>
      <c r="D915" s="45" t="n"/>
      <c r="E915" s="45" t="n"/>
      <c r="F915" s="45" t="n"/>
      <c r="G915" s="46">
        <f>IF($F915="","",IFERROR(INDEX(사건마스터!$B$5:$B$64,MATCH($F915,사건마스터!$A$5:$A$64,0)),""))</f>
        <v/>
      </c>
      <c r="H915" s="47">
        <f>IF($F915="","",IFERROR(INDEX(사건마스터!$C$5:$C$64,MATCH($F915,사건마스터!$A$5:$A$64,0)),""))</f>
        <v/>
      </c>
      <c r="I915" s="48">
        <f>IF($F915="","",IFERROR(INDEX(사건마스터!$H$5:$H$64,MATCH($F915,사건마스터!$A$5:$A$64,0)),""))</f>
        <v/>
      </c>
      <c r="J915" s="48">
        <f>IF($F915="","",IFERROR(INDEX(사건마스터!$AH$5:$AH$64,MATCH($F915,사건마스터!$A$5:$A$64,0)),""))</f>
        <v/>
      </c>
      <c r="K915" s="48">
        <f>IF($F915="","",IFERROR(INDEX(사건마스터!$AI$5:$AI$64,MATCH($F915,사건마스터!$A$5:$A$64,0)),""))</f>
        <v/>
      </c>
      <c r="L915" s="48">
        <f>IF($F915="","",IFERROR(INDEX(사건마스터!$AJ$5:$AJ$64,MATCH($F915,사건마스터!$A$5:$A$64,0)),""))</f>
        <v/>
      </c>
      <c r="M915" s="48">
        <f>IF($F915="","",IFERROR(INDEX(사건마스터!$AK$5:$AK$64,MATCH($F915,사건마스터!$A$5:$A$64,0)),""))</f>
        <v/>
      </c>
      <c r="N915" s="48">
        <f>IF($F915="","",IFERROR(INDEX(사건마스터!$AL$5:$AL$64,MATCH($F915,사건마스터!$A$5:$A$64,0)),""))</f>
        <v/>
      </c>
      <c r="O915" s="43">
        <f>IF($I915="","",COUNTIF($I915:$N915,"?*"))</f>
        <v/>
      </c>
      <c r="P915" s="46">
        <f>IF($I915="","",_xlfn.TEXTJOIN(", ",TRUE,$I915:$N915))</f>
        <v/>
      </c>
      <c r="Q915" s="47">
        <f>IF($I915="","",IFERROR(INDEX(코드설정!$D$5:$D$24,MATCH($I915,코드설정!$C$5:$C$24,0)),""))</f>
        <v/>
      </c>
      <c r="R915" s="49" t="n"/>
      <c r="S915" s="50" t="n"/>
      <c r="T915" s="51" t="n"/>
      <c r="U915" s="43">
        <f>IF(OR($B915="",$C915=""),"",$C915-$B915+1)</f>
        <v/>
      </c>
      <c r="V915" s="52" t="n"/>
      <c r="W915" s="53">
        <f>IF(OR($V915="",$O915=""),"",$V915*$O915)</f>
        <v/>
      </c>
      <c r="X915" s="45" t="n"/>
      <c r="Y915" s="49" t="n"/>
    </row>
    <row r="916">
      <c r="A916" s="43">
        <f>IF($B916="","",COUNT($B$5:$B916))</f>
        <v/>
      </c>
      <c r="B916" s="44" t="n"/>
      <c r="C916" s="44" t="n"/>
      <c r="D916" s="45" t="n"/>
      <c r="E916" s="45" t="n"/>
      <c r="F916" s="45" t="n"/>
      <c r="G916" s="46">
        <f>IF($F916="","",IFERROR(INDEX(사건마스터!$B$5:$B$64,MATCH($F916,사건마스터!$A$5:$A$64,0)),""))</f>
        <v/>
      </c>
      <c r="H916" s="47">
        <f>IF($F916="","",IFERROR(INDEX(사건마스터!$C$5:$C$64,MATCH($F916,사건마스터!$A$5:$A$64,0)),""))</f>
        <v/>
      </c>
      <c r="I916" s="48">
        <f>IF($F916="","",IFERROR(INDEX(사건마스터!$H$5:$H$64,MATCH($F916,사건마스터!$A$5:$A$64,0)),""))</f>
        <v/>
      </c>
      <c r="J916" s="48">
        <f>IF($F916="","",IFERROR(INDEX(사건마스터!$AH$5:$AH$64,MATCH($F916,사건마스터!$A$5:$A$64,0)),""))</f>
        <v/>
      </c>
      <c r="K916" s="48">
        <f>IF($F916="","",IFERROR(INDEX(사건마스터!$AI$5:$AI$64,MATCH($F916,사건마스터!$A$5:$A$64,0)),""))</f>
        <v/>
      </c>
      <c r="L916" s="48">
        <f>IF($F916="","",IFERROR(INDEX(사건마스터!$AJ$5:$AJ$64,MATCH($F916,사건마스터!$A$5:$A$64,0)),""))</f>
        <v/>
      </c>
      <c r="M916" s="48">
        <f>IF($F916="","",IFERROR(INDEX(사건마스터!$AK$5:$AK$64,MATCH($F916,사건마스터!$A$5:$A$64,0)),""))</f>
        <v/>
      </c>
      <c r="N916" s="48">
        <f>IF($F916="","",IFERROR(INDEX(사건마스터!$AL$5:$AL$64,MATCH($F916,사건마스터!$A$5:$A$64,0)),""))</f>
        <v/>
      </c>
      <c r="O916" s="43">
        <f>IF($I916="","",COUNTIF($I916:$N916,"?*"))</f>
        <v/>
      </c>
      <c r="P916" s="46">
        <f>IF($I916="","",_xlfn.TEXTJOIN(", ",TRUE,$I916:$N916))</f>
        <v/>
      </c>
      <c r="Q916" s="47">
        <f>IF($I916="","",IFERROR(INDEX(코드설정!$D$5:$D$24,MATCH($I916,코드설정!$C$5:$C$24,0)),""))</f>
        <v/>
      </c>
      <c r="R916" s="49" t="n"/>
      <c r="S916" s="50" t="n"/>
      <c r="T916" s="51" t="n"/>
      <c r="U916" s="43">
        <f>IF(OR($B916="",$C916=""),"",$C916-$B916+1)</f>
        <v/>
      </c>
      <c r="V916" s="52" t="n"/>
      <c r="W916" s="53">
        <f>IF(OR($V916="",$O916=""),"",$V916*$O916)</f>
        <v/>
      </c>
      <c r="X916" s="45" t="n"/>
      <c r="Y916" s="49" t="n"/>
    </row>
    <row r="917">
      <c r="A917" s="43">
        <f>IF($B917="","",COUNT($B$5:$B917))</f>
        <v/>
      </c>
      <c r="B917" s="44" t="n"/>
      <c r="C917" s="44" t="n"/>
      <c r="D917" s="45" t="n"/>
      <c r="E917" s="45" t="n"/>
      <c r="F917" s="45" t="n"/>
      <c r="G917" s="46">
        <f>IF($F917="","",IFERROR(INDEX(사건마스터!$B$5:$B$64,MATCH($F917,사건마스터!$A$5:$A$64,0)),""))</f>
        <v/>
      </c>
      <c r="H917" s="47">
        <f>IF($F917="","",IFERROR(INDEX(사건마스터!$C$5:$C$64,MATCH($F917,사건마스터!$A$5:$A$64,0)),""))</f>
        <v/>
      </c>
      <c r="I917" s="48">
        <f>IF($F917="","",IFERROR(INDEX(사건마스터!$H$5:$H$64,MATCH($F917,사건마스터!$A$5:$A$64,0)),""))</f>
        <v/>
      </c>
      <c r="J917" s="48">
        <f>IF($F917="","",IFERROR(INDEX(사건마스터!$AH$5:$AH$64,MATCH($F917,사건마스터!$A$5:$A$64,0)),""))</f>
        <v/>
      </c>
      <c r="K917" s="48">
        <f>IF($F917="","",IFERROR(INDEX(사건마스터!$AI$5:$AI$64,MATCH($F917,사건마스터!$A$5:$A$64,0)),""))</f>
        <v/>
      </c>
      <c r="L917" s="48">
        <f>IF($F917="","",IFERROR(INDEX(사건마스터!$AJ$5:$AJ$64,MATCH($F917,사건마스터!$A$5:$A$64,0)),""))</f>
        <v/>
      </c>
      <c r="M917" s="48">
        <f>IF($F917="","",IFERROR(INDEX(사건마스터!$AK$5:$AK$64,MATCH($F917,사건마스터!$A$5:$A$64,0)),""))</f>
        <v/>
      </c>
      <c r="N917" s="48">
        <f>IF($F917="","",IFERROR(INDEX(사건마스터!$AL$5:$AL$64,MATCH($F917,사건마스터!$A$5:$A$64,0)),""))</f>
        <v/>
      </c>
      <c r="O917" s="43">
        <f>IF($I917="","",COUNTIF($I917:$N917,"?*"))</f>
        <v/>
      </c>
      <c r="P917" s="46">
        <f>IF($I917="","",_xlfn.TEXTJOIN(", ",TRUE,$I917:$N917))</f>
        <v/>
      </c>
      <c r="Q917" s="47">
        <f>IF($I917="","",IFERROR(INDEX(코드설정!$D$5:$D$24,MATCH($I917,코드설정!$C$5:$C$24,0)),""))</f>
        <v/>
      </c>
      <c r="R917" s="49" t="n"/>
      <c r="S917" s="50" t="n"/>
      <c r="T917" s="51" t="n"/>
      <c r="U917" s="43">
        <f>IF(OR($B917="",$C917=""),"",$C917-$B917+1)</f>
        <v/>
      </c>
      <c r="V917" s="52" t="n"/>
      <c r="W917" s="53">
        <f>IF(OR($V917="",$O917=""),"",$V917*$O917)</f>
        <v/>
      </c>
      <c r="X917" s="45" t="n"/>
      <c r="Y917" s="49" t="n"/>
    </row>
    <row r="918">
      <c r="A918" s="43">
        <f>IF($B918="","",COUNT($B$5:$B918))</f>
        <v/>
      </c>
      <c r="B918" s="44" t="n"/>
      <c r="C918" s="44" t="n"/>
      <c r="D918" s="45" t="n"/>
      <c r="E918" s="45" t="n"/>
      <c r="F918" s="45" t="n"/>
      <c r="G918" s="46">
        <f>IF($F918="","",IFERROR(INDEX(사건마스터!$B$5:$B$64,MATCH($F918,사건마스터!$A$5:$A$64,0)),""))</f>
        <v/>
      </c>
      <c r="H918" s="47">
        <f>IF($F918="","",IFERROR(INDEX(사건마스터!$C$5:$C$64,MATCH($F918,사건마스터!$A$5:$A$64,0)),""))</f>
        <v/>
      </c>
      <c r="I918" s="48">
        <f>IF($F918="","",IFERROR(INDEX(사건마스터!$H$5:$H$64,MATCH($F918,사건마스터!$A$5:$A$64,0)),""))</f>
        <v/>
      </c>
      <c r="J918" s="48">
        <f>IF($F918="","",IFERROR(INDEX(사건마스터!$AH$5:$AH$64,MATCH($F918,사건마스터!$A$5:$A$64,0)),""))</f>
        <v/>
      </c>
      <c r="K918" s="48">
        <f>IF($F918="","",IFERROR(INDEX(사건마스터!$AI$5:$AI$64,MATCH($F918,사건마스터!$A$5:$A$64,0)),""))</f>
        <v/>
      </c>
      <c r="L918" s="48">
        <f>IF($F918="","",IFERROR(INDEX(사건마스터!$AJ$5:$AJ$64,MATCH($F918,사건마스터!$A$5:$A$64,0)),""))</f>
        <v/>
      </c>
      <c r="M918" s="48">
        <f>IF($F918="","",IFERROR(INDEX(사건마스터!$AK$5:$AK$64,MATCH($F918,사건마스터!$A$5:$A$64,0)),""))</f>
        <v/>
      </c>
      <c r="N918" s="48">
        <f>IF($F918="","",IFERROR(INDEX(사건마스터!$AL$5:$AL$64,MATCH($F918,사건마스터!$A$5:$A$64,0)),""))</f>
        <v/>
      </c>
      <c r="O918" s="43">
        <f>IF($I918="","",COUNTIF($I918:$N918,"?*"))</f>
        <v/>
      </c>
      <c r="P918" s="46">
        <f>IF($I918="","",_xlfn.TEXTJOIN(", ",TRUE,$I918:$N918))</f>
        <v/>
      </c>
      <c r="Q918" s="47">
        <f>IF($I918="","",IFERROR(INDEX(코드설정!$D$5:$D$24,MATCH($I918,코드설정!$C$5:$C$24,0)),""))</f>
        <v/>
      </c>
      <c r="R918" s="49" t="n"/>
      <c r="S918" s="50" t="n"/>
      <c r="T918" s="51" t="n"/>
      <c r="U918" s="43">
        <f>IF(OR($B918="",$C918=""),"",$C918-$B918+1)</f>
        <v/>
      </c>
      <c r="V918" s="52" t="n"/>
      <c r="W918" s="53">
        <f>IF(OR($V918="",$O918=""),"",$V918*$O918)</f>
        <v/>
      </c>
      <c r="X918" s="45" t="n"/>
      <c r="Y918" s="49" t="n"/>
    </row>
    <row r="919">
      <c r="A919" s="43">
        <f>IF($B919="","",COUNT($B$5:$B919))</f>
        <v/>
      </c>
      <c r="B919" s="44" t="n"/>
      <c r="C919" s="44" t="n"/>
      <c r="D919" s="45" t="n"/>
      <c r="E919" s="45" t="n"/>
      <c r="F919" s="45" t="n"/>
      <c r="G919" s="46">
        <f>IF($F919="","",IFERROR(INDEX(사건마스터!$B$5:$B$64,MATCH($F919,사건마스터!$A$5:$A$64,0)),""))</f>
        <v/>
      </c>
      <c r="H919" s="47">
        <f>IF($F919="","",IFERROR(INDEX(사건마스터!$C$5:$C$64,MATCH($F919,사건마스터!$A$5:$A$64,0)),""))</f>
        <v/>
      </c>
      <c r="I919" s="48">
        <f>IF($F919="","",IFERROR(INDEX(사건마스터!$H$5:$H$64,MATCH($F919,사건마스터!$A$5:$A$64,0)),""))</f>
        <v/>
      </c>
      <c r="J919" s="48">
        <f>IF($F919="","",IFERROR(INDEX(사건마스터!$AH$5:$AH$64,MATCH($F919,사건마스터!$A$5:$A$64,0)),""))</f>
        <v/>
      </c>
      <c r="K919" s="48">
        <f>IF($F919="","",IFERROR(INDEX(사건마스터!$AI$5:$AI$64,MATCH($F919,사건마스터!$A$5:$A$64,0)),""))</f>
        <v/>
      </c>
      <c r="L919" s="48">
        <f>IF($F919="","",IFERROR(INDEX(사건마스터!$AJ$5:$AJ$64,MATCH($F919,사건마스터!$A$5:$A$64,0)),""))</f>
        <v/>
      </c>
      <c r="M919" s="48">
        <f>IF($F919="","",IFERROR(INDEX(사건마스터!$AK$5:$AK$64,MATCH($F919,사건마스터!$A$5:$A$64,0)),""))</f>
        <v/>
      </c>
      <c r="N919" s="48">
        <f>IF($F919="","",IFERROR(INDEX(사건마스터!$AL$5:$AL$64,MATCH($F919,사건마스터!$A$5:$A$64,0)),""))</f>
        <v/>
      </c>
      <c r="O919" s="43">
        <f>IF($I919="","",COUNTIF($I919:$N919,"?*"))</f>
        <v/>
      </c>
      <c r="P919" s="46">
        <f>IF($I919="","",_xlfn.TEXTJOIN(", ",TRUE,$I919:$N919))</f>
        <v/>
      </c>
      <c r="Q919" s="47">
        <f>IF($I919="","",IFERROR(INDEX(코드설정!$D$5:$D$24,MATCH($I919,코드설정!$C$5:$C$24,0)),""))</f>
        <v/>
      </c>
      <c r="R919" s="49" t="n"/>
      <c r="S919" s="50" t="n"/>
      <c r="T919" s="51" t="n"/>
      <c r="U919" s="43">
        <f>IF(OR($B919="",$C919=""),"",$C919-$B919+1)</f>
        <v/>
      </c>
      <c r="V919" s="52" t="n"/>
      <c r="W919" s="53">
        <f>IF(OR($V919="",$O919=""),"",$V919*$O919)</f>
        <v/>
      </c>
      <c r="X919" s="45" t="n"/>
      <c r="Y919" s="49" t="n"/>
    </row>
    <row r="920">
      <c r="A920" s="43">
        <f>IF($B920="","",COUNT($B$5:$B920))</f>
        <v/>
      </c>
      <c r="B920" s="44" t="n"/>
      <c r="C920" s="44" t="n"/>
      <c r="D920" s="45" t="n"/>
      <c r="E920" s="45" t="n"/>
      <c r="F920" s="45" t="n"/>
      <c r="G920" s="46">
        <f>IF($F920="","",IFERROR(INDEX(사건마스터!$B$5:$B$64,MATCH($F920,사건마스터!$A$5:$A$64,0)),""))</f>
        <v/>
      </c>
      <c r="H920" s="47">
        <f>IF($F920="","",IFERROR(INDEX(사건마스터!$C$5:$C$64,MATCH($F920,사건마스터!$A$5:$A$64,0)),""))</f>
        <v/>
      </c>
      <c r="I920" s="48">
        <f>IF($F920="","",IFERROR(INDEX(사건마스터!$H$5:$H$64,MATCH($F920,사건마스터!$A$5:$A$64,0)),""))</f>
        <v/>
      </c>
      <c r="J920" s="48">
        <f>IF($F920="","",IFERROR(INDEX(사건마스터!$AH$5:$AH$64,MATCH($F920,사건마스터!$A$5:$A$64,0)),""))</f>
        <v/>
      </c>
      <c r="K920" s="48">
        <f>IF($F920="","",IFERROR(INDEX(사건마스터!$AI$5:$AI$64,MATCH($F920,사건마스터!$A$5:$A$64,0)),""))</f>
        <v/>
      </c>
      <c r="L920" s="48">
        <f>IF($F920="","",IFERROR(INDEX(사건마스터!$AJ$5:$AJ$64,MATCH($F920,사건마스터!$A$5:$A$64,0)),""))</f>
        <v/>
      </c>
      <c r="M920" s="48">
        <f>IF($F920="","",IFERROR(INDEX(사건마스터!$AK$5:$AK$64,MATCH($F920,사건마스터!$A$5:$A$64,0)),""))</f>
        <v/>
      </c>
      <c r="N920" s="48">
        <f>IF($F920="","",IFERROR(INDEX(사건마스터!$AL$5:$AL$64,MATCH($F920,사건마스터!$A$5:$A$64,0)),""))</f>
        <v/>
      </c>
      <c r="O920" s="43">
        <f>IF($I920="","",COUNTIF($I920:$N920,"?*"))</f>
        <v/>
      </c>
      <c r="P920" s="46">
        <f>IF($I920="","",_xlfn.TEXTJOIN(", ",TRUE,$I920:$N920))</f>
        <v/>
      </c>
      <c r="Q920" s="47">
        <f>IF($I920="","",IFERROR(INDEX(코드설정!$D$5:$D$24,MATCH($I920,코드설정!$C$5:$C$24,0)),""))</f>
        <v/>
      </c>
      <c r="R920" s="49" t="n"/>
      <c r="S920" s="50" t="n"/>
      <c r="T920" s="51" t="n"/>
      <c r="U920" s="43">
        <f>IF(OR($B920="",$C920=""),"",$C920-$B920+1)</f>
        <v/>
      </c>
      <c r="V920" s="52" t="n"/>
      <c r="W920" s="53">
        <f>IF(OR($V920="",$O920=""),"",$V920*$O920)</f>
        <v/>
      </c>
      <c r="X920" s="45" t="n"/>
      <c r="Y920" s="49" t="n"/>
    </row>
    <row r="921">
      <c r="A921" s="43">
        <f>IF($B921="","",COUNT($B$5:$B921))</f>
        <v/>
      </c>
      <c r="B921" s="44" t="n"/>
      <c r="C921" s="44" t="n"/>
      <c r="D921" s="45" t="n"/>
      <c r="E921" s="45" t="n"/>
      <c r="F921" s="45" t="n"/>
      <c r="G921" s="46">
        <f>IF($F921="","",IFERROR(INDEX(사건마스터!$B$5:$B$64,MATCH($F921,사건마스터!$A$5:$A$64,0)),""))</f>
        <v/>
      </c>
      <c r="H921" s="47">
        <f>IF($F921="","",IFERROR(INDEX(사건마스터!$C$5:$C$64,MATCH($F921,사건마스터!$A$5:$A$64,0)),""))</f>
        <v/>
      </c>
      <c r="I921" s="48">
        <f>IF($F921="","",IFERROR(INDEX(사건마스터!$H$5:$H$64,MATCH($F921,사건마스터!$A$5:$A$64,0)),""))</f>
        <v/>
      </c>
      <c r="J921" s="48">
        <f>IF($F921="","",IFERROR(INDEX(사건마스터!$AH$5:$AH$64,MATCH($F921,사건마스터!$A$5:$A$64,0)),""))</f>
        <v/>
      </c>
      <c r="K921" s="48">
        <f>IF($F921="","",IFERROR(INDEX(사건마스터!$AI$5:$AI$64,MATCH($F921,사건마스터!$A$5:$A$64,0)),""))</f>
        <v/>
      </c>
      <c r="L921" s="48">
        <f>IF($F921="","",IFERROR(INDEX(사건마스터!$AJ$5:$AJ$64,MATCH($F921,사건마스터!$A$5:$A$64,0)),""))</f>
        <v/>
      </c>
      <c r="M921" s="48">
        <f>IF($F921="","",IFERROR(INDEX(사건마스터!$AK$5:$AK$64,MATCH($F921,사건마스터!$A$5:$A$64,0)),""))</f>
        <v/>
      </c>
      <c r="N921" s="48">
        <f>IF($F921="","",IFERROR(INDEX(사건마스터!$AL$5:$AL$64,MATCH($F921,사건마스터!$A$5:$A$64,0)),""))</f>
        <v/>
      </c>
      <c r="O921" s="43">
        <f>IF($I921="","",COUNTIF($I921:$N921,"?*"))</f>
        <v/>
      </c>
      <c r="P921" s="46">
        <f>IF($I921="","",_xlfn.TEXTJOIN(", ",TRUE,$I921:$N921))</f>
        <v/>
      </c>
      <c r="Q921" s="47">
        <f>IF($I921="","",IFERROR(INDEX(코드설정!$D$5:$D$24,MATCH($I921,코드설정!$C$5:$C$24,0)),""))</f>
        <v/>
      </c>
      <c r="R921" s="49" t="n"/>
      <c r="S921" s="50" t="n"/>
      <c r="T921" s="51" t="n"/>
      <c r="U921" s="43">
        <f>IF(OR($B921="",$C921=""),"",$C921-$B921+1)</f>
        <v/>
      </c>
      <c r="V921" s="52" t="n"/>
      <c r="W921" s="53">
        <f>IF(OR($V921="",$O921=""),"",$V921*$O921)</f>
        <v/>
      </c>
      <c r="X921" s="45" t="n"/>
      <c r="Y921" s="49" t="n"/>
    </row>
    <row r="922">
      <c r="A922" s="43">
        <f>IF($B922="","",COUNT($B$5:$B922))</f>
        <v/>
      </c>
      <c r="B922" s="44" t="n"/>
      <c r="C922" s="44" t="n"/>
      <c r="D922" s="45" t="n"/>
      <c r="E922" s="45" t="n"/>
      <c r="F922" s="45" t="n"/>
      <c r="G922" s="46">
        <f>IF($F922="","",IFERROR(INDEX(사건마스터!$B$5:$B$64,MATCH($F922,사건마스터!$A$5:$A$64,0)),""))</f>
        <v/>
      </c>
      <c r="H922" s="47">
        <f>IF($F922="","",IFERROR(INDEX(사건마스터!$C$5:$C$64,MATCH($F922,사건마스터!$A$5:$A$64,0)),""))</f>
        <v/>
      </c>
      <c r="I922" s="48">
        <f>IF($F922="","",IFERROR(INDEX(사건마스터!$H$5:$H$64,MATCH($F922,사건마스터!$A$5:$A$64,0)),""))</f>
        <v/>
      </c>
      <c r="J922" s="48">
        <f>IF($F922="","",IFERROR(INDEX(사건마스터!$AH$5:$AH$64,MATCH($F922,사건마스터!$A$5:$A$64,0)),""))</f>
        <v/>
      </c>
      <c r="K922" s="48">
        <f>IF($F922="","",IFERROR(INDEX(사건마스터!$AI$5:$AI$64,MATCH($F922,사건마스터!$A$5:$A$64,0)),""))</f>
        <v/>
      </c>
      <c r="L922" s="48">
        <f>IF($F922="","",IFERROR(INDEX(사건마스터!$AJ$5:$AJ$64,MATCH($F922,사건마스터!$A$5:$A$64,0)),""))</f>
        <v/>
      </c>
      <c r="M922" s="48">
        <f>IF($F922="","",IFERROR(INDEX(사건마스터!$AK$5:$AK$64,MATCH($F922,사건마스터!$A$5:$A$64,0)),""))</f>
        <v/>
      </c>
      <c r="N922" s="48">
        <f>IF($F922="","",IFERROR(INDEX(사건마스터!$AL$5:$AL$64,MATCH($F922,사건마스터!$A$5:$A$64,0)),""))</f>
        <v/>
      </c>
      <c r="O922" s="43">
        <f>IF($I922="","",COUNTIF($I922:$N922,"?*"))</f>
        <v/>
      </c>
      <c r="P922" s="46">
        <f>IF($I922="","",_xlfn.TEXTJOIN(", ",TRUE,$I922:$N922))</f>
        <v/>
      </c>
      <c r="Q922" s="47">
        <f>IF($I922="","",IFERROR(INDEX(코드설정!$D$5:$D$24,MATCH($I922,코드설정!$C$5:$C$24,0)),""))</f>
        <v/>
      </c>
      <c r="R922" s="49" t="n"/>
      <c r="S922" s="50" t="n"/>
      <c r="T922" s="51" t="n"/>
      <c r="U922" s="43">
        <f>IF(OR($B922="",$C922=""),"",$C922-$B922+1)</f>
        <v/>
      </c>
      <c r="V922" s="52" t="n"/>
      <c r="W922" s="53">
        <f>IF(OR($V922="",$O922=""),"",$V922*$O922)</f>
        <v/>
      </c>
      <c r="X922" s="45" t="n"/>
      <c r="Y922" s="49" t="n"/>
    </row>
    <row r="923">
      <c r="A923" s="43">
        <f>IF($B923="","",COUNT($B$5:$B923))</f>
        <v/>
      </c>
      <c r="B923" s="44" t="n"/>
      <c r="C923" s="44" t="n"/>
      <c r="D923" s="45" t="n"/>
      <c r="E923" s="45" t="n"/>
      <c r="F923" s="45" t="n"/>
      <c r="G923" s="46">
        <f>IF($F923="","",IFERROR(INDEX(사건마스터!$B$5:$B$64,MATCH($F923,사건마스터!$A$5:$A$64,0)),""))</f>
        <v/>
      </c>
      <c r="H923" s="47">
        <f>IF($F923="","",IFERROR(INDEX(사건마스터!$C$5:$C$64,MATCH($F923,사건마스터!$A$5:$A$64,0)),""))</f>
        <v/>
      </c>
      <c r="I923" s="48">
        <f>IF($F923="","",IFERROR(INDEX(사건마스터!$H$5:$H$64,MATCH($F923,사건마스터!$A$5:$A$64,0)),""))</f>
        <v/>
      </c>
      <c r="J923" s="48">
        <f>IF($F923="","",IFERROR(INDEX(사건마스터!$AH$5:$AH$64,MATCH($F923,사건마스터!$A$5:$A$64,0)),""))</f>
        <v/>
      </c>
      <c r="K923" s="48">
        <f>IF($F923="","",IFERROR(INDEX(사건마스터!$AI$5:$AI$64,MATCH($F923,사건마스터!$A$5:$A$64,0)),""))</f>
        <v/>
      </c>
      <c r="L923" s="48">
        <f>IF($F923="","",IFERROR(INDEX(사건마스터!$AJ$5:$AJ$64,MATCH($F923,사건마스터!$A$5:$A$64,0)),""))</f>
        <v/>
      </c>
      <c r="M923" s="48">
        <f>IF($F923="","",IFERROR(INDEX(사건마스터!$AK$5:$AK$64,MATCH($F923,사건마스터!$A$5:$A$64,0)),""))</f>
        <v/>
      </c>
      <c r="N923" s="48">
        <f>IF($F923="","",IFERROR(INDEX(사건마스터!$AL$5:$AL$64,MATCH($F923,사건마스터!$A$5:$A$64,0)),""))</f>
        <v/>
      </c>
      <c r="O923" s="43">
        <f>IF($I923="","",COUNTIF($I923:$N923,"?*"))</f>
        <v/>
      </c>
      <c r="P923" s="46">
        <f>IF($I923="","",_xlfn.TEXTJOIN(", ",TRUE,$I923:$N923))</f>
        <v/>
      </c>
      <c r="Q923" s="47">
        <f>IF($I923="","",IFERROR(INDEX(코드설정!$D$5:$D$24,MATCH($I923,코드설정!$C$5:$C$24,0)),""))</f>
        <v/>
      </c>
      <c r="R923" s="49" t="n"/>
      <c r="S923" s="50" t="n"/>
      <c r="T923" s="51" t="n"/>
      <c r="U923" s="43">
        <f>IF(OR($B923="",$C923=""),"",$C923-$B923+1)</f>
        <v/>
      </c>
      <c r="V923" s="52" t="n"/>
      <c r="W923" s="53">
        <f>IF(OR($V923="",$O923=""),"",$V923*$O923)</f>
        <v/>
      </c>
      <c r="X923" s="45" t="n"/>
      <c r="Y923" s="49" t="n"/>
    </row>
    <row r="924">
      <c r="A924" s="43">
        <f>IF($B924="","",COUNT($B$5:$B924))</f>
        <v/>
      </c>
      <c r="B924" s="44" t="n"/>
      <c r="C924" s="44" t="n"/>
      <c r="D924" s="45" t="n"/>
      <c r="E924" s="45" t="n"/>
      <c r="F924" s="45" t="n"/>
      <c r="G924" s="46">
        <f>IF($F924="","",IFERROR(INDEX(사건마스터!$B$5:$B$64,MATCH($F924,사건마스터!$A$5:$A$64,0)),""))</f>
        <v/>
      </c>
      <c r="H924" s="47">
        <f>IF($F924="","",IFERROR(INDEX(사건마스터!$C$5:$C$64,MATCH($F924,사건마스터!$A$5:$A$64,0)),""))</f>
        <v/>
      </c>
      <c r="I924" s="48">
        <f>IF($F924="","",IFERROR(INDEX(사건마스터!$H$5:$H$64,MATCH($F924,사건마스터!$A$5:$A$64,0)),""))</f>
        <v/>
      </c>
      <c r="J924" s="48">
        <f>IF($F924="","",IFERROR(INDEX(사건마스터!$AH$5:$AH$64,MATCH($F924,사건마스터!$A$5:$A$64,0)),""))</f>
        <v/>
      </c>
      <c r="K924" s="48">
        <f>IF($F924="","",IFERROR(INDEX(사건마스터!$AI$5:$AI$64,MATCH($F924,사건마스터!$A$5:$A$64,0)),""))</f>
        <v/>
      </c>
      <c r="L924" s="48">
        <f>IF($F924="","",IFERROR(INDEX(사건마스터!$AJ$5:$AJ$64,MATCH($F924,사건마스터!$A$5:$A$64,0)),""))</f>
        <v/>
      </c>
      <c r="M924" s="48">
        <f>IF($F924="","",IFERROR(INDEX(사건마스터!$AK$5:$AK$64,MATCH($F924,사건마스터!$A$5:$A$64,0)),""))</f>
        <v/>
      </c>
      <c r="N924" s="48">
        <f>IF($F924="","",IFERROR(INDEX(사건마스터!$AL$5:$AL$64,MATCH($F924,사건마스터!$A$5:$A$64,0)),""))</f>
        <v/>
      </c>
      <c r="O924" s="43">
        <f>IF($I924="","",COUNTIF($I924:$N924,"?*"))</f>
        <v/>
      </c>
      <c r="P924" s="46">
        <f>IF($I924="","",_xlfn.TEXTJOIN(", ",TRUE,$I924:$N924))</f>
        <v/>
      </c>
      <c r="Q924" s="47">
        <f>IF($I924="","",IFERROR(INDEX(코드설정!$D$5:$D$24,MATCH($I924,코드설정!$C$5:$C$24,0)),""))</f>
        <v/>
      </c>
      <c r="R924" s="49" t="n"/>
      <c r="S924" s="50" t="n"/>
      <c r="T924" s="51" t="n"/>
      <c r="U924" s="43">
        <f>IF(OR($B924="",$C924=""),"",$C924-$B924+1)</f>
        <v/>
      </c>
      <c r="V924" s="52" t="n"/>
      <c r="W924" s="53">
        <f>IF(OR($V924="",$O924=""),"",$V924*$O924)</f>
        <v/>
      </c>
      <c r="X924" s="45" t="n"/>
      <c r="Y924" s="49" t="n"/>
    </row>
    <row r="925">
      <c r="A925" s="43">
        <f>IF($B925="","",COUNT($B$5:$B925))</f>
        <v/>
      </c>
      <c r="B925" s="44" t="n"/>
      <c r="C925" s="44" t="n"/>
      <c r="D925" s="45" t="n"/>
      <c r="E925" s="45" t="n"/>
      <c r="F925" s="45" t="n"/>
      <c r="G925" s="46">
        <f>IF($F925="","",IFERROR(INDEX(사건마스터!$B$5:$B$64,MATCH($F925,사건마스터!$A$5:$A$64,0)),""))</f>
        <v/>
      </c>
      <c r="H925" s="47">
        <f>IF($F925="","",IFERROR(INDEX(사건마스터!$C$5:$C$64,MATCH($F925,사건마스터!$A$5:$A$64,0)),""))</f>
        <v/>
      </c>
      <c r="I925" s="48">
        <f>IF($F925="","",IFERROR(INDEX(사건마스터!$H$5:$H$64,MATCH($F925,사건마스터!$A$5:$A$64,0)),""))</f>
        <v/>
      </c>
      <c r="J925" s="48">
        <f>IF($F925="","",IFERROR(INDEX(사건마스터!$AH$5:$AH$64,MATCH($F925,사건마스터!$A$5:$A$64,0)),""))</f>
        <v/>
      </c>
      <c r="K925" s="48">
        <f>IF($F925="","",IFERROR(INDEX(사건마스터!$AI$5:$AI$64,MATCH($F925,사건마스터!$A$5:$A$64,0)),""))</f>
        <v/>
      </c>
      <c r="L925" s="48">
        <f>IF($F925="","",IFERROR(INDEX(사건마스터!$AJ$5:$AJ$64,MATCH($F925,사건마스터!$A$5:$A$64,0)),""))</f>
        <v/>
      </c>
      <c r="M925" s="48">
        <f>IF($F925="","",IFERROR(INDEX(사건마스터!$AK$5:$AK$64,MATCH($F925,사건마스터!$A$5:$A$64,0)),""))</f>
        <v/>
      </c>
      <c r="N925" s="48">
        <f>IF($F925="","",IFERROR(INDEX(사건마스터!$AL$5:$AL$64,MATCH($F925,사건마스터!$A$5:$A$64,0)),""))</f>
        <v/>
      </c>
      <c r="O925" s="43">
        <f>IF($I925="","",COUNTIF($I925:$N925,"?*"))</f>
        <v/>
      </c>
      <c r="P925" s="46">
        <f>IF($I925="","",_xlfn.TEXTJOIN(", ",TRUE,$I925:$N925))</f>
        <v/>
      </c>
      <c r="Q925" s="47">
        <f>IF($I925="","",IFERROR(INDEX(코드설정!$D$5:$D$24,MATCH($I925,코드설정!$C$5:$C$24,0)),""))</f>
        <v/>
      </c>
      <c r="R925" s="49" t="n"/>
      <c r="S925" s="50" t="n"/>
      <c r="T925" s="51" t="n"/>
      <c r="U925" s="43">
        <f>IF(OR($B925="",$C925=""),"",$C925-$B925+1)</f>
        <v/>
      </c>
      <c r="V925" s="52" t="n"/>
      <c r="W925" s="53">
        <f>IF(OR($V925="",$O925=""),"",$V925*$O925)</f>
        <v/>
      </c>
      <c r="X925" s="45" t="n"/>
      <c r="Y925" s="49" t="n"/>
    </row>
    <row r="926">
      <c r="A926" s="43">
        <f>IF($B926="","",COUNT($B$5:$B926))</f>
        <v/>
      </c>
      <c r="B926" s="44" t="n"/>
      <c r="C926" s="44" t="n"/>
      <c r="D926" s="45" t="n"/>
      <c r="E926" s="45" t="n"/>
      <c r="F926" s="45" t="n"/>
      <c r="G926" s="46">
        <f>IF($F926="","",IFERROR(INDEX(사건마스터!$B$5:$B$64,MATCH($F926,사건마스터!$A$5:$A$64,0)),""))</f>
        <v/>
      </c>
      <c r="H926" s="47">
        <f>IF($F926="","",IFERROR(INDEX(사건마스터!$C$5:$C$64,MATCH($F926,사건마스터!$A$5:$A$64,0)),""))</f>
        <v/>
      </c>
      <c r="I926" s="48">
        <f>IF($F926="","",IFERROR(INDEX(사건마스터!$H$5:$H$64,MATCH($F926,사건마스터!$A$5:$A$64,0)),""))</f>
        <v/>
      </c>
      <c r="J926" s="48">
        <f>IF($F926="","",IFERROR(INDEX(사건마스터!$AH$5:$AH$64,MATCH($F926,사건마스터!$A$5:$A$64,0)),""))</f>
        <v/>
      </c>
      <c r="K926" s="48">
        <f>IF($F926="","",IFERROR(INDEX(사건마스터!$AI$5:$AI$64,MATCH($F926,사건마스터!$A$5:$A$64,0)),""))</f>
        <v/>
      </c>
      <c r="L926" s="48">
        <f>IF($F926="","",IFERROR(INDEX(사건마스터!$AJ$5:$AJ$64,MATCH($F926,사건마스터!$A$5:$A$64,0)),""))</f>
        <v/>
      </c>
      <c r="M926" s="48">
        <f>IF($F926="","",IFERROR(INDEX(사건마스터!$AK$5:$AK$64,MATCH($F926,사건마스터!$A$5:$A$64,0)),""))</f>
        <v/>
      </c>
      <c r="N926" s="48">
        <f>IF($F926="","",IFERROR(INDEX(사건마스터!$AL$5:$AL$64,MATCH($F926,사건마스터!$A$5:$A$64,0)),""))</f>
        <v/>
      </c>
      <c r="O926" s="43">
        <f>IF($I926="","",COUNTIF($I926:$N926,"?*"))</f>
        <v/>
      </c>
      <c r="P926" s="46">
        <f>IF($I926="","",_xlfn.TEXTJOIN(", ",TRUE,$I926:$N926))</f>
        <v/>
      </c>
      <c r="Q926" s="47">
        <f>IF($I926="","",IFERROR(INDEX(코드설정!$D$5:$D$24,MATCH($I926,코드설정!$C$5:$C$24,0)),""))</f>
        <v/>
      </c>
      <c r="R926" s="49" t="n"/>
      <c r="S926" s="50" t="n"/>
      <c r="T926" s="51" t="n"/>
      <c r="U926" s="43">
        <f>IF(OR($B926="",$C926=""),"",$C926-$B926+1)</f>
        <v/>
      </c>
      <c r="V926" s="52" t="n"/>
      <c r="W926" s="53">
        <f>IF(OR($V926="",$O926=""),"",$V926*$O926)</f>
        <v/>
      </c>
      <c r="X926" s="45" t="n"/>
      <c r="Y926" s="49" t="n"/>
    </row>
    <row r="927">
      <c r="A927" s="43">
        <f>IF($B927="","",COUNT($B$5:$B927))</f>
        <v/>
      </c>
      <c r="B927" s="44" t="n"/>
      <c r="C927" s="44" t="n"/>
      <c r="D927" s="45" t="n"/>
      <c r="E927" s="45" t="n"/>
      <c r="F927" s="45" t="n"/>
      <c r="G927" s="46">
        <f>IF($F927="","",IFERROR(INDEX(사건마스터!$B$5:$B$64,MATCH($F927,사건마스터!$A$5:$A$64,0)),""))</f>
        <v/>
      </c>
      <c r="H927" s="47">
        <f>IF($F927="","",IFERROR(INDEX(사건마스터!$C$5:$C$64,MATCH($F927,사건마스터!$A$5:$A$64,0)),""))</f>
        <v/>
      </c>
      <c r="I927" s="48">
        <f>IF($F927="","",IFERROR(INDEX(사건마스터!$H$5:$H$64,MATCH($F927,사건마스터!$A$5:$A$64,0)),""))</f>
        <v/>
      </c>
      <c r="J927" s="48">
        <f>IF($F927="","",IFERROR(INDEX(사건마스터!$AH$5:$AH$64,MATCH($F927,사건마스터!$A$5:$A$64,0)),""))</f>
        <v/>
      </c>
      <c r="K927" s="48">
        <f>IF($F927="","",IFERROR(INDEX(사건마스터!$AI$5:$AI$64,MATCH($F927,사건마스터!$A$5:$A$64,0)),""))</f>
        <v/>
      </c>
      <c r="L927" s="48">
        <f>IF($F927="","",IFERROR(INDEX(사건마스터!$AJ$5:$AJ$64,MATCH($F927,사건마스터!$A$5:$A$64,0)),""))</f>
        <v/>
      </c>
      <c r="M927" s="48">
        <f>IF($F927="","",IFERROR(INDEX(사건마스터!$AK$5:$AK$64,MATCH($F927,사건마스터!$A$5:$A$64,0)),""))</f>
        <v/>
      </c>
      <c r="N927" s="48">
        <f>IF($F927="","",IFERROR(INDEX(사건마스터!$AL$5:$AL$64,MATCH($F927,사건마스터!$A$5:$A$64,0)),""))</f>
        <v/>
      </c>
      <c r="O927" s="43">
        <f>IF($I927="","",COUNTIF($I927:$N927,"?*"))</f>
        <v/>
      </c>
      <c r="P927" s="46">
        <f>IF($I927="","",_xlfn.TEXTJOIN(", ",TRUE,$I927:$N927))</f>
        <v/>
      </c>
      <c r="Q927" s="47">
        <f>IF($I927="","",IFERROR(INDEX(코드설정!$D$5:$D$24,MATCH($I927,코드설정!$C$5:$C$24,0)),""))</f>
        <v/>
      </c>
      <c r="R927" s="49" t="n"/>
      <c r="S927" s="50" t="n"/>
      <c r="T927" s="51" t="n"/>
      <c r="U927" s="43">
        <f>IF(OR($B927="",$C927=""),"",$C927-$B927+1)</f>
        <v/>
      </c>
      <c r="V927" s="52" t="n"/>
      <c r="W927" s="53">
        <f>IF(OR($V927="",$O927=""),"",$V927*$O927)</f>
        <v/>
      </c>
      <c r="X927" s="45" t="n"/>
      <c r="Y927" s="49" t="n"/>
    </row>
    <row r="928">
      <c r="A928" s="43">
        <f>IF($B928="","",COUNT($B$5:$B928))</f>
        <v/>
      </c>
      <c r="B928" s="44" t="n"/>
      <c r="C928" s="44" t="n"/>
      <c r="D928" s="45" t="n"/>
      <c r="E928" s="45" t="n"/>
      <c r="F928" s="45" t="n"/>
      <c r="G928" s="46">
        <f>IF($F928="","",IFERROR(INDEX(사건마스터!$B$5:$B$64,MATCH($F928,사건마스터!$A$5:$A$64,0)),""))</f>
        <v/>
      </c>
      <c r="H928" s="47">
        <f>IF($F928="","",IFERROR(INDEX(사건마스터!$C$5:$C$64,MATCH($F928,사건마스터!$A$5:$A$64,0)),""))</f>
        <v/>
      </c>
      <c r="I928" s="48">
        <f>IF($F928="","",IFERROR(INDEX(사건마스터!$H$5:$H$64,MATCH($F928,사건마스터!$A$5:$A$64,0)),""))</f>
        <v/>
      </c>
      <c r="J928" s="48">
        <f>IF($F928="","",IFERROR(INDEX(사건마스터!$AH$5:$AH$64,MATCH($F928,사건마스터!$A$5:$A$64,0)),""))</f>
        <v/>
      </c>
      <c r="K928" s="48">
        <f>IF($F928="","",IFERROR(INDEX(사건마스터!$AI$5:$AI$64,MATCH($F928,사건마스터!$A$5:$A$64,0)),""))</f>
        <v/>
      </c>
      <c r="L928" s="48">
        <f>IF($F928="","",IFERROR(INDEX(사건마스터!$AJ$5:$AJ$64,MATCH($F928,사건마스터!$A$5:$A$64,0)),""))</f>
        <v/>
      </c>
      <c r="M928" s="48">
        <f>IF($F928="","",IFERROR(INDEX(사건마스터!$AK$5:$AK$64,MATCH($F928,사건마스터!$A$5:$A$64,0)),""))</f>
        <v/>
      </c>
      <c r="N928" s="48">
        <f>IF($F928="","",IFERROR(INDEX(사건마스터!$AL$5:$AL$64,MATCH($F928,사건마스터!$A$5:$A$64,0)),""))</f>
        <v/>
      </c>
      <c r="O928" s="43">
        <f>IF($I928="","",COUNTIF($I928:$N928,"?*"))</f>
        <v/>
      </c>
      <c r="P928" s="46">
        <f>IF($I928="","",_xlfn.TEXTJOIN(", ",TRUE,$I928:$N928))</f>
        <v/>
      </c>
      <c r="Q928" s="47">
        <f>IF($I928="","",IFERROR(INDEX(코드설정!$D$5:$D$24,MATCH($I928,코드설정!$C$5:$C$24,0)),""))</f>
        <v/>
      </c>
      <c r="R928" s="49" t="n"/>
      <c r="S928" s="50" t="n"/>
      <c r="T928" s="51" t="n"/>
      <c r="U928" s="43">
        <f>IF(OR($B928="",$C928=""),"",$C928-$B928+1)</f>
        <v/>
      </c>
      <c r="V928" s="52" t="n"/>
      <c r="W928" s="53">
        <f>IF(OR($V928="",$O928=""),"",$V928*$O928)</f>
        <v/>
      </c>
      <c r="X928" s="45" t="n"/>
      <c r="Y928" s="49" t="n"/>
    </row>
    <row r="929">
      <c r="A929" s="43">
        <f>IF($B929="","",COUNT($B$5:$B929))</f>
        <v/>
      </c>
      <c r="B929" s="44" t="n"/>
      <c r="C929" s="44" t="n"/>
      <c r="D929" s="45" t="n"/>
      <c r="E929" s="45" t="n"/>
      <c r="F929" s="45" t="n"/>
      <c r="G929" s="46">
        <f>IF($F929="","",IFERROR(INDEX(사건마스터!$B$5:$B$64,MATCH($F929,사건마스터!$A$5:$A$64,0)),""))</f>
        <v/>
      </c>
      <c r="H929" s="47">
        <f>IF($F929="","",IFERROR(INDEX(사건마스터!$C$5:$C$64,MATCH($F929,사건마스터!$A$5:$A$64,0)),""))</f>
        <v/>
      </c>
      <c r="I929" s="48">
        <f>IF($F929="","",IFERROR(INDEX(사건마스터!$H$5:$H$64,MATCH($F929,사건마스터!$A$5:$A$64,0)),""))</f>
        <v/>
      </c>
      <c r="J929" s="48">
        <f>IF($F929="","",IFERROR(INDEX(사건마스터!$AH$5:$AH$64,MATCH($F929,사건마스터!$A$5:$A$64,0)),""))</f>
        <v/>
      </c>
      <c r="K929" s="48">
        <f>IF($F929="","",IFERROR(INDEX(사건마스터!$AI$5:$AI$64,MATCH($F929,사건마스터!$A$5:$A$64,0)),""))</f>
        <v/>
      </c>
      <c r="L929" s="48">
        <f>IF($F929="","",IFERROR(INDEX(사건마스터!$AJ$5:$AJ$64,MATCH($F929,사건마스터!$A$5:$A$64,0)),""))</f>
        <v/>
      </c>
      <c r="M929" s="48">
        <f>IF($F929="","",IFERROR(INDEX(사건마스터!$AK$5:$AK$64,MATCH($F929,사건마스터!$A$5:$A$64,0)),""))</f>
        <v/>
      </c>
      <c r="N929" s="48">
        <f>IF($F929="","",IFERROR(INDEX(사건마스터!$AL$5:$AL$64,MATCH($F929,사건마스터!$A$5:$A$64,0)),""))</f>
        <v/>
      </c>
      <c r="O929" s="43">
        <f>IF($I929="","",COUNTIF($I929:$N929,"?*"))</f>
        <v/>
      </c>
      <c r="P929" s="46">
        <f>IF($I929="","",_xlfn.TEXTJOIN(", ",TRUE,$I929:$N929))</f>
        <v/>
      </c>
      <c r="Q929" s="47">
        <f>IF($I929="","",IFERROR(INDEX(코드설정!$D$5:$D$24,MATCH($I929,코드설정!$C$5:$C$24,0)),""))</f>
        <v/>
      </c>
      <c r="R929" s="49" t="n"/>
      <c r="S929" s="50" t="n"/>
      <c r="T929" s="51" t="n"/>
      <c r="U929" s="43">
        <f>IF(OR($B929="",$C929=""),"",$C929-$B929+1)</f>
        <v/>
      </c>
      <c r="V929" s="52" t="n"/>
      <c r="W929" s="53">
        <f>IF(OR($V929="",$O929=""),"",$V929*$O929)</f>
        <v/>
      </c>
      <c r="X929" s="45" t="n"/>
      <c r="Y929" s="49" t="n"/>
    </row>
    <row r="930">
      <c r="A930" s="43">
        <f>IF($B930="","",COUNT($B$5:$B930))</f>
        <v/>
      </c>
      <c r="B930" s="44" t="n"/>
      <c r="C930" s="44" t="n"/>
      <c r="D930" s="45" t="n"/>
      <c r="E930" s="45" t="n"/>
      <c r="F930" s="45" t="n"/>
      <c r="G930" s="46">
        <f>IF($F930="","",IFERROR(INDEX(사건마스터!$B$5:$B$64,MATCH($F930,사건마스터!$A$5:$A$64,0)),""))</f>
        <v/>
      </c>
      <c r="H930" s="47">
        <f>IF($F930="","",IFERROR(INDEX(사건마스터!$C$5:$C$64,MATCH($F930,사건마스터!$A$5:$A$64,0)),""))</f>
        <v/>
      </c>
      <c r="I930" s="48">
        <f>IF($F930="","",IFERROR(INDEX(사건마스터!$H$5:$H$64,MATCH($F930,사건마스터!$A$5:$A$64,0)),""))</f>
        <v/>
      </c>
      <c r="J930" s="48">
        <f>IF($F930="","",IFERROR(INDEX(사건마스터!$AH$5:$AH$64,MATCH($F930,사건마스터!$A$5:$A$64,0)),""))</f>
        <v/>
      </c>
      <c r="K930" s="48">
        <f>IF($F930="","",IFERROR(INDEX(사건마스터!$AI$5:$AI$64,MATCH($F930,사건마스터!$A$5:$A$64,0)),""))</f>
        <v/>
      </c>
      <c r="L930" s="48">
        <f>IF($F930="","",IFERROR(INDEX(사건마스터!$AJ$5:$AJ$64,MATCH($F930,사건마스터!$A$5:$A$64,0)),""))</f>
        <v/>
      </c>
      <c r="M930" s="48">
        <f>IF($F930="","",IFERROR(INDEX(사건마스터!$AK$5:$AK$64,MATCH($F930,사건마스터!$A$5:$A$64,0)),""))</f>
        <v/>
      </c>
      <c r="N930" s="48">
        <f>IF($F930="","",IFERROR(INDEX(사건마스터!$AL$5:$AL$64,MATCH($F930,사건마스터!$A$5:$A$64,0)),""))</f>
        <v/>
      </c>
      <c r="O930" s="43">
        <f>IF($I930="","",COUNTIF($I930:$N930,"?*"))</f>
        <v/>
      </c>
      <c r="P930" s="46">
        <f>IF($I930="","",_xlfn.TEXTJOIN(", ",TRUE,$I930:$N930))</f>
        <v/>
      </c>
      <c r="Q930" s="47">
        <f>IF($I930="","",IFERROR(INDEX(코드설정!$D$5:$D$24,MATCH($I930,코드설정!$C$5:$C$24,0)),""))</f>
        <v/>
      </c>
      <c r="R930" s="49" t="n"/>
      <c r="S930" s="50" t="n"/>
      <c r="T930" s="51" t="n"/>
      <c r="U930" s="43">
        <f>IF(OR($B930="",$C930=""),"",$C930-$B930+1)</f>
        <v/>
      </c>
      <c r="V930" s="52" t="n"/>
      <c r="W930" s="53">
        <f>IF(OR($V930="",$O930=""),"",$V930*$O930)</f>
        <v/>
      </c>
      <c r="X930" s="45" t="n"/>
      <c r="Y930" s="49" t="n"/>
    </row>
    <row r="931">
      <c r="A931" s="43">
        <f>IF($B931="","",COUNT($B$5:$B931))</f>
        <v/>
      </c>
      <c r="B931" s="44" t="n"/>
      <c r="C931" s="44" t="n"/>
      <c r="D931" s="45" t="n"/>
      <c r="E931" s="45" t="n"/>
      <c r="F931" s="45" t="n"/>
      <c r="G931" s="46">
        <f>IF($F931="","",IFERROR(INDEX(사건마스터!$B$5:$B$64,MATCH($F931,사건마스터!$A$5:$A$64,0)),""))</f>
        <v/>
      </c>
      <c r="H931" s="47">
        <f>IF($F931="","",IFERROR(INDEX(사건마스터!$C$5:$C$64,MATCH($F931,사건마스터!$A$5:$A$64,0)),""))</f>
        <v/>
      </c>
      <c r="I931" s="48">
        <f>IF($F931="","",IFERROR(INDEX(사건마스터!$H$5:$H$64,MATCH($F931,사건마스터!$A$5:$A$64,0)),""))</f>
        <v/>
      </c>
      <c r="J931" s="48">
        <f>IF($F931="","",IFERROR(INDEX(사건마스터!$AH$5:$AH$64,MATCH($F931,사건마스터!$A$5:$A$64,0)),""))</f>
        <v/>
      </c>
      <c r="K931" s="48">
        <f>IF($F931="","",IFERROR(INDEX(사건마스터!$AI$5:$AI$64,MATCH($F931,사건마스터!$A$5:$A$64,0)),""))</f>
        <v/>
      </c>
      <c r="L931" s="48">
        <f>IF($F931="","",IFERROR(INDEX(사건마스터!$AJ$5:$AJ$64,MATCH($F931,사건마스터!$A$5:$A$64,0)),""))</f>
        <v/>
      </c>
      <c r="M931" s="48">
        <f>IF($F931="","",IFERROR(INDEX(사건마스터!$AK$5:$AK$64,MATCH($F931,사건마스터!$A$5:$A$64,0)),""))</f>
        <v/>
      </c>
      <c r="N931" s="48">
        <f>IF($F931="","",IFERROR(INDEX(사건마스터!$AL$5:$AL$64,MATCH($F931,사건마스터!$A$5:$A$64,0)),""))</f>
        <v/>
      </c>
      <c r="O931" s="43">
        <f>IF($I931="","",COUNTIF($I931:$N931,"?*"))</f>
        <v/>
      </c>
      <c r="P931" s="46">
        <f>IF($I931="","",_xlfn.TEXTJOIN(", ",TRUE,$I931:$N931))</f>
        <v/>
      </c>
      <c r="Q931" s="47">
        <f>IF($I931="","",IFERROR(INDEX(코드설정!$D$5:$D$24,MATCH($I931,코드설정!$C$5:$C$24,0)),""))</f>
        <v/>
      </c>
      <c r="R931" s="49" t="n"/>
      <c r="S931" s="50" t="n"/>
      <c r="T931" s="51" t="n"/>
      <c r="U931" s="43">
        <f>IF(OR($B931="",$C931=""),"",$C931-$B931+1)</f>
        <v/>
      </c>
      <c r="V931" s="52" t="n"/>
      <c r="W931" s="53">
        <f>IF(OR($V931="",$O931=""),"",$V931*$O931)</f>
        <v/>
      </c>
      <c r="X931" s="45" t="n"/>
      <c r="Y931" s="49" t="n"/>
    </row>
    <row r="932">
      <c r="A932" s="43">
        <f>IF($B932="","",COUNT($B$5:$B932))</f>
        <v/>
      </c>
      <c r="B932" s="44" t="n"/>
      <c r="C932" s="44" t="n"/>
      <c r="D932" s="45" t="n"/>
      <c r="E932" s="45" t="n"/>
      <c r="F932" s="45" t="n"/>
      <c r="G932" s="46">
        <f>IF($F932="","",IFERROR(INDEX(사건마스터!$B$5:$B$64,MATCH($F932,사건마스터!$A$5:$A$64,0)),""))</f>
        <v/>
      </c>
      <c r="H932" s="47">
        <f>IF($F932="","",IFERROR(INDEX(사건마스터!$C$5:$C$64,MATCH($F932,사건마스터!$A$5:$A$64,0)),""))</f>
        <v/>
      </c>
      <c r="I932" s="48">
        <f>IF($F932="","",IFERROR(INDEX(사건마스터!$H$5:$H$64,MATCH($F932,사건마스터!$A$5:$A$64,0)),""))</f>
        <v/>
      </c>
      <c r="J932" s="48">
        <f>IF($F932="","",IFERROR(INDEX(사건마스터!$AH$5:$AH$64,MATCH($F932,사건마스터!$A$5:$A$64,0)),""))</f>
        <v/>
      </c>
      <c r="K932" s="48">
        <f>IF($F932="","",IFERROR(INDEX(사건마스터!$AI$5:$AI$64,MATCH($F932,사건마스터!$A$5:$A$64,0)),""))</f>
        <v/>
      </c>
      <c r="L932" s="48">
        <f>IF($F932="","",IFERROR(INDEX(사건마스터!$AJ$5:$AJ$64,MATCH($F932,사건마스터!$A$5:$A$64,0)),""))</f>
        <v/>
      </c>
      <c r="M932" s="48">
        <f>IF($F932="","",IFERROR(INDEX(사건마스터!$AK$5:$AK$64,MATCH($F932,사건마스터!$A$5:$A$64,0)),""))</f>
        <v/>
      </c>
      <c r="N932" s="48">
        <f>IF($F932="","",IFERROR(INDEX(사건마스터!$AL$5:$AL$64,MATCH($F932,사건마스터!$A$5:$A$64,0)),""))</f>
        <v/>
      </c>
      <c r="O932" s="43">
        <f>IF($I932="","",COUNTIF($I932:$N932,"?*"))</f>
        <v/>
      </c>
      <c r="P932" s="46">
        <f>IF($I932="","",_xlfn.TEXTJOIN(", ",TRUE,$I932:$N932))</f>
        <v/>
      </c>
      <c r="Q932" s="47">
        <f>IF($I932="","",IFERROR(INDEX(코드설정!$D$5:$D$24,MATCH($I932,코드설정!$C$5:$C$24,0)),""))</f>
        <v/>
      </c>
      <c r="R932" s="49" t="n"/>
      <c r="S932" s="50" t="n"/>
      <c r="T932" s="51" t="n"/>
      <c r="U932" s="43">
        <f>IF(OR($B932="",$C932=""),"",$C932-$B932+1)</f>
        <v/>
      </c>
      <c r="V932" s="52" t="n"/>
      <c r="W932" s="53">
        <f>IF(OR($V932="",$O932=""),"",$V932*$O932)</f>
        <v/>
      </c>
      <c r="X932" s="45" t="n"/>
      <c r="Y932" s="49" t="n"/>
    </row>
    <row r="933">
      <c r="A933" s="43">
        <f>IF($B933="","",COUNT($B$5:$B933))</f>
        <v/>
      </c>
      <c r="B933" s="44" t="n"/>
      <c r="C933" s="44" t="n"/>
      <c r="D933" s="45" t="n"/>
      <c r="E933" s="45" t="n"/>
      <c r="F933" s="45" t="n"/>
      <c r="G933" s="46">
        <f>IF($F933="","",IFERROR(INDEX(사건마스터!$B$5:$B$64,MATCH($F933,사건마스터!$A$5:$A$64,0)),""))</f>
        <v/>
      </c>
      <c r="H933" s="47">
        <f>IF($F933="","",IFERROR(INDEX(사건마스터!$C$5:$C$64,MATCH($F933,사건마스터!$A$5:$A$64,0)),""))</f>
        <v/>
      </c>
      <c r="I933" s="48">
        <f>IF($F933="","",IFERROR(INDEX(사건마스터!$H$5:$H$64,MATCH($F933,사건마스터!$A$5:$A$64,0)),""))</f>
        <v/>
      </c>
      <c r="J933" s="48">
        <f>IF($F933="","",IFERROR(INDEX(사건마스터!$AH$5:$AH$64,MATCH($F933,사건마스터!$A$5:$A$64,0)),""))</f>
        <v/>
      </c>
      <c r="K933" s="48">
        <f>IF($F933="","",IFERROR(INDEX(사건마스터!$AI$5:$AI$64,MATCH($F933,사건마스터!$A$5:$A$64,0)),""))</f>
        <v/>
      </c>
      <c r="L933" s="48">
        <f>IF($F933="","",IFERROR(INDEX(사건마스터!$AJ$5:$AJ$64,MATCH($F933,사건마스터!$A$5:$A$64,0)),""))</f>
        <v/>
      </c>
      <c r="M933" s="48">
        <f>IF($F933="","",IFERROR(INDEX(사건마스터!$AK$5:$AK$64,MATCH($F933,사건마스터!$A$5:$A$64,0)),""))</f>
        <v/>
      </c>
      <c r="N933" s="48">
        <f>IF($F933="","",IFERROR(INDEX(사건마스터!$AL$5:$AL$64,MATCH($F933,사건마스터!$A$5:$A$64,0)),""))</f>
        <v/>
      </c>
      <c r="O933" s="43">
        <f>IF($I933="","",COUNTIF($I933:$N933,"?*"))</f>
        <v/>
      </c>
      <c r="P933" s="46">
        <f>IF($I933="","",_xlfn.TEXTJOIN(", ",TRUE,$I933:$N933))</f>
        <v/>
      </c>
      <c r="Q933" s="47">
        <f>IF($I933="","",IFERROR(INDEX(코드설정!$D$5:$D$24,MATCH($I933,코드설정!$C$5:$C$24,0)),""))</f>
        <v/>
      </c>
      <c r="R933" s="49" t="n"/>
      <c r="S933" s="50" t="n"/>
      <c r="T933" s="51" t="n"/>
      <c r="U933" s="43">
        <f>IF(OR($B933="",$C933=""),"",$C933-$B933+1)</f>
        <v/>
      </c>
      <c r="V933" s="52" t="n"/>
      <c r="W933" s="53">
        <f>IF(OR($V933="",$O933=""),"",$V933*$O933)</f>
        <v/>
      </c>
      <c r="X933" s="45" t="n"/>
      <c r="Y933" s="49" t="n"/>
    </row>
    <row r="934">
      <c r="A934" s="43">
        <f>IF($B934="","",COUNT($B$5:$B934))</f>
        <v/>
      </c>
      <c r="B934" s="44" t="n"/>
      <c r="C934" s="44" t="n"/>
      <c r="D934" s="45" t="n"/>
      <c r="E934" s="45" t="n"/>
      <c r="F934" s="45" t="n"/>
      <c r="G934" s="46">
        <f>IF($F934="","",IFERROR(INDEX(사건마스터!$B$5:$B$64,MATCH($F934,사건마스터!$A$5:$A$64,0)),""))</f>
        <v/>
      </c>
      <c r="H934" s="47">
        <f>IF($F934="","",IFERROR(INDEX(사건마스터!$C$5:$C$64,MATCH($F934,사건마스터!$A$5:$A$64,0)),""))</f>
        <v/>
      </c>
      <c r="I934" s="48">
        <f>IF($F934="","",IFERROR(INDEX(사건마스터!$H$5:$H$64,MATCH($F934,사건마스터!$A$5:$A$64,0)),""))</f>
        <v/>
      </c>
      <c r="J934" s="48">
        <f>IF($F934="","",IFERROR(INDEX(사건마스터!$AH$5:$AH$64,MATCH($F934,사건마스터!$A$5:$A$64,0)),""))</f>
        <v/>
      </c>
      <c r="K934" s="48">
        <f>IF($F934="","",IFERROR(INDEX(사건마스터!$AI$5:$AI$64,MATCH($F934,사건마스터!$A$5:$A$64,0)),""))</f>
        <v/>
      </c>
      <c r="L934" s="48">
        <f>IF($F934="","",IFERROR(INDEX(사건마스터!$AJ$5:$AJ$64,MATCH($F934,사건마스터!$A$5:$A$64,0)),""))</f>
        <v/>
      </c>
      <c r="M934" s="48">
        <f>IF($F934="","",IFERROR(INDEX(사건마스터!$AK$5:$AK$64,MATCH($F934,사건마스터!$A$5:$A$64,0)),""))</f>
        <v/>
      </c>
      <c r="N934" s="48">
        <f>IF($F934="","",IFERROR(INDEX(사건마스터!$AL$5:$AL$64,MATCH($F934,사건마스터!$A$5:$A$64,0)),""))</f>
        <v/>
      </c>
      <c r="O934" s="43">
        <f>IF($I934="","",COUNTIF($I934:$N934,"?*"))</f>
        <v/>
      </c>
      <c r="P934" s="46">
        <f>IF($I934="","",_xlfn.TEXTJOIN(", ",TRUE,$I934:$N934))</f>
        <v/>
      </c>
      <c r="Q934" s="47">
        <f>IF($I934="","",IFERROR(INDEX(코드설정!$D$5:$D$24,MATCH($I934,코드설정!$C$5:$C$24,0)),""))</f>
        <v/>
      </c>
      <c r="R934" s="49" t="n"/>
      <c r="S934" s="50" t="n"/>
      <c r="T934" s="51" t="n"/>
      <c r="U934" s="43">
        <f>IF(OR($B934="",$C934=""),"",$C934-$B934+1)</f>
        <v/>
      </c>
      <c r="V934" s="52" t="n"/>
      <c r="W934" s="53">
        <f>IF(OR($V934="",$O934=""),"",$V934*$O934)</f>
        <v/>
      </c>
      <c r="X934" s="45" t="n"/>
      <c r="Y934" s="49" t="n"/>
    </row>
    <row r="935">
      <c r="A935" s="43">
        <f>IF($B935="","",COUNT($B$5:$B935))</f>
        <v/>
      </c>
      <c r="B935" s="44" t="n"/>
      <c r="C935" s="44" t="n"/>
      <c r="D935" s="45" t="n"/>
      <c r="E935" s="45" t="n"/>
      <c r="F935" s="45" t="n"/>
      <c r="G935" s="46">
        <f>IF($F935="","",IFERROR(INDEX(사건마스터!$B$5:$B$64,MATCH($F935,사건마스터!$A$5:$A$64,0)),""))</f>
        <v/>
      </c>
      <c r="H935" s="47">
        <f>IF($F935="","",IFERROR(INDEX(사건마스터!$C$5:$C$64,MATCH($F935,사건마스터!$A$5:$A$64,0)),""))</f>
        <v/>
      </c>
      <c r="I935" s="48">
        <f>IF($F935="","",IFERROR(INDEX(사건마스터!$H$5:$H$64,MATCH($F935,사건마스터!$A$5:$A$64,0)),""))</f>
        <v/>
      </c>
      <c r="J935" s="48">
        <f>IF($F935="","",IFERROR(INDEX(사건마스터!$AH$5:$AH$64,MATCH($F935,사건마스터!$A$5:$A$64,0)),""))</f>
        <v/>
      </c>
      <c r="K935" s="48">
        <f>IF($F935="","",IFERROR(INDEX(사건마스터!$AI$5:$AI$64,MATCH($F935,사건마스터!$A$5:$A$64,0)),""))</f>
        <v/>
      </c>
      <c r="L935" s="48">
        <f>IF($F935="","",IFERROR(INDEX(사건마스터!$AJ$5:$AJ$64,MATCH($F935,사건마스터!$A$5:$A$64,0)),""))</f>
        <v/>
      </c>
      <c r="M935" s="48">
        <f>IF($F935="","",IFERROR(INDEX(사건마스터!$AK$5:$AK$64,MATCH($F935,사건마스터!$A$5:$A$64,0)),""))</f>
        <v/>
      </c>
      <c r="N935" s="48">
        <f>IF($F935="","",IFERROR(INDEX(사건마스터!$AL$5:$AL$64,MATCH($F935,사건마스터!$A$5:$A$64,0)),""))</f>
        <v/>
      </c>
      <c r="O935" s="43">
        <f>IF($I935="","",COUNTIF($I935:$N935,"?*"))</f>
        <v/>
      </c>
      <c r="P935" s="46">
        <f>IF($I935="","",_xlfn.TEXTJOIN(", ",TRUE,$I935:$N935))</f>
        <v/>
      </c>
      <c r="Q935" s="47">
        <f>IF($I935="","",IFERROR(INDEX(코드설정!$D$5:$D$24,MATCH($I935,코드설정!$C$5:$C$24,0)),""))</f>
        <v/>
      </c>
      <c r="R935" s="49" t="n"/>
      <c r="S935" s="50" t="n"/>
      <c r="T935" s="51" t="n"/>
      <c r="U935" s="43">
        <f>IF(OR($B935="",$C935=""),"",$C935-$B935+1)</f>
        <v/>
      </c>
      <c r="V935" s="52" t="n"/>
      <c r="W935" s="53">
        <f>IF(OR($V935="",$O935=""),"",$V935*$O935)</f>
        <v/>
      </c>
      <c r="X935" s="45" t="n"/>
      <c r="Y935" s="49" t="n"/>
    </row>
    <row r="936">
      <c r="A936" s="43">
        <f>IF($B936="","",COUNT($B$5:$B936))</f>
        <v/>
      </c>
      <c r="B936" s="44" t="n"/>
      <c r="C936" s="44" t="n"/>
      <c r="D936" s="45" t="n"/>
      <c r="E936" s="45" t="n"/>
      <c r="F936" s="45" t="n"/>
      <c r="G936" s="46">
        <f>IF($F936="","",IFERROR(INDEX(사건마스터!$B$5:$B$64,MATCH($F936,사건마스터!$A$5:$A$64,0)),""))</f>
        <v/>
      </c>
      <c r="H936" s="47">
        <f>IF($F936="","",IFERROR(INDEX(사건마스터!$C$5:$C$64,MATCH($F936,사건마스터!$A$5:$A$64,0)),""))</f>
        <v/>
      </c>
      <c r="I936" s="48">
        <f>IF($F936="","",IFERROR(INDEX(사건마스터!$H$5:$H$64,MATCH($F936,사건마스터!$A$5:$A$64,0)),""))</f>
        <v/>
      </c>
      <c r="J936" s="48">
        <f>IF($F936="","",IFERROR(INDEX(사건마스터!$AH$5:$AH$64,MATCH($F936,사건마스터!$A$5:$A$64,0)),""))</f>
        <v/>
      </c>
      <c r="K936" s="48">
        <f>IF($F936="","",IFERROR(INDEX(사건마스터!$AI$5:$AI$64,MATCH($F936,사건마스터!$A$5:$A$64,0)),""))</f>
        <v/>
      </c>
      <c r="L936" s="48">
        <f>IF($F936="","",IFERROR(INDEX(사건마스터!$AJ$5:$AJ$64,MATCH($F936,사건마스터!$A$5:$A$64,0)),""))</f>
        <v/>
      </c>
      <c r="M936" s="48">
        <f>IF($F936="","",IFERROR(INDEX(사건마스터!$AK$5:$AK$64,MATCH($F936,사건마스터!$A$5:$A$64,0)),""))</f>
        <v/>
      </c>
      <c r="N936" s="48">
        <f>IF($F936="","",IFERROR(INDEX(사건마스터!$AL$5:$AL$64,MATCH($F936,사건마스터!$A$5:$A$64,0)),""))</f>
        <v/>
      </c>
      <c r="O936" s="43">
        <f>IF($I936="","",COUNTIF($I936:$N936,"?*"))</f>
        <v/>
      </c>
      <c r="P936" s="46">
        <f>IF($I936="","",_xlfn.TEXTJOIN(", ",TRUE,$I936:$N936))</f>
        <v/>
      </c>
      <c r="Q936" s="47">
        <f>IF($I936="","",IFERROR(INDEX(코드설정!$D$5:$D$24,MATCH($I936,코드설정!$C$5:$C$24,0)),""))</f>
        <v/>
      </c>
      <c r="R936" s="49" t="n"/>
      <c r="S936" s="50" t="n"/>
      <c r="T936" s="51" t="n"/>
      <c r="U936" s="43">
        <f>IF(OR($B936="",$C936=""),"",$C936-$B936+1)</f>
        <v/>
      </c>
      <c r="V936" s="52" t="n"/>
      <c r="W936" s="53">
        <f>IF(OR($V936="",$O936=""),"",$V936*$O936)</f>
        <v/>
      </c>
      <c r="X936" s="45" t="n"/>
      <c r="Y936" s="49" t="n"/>
    </row>
    <row r="937">
      <c r="A937" s="43">
        <f>IF($B937="","",COUNT($B$5:$B937))</f>
        <v/>
      </c>
      <c r="B937" s="44" t="n"/>
      <c r="C937" s="44" t="n"/>
      <c r="D937" s="45" t="n"/>
      <c r="E937" s="45" t="n"/>
      <c r="F937" s="45" t="n"/>
      <c r="G937" s="46">
        <f>IF($F937="","",IFERROR(INDEX(사건마스터!$B$5:$B$64,MATCH($F937,사건마스터!$A$5:$A$64,0)),""))</f>
        <v/>
      </c>
      <c r="H937" s="47">
        <f>IF($F937="","",IFERROR(INDEX(사건마스터!$C$5:$C$64,MATCH($F937,사건마스터!$A$5:$A$64,0)),""))</f>
        <v/>
      </c>
      <c r="I937" s="48">
        <f>IF($F937="","",IFERROR(INDEX(사건마스터!$H$5:$H$64,MATCH($F937,사건마스터!$A$5:$A$64,0)),""))</f>
        <v/>
      </c>
      <c r="J937" s="48">
        <f>IF($F937="","",IFERROR(INDEX(사건마스터!$AH$5:$AH$64,MATCH($F937,사건마스터!$A$5:$A$64,0)),""))</f>
        <v/>
      </c>
      <c r="K937" s="48">
        <f>IF($F937="","",IFERROR(INDEX(사건마스터!$AI$5:$AI$64,MATCH($F937,사건마스터!$A$5:$A$64,0)),""))</f>
        <v/>
      </c>
      <c r="L937" s="48">
        <f>IF($F937="","",IFERROR(INDEX(사건마스터!$AJ$5:$AJ$64,MATCH($F937,사건마스터!$A$5:$A$64,0)),""))</f>
        <v/>
      </c>
      <c r="M937" s="48">
        <f>IF($F937="","",IFERROR(INDEX(사건마스터!$AK$5:$AK$64,MATCH($F937,사건마스터!$A$5:$A$64,0)),""))</f>
        <v/>
      </c>
      <c r="N937" s="48">
        <f>IF($F937="","",IFERROR(INDEX(사건마스터!$AL$5:$AL$64,MATCH($F937,사건마스터!$A$5:$A$64,0)),""))</f>
        <v/>
      </c>
      <c r="O937" s="43">
        <f>IF($I937="","",COUNTIF($I937:$N937,"?*"))</f>
        <v/>
      </c>
      <c r="P937" s="46">
        <f>IF($I937="","",_xlfn.TEXTJOIN(", ",TRUE,$I937:$N937))</f>
        <v/>
      </c>
      <c r="Q937" s="47">
        <f>IF($I937="","",IFERROR(INDEX(코드설정!$D$5:$D$24,MATCH($I937,코드설정!$C$5:$C$24,0)),""))</f>
        <v/>
      </c>
      <c r="R937" s="49" t="n"/>
      <c r="S937" s="50" t="n"/>
      <c r="T937" s="51" t="n"/>
      <c r="U937" s="43">
        <f>IF(OR($B937="",$C937=""),"",$C937-$B937+1)</f>
        <v/>
      </c>
      <c r="V937" s="52" t="n"/>
      <c r="W937" s="53">
        <f>IF(OR($V937="",$O937=""),"",$V937*$O937)</f>
        <v/>
      </c>
      <c r="X937" s="45" t="n"/>
      <c r="Y937" s="49" t="n"/>
    </row>
    <row r="938">
      <c r="A938" s="43">
        <f>IF($B938="","",COUNT($B$5:$B938))</f>
        <v/>
      </c>
      <c r="B938" s="44" t="n"/>
      <c r="C938" s="44" t="n"/>
      <c r="D938" s="45" t="n"/>
      <c r="E938" s="45" t="n"/>
      <c r="F938" s="45" t="n"/>
      <c r="G938" s="46">
        <f>IF($F938="","",IFERROR(INDEX(사건마스터!$B$5:$B$64,MATCH($F938,사건마스터!$A$5:$A$64,0)),""))</f>
        <v/>
      </c>
      <c r="H938" s="47">
        <f>IF($F938="","",IFERROR(INDEX(사건마스터!$C$5:$C$64,MATCH($F938,사건마스터!$A$5:$A$64,0)),""))</f>
        <v/>
      </c>
      <c r="I938" s="48">
        <f>IF($F938="","",IFERROR(INDEX(사건마스터!$H$5:$H$64,MATCH($F938,사건마스터!$A$5:$A$64,0)),""))</f>
        <v/>
      </c>
      <c r="J938" s="48">
        <f>IF($F938="","",IFERROR(INDEX(사건마스터!$AH$5:$AH$64,MATCH($F938,사건마스터!$A$5:$A$64,0)),""))</f>
        <v/>
      </c>
      <c r="K938" s="48">
        <f>IF($F938="","",IFERROR(INDEX(사건마스터!$AI$5:$AI$64,MATCH($F938,사건마스터!$A$5:$A$64,0)),""))</f>
        <v/>
      </c>
      <c r="L938" s="48">
        <f>IF($F938="","",IFERROR(INDEX(사건마스터!$AJ$5:$AJ$64,MATCH($F938,사건마스터!$A$5:$A$64,0)),""))</f>
        <v/>
      </c>
      <c r="M938" s="48">
        <f>IF($F938="","",IFERROR(INDEX(사건마스터!$AK$5:$AK$64,MATCH($F938,사건마스터!$A$5:$A$64,0)),""))</f>
        <v/>
      </c>
      <c r="N938" s="48">
        <f>IF($F938="","",IFERROR(INDEX(사건마스터!$AL$5:$AL$64,MATCH($F938,사건마스터!$A$5:$A$64,0)),""))</f>
        <v/>
      </c>
      <c r="O938" s="43">
        <f>IF($I938="","",COUNTIF($I938:$N938,"?*"))</f>
        <v/>
      </c>
      <c r="P938" s="46">
        <f>IF($I938="","",_xlfn.TEXTJOIN(", ",TRUE,$I938:$N938))</f>
        <v/>
      </c>
      <c r="Q938" s="47">
        <f>IF($I938="","",IFERROR(INDEX(코드설정!$D$5:$D$24,MATCH($I938,코드설정!$C$5:$C$24,0)),""))</f>
        <v/>
      </c>
      <c r="R938" s="49" t="n"/>
      <c r="S938" s="50" t="n"/>
      <c r="T938" s="51" t="n"/>
      <c r="U938" s="43">
        <f>IF(OR($B938="",$C938=""),"",$C938-$B938+1)</f>
        <v/>
      </c>
      <c r="V938" s="52" t="n"/>
      <c r="W938" s="53">
        <f>IF(OR($V938="",$O938=""),"",$V938*$O938)</f>
        <v/>
      </c>
      <c r="X938" s="45" t="n"/>
      <c r="Y938" s="49" t="n"/>
    </row>
    <row r="939">
      <c r="A939" s="43">
        <f>IF($B939="","",COUNT($B$5:$B939))</f>
        <v/>
      </c>
      <c r="B939" s="44" t="n"/>
      <c r="C939" s="44" t="n"/>
      <c r="D939" s="45" t="n"/>
      <c r="E939" s="45" t="n"/>
      <c r="F939" s="45" t="n"/>
      <c r="G939" s="46">
        <f>IF($F939="","",IFERROR(INDEX(사건마스터!$B$5:$B$64,MATCH($F939,사건마스터!$A$5:$A$64,0)),""))</f>
        <v/>
      </c>
      <c r="H939" s="47">
        <f>IF($F939="","",IFERROR(INDEX(사건마스터!$C$5:$C$64,MATCH($F939,사건마스터!$A$5:$A$64,0)),""))</f>
        <v/>
      </c>
      <c r="I939" s="48">
        <f>IF($F939="","",IFERROR(INDEX(사건마스터!$H$5:$H$64,MATCH($F939,사건마스터!$A$5:$A$64,0)),""))</f>
        <v/>
      </c>
      <c r="J939" s="48">
        <f>IF($F939="","",IFERROR(INDEX(사건마스터!$AH$5:$AH$64,MATCH($F939,사건마스터!$A$5:$A$64,0)),""))</f>
        <v/>
      </c>
      <c r="K939" s="48">
        <f>IF($F939="","",IFERROR(INDEX(사건마스터!$AI$5:$AI$64,MATCH($F939,사건마스터!$A$5:$A$64,0)),""))</f>
        <v/>
      </c>
      <c r="L939" s="48">
        <f>IF($F939="","",IFERROR(INDEX(사건마스터!$AJ$5:$AJ$64,MATCH($F939,사건마스터!$A$5:$A$64,0)),""))</f>
        <v/>
      </c>
      <c r="M939" s="48">
        <f>IF($F939="","",IFERROR(INDEX(사건마스터!$AK$5:$AK$64,MATCH($F939,사건마스터!$A$5:$A$64,0)),""))</f>
        <v/>
      </c>
      <c r="N939" s="48">
        <f>IF($F939="","",IFERROR(INDEX(사건마스터!$AL$5:$AL$64,MATCH($F939,사건마스터!$A$5:$A$64,0)),""))</f>
        <v/>
      </c>
      <c r="O939" s="43">
        <f>IF($I939="","",COUNTIF($I939:$N939,"?*"))</f>
        <v/>
      </c>
      <c r="P939" s="46">
        <f>IF($I939="","",_xlfn.TEXTJOIN(", ",TRUE,$I939:$N939))</f>
        <v/>
      </c>
      <c r="Q939" s="47">
        <f>IF($I939="","",IFERROR(INDEX(코드설정!$D$5:$D$24,MATCH($I939,코드설정!$C$5:$C$24,0)),""))</f>
        <v/>
      </c>
      <c r="R939" s="49" t="n"/>
      <c r="S939" s="50" t="n"/>
      <c r="T939" s="51" t="n"/>
      <c r="U939" s="43">
        <f>IF(OR($B939="",$C939=""),"",$C939-$B939+1)</f>
        <v/>
      </c>
      <c r="V939" s="52" t="n"/>
      <c r="W939" s="53">
        <f>IF(OR($V939="",$O939=""),"",$V939*$O939)</f>
        <v/>
      </c>
      <c r="X939" s="45" t="n"/>
      <c r="Y939" s="49" t="n"/>
    </row>
    <row r="940">
      <c r="A940" s="43">
        <f>IF($B940="","",COUNT($B$5:$B940))</f>
        <v/>
      </c>
      <c r="B940" s="44" t="n"/>
      <c r="C940" s="44" t="n"/>
      <c r="D940" s="45" t="n"/>
      <c r="E940" s="45" t="n"/>
      <c r="F940" s="45" t="n"/>
      <c r="G940" s="46">
        <f>IF($F940="","",IFERROR(INDEX(사건마스터!$B$5:$B$64,MATCH($F940,사건마스터!$A$5:$A$64,0)),""))</f>
        <v/>
      </c>
      <c r="H940" s="47">
        <f>IF($F940="","",IFERROR(INDEX(사건마스터!$C$5:$C$64,MATCH($F940,사건마스터!$A$5:$A$64,0)),""))</f>
        <v/>
      </c>
      <c r="I940" s="48">
        <f>IF($F940="","",IFERROR(INDEX(사건마스터!$H$5:$H$64,MATCH($F940,사건마스터!$A$5:$A$64,0)),""))</f>
        <v/>
      </c>
      <c r="J940" s="48">
        <f>IF($F940="","",IFERROR(INDEX(사건마스터!$AH$5:$AH$64,MATCH($F940,사건마스터!$A$5:$A$64,0)),""))</f>
        <v/>
      </c>
      <c r="K940" s="48">
        <f>IF($F940="","",IFERROR(INDEX(사건마스터!$AI$5:$AI$64,MATCH($F940,사건마스터!$A$5:$A$64,0)),""))</f>
        <v/>
      </c>
      <c r="L940" s="48">
        <f>IF($F940="","",IFERROR(INDEX(사건마스터!$AJ$5:$AJ$64,MATCH($F940,사건마스터!$A$5:$A$64,0)),""))</f>
        <v/>
      </c>
      <c r="M940" s="48">
        <f>IF($F940="","",IFERROR(INDEX(사건마스터!$AK$5:$AK$64,MATCH($F940,사건마스터!$A$5:$A$64,0)),""))</f>
        <v/>
      </c>
      <c r="N940" s="48">
        <f>IF($F940="","",IFERROR(INDEX(사건마스터!$AL$5:$AL$64,MATCH($F940,사건마스터!$A$5:$A$64,0)),""))</f>
        <v/>
      </c>
      <c r="O940" s="43">
        <f>IF($I940="","",COUNTIF($I940:$N940,"?*"))</f>
        <v/>
      </c>
      <c r="P940" s="46">
        <f>IF($I940="","",_xlfn.TEXTJOIN(", ",TRUE,$I940:$N940))</f>
        <v/>
      </c>
      <c r="Q940" s="47">
        <f>IF($I940="","",IFERROR(INDEX(코드설정!$D$5:$D$24,MATCH($I940,코드설정!$C$5:$C$24,0)),""))</f>
        <v/>
      </c>
      <c r="R940" s="49" t="n"/>
      <c r="S940" s="50" t="n"/>
      <c r="T940" s="51" t="n"/>
      <c r="U940" s="43">
        <f>IF(OR($B940="",$C940=""),"",$C940-$B940+1)</f>
        <v/>
      </c>
      <c r="V940" s="52" t="n"/>
      <c r="W940" s="53">
        <f>IF(OR($V940="",$O940=""),"",$V940*$O940)</f>
        <v/>
      </c>
      <c r="X940" s="45" t="n"/>
      <c r="Y940" s="49" t="n"/>
    </row>
    <row r="941">
      <c r="A941" s="43">
        <f>IF($B941="","",COUNT($B$5:$B941))</f>
        <v/>
      </c>
      <c r="B941" s="44" t="n"/>
      <c r="C941" s="44" t="n"/>
      <c r="D941" s="45" t="n"/>
      <c r="E941" s="45" t="n"/>
      <c r="F941" s="45" t="n"/>
      <c r="G941" s="46">
        <f>IF($F941="","",IFERROR(INDEX(사건마스터!$B$5:$B$64,MATCH($F941,사건마스터!$A$5:$A$64,0)),""))</f>
        <v/>
      </c>
      <c r="H941" s="47">
        <f>IF($F941="","",IFERROR(INDEX(사건마스터!$C$5:$C$64,MATCH($F941,사건마스터!$A$5:$A$64,0)),""))</f>
        <v/>
      </c>
      <c r="I941" s="48">
        <f>IF($F941="","",IFERROR(INDEX(사건마스터!$H$5:$H$64,MATCH($F941,사건마스터!$A$5:$A$64,0)),""))</f>
        <v/>
      </c>
      <c r="J941" s="48">
        <f>IF($F941="","",IFERROR(INDEX(사건마스터!$AH$5:$AH$64,MATCH($F941,사건마스터!$A$5:$A$64,0)),""))</f>
        <v/>
      </c>
      <c r="K941" s="48">
        <f>IF($F941="","",IFERROR(INDEX(사건마스터!$AI$5:$AI$64,MATCH($F941,사건마스터!$A$5:$A$64,0)),""))</f>
        <v/>
      </c>
      <c r="L941" s="48">
        <f>IF($F941="","",IFERROR(INDEX(사건마스터!$AJ$5:$AJ$64,MATCH($F941,사건마스터!$A$5:$A$64,0)),""))</f>
        <v/>
      </c>
      <c r="M941" s="48">
        <f>IF($F941="","",IFERROR(INDEX(사건마스터!$AK$5:$AK$64,MATCH($F941,사건마스터!$A$5:$A$64,0)),""))</f>
        <v/>
      </c>
      <c r="N941" s="48">
        <f>IF($F941="","",IFERROR(INDEX(사건마스터!$AL$5:$AL$64,MATCH($F941,사건마스터!$A$5:$A$64,0)),""))</f>
        <v/>
      </c>
      <c r="O941" s="43">
        <f>IF($I941="","",COUNTIF($I941:$N941,"?*"))</f>
        <v/>
      </c>
      <c r="P941" s="46">
        <f>IF($I941="","",_xlfn.TEXTJOIN(", ",TRUE,$I941:$N941))</f>
        <v/>
      </c>
      <c r="Q941" s="47">
        <f>IF($I941="","",IFERROR(INDEX(코드설정!$D$5:$D$24,MATCH($I941,코드설정!$C$5:$C$24,0)),""))</f>
        <v/>
      </c>
      <c r="R941" s="49" t="n"/>
      <c r="S941" s="50" t="n"/>
      <c r="T941" s="51" t="n"/>
      <c r="U941" s="43">
        <f>IF(OR($B941="",$C941=""),"",$C941-$B941+1)</f>
        <v/>
      </c>
      <c r="V941" s="52" t="n"/>
      <c r="W941" s="53">
        <f>IF(OR($V941="",$O941=""),"",$V941*$O941)</f>
        <v/>
      </c>
      <c r="X941" s="45" t="n"/>
      <c r="Y941" s="49" t="n"/>
    </row>
    <row r="942">
      <c r="A942" s="43">
        <f>IF($B942="","",COUNT($B$5:$B942))</f>
        <v/>
      </c>
      <c r="B942" s="44" t="n"/>
      <c r="C942" s="44" t="n"/>
      <c r="D942" s="45" t="n"/>
      <c r="E942" s="45" t="n"/>
      <c r="F942" s="45" t="n"/>
      <c r="G942" s="46">
        <f>IF($F942="","",IFERROR(INDEX(사건마스터!$B$5:$B$64,MATCH($F942,사건마스터!$A$5:$A$64,0)),""))</f>
        <v/>
      </c>
      <c r="H942" s="47">
        <f>IF($F942="","",IFERROR(INDEX(사건마스터!$C$5:$C$64,MATCH($F942,사건마스터!$A$5:$A$64,0)),""))</f>
        <v/>
      </c>
      <c r="I942" s="48">
        <f>IF($F942="","",IFERROR(INDEX(사건마스터!$H$5:$H$64,MATCH($F942,사건마스터!$A$5:$A$64,0)),""))</f>
        <v/>
      </c>
      <c r="J942" s="48">
        <f>IF($F942="","",IFERROR(INDEX(사건마스터!$AH$5:$AH$64,MATCH($F942,사건마스터!$A$5:$A$64,0)),""))</f>
        <v/>
      </c>
      <c r="K942" s="48">
        <f>IF($F942="","",IFERROR(INDEX(사건마스터!$AI$5:$AI$64,MATCH($F942,사건마스터!$A$5:$A$64,0)),""))</f>
        <v/>
      </c>
      <c r="L942" s="48">
        <f>IF($F942="","",IFERROR(INDEX(사건마스터!$AJ$5:$AJ$64,MATCH($F942,사건마스터!$A$5:$A$64,0)),""))</f>
        <v/>
      </c>
      <c r="M942" s="48">
        <f>IF($F942="","",IFERROR(INDEX(사건마스터!$AK$5:$AK$64,MATCH($F942,사건마스터!$A$5:$A$64,0)),""))</f>
        <v/>
      </c>
      <c r="N942" s="48">
        <f>IF($F942="","",IFERROR(INDEX(사건마스터!$AL$5:$AL$64,MATCH($F942,사건마스터!$A$5:$A$64,0)),""))</f>
        <v/>
      </c>
      <c r="O942" s="43">
        <f>IF($I942="","",COUNTIF($I942:$N942,"?*"))</f>
        <v/>
      </c>
      <c r="P942" s="46">
        <f>IF($I942="","",_xlfn.TEXTJOIN(", ",TRUE,$I942:$N942))</f>
        <v/>
      </c>
      <c r="Q942" s="47">
        <f>IF($I942="","",IFERROR(INDEX(코드설정!$D$5:$D$24,MATCH($I942,코드설정!$C$5:$C$24,0)),""))</f>
        <v/>
      </c>
      <c r="R942" s="49" t="n"/>
      <c r="S942" s="50" t="n"/>
      <c r="T942" s="51" t="n"/>
      <c r="U942" s="43">
        <f>IF(OR($B942="",$C942=""),"",$C942-$B942+1)</f>
        <v/>
      </c>
      <c r="V942" s="52" t="n"/>
      <c r="W942" s="53">
        <f>IF(OR($V942="",$O942=""),"",$V942*$O942)</f>
        <v/>
      </c>
      <c r="X942" s="45" t="n"/>
      <c r="Y942" s="49" t="n"/>
    </row>
    <row r="943">
      <c r="A943" s="43">
        <f>IF($B943="","",COUNT($B$5:$B943))</f>
        <v/>
      </c>
      <c r="B943" s="44" t="n"/>
      <c r="C943" s="44" t="n"/>
      <c r="D943" s="45" t="n"/>
      <c r="E943" s="45" t="n"/>
      <c r="F943" s="45" t="n"/>
      <c r="G943" s="46">
        <f>IF($F943="","",IFERROR(INDEX(사건마스터!$B$5:$B$64,MATCH($F943,사건마스터!$A$5:$A$64,0)),""))</f>
        <v/>
      </c>
      <c r="H943" s="47">
        <f>IF($F943="","",IFERROR(INDEX(사건마스터!$C$5:$C$64,MATCH($F943,사건마스터!$A$5:$A$64,0)),""))</f>
        <v/>
      </c>
      <c r="I943" s="48">
        <f>IF($F943="","",IFERROR(INDEX(사건마스터!$H$5:$H$64,MATCH($F943,사건마스터!$A$5:$A$64,0)),""))</f>
        <v/>
      </c>
      <c r="J943" s="48">
        <f>IF($F943="","",IFERROR(INDEX(사건마스터!$AH$5:$AH$64,MATCH($F943,사건마스터!$A$5:$A$64,0)),""))</f>
        <v/>
      </c>
      <c r="K943" s="48">
        <f>IF($F943="","",IFERROR(INDEX(사건마스터!$AI$5:$AI$64,MATCH($F943,사건마스터!$A$5:$A$64,0)),""))</f>
        <v/>
      </c>
      <c r="L943" s="48">
        <f>IF($F943="","",IFERROR(INDEX(사건마스터!$AJ$5:$AJ$64,MATCH($F943,사건마스터!$A$5:$A$64,0)),""))</f>
        <v/>
      </c>
      <c r="M943" s="48">
        <f>IF($F943="","",IFERROR(INDEX(사건마스터!$AK$5:$AK$64,MATCH($F943,사건마스터!$A$5:$A$64,0)),""))</f>
        <v/>
      </c>
      <c r="N943" s="48">
        <f>IF($F943="","",IFERROR(INDEX(사건마스터!$AL$5:$AL$64,MATCH($F943,사건마스터!$A$5:$A$64,0)),""))</f>
        <v/>
      </c>
      <c r="O943" s="43">
        <f>IF($I943="","",COUNTIF($I943:$N943,"?*"))</f>
        <v/>
      </c>
      <c r="P943" s="46">
        <f>IF($I943="","",_xlfn.TEXTJOIN(", ",TRUE,$I943:$N943))</f>
        <v/>
      </c>
      <c r="Q943" s="47">
        <f>IF($I943="","",IFERROR(INDEX(코드설정!$D$5:$D$24,MATCH($I943,코드설정!$C$5:$C$24,0)),""))</f>
        <v/>
      </c>
      <c r="R943" s="49" t="n"/>
      <c r="S943" s="50" t="n"/>
      <c r="T943" s="51" t="n"/>
      <c r="U943" s="43">
        <f>IF(OR($B943="",$C943=""),"",$C943-$B943+1)</f>
        <v/>
      </c>
      <c r="V943" s="52" t="n"/>
      <c r="W943" s="53">
        <f>IF(OR($V943="",$O943=""),"",$V943*$O943)</f>
        <v/>
      </c>
      <c r="X943" s="45" t="n"/>
      <c r="Y943" s="49" t="n"/>
    </row>
    <row r="944">
      <c r="A944" s="43">
        <f>IF($B944="","",COUNT($B$5:$B944))</f>
        <v/>
      </c>
      <c r="B944" s="44" t="n"/>
      <c r="C944" s="44" t="n"/>
      <c r="D944" s="45" t="n"/>
      <c r="E944" s="45" t="n"/>
      <c r="F944" s="45" t="n"/>
      <c r="G944" s="46">
        <f>IF($F944="","",IFERROR(INDEX(사건마스터!$B$5:$B$64,MATCH($F944,사건마스터!$A$5:$A$64,0)),""))</f>
        <v/>
      </c>
      <c r="H944" s="47">
        <f>IF($F944="","",IFERROR(INDEX(사건마스터!$C$5:$C$64,MATCH($F944,사건마스터!$A$5:$A$64,0)),""))</f>
        <v/>
      </c>
      <c r="I944" s="48">
        <f>IF($F944="","",IFERROR(INDEX(사건마스터!$H$5:$H$64,MATCH($F944,사건마스터!$A$5:$A$64,0)),""))</f>
        <v/>
      </c>
      <c r="J944" s="48">
        <f>IF($F944="","",IFERROR(INDEX(사건마스터!$AH$5:$AH$64,MATCH($F944,사건마스터!$A$5:$A$64,0)),""))</f>
        <v/>
      </c>
      <c r="K944" s="48">
        <f>IF($F944="","",IFERROR(INDEX(사건마스터!$AI$5:$AI$64,MATCH($F944,사건마스터!$A$5:$A$64,0)),""))</f>
        <v/>
      </c>
      <c r="L944" s="48">
        <f>IF($F944="","",IFERROR(INDEX(사건마스터!$AJ$5:$AJ$64,MATCH($F944,사건마스터!$A$5:$A$64,0)),""))</f>
        <v/>
      </c>
      <c r="M944" s="48">
        <f>IF($F944="","",IFERROR(INDEX(사건마스터!$AK$5:$AK$64,MATCH($F944,사건마스터!$A$5:$A$64,0)),""))</f>
        <v/>
      </c>
      <c r="N944" s="48">
        <f>IF($F944="","",IFERROR(INDEX(사건마스터!$AL$5:$AL$64,MATCH($F944,사건마스터!$A$5:$A$64,0)),""))</f>
        <v/>
      </c>
      <c r="O944" s="43">
        <f>IF($I944="","",COUNTIF($I944:$N944,"?*"))</f>
        <v/>
      </c>
      <c r="P944" s="46">
        <f>IF($I944="","",_xlfn.TEXTJOIN(", ",TRUE,$I944:$N944))</f>
        <v/>
      </c>
      <c r="Q944" s="47">
        <f>IF($I944="","",IFERROR(INDEX(코드설정!$D$5:$D$24,MATCH($I944,코드설정!$C$5:$C$24,0)),""))</f>
        <v/>
      </c>
      <c r="R944" s="49" t="n"/>
      <c r="S944" s="50" t="n"/>
      <c r="T944" s="51" t="n"/>
      <c r="U944" s="43">
        <f>IF(OR($B944="",$C944=""),"",$C944-$B944+1)</f>
        <v/>
      </c>
      <c r="V944" s="52" t="n"/>
      <c r="W944" s="53">
        <f>IF(OR($V944="",$O944=""),"",$V944*$O944)</f>
        <v/>
      </c>
      <c r="X944" s="45" t="n"/>
      <c r="Y944" s="49" t="n"/>
    </row>
    <row r="945">
      <c r="A945" s="43">
        <f>IF($B945="","",COUNT($B$5:$B945))</f>
        <v/>
      </c>
      <c r="B945" s="44" t="n"/>
      <c r="C945" s="44" t="n"/>
      <c r="D945" s="45" t="n"/>
      <c r="E945" s="45" t="n"/>
      <c r="F945" s="45" t="n"/>
      <c r="G945" s="46">
        <f>IF($F945="","",IFERROR(INDEX(사건마스터!$B$5:$B$64,MATCH($F945,사건마스터!$A$5:$A$64,0)),""))</f>
        <v/>
      </c>
      <c r="H945" s="47">
        <f>IF($F945="","",IFERROR(INDEX(사건마스터!$C$5:$C$64,MATCH($F945,사건마스터!$A$5:$A$64,0)),""))</f>
        <v/>
      </c>
      <c r="I945" s="48">
        <f>IF($F945="","",IFERROR(INDEX(사건마스터!$H$5:$H$64,MATCH($F945,사건마스터!$A$5:$A$64,0)),""))</f>
        <v/>
      </c>
      <c r="J945" s="48">
        <f>IF($F945="","",IFERROR(INDEX(사건마스터!$AH$5:$AH$64,MATCH($F945,사건마스터!$A$5:$A$64,0)),""))</f>
        <v/>
      </c>
      <c r="K945" s="48">
        <f>IF($F945="","",IFERROR(INDEX(사건마스터!$AI$5:$AI$64,MATCH($F945,사건마스터!$A$5:$A$64,0)),""))</f>
        <v/>
      </c>
      <c r="L945" s="48">
        <f>IF($F945="","",IFERROR(INDEX(사건마스터!$AJ$5:$AJ$64,MATCH($F945,사건마스터!$A$5:$A$64,0)),""))</f>
        <v/>
      </c>
      <c r="M945" s="48">
        <f>IF($F945="","",IFERROR(INDEX(사건마스터!$AK$5:$AK$64,MATCH($F945,사건마스터!$A$5:$A$64,0)),""))</f>
        <v/>
      </c>
      <c r="N945" s="48">
        <f>IF($F945="","",IFERROR(INDEX(사건마스터!$AL$5:$AL$64,MATCH($F945,사건마스터!$A$5:$A$64,0)),""))</f>
        <v/>
      </c>
      <c r="O945" s="43">
        <f>IF($I945="","",COUNTIF($I945:$N945,"?*"))</f>
        <v/>
      </c>
      <c r="P945" s="46">
        <f>IF($I945="","",_xlfn.TEXTJOIN(", ",TRUE,$I945:$N945))</f>
        <v/>
      </c>
      <c r="Q945" s="47">
        <f>IF($I945="","",IFERROR(INDEX(코드설정!$D$5:$D$24,MATCH($I945,코드설정!$C$5:$C$24,0)),""))</f>
        <v/>
      </c>
      <c r="R945" s="49" t="n"/>
      <c r="S945" s="50" t="n"/>
      <c r="T945" s="51" t="n"/>
      <c r="U945" s="43">
        <f>IF(OR($B945="",$C945=""),"",$C945-$B945+1)</f>
        <v/>
      </c>
      <c r="V945" s="52" t="n"/>
      <c r="W945" s="53">
        <f>IF(OR($V945="",$O945=""),"",$V945*$O945)</f>
        <v/>
      </c>
      <c r="X945" s="45" t="n"/>
      <c r="Y945" s="49" t="n"/>
    </row>
    <row r="946">
      <c r="A946" s="43">
        <f>IF($B946="","",COUNT($B$5:$B946))</f>
        <v/>
      </c>
      <c r="B946" s="44" t="n"/>
      <c r="C946" s="44" t="n"/>
      <c r="D946" s="45" t="n"/>
      <c r="E946" s="45" t="n"/>
      <c r="F946" s="45" t="n"/>
      <c r="G946" s="46">
        <f>IF($F946="","",IFERROR(INDEX(사건마스터!$B$5:$B$64,MATCH($F946,사건마스터!$A$5:$A$64,0)),""))</f>
        <v/>
      </c>
      <c r="H946" s="47">
        <f>IF($F946="","",IFERROR(INDEX(사건마스터!$C$5:$C$64,MATCH($F946,사건마스터!$A$5:$A$64,0)),""))</f>
        <v/>
      </c>
      <c r="I946" s="48">
        <f>IF($F946="","",IFERROR(INDEX(사건마스터!$H$5:$H$64,MATCH($F946,사건마스터!$A$5:$A$64,0)),""))</f>
        <v/>
      </c>
      <c r="J946" s="48">
        <f>IF($F946="","",IFERROR(INDEX(사건마스터!$AH$5:$AH$64,MATCH($F946,사건마스터!$A$5:$A$64,0)),""))</f>
        <v/>
      </c>
      <c r="K946" s="48">
        <f>IF($F946="","",IFERROR(INDEX(사건마스터!$AI$5:$AI$64,MATCH($F946,사건마스터!$A$5:$A$64,0)),""))</f>
        <v/>
      </c>
      <c r="L946" s="48">
        <f>IF($F946="","",IFERROR(INDEX(사건마스터!$AJ$5:$AJ$64,MATCH($F946,사건마스터!$A$5:$A$64,0)),""))</f>
        <v/>
      </c>
      <c r="M946" s="48">
        <f>IF($F946="","",IFERROR(INDEX(사건마스터!$AK$5:$AK$64,MATCH($F946,사건마스터!$A$5:$A$64,0)),""))</f>
        <v/>
      </c>
      <c r="N946" s="48">
        <f>IF($F946="","",IFERROR(INDEX(사건마스터!$AL$5:$AL$64,MATCH($F946,사건마스터!$A$5:$A$64,0)),""))</f>
        <v/>
      </c>
      <c r="O946" s="43">
        <f>IF($I946="","",COUNTIF($I946:$N946,"?*"))</f>
        <v/>
      </c>
      <c r="P946" s="46">
        <f>IF($I946="","",_xlfn.TEXTJOIN(", ",TRUE,$I946:$N946))</f>
        <v/>
      </c>
      <c r="Q946" s="47">
        <f>IF($I946="","",IFERROR(INDEX(코드설정!$D$5:$D$24,MATCH($I946,코드설정!$C$5:$C$24,0)),""))</f>
        <v/>
      </c>
      <c r="R946" s="49" t="n"/>
      <c r="S946" s="50" t="n"/>
      <c r="T946" s="51" t="n"/>
      <c r="U946" s="43">
        <f>IF(OR($B946="",$C946=""),"",$C946-$B946+1)</f>
        <v/>
      </c>
      <c r="V946" s="52" t="n"/>
      <c r="W946" s="53">
        <f>IF(OR($V946="",$O946=""),"",$V946*$O946)</f>
        <v/>
      </c>
      <c r="X946" s="45" t="n"/>
      <c r="Y946" s="49" t="n"/>
    </row>
    <row r="947">
      <c r="A947" s="43">
        <f>IF($B947="","",COUNT($B$5:$B947))</f>
        <v/>
      </c>
      <c r="B947" s="44" t="n"/>
      <c r="C947" s="44" t="n"/>
      <c r="D947" s="45" t="n"/>
      <c r="E947" s="45" t="n"/>
      <c r="F947" s="45" t="n"/>
      <c r="G947" s="46">
        <f>IF($F947="","",IFERROR(INDEX(사건마스터!$B$5:$B$64,MATCH($F947,사건마스터!$A$5:$A$64,0)),""))</f>
        <v/>
      </c>
      <c r="H947" s="47">
        <f>IF($F947="","",IFERROR(INDEX(사건마스터!$C$5:$C$64,MATCH($F947,사건마스터!$A$5:$A$64,0)),""))</f>
        <v/>
      </c>
      <c r="I947" s="48">
        <f>IF($F947="","",IFERROR(INDEX(사건마스터!$H$5:$H$64,MATCH($F947,사건마스터!$A$5:$A$64,0)),""))</f>
        <v/>
      </c>
      <c r="J947" s="48">
        <f>IF($F947="","",IFERROR(INDEX(사건마스터!$AH$5:$AH$64,MATCH($F947,사건마스터!$A$5:$A$64,0)),""))</f>
        <v/>
      </c>
      <c r="K947" s="48">
        <f>IF($F947="","",IFERROR(INDEX(사건마스터!$AI$5:$AI$64,MATCH($F947,사건마스터!$A$5:$A$64,0)),""))</f>
        <v/>
      </c>
      <c r="L947" s="48">
        <f>IF($F947="","",IFERROR(INDEX(사건마스터!$AJ$5:$AJ$64,MATCH($F947,사건마스터!$A$5:$A$64,0)),""))</f>
        <v/>
      </c>
      <c r="M947" s="48">
        <f>IF($F947="","",IFERROR(INDEX(사건마스터!$AK$5:$AK$64,MATCH($F947,사건마스터!$A$5:$A$64,0)),""))</f>
        <v/>
      </c>
      <c r="N947" s="48">
        <f>IF($F947="","",IFERROR(INDEX(사건마스터!$AL$5:$AL$64,MATCH($F947,사건마스터!$A$5:$A$64,0)),""))</f>
        <v/>
      </c>
      <c r="O947" s="43">
        <f>IF($I947="","",COUNTIF($I947:$N947,"?*"))</f>
        <v/>
      </c>
      <c r="P947" s="46">
        <f>IF($I947="","",_xlfn.TEXTJOIN(", ",TRUE,$I947:$N947))</f>
        <v/>
      </c>
      <c r="Q947" s="47">
        <f>IF($I947="","",IFERROR(INDEX(코드설정!$D$5:$D$24,MATCH($I947,코드설정!$C$5:$C$24,0)),""))</f>
        <v/>
      </c>
      <c r="R947" s="49" t="n"/>
      <c r="S947" s="50" t="n"/>
      <c r="T947" s="51" t="n"/>
      <c r="U947" s="43">
        <f>IF(OR($B947="",$C947=""),"",$C947-$B947+1)</f>
        <v/>
      </c>
      <c r="V947" s="52" t="n"/>
      <c r="W947" s="53">
        <f>IF(OR($V947="",$O947=""),"",$V947*$O947)</f>
        <v/>
      </c>
      <c r="X947" s="45" t="n"/>
      <c r="Y947" s="49" t="n"/>
    </row>
    <row r="948">
      <c r="A948" s="43">
        <f>IF($B948="","",COUNT($B$5:$B948))</f>
        <v/>
      </c>
      <c r="B948" s="44" t="n"/>
      <c r="C948" s="44" t="n"/>
      <c r="D948" s="45" t="n"/>
      <c r="E948" s="45" t="n"/>
      <c r="F948" s="45" t="n"/>
      <c r="G948" s="46">
        <f>IF($F948="","",IFERROR(INDEX(사건마스터!$B$5:$B$64,MATCH($F948,사건마스터!$A$5:$A$64,0)),""))</f>
        <v/>
      </c>
      <c r="H948" s="47">
        <f>IF($F948="","",IFERROR(INDEX(사건마스터!$C$5:$C$64,MATCH($F948,사건마스터!$A$5:$A$64,0)),""))</f>
        <v/>
      </c>
      <c r="I948" s="48">
        <f>IF($F948="","",IFERROR(INDEX(사건마스터!$H$5:$H$64,MATCH($F948,사건마스터!$A$5:$A$64,0)),""))</f>
        <v/>
      </c>
      <c r="J948" s="48">
        <f>IF($F948="","",IFERROR(INDEX(사건마스터!$AH$5:$AH$64,MATCH($F948,사건마스터!$A$5:$A$64,0)),""))</f>
        <v/>
      </c>
      <c r="K948" s="48">
        <f>IF($F948="","",IFERROR(INDEX(사건마스터!$AI$5:$AI$64,MATCH($F948,사건마스터!$A$5:$A$64,0)),""))</f>
        <v/>
      </c>
      <c r="L948" s="48">
        <f>IF($F948="","",IFERROR(INDEX(사건마스터!$AJ$5:$AJ$64,MATCH($F948,사건마스터!$A$5:$A$64,0)),""))</f>
        <v/>
      </c>
      <c r="M948" s="48">
        <f>IF($F948="","",IFERROR(INDEX(사건마스터!$AK$5:$AK$64,MATCH($F948,사건마스터!$A$5:$A$64,0)),""))</f>
        <v/>
      </c>
      <c r="N948" s="48">
        <f>IF($F948="","",IFERROR(INDEX(사건마스터!$AL$5:$AL$64,MATCH($F948,사건마스터!$A$5:$A$64,0)),""))</f>
        <v/>
      </c>
      <c r="O948" s="43">
        <f>IF($I948="","",COUNTIF($I948:$N948,"?*"))</f>
        <v/>
      </c>
      <c r="P948" s="46">
        <f>IF($I948="","",_xlfn.TEXTJOIN(", ",TRUE,$I948:$N948))</f>
        <v/>
      </c>
      <c r="Q948" s="47">
        <f>IF($I948="","",IFERROR(INDEX(코드설정!$D$5:$D$24,MATCH($I948,코드설정!$C$5:$C$24,0)),""))</f>
        <v/>
      </c>
      <c r="R948" s="49" t="n"/>
      <c r="S948" s="50" t="n"/>
      <c r="T948" s="51" t="n"/>
      <c r="U948" s="43">
        <f>IF(OR($B948="",$C948=""),"",$C948-$B948+1)</f>
        <v/>
      </c>
      <c r="V948" s="52" t="n"/>
      <c r="W948" s="53">
        <f>IF(OR($V948="",$O948=""),"",$V948*$O948)</f>
        <v/>
      </c>
      <c r="X948" s="45" t="n"/>
      <c r="Y948" s="49" t="n"/>
    </row>
    <row r="949">
      <c r="A949" s="43">
        <f>IF($B949="","",COUNT($B$5:$B949))</f>
        <v/>
      </c>
      <c r="B949" s="44" t="n"/>
      <c r="C949" s="44" t="n"/>
      <c r="D949" s="45" t="n"/>
      <c r="E949" s="45" t="n"/>
      <c r="F949" s="45" t="n"/>
      <c r="G949" s="46">
        <f>IF($F949="","",IFERROR(INDEX(사건마스터!$B$5:$B$64,MATCH($F949,사건마스터!$A$5:$A$64,0)),""))</f>
        <v/>
      </c>
      <c r="H949" s="47">
        <f>IF($F949="","",IFERROR(INDEX(사건마스터!$C$5:$C$64,MATCH($F949,사건마스터!$A$5:$A$64,0)),""))</f>
        <v/>
      </c>
      <c r="I949" s="48">
        <f>IF($F949="","",IFERROR(INDEX(사건마스터!$H$5:$H$64,MATCH($F949,사건마스터!$A$5:$A$64,0)),""))</f>
        <v/>
      </c>
      <c r="J949" s="48">
        <f>IF($F949="","",IFERROR(INDEX(사건마스터!$AH$5:$AH$64,MATCH($F949,사건마스터!$A$5:$A$64,0)),""))</f>
        <v/>
      </c>
      <c r="K949" s="48">
        <f>IF($F949="","",IFERROR(INDEX(사건마스터!$AI$5:$AI$64,MATCH($F949,사건마스터!$A$5:$A$64,0)),""))</f>
        <v/>
      </c>
      <c r="L949" s="48">
        <f>IF($F949="","",IFERROR(INDEX(사건마스터!$AJ$5:$AJ$64,MATCH($F949,사건마스터!$A$5:$A$64,0)),""))</f>
        <v/>
      </c>
      <c r="M949" s="48">
        <f>IF($F949="","",IFERROR(INDEX(사건마스터!$AK$5:$AK$64,MATCH($F949,사건마스터!$A$5:$A$64,0)),""))</f>
        <v/>
      </c>
      <c r="N949" s="48">
        <f>IF($F949="","",IFERROR(INDEX(사건마스터!$AL$5:$AL$64,MATCH($F949,사건마스터!$A$5:$A$64,0)),""))</f>
        <v/>
      </c>
      <c r="O949" s="43">
        <f>IF($I949="","",COUNTIF($I949:$N949,"?*"))</f>
        <v/>
      </c>
      <c r="P949" s="46">
        <f>IF($I949="","",_xlfn.TEXTJOIN(", ",TRUE,$I949:$N949))</f>
        <v/>
      </c>
      <c r="Q949" s="47">
        <f>IF($I949="","",IFERROR(INDEX(코드설정!$D$5:$D$24,MATCH($I949,코드설정!$C$5:$C$24,0)),""))</f>
        <v/>
      </c>
      <c r="R949" s="49" t="n"/>
      <c r="S949" s="50" t="n"/>
      <c r="T949" s="51" t="n"/>
      <c r="U949" s="43">
        <f>IF(OR($B949="",$C949=""),"",$C949-$B949+1)</f>
        <v/>
      </c>
      <c r="V949" s="52" t="n"/>
      <c r="W949" s="53">
        <f>IF(OR($V949="",$O949=""),"",$V949*$O949)</f>
        <v/>
      </c>
      <c r="X949" s="45" t="n"/>
      <c r="Y949" s="49" t="n"/>
    </row>
    <row r="950">
      <c r="A950" s="43">
        <f>IF($B950="","",COUNT($B$5:$B950))</f>
        <v/>
      </c>
      <c r="B950" s="44" t="n"/>
      <c r="C950" s="44" t="n"/>
      <c r="D950" s="45" t="n"/>
      <c r="E950" s="45" t="n"/>
      <c r="F950" s="45" t="n"/>
      <c r="G950" s="46">
        <f>IF($F950="","",IFERROR(INDEX(사건마스터!$B$5:$B$64,MATCH($F950,사건마스터!$A$5:$A$64,0)),""))</f>
        <v/>
      </c>
      <c r="H950" s="47">
        <f>IF($F950="","",IFERROR(INDEX(사건마스터!$C$5:$C$64,MATCH($F950,사건마스터!$A$5:$A$64,0)),""))</f>
        <v/>
      </c>
      <c r="I950" s="48">
        <f>IF($F950="","",IFERROR(INDEX(사건마스터!$H$5:$H$64,MATCH($F950,사건마스터!$A$5:$A$64,0)),""))</f>
        <v/>
      </c>
      <c r="J950" s="48">
        <f>IF($F950="","",IFERROR(INDEX(사건마스터!$AH$5:$AH$64,MATCH($F950,사건마스터!$A$5:$A$64,0)),""))</f>
        <v/>
      </c>
      <c r="K950" s="48">
        <f>IF($F950="","",IFERROR(INDEX(사건마스터!$AI$5:$AI$64,MATCH($F950,사건마스터!$A$5:$A$64,0)),""))</f>
        <v/>
      </c>
      <c r="L950" s="48">
        <f>IF($F950="","",IFERROR(INDEX(사건마스터!$AJ$5:$AJ$64,MATCH($F950,사건마스터!$A$5:$A$64,0)),""))</f>
        <v/>
      </c>
      <c r="M950" s="48">
        <f>IF($F950="","",IFERROR(INDEX(사건마스터!$AK$5:$AK$64,MATCH($F950,사건마스터!$A$5:$A$64,0)),""))</f>
        <v/>
      </c>
      <c r="N950" s="48">
        <f>IF($F950="","",IFERROR(INDEX(사건마스터!$AL$5:$AL$64,MATCH($F950,사건마스터!$A$5:$A$64,0)),""))</f>
        <v/>
      </c>
      <c r="O950" s="43">
        <f>IF($I950="","",COUNTIF($I950:$N950,"?*"))</f>
        <v/>
      </c>
      <c r="P950" s="46">
        <f>IF($I950="","",_xlfn.TEXTJOIN(", ",TRUE,$I950:$N950))</f>
        <v/>
      </c>
      <c r="Q950" s="47">
        <f>IF($I950="","",IFERROR(INDEX(코드설정!$D$5:$D$24,MATCH($I950,코드설정!$C$5:$C$24,0)),""))</f>
        <v/>
      </c>
      <c r="R950" s="49" t="n"/>
      <c r="S950" s="50" t="n"/>
      <c r="T950" s="51" t="n"/>
      <c r="U950" s="43">
        <f>IF(OR($B950="",$C950=""),"",$C950-$B950+1)</f>
        <v/>
      </c>
      <c r="V950" s="52" t="n"/>
      <c r="W950" s="53">
        <f>IF(OR($V950="",$O950=""),"",$V950*$O950)</f>
        <v/>
      </c>
      <c r="X950" s="45" t="n"/>
      <c r="Y950" s="49" t="n"/>
    </row>
    <row r="951">
      <c r="A951" s="43">
        <f>IF($B951="","",COUNT($B$5:$B951))</f>
        <v/>
      </c>
      <c r="B951" s="44" t="n"/>
      <c r="C951" s="44" t="n"/>
      <c r="D951" s="45" t="n"/>
      <c r="E951" s="45" t="n"/>
      <c r="F951" s="45" t="n"/>
      <c r="G951" s="46">
        <f>IF($F951="","",IFERROR(INDEX(사건마스터!$B$5:$B$64,MATCH($F951,사건마스터!$A$5:$A$64,0)),""))</f>
        <v/>
      </c>
      <c r="H951" s="47">
        <f>IF($F951="","",IFERROR(INDEX(사건마스터!$C$5:$C$64,MATCH($F951,사건마스터!$A$5:$A$64,0)),""))</f>
        <v/>
      </c>
      <c r="I951" s="48">
        <f>IF($F951="","",IFERROR(INDEX(사건마스터!$H$5:$H$64,MATCH($F951,사건마스터!$A$5:$A$64,0)),""))</f>
        <v/>
      </c>
      <c r="J951" s="48">
        <f>IF($F951="","",IFERROR(INDEX(사건마스터!$AH$5:$AH$64,MATCH($F951,사건마스터!$A$5:$A$64,0)),""))</f>
        <v/>
      </c>
      <c r="K951" s="48">
        <f>IF($F951="","",IFERROR(INDEX(사건마스터!$AI$5:$AI$64,MATCH($F951,사건마스터!$A$5:$A$64,0)),""))</f>
        <v/>
      </c>
      <c r="L951" s="48">
        <f>IF($F951="","",IFERROR(INDEX(사건마스터!$AJ$5:$AJ$64,MATCH($F951,사건마스터!$A$5:$A$64,0)),""))</f>
        <v/>
      </c>
      <c r="M951" s="48">
        <f>IF($F951="","",IFERROR(INDEX(사건마스터!$AK$5:$AK$64,MATCH($F951,사건마스터!$A$5:$A$64,0)),""))</f>
        <v/>
      </c>
      <c r="N951" s="48">
        <f>IF($F951="","",IFERROR(INDEX(사건마스터!$AL$5:$AL$64,MATCH($F951,사건마스터!$A$5:$A$64,0)),""))</f>
        <v/>
      </c>
      <c r="O951" s="43">
        <f>IF($I951="","",COUNTIF($I951:$N951,"?*"))</f>
        <v/>
      </c>
      <c r="P951" s="46">
        <f>IF($I951="","",_xlfn.TEXTJOIN(", ",TRUE,$I951:$N951))</f>
        <v/>
      </c>
      <c r="Q951" s="47">
        <f>IF($I951="","",IFERROR(INDEX(코드설정!$D$5:$D$24,MATCH($I951,코드설정!$C$5:$C$24,0)),""))</f>
        <v/>
      </c>
      <c r="R951" s="49" t="n"/>
      <c r="S951" s="50" t="n"/>
      <c r="T951" s="51" t="n"/>
      <c r="U951" s="43">
        <f>IF(OR($B951="",$C951=""),"",$C951-$B951+1)</f>
        <v/>
      </c>
      <c r="V951" s="52" t="n"/>
      <c r="W951" s="53">
        <f>IF(OR($V951="",$O951=""),"",$V951*$O951)</f>
        <v/>
      </c>
      <c r="X951" s="45" t="n"/>
      <c r="Y951" s="49" t="n"/>
    </row>
    <row r="952">
      <c r="A952" s="43">
        <f>IF($B952="","",COUNT($B$5:$B952))</f>
        <v/>
      </c>
      <c r="B952" s="44" t="n"/>
      <c r="C952" s="44" t="n"/>
      <c r="D952" s="45" t="n"/>
      <c r="E952" s="45" t="n"/>
      <c r="F952" s="45" t="n"/>
      <c r="G952" s="46">
        <f>IF($F952="","",IFERROR(INDEX(사건마스터!$B$5:$B$64,MATCH($F952,사건마스터!$A$5:$A$64,0)),""))</f>
        <v/>
      </c>
      <c r="H952" s="47">
        <f>IF($F952="","",IFERROR(INDEX(사건마스터!$C$5:$C$64,MATCH($F952,사건마스터!$A$5:$A$64,0)),""))</f>
        <v/>
      </c>
      <c r="I952" s="48">
        <f>IF($F952="","",IFERROR(INDEX(사건마스터!$H$5:$H$64,MATCH($F952,사건마스터!$A$5:$A$64,0)),""))</f>
        <v/>
      </c>
      <c r="J952" s="48">
        <f>IF($F952="","",IFERROR(INDEX(사건마스터!$AH$5:$AH$64,MATCH($F952,사건마스터!$A$5:$A$64,0)),""))</f>
        <v/>
      </c>
      <c r="K952" s="48">
        <f>IF($F952="","",IFERROR(INDEX(사건마스터!$AI$5:$AI$64,MATCH($F952,사건마스터!$A$5:$A$64,0)),""))</f>
        <v/>
      </c>
      <c r="L952" s="48">
        <f>IF($F952="","",IFERROR(INDEX(사건마스터!$AJ$5:$AJ$64,MATCH($F952,사건마스터!$A$5:$A$64,0)),""))</f>
        <v/>
      </c>
      <c r="M952" s="48">
        <f>IF($F952="","",IFERROR(INDEX(사건마스터!$AK$5:$AK$64,MATCH($F952,사건마스터!$A$5:$A$64,0)),""))</f>
        <v/>
      </c>
      <c r="N952" s="48">
        <f>IF($F952="","",IFERROR(INDEX(사건마스터!$AL$5:$AL$64,MATCH($F952,사건마스터!$A$5:$A$64,0)),""))</f>
        <v/>
      </c>
      <c r="O952" s="43">
        <f>IF($I952="","",COUNTIF($I952:$N952,"?*"))</f>
        <v/>
      </c>
      <c r="P952" s="46">
        <f>IF($I952="","",_xlfn.TEXTJOIN(", ",TRUE,$I952:$N952))</f>
        <v/>
      </c>
      <c r="Q952" s="47">
        <f>IF($I952="","",IFERROR(INDEX(코드설정!$D$5:$D$24,MATCH($I952,코드설정!$C$5:$C$24,0)),""))</f>
        <v/>
      </c>
      <c r="R952" s="49" t="n"/>
      <c r="S952" s="50" t="n"/>
      <c r="T952" s="51" t="n"/>
      <c r="U952" s="43">
        <f>IF(OR($B952="",$C952=""),"",$C952-$B952+1)</f>
        <v/>
      </c>
      <c r="V952" s="52" t="n"/>
      <c r="W952" s="53">
        <f>IF(OR($V952="",$O952=""),"",$V952*$O952)</f>
        <v/>
      </c>
      <c r="X952" s="45" t="n"/>
      <c r="Y952" s="49" t="n"/>
    </row>
    <row r="953">
      <c r="A953" s="43">
        <f>IF($B953="","",COUNT($B$5:$B953))</f>
        <v/>
      </c>
      <c r="B953" s="44" t="n"/>
      <c r="C953" s="44" t="n"/>
      <c r="D953" s="45" t="n"/>
      <c r="E953" s="45" t="n"/>
      <c r="F953" s="45" t="n"/>
      <c r="G953" s="46">
        <f>IF($F953="","",IFERROR(INDEX(사건마스터!$B$5:$B$64,MATCH($F953,사건마스터!$A$5:$A$64,0)),""))</f>
        <v/>
      </c>
      <c r="H953" s="47">
        <f>IF($F953="","",IFERROR(INDEX(사건마스터!$C$5:$C$64,MATCH($F953,사건마스터!$A$5:$A$64,0)),""))</f>
        <v/>
      </c>
      <c r="I953" s="48">
        <f>IF($F953="","",IFERROR(INDEX(사건마스터!$H$5:$H$64,MATCH($F953,사건마스터!$A$5:$A$64,0)),""))</f>
        <v/>
      </c>
      <c r="J953" s="48">
        <f>IF($F953="","",IFERROR(INDEX(사건마스터!$AH$5:$AH$64,MATCH($F953,사건마스터!$A$5:$A$64,0)),""))</f>
        <v/>
      </c>
      <c r="K953" s="48">
        <f>IF($F953="","",IFERROR(INDEX(사건마스터!$AI$5:$AI$64,MATCH($F953,사건마스터!$A$5:$A$64,0)),""))</f>
        <v/>
      </c>
      <c r="L953" s="48">
        <f>IF($F953="","",IFERROR(INDEX(사건마스터!$AJ$5:$AJ$64,MATCH($F953,사건마스터!$A$5:$A$64,0)),""))</f>
        <v/>
      </c>
      <c r="M953" s="48">
        <f>IF($F953="","",IFERROR(INDEX(사건마스터!$AK$5:$AK$64,MATCH($F953,사건마스터!$A$5:$A$64,0)),""))</f>
        <v/>
      </c>
      <c r="N953" s="48">
        <f>IF($F953="","",IFERROR(INDEX(사건마스터!$AL$5:$AL$64,MATCH($F953,사건마스터!$A$5:$A$64,0)),""))</f>
        <v/>
      </c>
      <c r="O953" s="43">
        <f>IF($I953="","",COUNTIF($I953:$N953,"?*"))</f>
        <v/>
      </c>
      <c r="P953" s="46">
        <f>IF($I953="","",_xlfn.TEXTJOIN(", ",TRUE,$I953:$N953))</f>
        <v/>
      </c>
      <c r="Q953" s="47">
        <f>IF($I953="","",IFERROR(INDEX(코드설정!$D$5:$D$24,MATCH($I953,코드설정!$C$5:$C$24,0)),""))</f>
        <v/>
      </c>
      <c r="R953" s="49" t="n"/>
      <c r="S953" s="50" t="n"/>
      <c r="T953" s="51" t="n"/>
      <c r="U953" s="43">
        <f>IF(OR($B953="",$C953=""),"",$C953-$B953+1)</f>
        <v/>
      </c>
      <c r="V953" s="52" t="n"/>
      <c r="W953" s="53">
        <f>IF(OR($V953="",$O953=""),"",$V953*$O953)</f>
        <v/>
      </c>
      <c r="X953" s="45" t="n"/>
      <c r="Y953" s="49" t="n"/>
    </row>
    <row r="954">
      <c r="A954" s="43">
        <f>IF($B954="","",COUNT($B$5:$B954))</f>
        <v/>
      </c>
      <c r="B954" s="44" t="n"/>
      <c r="C954" s="44" t="n"/>
      <c r="D954" s="45" t="n"/>
      <c r="E954" s="45" t="n"/>
      <c r="F954" s="45" t="n"/>
      <c r="G954" s="46">
        <f>IF($F954="","",IFERROR(INDEX(사건마스터!$B$5:$B$64,MATCH($F954,사건마스터!$A$5:$A$64,0)),""))</f>
        <v/>
      </c>
      <c r="H954" s="47">
        <f>IF($F954="","",IFERROR(INDEX(사건마스터!$C$5:$C$64,MATCH($F954,사건마스터!$A$5:$A$64,0)),""))</f>
        <v/>
      </c>
      <c r="I954" s="48">
        <f>IF($F954="","",IFERROR(INDEX(사건마스터!$H$5:$H$64,MATCH($F954,사건마스터!$A$5:$A$64,0)),""))</f>
        <v/>
      </c>
      <c r="J954" s="48">
        <f>IF($F954="","",IFERROR(INDEX(사건마스터!$AH$5:$AH$64,MATCH($F954,사건마스터!$A$5:$A$64,0)),""))</f>
        <v/>
      </c>
      <c r="K954" s="48">
        <f>IF($F954="","",IFERROR(INDEX(사건마스터!$AI$5:$AI$64,MATCH($F954,사건마스터!$A$5:$A$64,0)),""))</f>
        <v/>
      </c>
      <c r="L954" s="48">
        <f>IF($F954="","",IFERROR(INDEX(사건마스터!$AJ$5:$AJ$64,MATCH($F954,사건마스터!$A$5:$A$64,0)),""))</f>
        <v/>
      </c>
      <c r="M954" s="48">
        <f>IF($F954="","",IFERROR(INDEX(사건마스터!$AK$5:$AK$64,MATCH($F954,사건마스터!$A$5:$A$64,0)),""))</f>
        <v/>
      </c>
      <c r="N954" s="48">
        <f>IF($F954="","",IFERROR(INDEX(사건마스터!$AL$5:$AL$64,MATCH($F954,사건마스터!$A$5:$A$64,0)),""))</f>
        <v/>
      </c>
      <c r="O954" s="43">
        <f>IF($I954="","",COUNTIF($I954:$N954,"?*"))</f>
        <v/>
      </c>
      <c r="P954" s="46">
        <f>IF($I954="","",_xlfn.TEXTJOIN(", ",TRUE,$I954:$N954))</f>
        <v/>
      </c>
      <c r="Q954" s="47">
        <f>IF($I954="","",IFERROR(INDEX(코드설정!$D$5:$D$24,MATCH($I954,코드설정!$C$5:$C$24,0)),""))</f>
        <v/>
      </c>
      <c r="R954" s="49" t="n"/>
      <c r="S954" s="50" t="n"/>
      <c r="T954" s="51" t="n"/>
      <c r="U954" s="43">
        <f>IF(OR($B954="",$C954=""),"",$C954-$B954+1)</f>
        <v/>
      </c>
      <c r="V954" s="52" t="n"/>
      <c r="W954" s="53">
        <f>IF(OR($V954="",$O954=""),"",$V954*$O954)</f>
        <v/>
      </c>
      <c r="X954" s="45" t="n"/>
      <c r="Y954" s="49" t="n"/>
    </row>
    <row r="955">
      <c r="A955" s="43">
        <f>IF($B955="","",COUNT($B$5:$B955))</f>
        <v/>
      </c>
      <c r="B955" s="44" t="n"/>
      <c r="C955" s="44" t="n"/>
      <c r="D955" s="45" t="n"/>
      <c r="E955" s="45" t="n"/>
      <c r="F955" s="45" t="n"/>
      <c r="G955" s="46">
        <f>IF($F955="","",IFERROR(INDEX(사건마스터!$B$5:$B$64,MATCH($F955,사건마스터!$A$5:$A$64,0)),""))</f>
        <v/>
      </c>
      <c r="H955" s="47">
        <f>IF($F955="","",IFERROR(INDEX(사건마스터!$C$5:$C$64,MATCH($F955,사건마스터!$A$5:$A$64,0)),""))</f>
        <v/>
      </c>
      <c r="I955" s="48">
        <f>IF($F955="","",IFERROR(INDEX(사건마스터!$H$5:$H$64,MATCH($F955,사건마스터!$A$5:$A$64,0)),""))</f>
        <v/>
      </c>
      <c r="J955" s="48">
        <f>IF($F955="","",IFERROR(INDEX(사건마스터!$AH$5:$AH$64,MATCH($F955,사건마스터!$A$5:$A$64,0)),""))</f>
        <v/>
      </c>
      <c r="K955" s="48">
        <f>IF($F955="","",IFERROR(INDEX(사건마스터!$AI$5:$AI$64,MATCH($F955,사건마스터!$A$5:$A$64,0)),""))</f>
        <v/>
      </c>
      <c r="L955" s="48">
        <f>IF($F955="","",IFERROR(INDEX(사건마스터!$AJ$5:$AJ$64,MATCH($F955,사건마스터!$A$5:$A$64,0)),""))</f>
        <v/>
      </c>
      <c r="M955" s="48">
        <f>IF($F955="","",IFERROR(INDEX(사건마스터!$AK$5:$AK$64,MATCH($F955,사건마스터!$A$5:$A$64,0)),""))</f>
        <v/>
      </c>
      <c r="N955" s="48">
        <f>IF($F955="","",IFERROR(INDEX(사건마스터!$AL$5:$AL$64,MATCH($F955,사건마스터!$A$5:$A$64,0)),""))</f>
        <v/>
      </c>
      <c r="O955" s="43">
        <f>IF($I955="","",COUNTIF($I955:$N955,"?*"))</f>
        <v/>
      </c>
      <c r="P955" s="46">
        <f>IF($I955="","",_xlfn.TEXTJOIN(", ",TRUE,$I955:$N955))</f>
        <v/>
      </c>
      <c r="Q955" s="47">
        <f>IF($I955="","",IFERROR(INDEX(코드설정!$D$5:$D$24,MATCH($I955,코드설정!$C$5:$C$24,0)),""))</f>
        <v/>
      </c>
      <c r="R955" s="49" t="n"/>
      <c r="S955" s="50" t="n"/>
      <c r="T955" s="51" t="n"/>
      <c r="U955" s="43">
        <f>IF(OR($B955="",$C955=""),"",$C955-$B955+1)</f>
        <v/>
      </c>
      <c r="V955" s="52" t="n"/>
      <c r="W955" s="53">
        <f>IF(OR($V955="",$O955=""),"",$V955*$O955)</f>
        <v/>
      </c>
      <c r="X955" s="45" t="n"/>
      <c r="Y955" s="49" t="n"/>
    </row>
    <row r="956">
      <c r="A956" s="43">
        <f>IF($B956="","",COUNT($B$5:$B956))</f>
        <v/>
      </c>
      <c r="B956" s="44" t="n"/>
      <c r="C956" s="44" t="n"/>
      <c r="D956" s="45" t="n"/>
      <c r="E956" s="45" t="n"/>
      <c r="F956" s="45" t="n"/>
      <c r="G956" s="46">
        <f>IF($F956="","",IFERROR(INDEX(사건마스터!$B$5:$B$64,MATCH($F956,사건마스터!$A$5:$A$64,0)),""))</f>
        <v/>
      </c>
      <c r="H956" s="47">
        <f>IF($F956="","",IFERROR(INDEX(사건마스터!$C$5:$C$64,MATCH($F956,사건마스터!$A$5:$A$64,0)),""))</f>
        <v/>
      </c>
      <c r="I956" s="48">
        <f>IF($F956="","",IFERROR(INDEX(사건마스터!$H$5:$H$64,MATCH($F956,사건마스터!$A$5:$A$64,0)),""))</f>
        <v/>
      </c>
      <c r="J956" s="48">
        <f>IF($F956="","",IFERROR(INDEX(사건마스터!$AH$5:$AH$64,MATCH($F956,사건마스터!$A$5:$A$64,0)),""))</f>
        <v/>
      </c>
      <c r="K956" s="48">
        <f>IF($F956="","",IFERROR(INDEX(사건마스터!$AI$5:$AI$64,MATCH($F956,사건마스터!$A$5:$A$64,0)),""))</f>
        <v/>
      </c>
      <c r="L956" s="48">
        <f>IF($F956="","",IFERROR(INDEX(사건마스터!$AJ$5:$AJ$64,MATCH($F956,사건마스터!$A$5:$A$64,0)),""))</f>
        <v/>
      </c>
      <c r="M956" s="48">
        <f>IF($F956="","",IFERROR(INDEX(사건마스터!$AK$5:$AK$64,MATCH($F956,사건마스터!$A$5:$A$64,0)),""))</f>
        <v/>
      </c>
      <c r="N956" s="48">
        <f>IF($F956="","",IFERROR(INDEX(사건마스터!$AL$5:$AL$64,MATCH($F956,사건마스터!$A$5:$A$64,0)),""))</f>
        <v/>
      </c>
      <c r="O956" s="43">
        <f>IF($I956="","",COUNTIF($I956:$N956,"?*"))</f>
        <v/>
      </c>
      <c r="P956" s="46">
        <f>IF($I956="","",_xlfn.TEXTJOIN(", ",TRUE,$I956:$N956))</f>
        <v/>
      </c>
      <c r="Q956" s="47">
        <f>IF($I956="","",IFERROR(INDEX(코드설정!$D$5:$D$24,MATCH($I956,코드설정!$C$5:$C$24,0)),""))</f>
        <v/>
      </c>
      <c r="R956" s="49" t="n"/>
      <c r="S956" s="50" t="n"/>
      <c r="T956" s="51" t="n"/>
      <c r="U956" s="43">
        <f>IF(OR($B956="",$C956=""),"",$C956-$B956+1)</f>
        <v/>
      </c>
      <c r="V956" s="52" t="n"/>
      <c r="W956" s="53">
        <f>IF(OR($V956="",$O956=""),"",$V956*$O956)</f>
        <v/>
      </c>
      <c r="X956" s="45" t="n"/>
      <c r="Y956" s="49" t="n"/>
    </row>
    <row r="957">
      <c r="A957" s="43">
        <f>IF($B957="","",COUNT($B$5:$B957))</f>
        <v/>
      </c>
      <c r="B957" s="44" t="n"/>
      <c r="C957" s="44" t="n"/>
      <c r="D957" s="45" t="n"/>
      <c r="E957" s="45" t="n"/>
      <c r="F957" s="45" t="n"/>
      <c r="G957" s="46">
        <f>IF($F957="","",IFERROR(INDEX(사건마스터!$B$5:$B$64,MATCH($F957,사건마스터!$A$5:$A$64,0)),""))</f>
        <v/>
      </c>
      <c r="H957" s="47">
        <f>IF($F957="","",IFERROR(INDEX(사건마스터!$C$5:$C$64,MATCH($F957,사건마스터!$A$5:$A$64,0)),""))</f>
        <v/>
      </c>
      <c r="I957" s="48">
        <f>IF($F957="","",IFERROR(INDEX(사건마스터!$H$5:$H$64,MATCH($F957,사건마스터!$A$5:$A$64,0)),""))</f>
        <v/>
      </c>
      <c r="J957" s="48">
        <f>IF($F957="","",IFERROR(INDEX(사건마스터!$AH$5:$AH$64,MATCH($F957,사건마스터!$A$5:$A$64,0)),""))</f>
        <v/>
      </c>
      <c r="K957" s="48">
        <f>IF($F957="","",IFERROR(INDEX(사건마스터!$AI$5:$AI$64,MATCH($F957,사건마스터!$A$5:$A$64,0)),""))</f>
        <v/>
      </c>
      <c r="L957" s="48">
        <f>IF($F957="","",IFERROR(INDEX(사건마스터!$AJ$5:$AJ$64,MATCH($F957,사건마스터!$A$5:$A$64,0)),""))</f>
        <v/>
      </c>
      <c r="M957" s="48">
        <f>IF($F957="","",IFERROR(INDEX(사건마스터!$AK$5:$AK$64,MATCH($F957,사건마스터!$A$5:$A$64,0)),""))</f>
        <v/>
      </c>
      <c r="N957" s="48">
        <f>IF($F957="","",IFERROR(INDEX(사건마스터!$AL$5:$AL$64,MATCH($F957,사건마스터!$A$5:$A$64,0)),""))</f>
        <v/>
      </c>
      <c r="O957" s="43">
        <f>IF($I957="","",COUNTIF($I957:$N957,"?*"))</f>
        <v/>
      </c>
      <c r="P957" s="46">
        <f>IF($I957="","",_xlfn.TEXTJOIN(", ",TRUE,$I957:$N957))</f>
        <v/>
      </c>
      <c r="Q957" s="47">
        <f>IF($I957="","",IFERROR(INDEX(코드설정!$D$5:$D$24,MATCH($I957,코드설정!$C$5:$C$24,0)),""))</f>
        <v/>
      </c>
      <c r="R957" s="49" t="n"/>
      <c r="S957" s="50" t="n"/>
      <c r="T957" s="51" t="n"/>
      <c r="U957" s="43">
        <f>IF(OR($B957="",$C957=""),"",$C957-$B957+1)</f>
        <v/>
      </c>
      <c r="V957" s="52" t="n"/>
      <c r="W957" s="53">
        <f>IF(OR($V957="",$O957=""),"",$V957*$O957)</f>
        <v/>
      </c>
      <c r="X957" s="45" t="n"/>
      <c r="Y957" s="49" t="n"/>
    </row>
    <row r="958">
      <c r="A958" s="43">
        <f>IF($B958="","",COUNT($B$5:$B958))</f>
        <v/>
      </c>
      <c r="B958" s="44" t="n"/>
      <c r="C958" s="44" t="n"/>
      <c r="D958" s="45" t="n"/>
      <c r="E958" s="45" t="n"/>
      <c r="F958" s="45" t="n"/>
      <c r="G958" s="46">
        <f>IF($F958="","",IFERROR(INDEX(사건마스터!$B$5:$B$64,MATCH($F958,사건마스터!$A$5:$A$64,0)),""))</f>
        <v/>
      </c>
      <c r="H958" s="47">
        <f>IF($F958="","",IFERROR(INDEX(사건마스터!$C$5:$C$64,MATCH($F958,사건마스터!$A$5:$A$64,0)),""))</f>
        <v/>
      </c>
      <c r="I958" s="48">
        <f>IF($F958="","",IFERROR(INDEX(사건마스터!$H$5:$H$64,MATCH($F958,사건마스터!$A$5:$A$64,0)),""))</f>
        <v/>
      </c>
      <c r="J958" s="48">
        <f>IF($F958="","",IFERROR(INDEX(사건마스터!$AH$5:$AH$64,MATCH($F958,사건마스터!$A$5:$A$64,0)),""))</f>
        <v/>
      </c>
      <c r="K958" s="48">
        <f>IF($F958="","",IFERROR(INDEX(사건마스터!$AI$5:$AI$64,MATCH($F958,사건마스터!$A$5:$A$64,0)),""))</f>
        <v/>
      </c>
      <c r="L958" s="48">
        <f>IF($F958="","",IFERROR(INDEX(사건마스터!$AJ$5:$AJ$64,MATCH($F958,사건마스터!$A$5:$A$64,0)),""))</f>
        <v/>
      </c>
      <c r="M958" s="48">
        <f>IF($F958="","",IFERROR(INDEX(사건마스터!$AK$5:$AK$64,MATCH($F958,사건마스터!$A$5:$A$64,0)),""))</f>
        <v/>
      </c>
      <c r="N958" s="48">
        <f>IF($F958="","",IFERROR(INDEX(사건마스터!$AL$5:$AL$64,MATCH($F958,사건마스터!$A$5:$A$64,0)),""))</f>
        <v/>
      </c>
      <c r="O958" s="43">
        <f>IF($I958="","",COUNTIF($I958:$N958,"?*"))</f>
        <v/>
      </c>
      <c r="P958" s="46">
        <f>IF($I958="","",_xlfn.TEXTJOIN(", ",TRUE,$I958:$N958))</f>
        <v/>
      </c>
      <c r="Q958" s="47">
        <f>IF($I958="","",IFERROR(INDEX(코드설정!$D$5:$D$24,MATCH($I958,코드설정!$C$5:$C$24,0)),""))</f>
        <v/>
      </c>
      <c r="R958" s="49" t="n"/>
      <c r="S958" s="50" t="n"/>
      <c r="T958" s="51" t="n"/>
      <c r="U958" s="43">
        <f>IF(OR($B958="",$C958=""),"",$C958-$B958+1)</f>
        <v/>
      </c>
      <c r="V958" s="52" t="n"/>
      <c r="W958" s="53">
        <f>IF(OR($V958="",$O958=""),"",$V958*$O958)</f>
        <v/>
      </c>
      <c r="X958" s="45" t="n"/>
      <c r="Y958" s="49" t="n"/>
    </row>
    <row r="959">
      <c r="A959" s="43">
        <f>IF($B959="","",COUNT($B$5:$B959))</f>
        <v/>
      </c>
      <c r="B959" s="44" t="n"/>
      <c r="C959" s="44" t="n"/>
      <c r="D959" s="45" t="n"/>
      <c r="E959" s="45" t="n"/>
      <c r="F959" s="45" t="n"/>
      <c r="G959" s="46">
        <f>IF($F959="","",IFERROR(INDEX(사건마스터!$B$5:$B$64,MATCH($F959,사건마스터!$A$5:$A$64,0)),""))</f>
        <v/>
      </c>
      <c r="H959" s="47">
        <f>IF($F959="","",IFERROR(INDEX(사건마스터!$C$5:$C$64,MATCH($F959,사건마스터!$A$5:$A$64,0)),""))</f>
        <v/>
      </c>
      <c r="I959" s="48">
        <f>IF($F959="","",IFERROR(INDEX(사건마스터!$H$5:$H$64,MATCH($F959,사건마스터!$A$5:$A$64,0)),""))</f>
        <v/>
      </c>
      <c r="J959" s="48">
        <f>IF($F959="","",IFERROR(INDEX(사건마스터!$AH$5:$AH$64,MATCH($F959,사건마스터!$A$5:$A$64,0)),""))</f>
        <v/>
      </c>
      <c r="K959" s="48">
        <f>IF($F959="","",IFERROR(INDEX(사건마스터!$AI$5:$AI$64,MATCH($F959,사건마스터!$A$5:$A$64,0)),""))</f>
        <v/>
      </c>
      <c r="L959" s="48">
        <f>IF($F959="","",IFERROR(INDEX(사건마스터!$AJ$5:$AJ$64,MATCH($F959,사건마스터!$A$5:$A$64,0)),""))</f>
        <v/>
      </c>
      <c r="M959" s="48">
        <f>IF($F959="","",IFERROR(INDEX(사건마스터!$AK$5:$AK$64,MATCH($F959,사건마스터!$A$5:$A$64,0)),""))</f>
        <v/>
      </c>
      <c r="N959" s="48">
        <f>IF($F959="","",IFERROR(INDEX(사건마스터!$AL$5:$AL$64,MATCH($F959,사건마스터!$A$5:$A$64,0)),""))</f>
        <v/>
      </c>
      <c r="O959" s="43">
        <f>IF($I959="","",COUNTIF($I959:$N959,"?*"))</f>
        <v/>
      </c>
      <c r="P959" s="46">
        <f>IF($I959="","",_xlfn.TEXTJOIN(", ",TRUE,$I959:$N959))</f>
        <v/>
      </c>
      <c r="Q959" s="47">
        <f>IF($I959="","",IFERROR(INDEX(코드설정!$D$5:$D$24,MATCH($I959,코드설정!$C$5:$C$24,0)),""))</f>
        <v/>
      </c>
      <c r="R959" s="49" t="n"/>
      <c r="S959" s="50" t="n"/>
      <c r="T959" s="51" t="n"/>
      <c r="U959" s="43">
        <f>IF(OR($B959="",$C959=""),"",$C959-$B959+1)</f>
        <v/>
      </c>
      <c r="V959" s="52" t="n"/>
      <c r="W959" s="53">
        <f>IF(OR($V959="",$O959=""),"",$V959*$O959)</f>
        <v/>
      </c>
      <c r="X959" s="45" t="n"/>
      <c r="Y959" s="49" t="n"/>
    </row>
    <row r="960">
      <c r="A960" s="43">
        <f>IF($B960="","",COUNT($B$5:$B960))</f>
        <v/>
      </c>
      <c r="B960" s="44" t="n"/>
      <c r="C960" s="44" t="n"/>
      <c r="D960" s="45" t="n"/>
      <c r="E960" s="45" t="n"/>
      <c r="F960" s="45" t="n"/>
      <c r="G960" s="46">
        <f>IF($F960="","",IFERROR(INDEX(사건마스터!$B$5:$B$64,MATCH($F960,사건마스터!$A$5:$A$64,0)),""))</f>
        <v/>
      </c>
      <c r="H960" s="47">
        <f>IF($F960="","",IFERROR(INDEX(사건마스터!$C$5:$C$64,MATCH($F960,사건마스터!$A$5:$A$64,0)),""))</f>
        <v/>
      </c>
      <c r="I960" s="48">
        <f>IF($F960="","",IFERROR(INDEX(사건마스터!$H$5:$H$64,MATCH($F960,사건마스터!$A$5:$A$64,0)),""))</f>
        <v/>
      </c>
      <c r="J960" s="48">
        <f>IF($F960="","",IFERROR(INDEX(사건마스터!$AH$5:$AH$64,MATCH($F960,사건마스터!$A$5:$A$64,0)),""))</f>
        <v/>
      </c>
      <c r="K960" s="48">
        <f>IF($F960="","",IFERROR(INDEX(사건마스터!$AI$5:$AI$64,MATCH($F960,사건마스터!$A$5:$A$64,0)),""))</f>
        <v/>
      </c>
      <c r="L960" s="48">
        <f>IF($F960="","",IFERROR(INDEX(사건마스터!$AJ$5:$AJ$64,MATCH($F960,사건마스터!$A$5:$A$64,0)),""))</f>
        <v/>
      </c>
      <c r="M960" s="48">
        <f>IF($F960="","",IFERROR(INDEX(사건마스터!$AK$5:$AK$64,MATCH($F960,사건마스터!$A$5:$A$64,0)),""))</f>
        <v/>
      </c>
      <c r="N960" s="48">
        <f>IF($F960="","",IFERROR(INDEX(사건마스터!$AL$5:$AL$64,MATCH($F960,사건마스터!$A$5:$A$64,0)),""))</f>
        <v/>
      </c>
      <c r="O960" s="43">
        <f>IF($I960="","",COUNTIF($I960:$N960,"?*"))</f>
        <v/>
      </c>
      <c r="P960" s="46">
        <f>IF($I960="","",_xlfn.TEXTJOIN(", ",TRUE,$I960:$N960))</f>
        <v/>
      </c>
      <c r="Q960" s="47">
        <f>IF($I960="","",IFERROR(INDEX(코드설정!$D$5:$D$24,MATCH($I960,코드설정!$C$5:$C$24,0)),""))</f>
        <v/>
      </c>
      <c r="R960" s="49" t="n"/>
      <c r="S960" s="50" t="n"/>
      <c r="T960" s="51" t="n"/>
      <c r="U960" s="43">
        <f>IF(OR($B960="",$C960=""),"",$C960-$B960+1)</f>
        <v/>
      </c>
      <c r="V960" s="52" t="n"/>
      <c r="W960" s="53">
        <f>IF(OR($V960="",$O960=""),"",$V960*$O960)</f>
        <v/>
      </c>
      <c r="X960" s="45" t="n"/>
      <c r="Y960" s="49" t="n"/>
    </row>
    <row r="961">
      <c r="A961" s="43">
        <f>IF($B961="","",COUNT($B$5:$B961))</f>
        <v/>
      </c>
      <c r="B961" s="44" t="n"/>
      <c r="C961" s="44" t="n"/>
      <c r="D961" s="45" t="n"/>
      <c r="E961" s="45" t="n"/>
      <c r="F961" s="45" t="n"/>
      <c r="G961" s="46">
        <f>IF($F961="","",IFERROR(INDEX(사건마스터!$B$5:$B$64,MATCH($F961,사건마스터!$A$5:$A$64,0)),""))</f>
        <v/>
      </c>
      <c r="H961" s="47">
        <f>IF($F961="","",IFERROR(INDEX(사건마스터!$C$5:$C$64,MATCH($F961,사건마스터!$A$5:$A$64,0)),""))</f>
        <v/>
      </c>
      <c r="I961" s="48">
        <f>IF($F961="","",IFERROR(INDEX(사건마스터!$H$5:$H$64,MATCH($F961,사건마스터!$A$5:$A$64,0)),""))</f>
        <v/>
      </c>
      <c r="J961" s="48">
        <f>IF($F961="","",IFERROR(INDEX(사건마스터!$AH$5:$AH$64,MATCH($F961,사건마스터!$A$5:$A$64,0)),""))</f>
        <v/>
      </c>
      <c r="K961" s="48">
        <f>IF($F961="","",IFERROR(INDEX(사건마스터!$AI$5:$AI$64,MATCH($F961,사건마스터!$A$5:$A$64,0)),""))</f>
        <v/>
      </c>
      <c r="L961" s="48">
        <f>IF($F961="","",IFERROR(INDEX(사건마스터!$AJ$5:$AJ$64,MATCH($F961,사건마스터!$A$5:$A$64,0)),""))</f>
        <v/>
      </c>
      <c r="M961" s="48">
        <f>IF($F961="","",IFERROR(INDEX(사건마스터!$AK$5:$AK$64,MATCH($F961,사건마스터!$A$5:$A$64,0)),""))</f>
        <v/>
      </c>
      <c r="N961" s="48">
        <f>IF($F961="","",IFERROR(INDEX(사건마스터!$AL$5:$AL$64,MATCH($F961,사건마스터!$A$5:$A$64,0)),""))</f>
        <v/>
      </c>
      <c r="O961" s="43">
        <f>IF($I961="","",COUNTIF($I961:$N961,"?*"))</f>
        <v/>
      </c>
      <c r="P961" s="46">
        <f>IF($I961="","",_xlfn.TEXTJOIN(", ",TRUE,$I961:$N961))</f>
        <v/>
      </c>
      <c r="Q961" s="47">
        <f>IF($I961="","",IFERROR(INDEX(코드설정!$D$5:$D$24,MATCH($I961,코드설정!$C$5:$C$24,0)),""))</f>
        <v/>
      </c>
      <c r="R961" s="49" t="n"/>
      <c r="S961" s="50" t="n"/>
      <c r="T961" s="51" t="n"/>
      <c r="U961" s="43">
        <f>IF(OR($B961="",$C961=""),"",$C961-$B961+1)</f>
        <v/>
      </c>
      <c r="V961" s="52" t="n"/>
      <c r="W961" s="53">
        <f>IF(OR($V961="",$O961=""),"",$V961*$O961)</f>
        <v/>
      </c>
      <c r="X961" s="45" t="n"/>
      <c r="Y961" s="49" t="n"/>
    </row>
    <row r="962">
      <c r="A962" s="43">
        <f>IF($B962="","",COUNT($B$5:$B962))</f>
        <v/>
      </c>
      <c r="B962" s="44" t="n"/>
      <c r="C962" s="44" t="n"/>
      <c r="D962" s="45" t="n"/>
      <c r="E962" s="45" t="n"/>
      <c r="F962" s="45" t="n"/>
      <c r="G962" s="46">
        <f>IF($F962="","",IFERROR(INDEX(사건마스터!$B$5:$B$64,MATCH($F962,사건마스터!$A$5:$A$64,0)),""))</f>
        <v/>
      </c>
      <c r="H962" s="47">
        <f>IF($F962="","",IFERROR(INDEX(사건마스터!$C$5:$C$64,MATCH($F962,사건마스터!$A$5:$A$64,0)),""))</f>
        <v/>
      </c>
      <c r="I962" s="48">
        <f>IF($F962="","",IFERROR(INDEX(사건마스터!$H$5:$H$64,MATCH($F962,사건마스터!$A$5:$A$64,0)),""))</f>
        <v/>
      </c>
      <c r="J962" s="48">
        <f>IF($F962="","",IFERROR(INDEX(사건마스터!$AH$5:$AH$64,MATCH($F962,사건마스터!$A$5:$A$64,0)),""))</f>
        <v/>
      </c>
      <c r="K962" s="48">
        <f>IF($F962="","",IFERROR(INDEX(사건마스터!$AI$5:$AI$64,MATCH($F962,사건마스터!$A$5:$A$64,0)),""))</f>
        <v/>
      </c>
      <c r="L962" s="48">
        <f>IF($F962="","",IFERROR(INDEX(사건마스터!$AJ$5:$AJ$64,MATCH($F962,사건마스터!$A$5:$A$64,0)),""))</f>
        <v/>
      </c>
      <c r="M962" s="48">
        <f>IF($F962="","",IFERROR(INDEX(사건마스터!$AK$5:$AK$64,MATCH($F962,사건마스터!$A$5:$A$64,0)),""))</f>
        <v/>
      </c>
      <c r="N962" s="48">
        <f>IF($F962="","",IFERROR(INDEX(사건마스터!$AL$5:$AL$64,MATCH($F962,사건마스터!$A$5:$A$64,0)),""))</f>
        <v/>
      </c>
      <c r="O962" s="43">
        <f>IF($I962="","",COUNTIF($I962:$N962,"?*"))</f>
        <v/>
      </c>
      <c r="P962" s="46">
        <f>IF($I962="","",_xlfn.TEXTJOIN(", ",TRUE,$I962:$N962))</f>
        <v/>
      </c>
      <c r="Q962" s="47">
        <f>IF($I962="","",IFERROR(INDEX(코드설정!$D$5:$D$24,MATCH($I962,코드설정!$C$5:$C$24,0)),""))</f>
        <v/>
      </c>
      <c r="R962" s="49" t="n"/>
      <c r="S962" s="50" t="n"/>
      <c r="T962" s="51" t="n"/>
      <c r="U962" s="43">
        <f>IF(OR($B962="",$C962=""),"",$C962-$B962+1)</f>
        <v/>
      </c>
      <c r="V962" s="52" t="n"/>
      <c r="W962" s="53">
        <f>IF(OR($V962="",$O962=""),"",$V962*$O962)</f>
        <v/>
      </c>
      <c r="X962" s="45" t="n"/>
      <c r="Y962" s="49" t="n"/>
    </row>
    <row r="963">
      <c r="A963" s="43">
        <f>IF($B963="","",COUNT($B$5:$B963))</f>
        <v/>
      </c>
      <c r="B963" s="44" t="n"/>
      <c r="C963" s="44" t="n"/>
      <c r="D963" s="45" t="n"/>
      <c r="E963" s="45" t="n"/>
      <c r="F963" s="45" t="n"/>
      <c r="G963" s="46">
        <f>IF($F963="","",IFERROR(INDEX(사건마스터!$B$5:$B$64,MATCH($F963,사건마스터!$A$5:$A$64,0)),""))</f>
        <v/>
      </c>
      <c r="H963" s="47">
        <f>IF($F963="","",IFERROR(INDEX(사건마스터!$C$5:$C$64,MATCH($F963,사건마스터!$A$5:$A$64,0)),""))</f>
        <v/>
      </c>
      <c r="I963" s="48">
        <f>IF($F963="","",IFERROR(INDEX(사건마스터!$H$5:$H$64,MATCH($F963,사건마스터!$A$5:$A$64,0)),""))</f>
        <v/>
      </c>
      <c r="J963" s="48">
        <f>IF($F963="","",IFERROR(INDEX(사건마스터!$AH$5:$AH$64,MATCH($F963,사건마스터!$A$5:$A$64,0)),""))</f>
        <v/>
      </c>
      <c r="K963" s="48">
        <f>IF($F963="","",IFERROR(INDEX(사건마스터!$AI$5:$AI$64,MATCH($F963,사건마스터!$A$5:$A$64,0)),""))</f>
        <v/>
      </c>
      <c r="L963" s="48">
        <f>IF($F963="","",IFERROR(INDEX(사건마스터!$AJ$5:$AJ$64,MATCH($F963,사건마스터!$A$5:$A$64,0)),""))</f>
        <v/>
      </c>
      <c r="M963" s="48">
        <f>IF($F963="","",IFERROR(INDEX(사건마스터!$AK$5:$AK$64,MATCH($F963,사건마스터!$A$5:$A$64,0)),""))</f>
        <v/>
      </c>
      <c r="N963" s="48">
        <f>IF($F963="","",IFERROR(INDEX(사건마스터!$AL$5:$AL$64,MATCH($F963,사건마스터!$A$5:$A$64,0)),""))</f>
        <v/>
      </c>
      <c r="O963" s="43">
        <f>IF($I963="","",COUNTIF($I963:$N963,"?*"))</f>
        <v/>
      </c>
      <c r="P963" s="46">
        <f>IF($I963="","",_xlfn.TEXTJOIN(", ",TRUE,$I963:$N963))</f>
        <v/>
      </c>
      <c r="Q963" s="47">
        <f>IF($I963="","",IFERROR(INDEX(코드설정!$D$5:$D$24,MATCH($I963,코드설정!$C$5:$C$24,0)),""))</f>
        <v/>
      </c>
      <c r="R963" s="49" t="n"/>
      <c r="S963" s="50" t="n"/>
      <c r="T963" s="51" t="n"/>
      <c r="U963" s="43">
        <f>IF(OR($B963="",$C963=""),"",$C963-$B963+1)</f>
        <v/>
      </c>
      <c r="V963" s="52" t="n"/>
      <c r="W963" s="53">
        <f>IF(OR($V963="",$O963=""),"",$V963*$O963)</f>
        <v/>
      </c>
      <c r="X963" s="45" t="n"/>
      <c r="Y963" s="49" t="n"/>
    </row>
    <row r="964">
      <c r="A964" s="43">
        <f>IF($B964="","",COUNT($B$5:$B964))</f>
        <v/>
      </c>
      <c r="B964" s="44" t="n"/>
      <c r="C964" s="44" t="n"/>
      <c r="D964" s="45" t="n"/>
      <c r="E964" s="45" t="n"/>
      <c r="F964" s="45" t="n"/>
      <c r="G964" s="46">
        <f>IF($F964="","",IFERROR(INDEX(사건마스터!$B$5:$B$64,MATCH($F964,사건마스터!$A$5:$A$64,0)),""))</f>
        <v/>
      </c>
      <c r="H964" s="47">
        <f>IF($F964="","",IFERROR(INDEX(사건마스터!$C$5:$C$64,MATCH($F964,사건마스터!$A$5:$A$64,0)),""))</f>
        <v/>
      </c>
      <c r="I964" s="48">
        <f>IF($F964="","",IFERROR(INDEX(사건마스터!$H$5:$H$64,MATCH($F964,사건마스터!$A$5:$A$64,0)),""))</f>
        <v/>
      </c>
      <c r="J964" s="48">
        <f>IF($F964="","",IFERROR(INDEX(사건마스터!$AH$5:$AH$64,MATCH($F964,사건마스터!$A$5:$A$64,0)),""))</f>
        <v/>
      </c>
      <c r="K964" s="48">
        <f>IF($F964="","",IFERROR(INDEX(사건마스터!$AI$5:$AI$64,MATCH($F964,사건마스터!$A$5:$A$64,0)),""))</f>
        <v/>
      </c>
      <c r="L964" s="48">
        <f>IF($F964="","",IFERROR(INDEX(사건마스터!$AJ$5:$AJ$64,MATCH($F964,사건마스터!$A$5:$A$64,0)),""))</f>
        <v/>
      </c>
      <c r="M964" s="48">
        <f>IF($F964="","",IFERROR(INDEX(사건마스터!$AK$5:$AK$64,MATCH($F964,사건마스터!$A$5:$A$64,0)),""))</f>
        <v/>
      </c>
      <c r="N964" s="48">
        <f>IF($F964="","",IFERROR(INDEX(사건마스터!$AL$5:$AL$64,MATCH($F964,사건마스터!$A$5:$A$64,0)),""))</f>
        <v/>
      </c>
      <c r="O964" s="43">
        <f>IF($I964="","",COUNTIF($I964:$N964,"?*"))</f>
        <v/>
      </c>
      <c r="P964" s="46">
        <f>IF($I964="","",_xlfn.TEXTJOIN(", ",TRUE,$I964:$N964))</f>
        <v/>
      </c>
      <c r="Q964" s="47">
        <f>IF($I964="","",IFERROR(INDEX(코드설정!$D$5:$D$24,MATCH($I964,코드설정!$C$5:$C$24,0)),""))</f>
        <v/>
      </c>
      <c r="R964" s="49" t="n"/>
      <c r="S964" s="50" t="n"/>
      <c r="T964" s="51" t="n"/>
      <c r="U964" s="43">
        <f>IF(OR($B964="",$C964=""),"",$C964-$B964+1)</f>
        <v/>
      </c>
      <c r="V964" s="52" t="n"/>
      <c r="W964" s="53">
        <f>IF(OR($V964="",$O964=""),"",$V964*$O964)</f>
        <v/>
      </c>
      <c r="X964" s="45" t="n"/>
      <c r="Y964" s="49" t="n"/>
    </row>
    <row r="965">
      <c r="A965" s="43">
        <f>IF($B965="","",COUNT($B$5:$B965))</f>
        <v/>
      </c>
      <c r="B965" s="44" t="n"/>
      <c r="C965" s="44" t="n"/>
      <c r="D965" s="45" t="n"/>
      <c r="E965" s="45" t="n"/>
      <c r="F965" s="45" t="n"/>
      <c r="G965" s="46">
        <f>IF($F965="","",IFERROR(INDEX(사건마스터!$B$5:$B$64,MATCH($F965,사건마스터!$A$5:$A$64,0)),""))</f>
        <v/>
      </c>
      <c r="H965" s="47">
        <f>IF($F965="","",IFERROR(INDEX(사건마스터!$C$5:$C$64,MATCH($F965,사건마스터!$A$5:$A$64,0)),""))</f>
        <v/>
      </c>
      <c r="I965" s="48">
        <f>IF($F965="","",IFERROR(INDEX(사건마스터!$H$5:$H$64,MATCH($F965,사건마스터!$A$5:$A$64,0)),""))</f>
        <v/>
      </c>
      <c r="J965" s="48">
        <f>IF($F965="","",IFERROR(INDEX(사건마스터!$AH$5:$AH$64,MATCH($F965,사건마스터!$A$5:$A$64,0)),""))</f>
        <v/>
      </c>
      <c r="K965" s="48">
        <f>IF($F965="","",IFERROR(INDEX(사건마스터!$AI$5:$AI$64,MATCH($F965,사건마스터!$A$5:$A$64,0)),""))</f>
        <v/>
      </c>
      <c r="L965" s="48">
        <f>IF($F965="","",IFERROR(INDEX(사건마스터!$AJ$5:$AJ$64,MATCH($F965,사건마스터!$A$5:$A$64,0)),""))</f>
        <v/>
      </c>
      <c r="M965" s="48">
        <f>IF($F965="","",IFERROR(INDEX(사건마스터!$AK$5:$AK$64,MATCH($F965,사건마스터!$A$5:$A$64,0)),""))</f>
        <v/>
      </c>
      <c r="N965" s="48">
        <f>IF($F965="","",IFERROR(INDEX(사건마스터!$AL$5:$AL$64,MATCH($F965,사건마스터!$A$5:$A$64,0)),""))</f>
        <v/>
      </c>
      <c r="O965" s="43">
        <f>IF($I965="","",COUNTIF($I965:$N965,"?*"))</f>
        <v/>
      </c>
      <c r="P965" s="46">
        <f>IF($I965="","",_xlfn.TEXTJOIN(", ",TRUE,$I965:$N965))</f>
        <v/>
      </c>
      <c r="Q965" s="47">
        <f>IF($I965="","",IFERROR(INDEX(코드설정!$D$5:$D$24,MATCH($I965,코드설정!$C$5:$C$24,0)),""))</f>
        <v/>
      </c>
      <c r="R965" s="49" t="n"/>
      <c r="S965" s="50" t="n"/>
      <c r="T965" s="51" t="n"/>
      <c r="U965" s="43">
        <f>IF(OR($B965="",$C965=""),"",$C965-$B965+1)</f>
        <v/>
      </c>
      <c r="V965" s="52" t="n"/>
      <c r="W965" s="53">
        <f>IF(OR($V965="",$O965=""),"",$V965*$O965)</f>
        <v/>
      </c>
      <c r="X965" s="45" t="n"/>
      <c r="Y965" s="49" t="n"/>
    </row>
    <row r="966">
      <c r="A966" s="43">
        <f>IF($B966="","",COUNT($B$5:$B966))</f>
        <v/>
      </c>
      <c r="B966" s="44" t="n"/>
      <c r="C966" s="44" t="n"/>
      <c r="D966" s="45" t="n"/>
      <c r="E966" s="45" t="n"/>
      <c r="F966" s="45" t="n"/>
      <c r="G966" s="46">
        <f>IF($F966="","",IFERROR(INDEX(사건마스터!$B$5:$B$64,MATCH($F966,사건마스터!$A$5:$A$64,0)),""))</f>
        <v/>
      </c>
      <c r="H966" s="47">
        <f>IF($F966="","",IFERROR(INDEX(사건마스터!$C$5:$C$64,MATCH($F966,사건마스터!$A$5:$A$64,0)),""))</f>
        <v/>
      </c>
      <c r="I966" s="48">
        <f>IF($F966="","",IFERROR(INDEX(사건마스터!$H$5:$H$64,MATCH($F966,사건마스터!$A$5:$A$64,0)),""))</f>
        <v/>
      </c>
      <c r="J966" s="48">
        <f>IF($F966="","",IFERROR(INDEX(사건마스터!$AH$5:$AH$64,MATCH($F966,사건마스터!$A$5:$A$64,0)),""))</f>
        <v/>
      </c>
      <c r="K966" s="48">
        <f>IF($F966="","",IFERROR(INDEX(사건마스터!$AI$5:$AI$64,MATCH($F966,사건마스터!$A$5:$A$64,0)),""))</f>
        <v/>
      </c>
      <c r="L966" s="48">
        <f>IF($F966="","",IFERROR(INDEX(사건마스터!$AJ$5:$AJ$64,MATCH($F966,사건마스터!$A$5:$A$64,0)),""))</f>
        <v/>
      </c>
      <c r="M966" s="48">
        <f>IF($F966="","",IFERROR(INDEX(사건마스터!$AK$5:$AK$64,MATCH($F966,사건마스터!$A$5:$A$64,0)),""))</f>
        <v/>
      </c>
      <c r="N966" s="48">
        <f>IF($F966="","",IFERROR(INDEX(사건마스터!$AL$5:$AL$64,MATCH($F966,사건마스터!$A$5:$A$64,0)),""))</f>
        <v/>
      </c>
      <c r="O966" s="43">
        <f>IF($I966="","",COUNTIF($I966:$N966,"?*"))</f>
        <v/>
      </c>
      <c r="P966" s="46">
        <f>IF($I966="","",_xlfn.TEXTJOIN(", ",TRUE,$I966:$N966))</f>
        <v/>
      </c>
      <c r="Q966" s="47">
        <f>IF($I966="","",IFERROR(INDEX(코드설정!$D$5:$D$24,MATCH($I966,코드설정!$C$5:$C$24,0)),""))</f>
        <v/>
      </c>
      <c r="R966" s="49" t="n"/>
      <c r="S966" s="50" t="n"/>
      <c r="T966" s="51" t="n"/>
      <c r="U966" s="43">
        <f>IF(OR($B966="",$C966=""),"",$C966-$B966+1)</f>
        <v/>
      </c>
      <c r="V966" s="52" t="n"/>
      <c r="W966" s="53">
        <f>IF(OR($V966="",$O966=""),"",$V966*$O966)</f>
        <v/>
      </c>
      <c r="X966" s="45" t="n"/>
      <c r="Y966" s="49" t="n"/>
    </row>
    <row r="967">
      <c r="A967" s="43">
        <f>IF($B967="","",COUNT($B$5:$B967))</f>
        <v/>
      </c>
      <c r="B967" s="44" t="n"/>
      <c r="C967" s="44" t="n"/>
      <c r="D967" s="45" t="n"/>
      <c r="E967" s="45" t="n"/>
      <c r="F967" s="45" t="n"/>
      <c r="G967" s="46">
        <f>IF($F967="","",IFERROR(INDEX(사건마스터!$B$5:$B$64,MATCH($F967,사건마스터!$A$5:$A$64,0)),""))</f>
        <v/>
      </c>
      <c r="H967" s="47">
        <f>IF($F967="","",IFERROR(INDEX(사건마스터!$C$5:$C$64,MATCH($F967,사건마스터!$A$5:$A$64,0)),""))</f>
        <v/>
      </c>
      <c r="I967" s="48">
        <f>IF($F967="","",IFERROR(INDEX(사건마스터!$H$5:$H$64,MATCH($F967,사건마스터!$A$5:$A$64,0)),""))</f>
        <v/>
      </c>
      <c r="J967" s="48">
        <f>IF($F967="","",IFERROR(INDEX(사건마스터!$AH$5:$AH$64,MATCH($F967,사건마스터!$A$5:$A$64,0)),""))</f>
        <v/>
      </c>
      <c r="K967" s="48">
        <f>IF($F967="","",IFERROR(INDEX(사건마스터!$AI$5:$AI$64,MATCH($F967,사건마스터!$A$5:$A$64,0)),""))</f>
        <v/>
      </c>
      <c r="L967" s="48">
        <f>IF($F967="","",IFERROR(INDEX(사건마스터!$AJ$5:$AJ$64,MATCH($F967,사건마스터!$A$5:$A$64,0)),""))</f>
        <v/>
      </c>
      <c r="M967" s="48">
        <f>IF($F967="","",IFERROR(INDEX(사건마스터!$AK$5:$AK$64,MATCH($F967,사건마스터!$A$5:$A$64,0)),""))</f>
        <v/>
      </c>
      <c r="N967" s="48">
        <f>IF($F967="","",IFERROR(INDEX(사건마스터!$AL$5:$AL$64,MATCH($F967,사건마스터!$A$5:$A$64,0)),""))</f>
        <v/>
      </c>
      <c r="O967" s="43">
        <f>IF($I967="","",COUNTIF($I967:$N967,"?*"))</f>
        <v/>
      </c>
      <c r="P967" s="46">
        <f>IF($I967="","",_xlfn.TEXTJOIN(", ",TRUE,$I967:$N967))</f>
        <v/>
      </c>
      <c r="Q967" s="47">
        <f>IF($I967="","",IFERROR(INDEX(코드설정!$D$5:$D$24,MATCH($I967,코드설정!$C$5:$C$24,0)),""))</f>
        <v/>
      </c>
      <c r="R967" s="49" t="n"/>
      <c r="S967" s="50" t="n"/>
      <c r="T967" s="51" t="n"/>
      <c r="U967" s="43">
        <f>IF(OR($B967="",$C967=""),"",$C967-$B967+1)</f>
        <v/>
      </c>
      <c r="V967" s="52" t="n"/>
      <c r="W967" s="53">
        <f>IF(OR($V967="",$O967=""),"",$V967*$O967)</f>
        <v/>
      </c>
      <c r="X967" s="45" t="n"/>
      <c r="Y967" s="49" t="n"/>
    </row>
    <row r="968">
      <c r="A968" s="43">
        <f>IF($B968="","",COUNT($B$5:$B968))</f>
        <v/>
      </c>
      <c r="B968" s="44" t="n"/>
      <c r="C968" s="44" t="n"/>
      <c r="D968" s="45" t="n"/>
      <c r="E968" s="45" t="n"/>
      <c r="F968" s="45" t="n"/>
      <c r="G968" s="46">
        <f>IF($F968="","",IFERROR(INDEX(사건마스터!$B$5:$B$64,MATCH($F968,사건마스터!$A$5:$A$64,0)),""))</f>
        <v/>
      </c>
      <c r="H968" s="47">
        <f>IF($F968="","",IFERROR(INDEX(사건마스터!$C$5:$C$64,MATCH($F968,사건마스터!$A$5:$A$64,0)),""))</f>
        <v/>
      </c>
      <c r="I968" s="48">
        <f>IF($F968="","",IFERROR(INDEX(사건마스터!$H$5:$H$64,MATCH($F968,사건마스터!$A$5:$A$64,0)),""))</f>
        <v/>
      </c>
      <c r="J968" s="48">
        <f>IF($F968="","",IFERROR(INDEX(사건마스터!$AH$5:$AH$64,MATCH($F968,사건마스터!$A$5:$A$64,0)),""))</f>
        <v/>
      </c>
      <c r="K968" s="48">
        <f>IF($F968="","",IFERROR(INDEX(사건마스터!$AI$5:$AI$64,MATCH($F968,사건마스터!$A$5:$A$64,0)),""))</f>
        <v/>
      </c>
      <c r="L968" s="48">
        <f>IF($F968="","",IFERROR(INDEX(사건마스터!$AJ$5:$AJ$64,MATCH($F968,사건마스터!$A$5:$A$64,0)),""))</f>
        <v/>
      </c>
      <c r="M968" s="48">
        <f>IF($F968="","",IFERROR(INDEX(사건마스터!$AK$5:$AK$64,MATCH($F968,사건마스터!$A$5:$A$64,0)),""))</f>
        <v/>
      </c>
      <c r="N968" s="48">
        <f>IF($F968="","",IFERROR(INDEX(사건마스터!$AL$5:$AL$64,MATCH($F968,사건마스터!$A$5:$A$64,0)),""))</f>
        <v/>
      </c>
      <c r="O968" s="43">
        <f>IF($I968="","",COUNTIF($I968:$N968,"?*"))</f>
        <v/>
      </c>
      <c r="P968" s="46">
        <f>IF($I968="","",_xlfn.TEXTJOIN(", ",TRUE,$I968:$N968))</f>
        <v/>
      </c>
      <c r="Q968" s="47">
        <f>IF($I968="","",IFERROR(INDEX(코드설정!$D$5:$D$24,MATCH($I968,코드설정!$C$5:$C$24,0)),""))</f>
        <v/>
      </c>
      <c r="R968" s="49" t="n"/>
      <c r="S968" s="50" t="n"/>
      <c r="T968" s="51" t="n"/>
      <c r="U968" s="43">
        <f>IF(OR($B968="",$C968=""),"",$C968-$B968+1)</f>
        <v/>
      </c>
      <c r="V968" s="52" t="n"/>
      <c r="W968" s="53">
        <f>IF(OR($V968="",$O968=""),"",$V968*$O968)</f>
        <v/>
      </c>
      <c r="X968" s="45" t="n"/>
      <c r="Y968" s="49" t="n"/>
    </row>
    <row r="969">
      <c r="A969" s="43">
        <f>IF($B969="","",COUNT($B$5:$B969))</f>
        <v/>
      </c>
      <c r="B969" s="44" t="n"/>
      <c r="C969" s="44" t="n"/>
      <c r="D969" s="45" t="n"/>
      <c r="E969" s="45" t="n"/>
      <c r="F969" s="45" t="n"/>
      <c r="G969" s="46">
        <f>IF($F969="","",IFERROR(INDEX(사건마스터!$B$5:$B$64,MATCH($F969,사건마스터!$A$5:$A$64,0)),""))</f>
        <v/>
      </c>
      <c r="H969" s="47">
        <f>IF($F969="","",IFERROR(INDEX(사건마스터!$C$5:$C$64,MATCH($F969,사건마스터!$A$5:$A$64,0)),""))</f>
        <v/>
      </c>
      <c r="I969" s="48">
        <f>IF($F969="","",IFERROR(INDEX(사건마스터!$H$5:$H$64,MATCH($F969,사건마스터!$A$5:$A$64,0)),""))</f>
        <v/>
      </c>
      <c r="J969" s="48">
        <f>IF($F969="","",IFERROR(INDEX(사건마스터!$AH$5:$AH$64,MATCH($F969,사건마스터!$A$5:$A$64,0)),""))</f>
        <v/>
      </c>
      <c r="K969" s="48">
        <f>IF($F969="","",IFERROR(INDEX(사건마스터!$AI$5:$AI$64,MATCH($F969,사건마스터!$A$5:$A$64,0)),""))</f>
        <v/>
      </c>
      <c r="L969" s="48">
        <f>IF($F969="","",IFERROR(INDEX(사건마스터!$AJ$5:$AJ$64,MATCH($F969,사건마스터!$A$5:$A$64,0)),""))</f>
        <v/>
      </c>
      <c r="M969" s="48">
        <f>IF($F969="","",IFERROR(INDEX(사건마스터!$AK$5:$AK$64,MATCH($F969,사건마스터!$A$5:$A$64,0)),""))</f>
        <v/>
      </c>
      <c r="N969" s="48">
        <f>IF($F969="","",IFERROR(INDEX(사건마스터!$AL$5:$AL$64,MATCH($F969,사건마스터!$A$5:$A$64,0)),""))</f>
        <v/>
      </c>
      <c r="O969" s="43">
        <f>IF($I969="","",COUNTIF($I969:$N969,"?*"))</f>
        <v/>
      </c>
      <c r="P969" s="46">
        <f>IF($I969="","",_xlfn.TEXTJOIN(", ",TRUE,$I969:$N969))</f>
        <v/>
      </c>
      <c r="Q969" s="47">
        <f>IF($I969="","",IFERROR(INDEX(코드설정!$D$5:$D$24,MATCH($I969,코드설정!$C$5:$C$24,0)),""))</f>
        <v/>
      </c>
      <c r="R969" s="49" t="n"/>
      <c r="S969" s="50" t="n"/>
      <c r="T969" s="51" t="n"/>
      <c r="U969" s="43">
        <f>IF(OR($B969="",$C969=""),"",$C969-$B969+1)</f>
        <v/>
      </c>
      <c r="V969" s="52" t="n"/>
      <c r="W969" s="53">
        <f>IF(OR($V969="",$O969=""),"",$V969*$O969)</f>
        <v/>
      </c>
      <c r="X969" s="45" t="n"/>
      <c r="Y969" s="49" t="n"/>
    </row>
    <row r="970">
      <c r="A970" s="43">
        <f>IF($B970="","",COUNT($B$5:$B970))</f>
        <v/>
      </c>
      <c r="B970" s="44" t="n"/>
      <c r="C970" s="44" t="n"/>
      <c r="D970" s="45" t="n"/>
      <c r="E970" s="45" t="n"/>
      <c r="F970" s="45" t="n"/>
      <c r="G970" s="46">
        <f>IF($F970="","",IFERROR(INDEX(사건마스터!$B$5:$B$64,MATCH($F970,사건마스터!$A$5:$A$64,0)),""))</f>
        <v/>
      </c>
      <c r="H970" s="47">
        <f>IF($F970="","",IFERROR(INDEX(사건마스터!$C$5:$C$64,MATCH($F970,사건마스터!$A$5:$A$64,0)),""))</f>
        <v/>
      </c>
      <c r="I970" s="48">
        <f>IF($F970="","",IFERROR(INDEX(사건마스터!$H$5:$H$64,MATCH($F970,사건마스터!$A$5:$A$64,0)),""))</f>
        <v/>
      </c>
      <c r="J970" s="48">
        <f>IF($F970="","",IFERROR(INDEX(사건마스터!$AH$5:$AH$64,MATCH($F970,사건마스터!$A$5:$A$64,0)),""))</f>
        <v/>
      </c>
      <c r="K970" s="48">
        <f>IF($F970="","",IFERROR(INDEX(사건마스터!$AI$5:$AI$64,MATCH($F970,사건마스터!$A$5:$A$64,0)),""))</f>
        <v/>
      </c>
      <c r="L970" s="48">
        <f>IF($F970="","",IFERROR(INDEX(사건마스터!$AJ$5:$AJ$64,MATCH($F970,사건마스터!$A$5:$A$64,0)),""))</f>
        <v/>
      </c>
      <c r="M970" s="48">
        <f>IF($F970="","",IFERROR(INDEX(사건마스터!$AK$5:$AK$64,MATCH($F970,사건마스터!$A$5:$A$64,0)),""))</f>
        <v/>
      </c>
      <c r="N970" s="48">
        <f>IF($F970="","",IFERROR(INDEX(사건마스터!$AL$5:$AL$64,MATCH($F970,사건마스터!$A$5:$A$64,0)),""))</f>
        <v/>
      </c>
      <c r="O970" s="43">
        <f>IF($I970="","",COUNTIF($I970:$N970,"?*"))</f>
        <v/>
      </c>
      <c r="P970" s="46">
        <f>IF($I970="","",_xlfn.TEXTJOIN(", ",TRUE,$I970:$N970))</f>
        <v/>
      </c>
      <c r="Q970" s="47">
        <f>IF($I970="","",IFERROR(INDEX(코드설정!$D$5:$D$24,MATCH($I970,코드설정!$C$5:$C$24,0)),""))</f>
        <v/>
      </c>
      <c r="R970" s="49" t="n"/>
      <c r="S970" s="50" t="n"/>
      <c r="T970" s="51" t="n"/>
      <c r="U970" s="43">
        <f>IF(OR($B970="",$C970=""),"",$C970-$B970+1)</f>
        <v/>
      </c>
      <c r="V970" s="52" t="n"/>
      <c r="W970" s="53">
        <f>IF(OR($V970="",$O970=""),"",$V970*$O970)</f>
        <v/>
      </c>
      <c r="X970" s="45" t="n"/>
      <c r="Y970" s="49" t="n"/>
    </row>
    <row r="971">
      <c r="A971" s="43">
        <f>IF($B971="","",COUNT($B$5:$B971))</f>
        <v/>
      </c>
      <c r="B971" s="44" t="n"/>
      <c r="C971" s="44" t="n"/>
      <c r="D971" s="45" t="n"/>
      <c r="E971" s="45" t="n"/>
      <c r="F971" s="45" t="n"/>
      <c r="G971" s="46">
        <f>IF($F971="","",IFERROR(INDEX(사건마스터!$B$5:$B$64,MATCH($F971,사건마스터!$A$5:$A$64,0)),""))</f>
        <v/>
      </c>
      <c r="H971" s="47">
        <f>IF($F971="","",IFERROR(INDEX(사건마스터!$C$5:$C$64,MATCH($F971,사건마스터!$A$5:$A$64,0)),""))</f>
        <v/>
      </c>
      <c r="I971" s="48">
        <f>IF($F971="","",IFERROR(INDEX(사건마스터!$H$5:$H$64,MATCH($F971,사건마스터!$A$5:$A$64,0)),""))</f>
        <v/>
      </c>
      <c r="J971" s="48">
        <f>IF($F971="","",IFERROR(INDEX(사건마스터!$AH$5:$AH$64,MATCH($F971,사건마스터!$A$5:$A$64,0)),""))</f>
        <v/>
      </c>
      <c r="K971" s="48">
        <f>IF($F971="","",IFERROR(INDEX(사건마스터!$AI$5:$AI$64,MATCH($F971,사건마스터!$A$5:$A$64,0)),""))</f>
        <v/>
      </c>
      <c r="L971" s="48">
        <f>IF($F971="","",IFERROR(INDEX(사건마스터!$AJ$5:$AJ$64,MATCH($F971,사건마스터!$A$5:$A$64,0)),""))</f>
        <v/>
      </c>
      <c r="M971" s="48">
        <f>IF($F971="","",IFERROR(INDEX(사건마스터!$AK$5:$AK$64,MATCH($F971,사건마스터!$A$5:$A$64,0)),""))</f>
        <v/>
      </c>
      <c r="N971" s="48">
        <f>IF($F971="","",IFERROR(INDEX(사건마스터!$AL$5:$AL$64,MATCH($F971,사건마스터!$A$5:$A$64,0)),""))</f>
        <v/>
      </c>
      <c r="O971" s="43">
        <f>IF($I971="","",COUNTIF($I971:$N971,"?*"))</f>
        <v/>
      </c>
      <c r="P971" s="46">
        <f>IF($I971="","",_xlfn.TEXTJOIN(", ",TRUE,$I971:$N971))</f>
        <v/>
      </c>
      <c r="Q971" s="47">
        <f>IF($I971="","",IFERROR(INDEX(코드설정!$D$5:$D$24,MATCH($I971,코드설정!$C$5:$C$24,0)),""))</f>
        <v/>
      </c>
      <c r="R971" s="49" t="n"/>
      <c r="S971" s="50" t="n"/>
      <c r="T971" s="51" t="n"/>
      <c r="U971" s="43">
        <f>IF(OR($B971="",$C971=""),"",$C971-$B971+1)</f>
        <v/>
      </c>
      <c r="V971" s="52" t="n"/>
      <c r="W971" s="53">
        <f>IF(OR($V971="",$O971=""),"",$V971*$O971)</f>
        <v/>
      </c>
      <c r="X971" s="45" t="n"/>
      <c r="Y971" s="49" t="n"/>
    </row>
    <row r="972">
      <c r="A972" s="43">
        <f>IF($B972="","",COUNT($B$5:$B972))</f>
        <v/>
      </c>
      <c r="B972" s="44" t="n"/>
      <c r="C972" s="44" t="n"/>
      <c r="D972" s="45" t="n"/>
      <c r="E972" s="45" t="n"/>
      <c r="F972" s="45" t="n"/>
      <c r="G972" s="46">
        <f>IF($F972="","",IFERROR(INDEX(사건마스터!$B$5:$B$64,MATCH($F972,사건마스터!$A$5:$A$64,0)),""))</f>
        <v/>
      </c>
      <c r="H972" s="47">
        <f>IF($F972="","",IFERROR(INDEX(사건마스터!$C$5:$C$64,MATCH($F972,사건마스터!$A$5:$A$64,0)),""))</f>
        <v/>
      </c>
      <c r="I972" s="48">
        <f>IF($F972="","",IFERROR(INDEX(사건마스터!$H$5:$H$64,MATCH($F972,사건마스터!$A$5:$A$64,0)),""))</f>
        <v/>
      </c>
      <c r="J972" s="48">
        <f>IF($F972="","",IFERROR(INDEX(사건마스터!$AH$5:$AH$64,MATCH($F972,사건마스터!$A$5:$A$64,0)),""))</f>
        <v/>
      </c>
      <c r="K972" s="48">
        <f>IF($F972="","",IFERROR(INDEX(사건마스터!$AI$5:$AI$64,MATCH($F972,사건마스터!$A$5:$A$64,0)),""))</f>
        <v/>
      </c>
      <c r="L972" s="48">
        <f>IF($F972="","",IFERROR(INDEX(사건마스터!$AJ$5:$AJ$64,MATCH($F972,사건마스터!$A$5:$A$64,0)),""))</f>
        <v/>
      </c>
      <c r="M972" s="48">
        <f>IF($F972="","",IFERROR(INDEX(사건마스터!$AK$5:$AK$64,MATCH($F972,사건마스터!$A$5:$A$64,0)),""))</f>
        <v/>
      </c>
      <c r="N972" s="48">
        <f>IF($F972="","",IFERROR(INDEX(사건마스터!$AL$5:$AL$64,MATCH($F972,사건마스터!$A$5:$A$64,0)),""))</f>
        <v/>
      </c>
      <c r="O972" s="43">
        <f>IF($I972="","",COUNTIF($I972:$N972,"?*"))</f>
        <v/>
      </c>
      <c r="P972" s="46">
        <f>IF($I972="","",_xlfn.TEXTJOIN(", ",TRUE,$I972:$N972))</f>
        <v/>
      </c>
      <c r="Q972" s="47">
        <f>IF($I972="","",IFERROR(INDEX(코드설정!$D$5:$D$24,MATCH($I972,코드설정!$C$5:$C$24,0)),""))</f>
        <v/>
      </c>
      <c r="R972" s="49" t="n"/>
      <c r="S972" s="50" t="n"/>
      <c r="T972" s="51" t="n"/>
      <c r="U972" s="43">
        <f>IF(OR($B972="",$C972=""),"",$C972-$B972+1)</f>
        <v/>
      </c>
      <c r="V972" s="52" t="n"/>
      <c r="W972" s="53">
        <f>IF(OR($V972="",$O972=""),"",$V972*$O972)</f>
        <v/>
      </c>
      <c r="X972" s="45" t="n"/>
      <c r="Y972" s="49" t="n"/>
    </row>
    <row r="973">
      <c r="A973" s="43">
        <f>IF($B973="","",COUNT($B$5:$B973))</f>
        <v/>
      </c>
      <c r="B973" s="44" t="n"/>
      <c r="C973" s="44" t="n"/>
      <c r="D973" s="45" t="n"/>
      <c r="E973" s="45" t="n"/>
      <c r="F973" s="45" t="n"/>
      <c r="G973" s="46">
        <f>IF($F973="","",IFERROR(INDEX(사건마스터!$B$5:$B$64,MATCH($F973,사건마스터!$A$5:$A$64,0)),""))</f>
        <v/>
      </c>
      <c r="H973" s="47">
        <f>IF($F973="","",IFERROR(INDEX(사건마스터!$C$5:$C$64,MATCH($F973,사건마스터!$A$5:$A$64,0)),""))</f>
        <v/>
      </c>
      <c r="I973" s="48">
        <f>IF($F973="","",IFERROR(INDEX(사건마스터!$H$5:$H$64,MATCH($F973,사건마스터!$A$5:$A$64,0)),""))</f>
        <v/>
      </c>
      <c r="J973" s="48">
        <f>IF($F973="","",IFERROR(INDEX(사건마스터!$AH$5:$AH$64,MATCH($F973,사건마스터!$A$5:$A$64,0)),""))</f>
        <v/>
      </c>
      <c r="K973" s="48">
        <f>IF($F973="","",IFERROR(INDEX(사건마스터!$AI$5:$AI$64,MATCH($F973,사건마스터!$A$5:$A$64,0)),""))</f>
        <v/>
      </c>
      <c r="L973" s="48">
        <f>IF($F973="","",IFERROR(INDEX(사건마스터!$AJ$5:$AJ$64,MATCH($F973,사건마스터!$A$5:$A$64,0)),""))</f>
        <v/>
      </c>
      <c r="M973" s="48">
        <f>IF($F973="","",IFERROR(INDEX(사건마스터!$AK$5:$AK$64,MATCH($F973,사건마스터!$A$5:$A$64,0)),""))</f>
        <v/>
      </c>
      <c r="N973" s="48">
        <f>IF($F973="","",IFERROR(INDEX(사건마스터!$AL$5:$AL$64,MATCH($F973,사건마스터!$A$5:$A$64,0)),""))</f>
        <v/>
      </c>
      <c r="O973" s="43">
        <f>IF($I973="","",COUNTIF($I973:$N973,"?*"))</f>
        <v/>
      </c>
      <c r="P973" s="46">
        <f>IF($I973="","",_xlfn.TEXTJOIN(", ",TRUE,$I973:$N973))</f>
        <v/>
      </c>
      <c r="Q973" s="47">
        <f>IF($I973="","",IFERROR(INDEX(코드설정!$D$5:$D$24,MATCH($I973,코드설정!$C$5:$C$24,0)),""))</f>
        <v/>
      </c>
      <c r="R973" s="49" t="n"/>
      <c r="S973" s="50" t="n"/>
      <c r="T973" s="51" t="n"/>
      <c r="U973" s="43">
        <f>IF(OR($B973="",$C973=""),"",$C973-$B973+1)</f>
        <v/>
      </c>
      <c r="V973" s="52" t="n"/>
      <c r="W973" s="53">
        <f>IF(OR($V973="",$O973=""),"",$V973*$O973)</f>
        <v/>
      </c>
      <c r="X973" s="45" t="n"/>
      <c r="Y973" s="49" t="n"/>
    </row>
    <row r="974">
      <c r="A974" s="43">
        <f>IF($B974="","",COUNT($B$5:$B974))</f>
        <v/>
      </c>
      <c r="B974" s="44" t="n"/>
      <c r="C974" s="44" t="n"/>
      <c r="D974" s="45" t="n"/>
      <c r="E974" s="45" t="n"/>
      <c r="F974" s="45" t="n"/>
      <c r="G974" s="46">
        <f>IF($F974="","",IFERROR(INDEX(사건마스터!$B$5:$B$64,MATCH($F974,사건마스터!$A$5:$A$64,0)),""))</f>
        <v/>
      </c>
      <c r="H974" s="47">
        <f>IF($F974="","",IFERROR(INDEX(사건마스터!$C$5:$C$64,MATCH($F974,사건마스터!$A$5:$A$64,0)),""))</f>
        <v/>
      </c>
      <c r="I974" s="48">
        <f>IF($F974="","",IFERROR(INDEX(사건마스터!$H$5:$H$64,MATCH($F974,사건마스터!$A$5:$A$64,0)),""))</f>
        <v/>
      </c>
      <c r="J974" s="48">
        <f>IF($F974="","",IFERROR(INDEX(사건마스터!$AH$5:$AH$64,MATCH($F974,사건마스터!$A$5:$A$64,0)),""))</f>
        <v/>
      </c>
      <c r="K974" s="48">
        <f>IF($F974="","",IFERROR(INDEX(사건마스터!$AI$5:$AI$64,MATCH($F974,사건마스터!$A$5:$A$64,0)),""))</f>
        <v/>
      </c>
      <c r="L974" s="48">
        <f>IF($F974="","",IFERROR(INDEX(사건마스터!$AJ$5:$AJ$64,MATCH($F974,사건마스터!$A$5:$A$64,0)),""))</f>
        <v/>
      </c>
      <c r="M974" s="48">
        <f>IF($F974="","",IFERROR(INDEX(사건마스터!$AK$5:$AK$64,MATCH($F974,사건마스터!$A$5:$A$64,0)),""))</f>
        <v/>
      </c>
      <c r="N974" s="48">
        <f>IF($F974="","",IFERROR(INDEX(사건마스터!$AL$5:$AL$64,MATCH($F974,사건마스터!$A$5:$A$64,0)),""))</f>
        <v/>
      </c>
      <c r="O974" s="43">
        <f>IF($I974="","",COUNTIF($I974:$N974,"?*"))</f>
        <v/>
      </c>
      <c r="P974" s="46">
        <f>IF($I974="","",_xlfn.TEXTJOIN(", ",TRUE,$I974:$N974))</f>
        <v/>
      </c>
      <c r="Q974" s="47">
        <f>IF($I974="","",IFERROR(INDEX(코드설정!$D$5:$D$24,MATCH($I974,코드설정!$C$5:$C$24,0)),""))</f>
        <v/>
      </c>
      <c r="R974" s="49" t="n"/>
      <c r="S974" s="50" t="n"/>
      <c r="T974" s="51" t="n"/>
      <c r="U974" s="43">
        <f>IF(OR($B974="",$C974=""),"",$C974-$B974+1)</f>
        <v/>
      </c>
      <c r="V974" s="52" t="n"/>
      <c r="W974" s="53">
        <f>IF(OR($V974="",$O974=""),"",$V974*$O974)</f>
        <v/>
      </c>
      <c r="X974" s="45" t="n"/>
      <c r="Y974" s="49" t="n"/>
    </row>
    <row r="975">
      <c r="A975" s="43">
        <f>IF($B975="","",COUNT($B$5:$B975))</f>
        <v/>
      </c>
      <c r="B975" s="44" t="n"/>
      <c r="C975" s="44" t="n"/>
      <c r="D975" s="45" t="n"/>
      <c r="E975" s="45" t="n"/>
      <c r="F975" s="45" t="n"/>
      <c r="G975" s="46">
        <f>IF($F975="","",IFERROR(INDEX(사건마스터!$B$5:$B$64,MATCH($F975,사건마스터!$A$5:$A$64,0)),""))</f>
        <v/>
      </c>
      <c r="H975" s="47">
        <f>IF($F975="","",IFERROR(INDEX(사건마스터!$C$5:$C$64,MATCH($F975,사건마스터!$A$5:$A$64,0)),""))</f>
        <v/>
      </c>
      <c r="I975" s="48">
        <f>IF($F975="","",IFERROR(INDEX(사건마스터!$H$5:$H$64,MATCH($F975,사건마스터!$A$5:$A$64,0)),""))</f>
        <v/>
      </c>
      <c r="J975" s="48">
        <f>IF($F975="","",IFERROR(INDEX(사건마스터!$AH$5:$AH$64,MATCH($F975,사건마스터!$A$5:$A$64,0)),""))</f>
        <v/>
      </c>
      <c r="K975" s="48">
        <f>IF($F975="","",IFERROR(INDEX(사건마스터!$AI$5:$AI$64,MATCH($F975,사건마스터!$A$5:$A$64,0)),""))</f>
        <v/>
      </c>
      <c r="L975" s="48">
        <f>IF($F975="","",IFERROR(INDEX(사건마스터!$AJ$5:$AJ$64,MATCH($F975,사건마스터!$A$5:$A$64,0)),""))</f>
        <v/>
      </c>
      <c r="M975" s="48">
        <f>IF($F975="","",IFERROR(INDEX(사건마스터!$AK$5:$AK$64,MATCH($F975,사건마스터!$A$5:$A$64,0)),""))</f>
        <v/>
      </c>
      <c r="N975" s="48">
        <f>IF($F975="","",IFERROR(INDEX(사건마스터!$AL$5:$AL$64,MATCH($F975,사건마스터!$A$5:$A$64,0)),""))</f>
        <v/>
      </c>
      <c r="O975" s="43">
        <f>IF($I975="","",COUNTIF($I975:$N975,"?*"))</f>
        <v/>
      </c>
      <c r="P975" s="46">
        <f>IF($I975="","",_xlfn.TEXTJOIN(", ",TRUE,$I975:$N975))</f>
        <v/>
      </c>
      <c r="Q975" s="47">
        <f>IF($I975="","",IFERROR(INDEX(코드설정!$D$5:$D$24,MATCH($I975,코드설정!$C$5:$C$24,0)),""))</f>
        <v/>
      </c>
      <c r="R975" s="49" t="n"/>
      <c r="S975" s="50" t="n"/>
      <c r="T975" s="51" t="n"/>
      <c r="U975" s="43">
        <f>IF(OR($B975="",$C975=""),"",$C975-$B975+1)</f>
        <v/>
      </c>
      <c r="V975" s="52" t="n"/>
      <c r="W975" s="53">
        <f>IF(OR($V975="",$O975=""),"",$V975*$O975)</f>
        <v/>
      </c>
      <c r="X975" s="45" t="n"/>
      <c r="Y975" s="49" t="n"/>
    </row>
    <row r="976">
      <c r="A976" s="43">
        <f>IF($B976="","",COUNT($B$5:$B976))</f>
        <v/>
      </c>
      <c r="B976" s="44" t="n"/>
      <c r="C976" s="44" t="n"/>
      <c r="D976" s="45" t="n"/>
      <c r="E976" s="45" t="n"/>
      <c r="F976" s="45" t="n"/>
      <c r="G976" s="46">
        <f>IF($F976="","",IFERROR(INDEX(사건마스터!$B$5:$B$64,MATCH($F976,사건마스터!$A$5:$A$64,0)),""))</f>
        <v/>
      </c>
      <c r="H976" s="47">
        <f>IF($F976="","",IFERROR(INDEX(사건마스터!$C$5:$C$64,MATCH($F976,사건마스터!$A$5:$A$64,0)),""))</f>
        <v/>
      </c>
      <c r="I976" s="48">
        <f>IF($F976="","",IFERROR(INDEX(사건마스터!$H$5:$H$64,MATCH($F976,사건마스터!$A$5:$A$64,0)),""))</f>
        <v/>
      </c>
      <c r="J976" s="48">
        <f>IF($F976="","",IFERROR(INDEX(사건마스터!$AH$5:$AH$64,MATCH($F976,사건마스터!$A$5:$A$64,0)),""))</f>
        <v/>
      </c>
      <c r="K976" s="48">
        <f>IF($F976="","",IFERROR(INDEX(사건마스터!$AI$5:$AI$64,MATCH($F976,사건마스터!$A$5:$A$64,0)),""))</f>
        <v/>
      </c>
      <c r="L976" s="48">
        <f>IF($F976="","",IFERROR(INDEX(사건마스터!$AJ$5:$AJ$64,MATCH($F976,사건마스터!$A$5:$A$64,0)),""))</f>
        <v/>
      </c>
      <c r="M976" s="48">
        <f>IF($F976="","",IFERROR(INDEX(사건마스터!$AK$5:$AK$64,MATCH($F976,사건마스터!$A$5:$A$64,0)),""))</f>
        <v/>
      </c>
      <c r="N976" s="48">
        <f>IF($F976="","",IFERROR(INDEX(사건마스터!$AL$5:$AL$64,MATCH($F976,사건마스터!$A$5:$A$64,0)),""))</f>
        <v/>
      </c>
      <c r="O976" s="43">
        <f>IF($I976="","",COUNTIF($I976:$N976,"?*"))</f>
        <v/>
      </c>
      <c r="P976" s="46">
        <f>IF($I976="","",_xlfn.TEXTJOIN(", ",TRUE,$I976:$N976))</f>
        <v/>
      </c>
      <c r="Q976" s="47">
        <f>IF($I976="","",IFERROR(INDEX(코드설정!$D$5:$D$24,MATCH($I976,코드설정!$C$5:$C$24,0)),""))</f>
        <v/>
      </c>
      <c r="R976" s="49" t="n"/>
      <c r="S976" s="50" t="n"/>
      <c r="T976" s="51" t="n"/>
      <c r="U976" s="43">
        <f>IF(OR($B976="",$C976=""),"",$C976-$B976+1)</f>
        <v/>
      </c>
      <c r="V976" s="52" t="n"/>
      <c r="W976" s="53">
        <f>IF(OR($V976="",$O976=""),"",$V976*$O976)</f>
        <v/>
      </c>
      <c r="X976" s="45" t="n"/>
      <c r="Y976" s="49" t="n"/>
    </row>
    <row r="977">
      <c r="A977" s="43">
        <f>IF($B977="","",COUNT($B$5:$B977))</f>
        <v/>
      </c>
      <c r="B977" s="44" t="n"/>
      <c r="C977" s="44" t="n"/>
      <c r="D977" s="45" t="n"/>
      <c r="E977" s="45" t="n"/>
      <c r="F977" s="45" t="n"/>
      <c r="G977" s="46">
        <f>IF($F977="","",IFERROR(INDEX(사건마스터!$B$5:$B$64,MATCH($F977,사건마스터!$A$5:$A$64,0)),""))</f>
        <v/>
      </c>
      <c r="H977" s="47">
        <f>IF($F977="","",IFERROR(INDEX(사건마스터!$C$5:$C$64,MATCH($F977,사건마스터!$A$5:$A$64,0)),""))</f>
        <v/>
      </c>
      <c r="I977" s="48">
        <f>IF($F977="","",IFERROR(INDEX(사건마스터!$H$5:$H$64,MATCH($F977,사건마스터!$A$5:$A$64,0)),""))</f>
        <v/>
      </c>
      <c r="J977" s="48">
        <f>IF($F977="","",IFERROR(INDEX(사건마스터!$AH$5:$AH$64,MATCH($F977,사건마스터!$A$5:$A$64,0)),""))</f>
        <v/>
      </c>
      <c r="K977" s="48">
        <f>IF($F977="","",IFERROR(INDEX(사건마스터!$AI$5:$AI$64,MATCH($F977,사건마스터!$A$5:$A$64,0)),""))</f>
        <v/>
      </c>
      <c r="L977" s="48">
        <f>IF($F977="","",IFERROR(INDEX(사건마스터!$AJ$5:$AJ$64,MATCH($F977,사건마스터!$A$5:$A$64,0)),""))</f>
        <v/>
      </c>
      <c r="M977" s="48">
        <f>IF($F977="","",IFERROR(INDEX(사건마스터!$AK$5:$AK$64,MATCH($F977,사건마스터!$A$5:$A$64,0)),""))</f>
        <v/>
      </c>
      <c r="N977" s="48">
        <f>IF($F977="","",IFERROR(INDEX(사건마스터!$AL$5:$AL$64,MATCH($F977,사건마스터!$A$5:$A$64,0)),""))</f>
        <v/>
      </c>
      <c r="O977" s="43">
        <f>IF($I977="","",COUNTIF($I977:$N977,"?*"))</f>
        <v/>
      </c>
      <c r="P977" s="46">
        <f>IF($I977="","",_xlfn.TEXTJOIN(", ",TRUE,$I977:$N977))</f>
        <v/>
      </c>
      <c r="Q977" s="47">
        <f>IF($I977="","",IFERROR(INDEX(코드설정!$D$5:$D$24,MATCH($I977,코드설정!$C$5:$C$24,0)),""))</f>
        <v/>
      </c>
      <c r="R977" s="49" t="n"/>
      <c r="S977" s="50" t="n"/>
      <c r="T977" s="51" t="n"/>
      <c r="U977" s="43">
        <f>IF(OR($B977="",$C977=""),"",$C977-$B977+1)</f>
        <v/>
      </c>
      <c r="V977" s="52" t="n"/>
      <c r="W977" s="53">
        <f>IF(OR($V977="",$O977=""),"",$V977*$O977)</f>
        <v/>
      </c>
      <c r="X977" s="45" t="n"/>
      <c r="Y977" s="49" t="n"/>
    </row>
    <row r="978">
      <c r="A978" s="43">
        <f>IF($B978="","",COUNT($B$5:$B978))</f>
        <v/>
      </c>
      <c r="B978" s="44" t="n"/>
      <c r="C978" s="44" t="n"/>
      <c r="D978" s="45" t="n"/>
      <c r="E978" s="45" t="n"/>
      <c r="F978" s="45" t="n"/>
      <c r="G978" s="46">
        <f>IF($F978="","",IFERROR(INDEX(사건마스터!$B$5:$B$64,MATCH($F978,사건마스터!$A$5:$A$64,0)),""))</f>
        <v/>
      </c>
      <c r="H978" s="47">
        <f>IF($F978="","",IFERROR(INDEX(사건마스터!$C$5:$C$64,MATCH($F978,사건마스터!$A$5:$A$64,0)),""))</f>
        <v/>
      </c>
      <c r="I978" s="48">
        <f>IF($F978="","",IFERROR(INDEX(사건마스터!$H$5:$H$64,MATCH($F978,사건마스터!$A$5:$A$64,0)),""))</f>
        <v/>
      </c>
      <c r="J978" s="48">
        <f>IF($F978="","",IFERROR(INDEX(사건마스터!$AH$5:$AH$64,MATCH($F978,사건마스터!$A$5:$A$64,0)),""))</f>
        <v/>
      </c>
      <c r="K978" s="48">
        <f>IF($F978="","",IFERROR(INDEX(사건마스터!$AI$5:$AI$64,MATCH($F978,사건마스터!$A$5:$A$64,0)),""))</f>
        <v/>
      </c>
      <c r="L978" s="48">
        <f>IF($F978="","",IFERROR(INDEX(사건마스터!$AJ$5:$AJ$64,MATCH($F978,사건마스터!$A$5:$A$64,0)),""))</f>
        <v/>
      </c>
      <c r="M978" s="48">
        <f>IF($F978="","",IFERROR(INDEX(사건마스터!$AK$5:$AK$64,MATCH($F978,사건마스터!$A$5:$A$64,0)),""))</f>
        <v/>
      </c>
      <c r="N978" s="48">
        <f>IF($F978="","",IFERROR(INDEX(사건마스터!$AL$5:$AL$64,MATCH($F978,사건마스터!$A$5:$A$64,0)),""))</f>
        <v/>
      </c>
      <c r="O978" s="43">
        <f>IF($I978="","",COUNTIF($I978:$N978,"?*"))</f>
        <v/>
      </c>
      <c r="P978" s="46">
        <f>IF($I978="","",_xlfn.TEXTJOIN(", ",TRUE,$I978:$N978))</f>
        <v/>
      </c>
      <c r="Q978" s="47">
        <f>IF($I978="","",IFERROR(INDEX(코드설정!$D$5:$D$24,MATCH($I978,코드설정!$C$5:$C$24,0)),""))</f>
        <v/>
      </c>
      <c r="R978" s="49" t="n"/>
      <c r="S978" s="50" t="n"/>
      <c r="T978" s="51" t="n"/>
      <c r="U978" s="43">
        <f>IF(OR($B978="",$C978=""),"",$C978-$B978+1)</f>
        <v/>
      </c>
      <c r="V978" s="52" t="n"/>
      <c r="W978" s="53">
        <f>IF(OR($V978="",$O978=""),"",$V978*$O978)</f>
        <v/>
      </c>
      <c r="X978" s="45" t="n"/>
      <c r="Y978" s="49" t="n"/>
    </row>
    <row r="979">
      <c r="A979" s="43">
        <f>IF($B979="","",COUNT($B$5:$B979))</f>
        <v/>
      </c>
      <c r="B979" s="44" t="n"/>
      <c r="C979" s="44" t="n"/>
      <c r="D979" s="45" t="n"/>
      <c r="E979" s="45" t="n"/>
      <c r="F979" s="45" t="n"/>
      <c r="G979" s="46">
        <f>IF($F979="","",IFERROR(INDEX(사건마스터!$B$5:$B$64,MATCH($F979,사건마스터!$A$5:$A$64,0)),""))</f>
        <v/>
      </c>
      <c r="H979" s="47">
        <f>IF($F979="","",IFERROR(INDEX(사건마스터!$C$5:$C$64,MATCH($F979,사건마스터!$A$5:$A$64,0)),""))</f>
        <v/>
      </c>
      <c r="I979" s="48">
        <f>IF($F979="","",IFERROR(INDEX(사건마스터!$H$5:$H$64,MATCH($F979,사건마스터!$A$5:$A$64,0)),""))</f>
        <v/>
      </c>
      <c r="J979" s="48">
        <f>IF($F979="","",IFERROR(INDEX(사건마스터!$AH$5:$AH$64,MATCH($F979,사건마스터!$A$5:$A$64,0)),""))</f>
        <v/>
      </c>
      <c r="K979" s="48">
        <f>IF($F979="","",IFERROR(INDEX(사건마스터!$AI$5:$AI$64,MATCH($F979,사건마스터!$A$5:$A$64,0)),""))</f>
        <v/>
      </c>
      <c r="L979" s="48">
        <f>IF($F979="","",IFERROR(INDEX(사건마스터!$AJ$5:$AJ$64,MATCH($F979,사건마스터!$A$5:$A$64,0)),""))</f>
        <v/>
      </c>
      <c r="M979" s="48">
        <f>IF($F979="","",IFERROR(INDEX(사건마스터!$AK$5:$AK$64,MATCH($F979,사건마스터!$A$5:$A$64,0)),""))</f>
        <v/>
      </c>
      <c r="N979" s="48">
        <f>IF($F979="","",IFERROR(INDEX(사건마스터!$AL$5:$AL$64,MATCH($F979,사건마스터!$A$5:$A$64,0)),""))</f>
        <v/>
      </c>
      <c r="O979" s="43">
        <f>IF($I979="","",COUNTIF($I979:$N979,"?*"))</f>
        <v/>
      </c>
      <c r="P979" s="46">
        <f>IF($I979="","",_xlfn.TEXTJOIN(", ",TRUE,$I979:$N979))</f>
        <v/>
      </c>
      <c r="Q979" s="47">
        <f>IF($I979="","",IFERROR(INDEX(코드설정!$D$5:$D$24,MATCH($I979,코드설정!$C$5:$C$24,0)),""))</f>
        <v/>
      </c>
      <c r="R979" s="49" t="n"/>
      <c r="S979" s="50" t="n"/>
      <c r="T979" s="51" t="n"/>
      <c r="U979" s="43">
        <f>IF(OR($B979="",$C979=""),"",$C979-$B979+1)</f>
        <v/>
      </c>
      <c r="V979" s="52" t="n"/>
      <c r="W979" s="53">
        <f>IF(OR($V979="",$O979=""),"",$V979*$O979)</f>
        <v/>
      </c>
      <c r="X979" s="45" t="n"/>
      <c r="Y979" s="49" t="n"/>
    </row>
    <row r="980">
      <c r="A980" s="43">
        <f>IF($B980="","",COUNT($B$5:$B980))</f>
        <v/>
      </c>
      <c r="B980" s="44" t="n"/>
      <c r="C980" s="44" t="n"/>
      <c r="D980" s="45" t="n"/>
      <c r="E980" s="45" t="n"/>
      <c r="F980" s="45" t="n"/>
      <c r="G980" s="46">
        <f>IF($F980="","",IFERROR(INDEX(사건마스터!$B$5:$B$64,MATCH($F980,사건마스터!$A$5:$A$64,0)),""))</f>
        <v/>
      </c>
      <c r="H980" s="47">
        <f>IF($F980="","",IFERROR(INDEX(사건마스터!$C$5:$C$64,MATCH($F980,사건마스터!$A$5:$A$64,0)),""))</f>
        <v/>
      </c>
      <c r="I980" s="48">
        <f>IF($F980="","",IFERROR(INDEX(사건마스터!$H$5:$H$64,MATCH($F980,사건마스터!$A$5:$A$64,0)),""))</f>
        <v/>
      </c>
      <c r="J980" s="48">
        <f>IF($F980="","",IFERROR(INDEX(사건마스터!$AH$5:$AH$64,MATCH($F980,사건마스터!$A$5:$A$64,0)),""))</f>
        <v/>
      </c>
      <c r="K980" s="48">
        <f>IF($F980="","",IFERROR(INDEX(사건마스터!$AI$5:$AI$64,MATCH($F980,사건마스터!$A$5:$A$64,0)),""))</f>
        <v/>
      </c>
      <c r="L980" s="48">
        <f>IF($F980="","",IFERROR(INDEX(사건마스터!$AJ$5:$AJ$64,MATCH($F980,사건마스터!$A$5:$A$64,0)),""))</f>
        <v/>
      </c>
      <c r="M980" s="48">
        <f>IF($F980="","",IFERROR(INDEX(사건마스터!$AK$5:$AK$64,MATCH($F980,사건마스터!$A$5:$A$64,0)),""))</f>
        <v/>
      </c>
      <c r="N980" s="48">
        <f>IF($F980="","",IFERROR(INDEX(사건마스터!$AL$5:$AL$64,MATCH($F980,사건마스터!$A$5:$A$64,0)),""))</f>
        <v/>
      </c>
      <c r="O980" s="43">
        <f>IF($I980="","",COUNTIF($I980:$N980,"?*"))</f>
        <v/>
      </c>
      <c r="P980" s="46">
        <f>IF($I980="","",_xlfn.TEXTJOIN(", ",TRUE,$I980:$N980))</f>
        <v/>
      </c>
      <c r="Q980" s="47">
        <f>IF($I980="","",IFERROR(INDEX(코드설정!$D$5:$D$24,MATCH($I980,코드설정!$C$5:$C$24,0)),""))</f>
        <v/>
      </c>
      <c r="R980" s="49" t="n"/>
      <c r="S980" s="50" t="n"/>
      <c r="T980" s="51" t="n"/>
      <c r="U980" s="43">
        <f>IF(OR($B980="",$C980=""),"",$C980-$B980+1)</f>
        <v/>
      </c>
      <c r="V980" s="52" t="n"/>
      <c r="W980" s="53">
        <f>IF(OR($V980="",$O980=""),"",$V980*$O980)</f>
        <v/>
      </c>
      <c r="X980" s="45" t="n"/>
      <c r="Y980" s="49" t="n"/>
    </row>
    <row r="981">
      <c r="A981" s="43">
        <f>IF($B981="","",COUNT($B$5:$B981))</f>
        <v/>
      </c>
      <c r="B981" s="44" t="n"/>
      <c r="C981" s="44" t="n"/>
      <c r="D981" s="45" t="n"/>
      <c r="E981" s="45" t="n"/>
      <c r="F981" s="45" t="n"/>
      <c r="G981" s="46">
        <f>IF($F981="","",IFERROR(INDEX(사건마스터!$B$5:$B$64,MATCH($F981,사건마스터!$A$5:$A$64,0)),""))</f>
        <v/>
      </c>
      <c r="H981" s="47">
        <f>IF($F981="","",IFERROR(INDEX(사건마스터!$C$5:$C$64,MATCH($F981,사건마스터!$A$5:$A$64,0)),""))</f>
        <v/>
      </c>
      <c r="I981" s="48">
        <f>IF($F981="","",IFERROR(INDEX(사건마스터!$H$5:$H$64,MATCH($F981,사건마스터!$A$5:$A$64,0)),""))</f>
        <v/>
      </c>
      <c r="J981" s="48">
        <f>IF($F981="","",IFERROR(INDEX(사건마스터!$AH$5:$AH$64,MATCH($F981,사건마스터!$A$5:$A$64,0)),""))</f>
        <v/>
      </c>
      <c r="K981" s="48">
        <f>IF($F981="","",IFERROR(INDEX(사건마스터!$AI$5:$AI$64,MATCH($F981,사건마스터!$A$5:$A$64,0)),""))</f>
        <v/>
      </c>
      <c r="L981" s="48">
        <f>IF($F981="","",IFERROR(INDEX(사건마스터!$AJ$5:$AJ$64,MATCH($F981,사건마스터!$A$5:$A$64,0)),""))</f>
        <v/>
      </c>
      <c r="M981" s="48">
        <f>IF($F981="","",IFERROR(INDEX(사건마스터!$AK$5:$AK$64,MATCH($F981,사건마스터!$A$5:$A$64,0)),""))</f>
        <v/>
      </c>
      <c r="N981" s="48">
        <f>IF($F981="","",IFERROR(INDEX(사건마스터!$AL$5:$AL$64,MATCH($F981,사건마스터!$A$5:$A$64,0)),""))</f>
        <v/>
      </c>
      <c r="O981" s="43">
        <f>IF($I981="","",COUNTIF($I981:$N981,"?*"))</f>
        <v/>
      </c>
      <c r="P981" s="46">
        <f>IF($I981="","",_xlfn.TEXTJOIN(", ",TRUE,$I981:$N981))</f>
        <v/>
      </c>
      <c r="Q981" s="47">
        <f>IF($I981="","",IFERROR(INDEX(코드설정!$D$5:$D$24,MATCH($I981,코드설정!$C$5:$C$24,0)),""))</f>
        <v/>
      </c>
      <c r="R981" s="49" t="n"/>
      <c r="S981" s="50" t="n"/>
      <c r="T981" s="51" t="n"/>
      <c r="U981" s="43">
        <f>IF(OR($B981="",$C981=""),"",$C981-$B981+1)</f>
        <v/>
      </c>
      <c r="V981" s="52" t="n"/>
      <c r="W981" s="53">
        <f>IF(OR($V981="",$O981=""),"",$V981*$O981)</f>
        <v/>
      </c>
      <c r="X981" s="45" t="n"/>
      <c r="Y981" s="49" t="n"/>
    </row>
    <row r="982">
      <c r="A982" s="43">
        <f>IF($B982="","",COUNT($B$5:$B982))</f>
        <v/>
      </c>
      <c r="B982" s="44" t="n"/>
      <c r="C982" s="44" t="n"/>
      <c r="D982" s="45" t="n"/>
      <c r="E982" s="45" t="n"/>
      <c r="F982" s="45" t="n"/>
      <c r="G982" s="46">
        <f>IF($F982="","",IFERROR(INDEX(사건마스터!$B$5:$B$64,MATCH($F982,사건마스터!$A$5:$A$64,0)),""))</f>
        <v/>
      </c>
      <c r="H982" s="47">
        <f>IF($F982="","",IFERROR(INDEX(사건마스터!$C$5:$C$64,MATCH($F982,사건마스터!$A$5:$A$64,0)),""))</f>
        <v/>
      </c>
      <c r="I982" s="48">
        <f>IF($F982="","",IFERROR(INDEX(사건마스터!$H$5:$H$64,MATCH($F982,사건마스터!$A$5:$A$64,0)),""))</f>
        <v/>
      </c>
      <c r="J982" s="48">
        <f>IF($F982="","",IFERROR(INDEX(사건마스터!$AH$5:$AH$64,MATCH($F982,사건마스터!$A$5:$A$64,0)),""))</f>
        <v/>
      </c>
      <c r="K982" s="48">
        <f>IF($F982="","",IFERROR(INDEX(사건마스터!$AI$5:$AI$64,MATCH($F982,사건마스터!$A$5:$A$64,0)),""))</f>
        <v/>
      </c>
      <c r="L982" s="48">
        <f>IF($F982="","",IFERROR(INDEX(사건마스터!$AJ$5:$AJ$64,MATCH($F982,사건마스터!$A$5:$A$64,0)),""))</f>
        <v/>
      </c>
      <c r="M982" s="48">
        <f>IF($F982="","",IFERROR(INDEX(사건마스터!$AK$5:$AK$64,MATCH($F982,사건마스터!$A$5:$A$64,0)),""))</f>
        <v/>
      </c>
      <c r="N982" s="48">
        <f>IF($F982="","",IFERROR(INDEX(사건마스터!$AL$5:$AL$64,MATCH($F982,사건마스터!$A$5:$A$64,0)),""))</f>
        <v/>
      </c>
      <c r="O982" s="43">
        <f>IF($I982="","",COUNTIF($I982:$N982,"?*"))</f>
        <v/>
      </c>
      <c r="P982" s="46">
        <f>IF($I982="","",_xlfn.TEXTJOIN(", ",TRUE,$I982:$N982))</f>
        <v/>
      </c>
      <c r="Q982" s="47">
        <f>IF($I982="","",IFERROR(INDEX(코드설정!$D$5:$D$24,MATCH($I982,코드설정!$C$5:$C$24,0)),""))</f>
        <v/>
      </c>
      <c r="R982" s="49" t="n"/>
      <c r="S982" s="50" t="n"/>
      <c r="T982" s="51" t="n"/>
      <c r="U982" s="43">
        <f>IF(OR($B982="",$C982=""),"",$C982-$B982+1)</f>
        <v/>
      </c>
      <c r="V982" s="52" t="n"/>
      <c r="W982" s="53">
        <f>IF(OR($V982="",$O982=""),"",$V982*$O982)</f>
        <v/>
      </c>
      <c r="X982" s="45" t="n"/>
      <c r="Y982" s="49" t="n"/>
    </row>
    <row r="983">
      <c r="A983" s="43">
        <f>IF($B983="","",COUNT($B$5:$B983))</f>
        <v/>
      </c>
      <c r="B983" s="44" t="n"/>
      <c r="C983" s="44" t="n"/>
      <c r="D983" s="45" t="n"/>
      <c r="E983" s="45" t="n"/>
      <c r="F983" s="45" t="n"/>
      <c r="G983" s="46">
        <f>IF($F983="","",IFERROR(INDEX(사건마스터!$B$5:$B$64,MATCH($F983,사건마스터!$A$5:$A$64,0)),""))</f>
        <v/>
      </c>
      <c r="H983" s="47">
        <f>IF($F983="","",IFERROR(INDEX(사건마스터!$C$5:$C$64,MATCH($F983,사건마스터!$A$5:$A$64,0)),""))</f>
        <v/>
      </c>
      <c r="I983" s="48">
        <f>IF($F983="","",IFERROR(INDEX(사건마스터!$H$5:$H$64,MATCH($F983,사건마스터!$A$5:$A$64,0)),""))</f>
        <v/>
      </c>
      <c r="J983" s="48">
        <f>IF($F983="","",IFERROR(INDEX(사건마스터!$AH$5:$AH$64,MATCH($F983,사건마스터!$A$5:$A$64,0)),""))</f>
        <v/>
      </c>
      <c r="K983" s="48">
        <f>IF($F983="","",IFERROR(INDEX(사건마스터!$AI$5:$AI$64,MATCH($F983,사건마스터!$A$5:$A$64,0)),""))</f>
        <v/>
      </c>
      <c r="L983" s="48">
        <f>IF($F983="","",IFERROR(INDEX(사건마스터!$AJ$5:$AJ$64,MATCH($F983,사건마스터!$A$5:$A$64,0)),""))</f>
        <v/>
      </c>
      <c r="M983" s="48">
        <f>IF($F983="","",IFERROR(INDEX(사건마스터!$AK$5:$AK$64,MATCH($F983,사건마스터!$A$5:$A$64,0)),""))</f>
        <v/>
      </c>
      <c r="N983" s="48">
        <f>IF($F983="","",IFERROR(INDEX(사건마스터!$AL$5:$AL$64,MATCH($F983,사건마스터!$A$5:$A$64,0)),""))</f>
        <v/>
      </c>
      <c r="O983" s="43">
        <f>IF($I983="","",COUNTIF($I983:$N983,"?*"))</f>
        <v/>
      </c>
      <c r="P983" s="46">
        <f>IF($I983="","",_xlfn.TEXTJOIN(", ",TRUE,$I983:$N983))</f>
        <v/>
      </c>
      <c r="Q983" s="47">
        <f>IF($I983="","",IFERROR(INDEX(코드설정!$D$5:$D$24,MATCH($I983,코드설정!$C$5:$C$24,0)),""))</f>
        <v/>
      </c>
      <c r="R983" s="49" t="n"/>
      <c r="S983" s="50" t="n"/>
      <c r="T983" s="51" t="n"/>
      <c r="U983" s="43">
        <f>IF(OR($B983="",$C983=""),"",$C983-$B983+1)</f>
        <v/>
      </c>
      <c r="V983" s="52" t="n"/>
      <c r="W983" s="53">
        <f>IF(OR($V983="",$O983=""),"",$V983*$O983)</f>
        <v/>
      </c>
      <c r="X983" s="45" t="n"/>
      <c r="Y983" s="49" t="n"/>
    </row>
    <row r="984">
      <c r="A984" s="43">
        <f>IF($B984="","",COUNT($B$5:$B984))</f>
        <v/>
      </c>
      <c r="B984" s="44" t="n"/>
      <c r="C984" s="44" t="n"/>
      <c r="D984" s="45" t="n"/>
      <c r="E984" s="45" t="n"/>
      <c r="F984" s="45" t="n"/>
      <c r="G984" s="46">
        <f>IF($F984="","",IFERROR(INDEX(사건마스터!$B$5:$B$64,MATCH($F984,사건마스터!$A$5:$A$64,0)),""))</f>
        <v/>
      </c>
      <c r="H984" s="47">
        <f>IF($F984="","",IFERROR(INDEX(사건마스터!$C$5:$C$64,MATCH($F984,사건마스터!$A$5:$A$64,0)),""))</f>
        <v/>
      </c>
      <c r="I984" s="48">
        <f>IF($F984="","",IFERROR(INDEX(사건마스터!$H$5:$H$64,MATCH($F984,사건마스터!$A$5:$A$64,0)),""))</f>
        <v/>
      </c>
      <c r="J984" s="48">
        <f>IF($F984="","",IFERROR(INDEX(사건마스터!$AH$5:$AH$64,MATCH($F984,사건마스터!$A$5:$A$64,0)),""))</f>
        <v/>
      </c>
      <c r="K984" s="48">
        <f>IF($F984="","",IFERROR(INDEX(사건마스터!$AI$5:$AI$64,MATCH($F984,사건마스터!$A$5:$A$64,0)),""))</f>
        <v/>
      </c>
      <c r="L984" s="48">
        <f>IF($F984="","",IFERROR(INDEX(사건마스터!$AJ$5:$AJ$64,MATCH($F984,사건마스터!$A$5:$A$64,0)),""))</f>
        <v/>
      </c>
      <c r="M984" s="48">
        <f>IF($F984="","",IFERROR(INDEX(사건마스터!$AK$5:$AK$64,MATCH($F984,사건마스터!$A$5:$A$64,0)),""))</f>
        <v/>
      </c>
      <c r="N984" s="48">
        <f>IF($F984="","",IFERROR(INDEX(사건마스터!$AL$5:$AL$64,MATCH($F984,사건마스터!$A$5:$A$64,0)),""))</f>
        <v/>
      </c>
      <c r="O984" s="43">
        <f>IF($I984="","",COUNTIF($I984:$N984,"?*"))</f>
        <v/>
      </c>
      <c r="P984" s="46">
        <f>IF($I984="","",_xlfn.TEXTJOIN(", ",TRUE,$I984:$N984))</f>
        <v/>
      </c>
      <c r="Q984" s="47">
        <f>IF($I984="","",IFERROR(INDEX(코드설정!$D$5:$D$24,MATCH($I984,코드설정!$C$5:$C$24,0)),""))</f>
        <v/>
      </c>
      <c r="R984" s="49" t="n"/>
      <c r="S984" s="50" t="n"/>
      <c r="T984" s="51" t="n"/>
      <c r="U984" s="43">
        <f>IF(OR($B984="",$C984=""),"",$C984-$B984+1)</f>
        <v/>
      </c>
      <c r="V984" s="52" t="n"/>
      <c r="W984" s="53">
        <f>IF(OR($V984="",$O984=""),"",$V984*$O984)</f>
        <v/>
      </c>
      <c r="X984" s="45" t="n"/>
      <c r="Y984" s="49" t="n"/>
    </row>
    <row r="985">
      <c r="A985" s="43">
        <f>IF($B985="","",COUNT($B$5:$B985))</f>
        <v/>
      </c>
      <c r="B985" s="44" t="n"/>
      <c r="C985" s="44" t="n"/>
      <c r="D985" s="45" t="n"/>
      <c r="E985" s="45" t="n"/>
      <c r="F985" s="45" t="n"/>
      <c r="G985" s="46">
        <f>IF($F985="","",IFERROR(INDEX(사건마스터!$B$5:$B$64,MATCH($F985,사건마스터!$A$5:$A$64,0)),""))</f>
        <v/>
      </c>
      <c r="H985" s="47">
        <f>IF($F985="","",IFERROR(INDEX(사건마스터!$C$5:$C$64,MATCH($F985,사건마스터!$A$5:$A$64,0)),""))</f>
        <v/>
      </c>
      <c r="I985" s="48">
        <f>IF($F985="","",IFERROR(INDEX(사건마스터!$H$5:$H$64,MATCH($F985,사건마스터!$A$5:$A$64,0)),""))</f>
        <v/>
      </c>
      <c r="J985" s="48">
        <f>IF($F985="","",IFERROR(INDEX(사건마스터!$AH$5:$AH$64,MATCH($F985,사건마스터!$A$5:$A$64,0)),""))</f>
        <v/>
      </c>
      <c r="K985" s="48">
        <f>IF($F985="","",IFERROR(INDEX(사건마스터!$AI$5:$AI$64,MATCH($F985,사건마스터!$A$5:$A$64,0)),""))</f>
        <v/>
      </c>
      <c r="L985" s="48">
        <f>IF($F985="","",IFERROR(INDEX(사건마스터!$AJ$5:$AJ$64,MATCH($F985,사건마스터!$A$5:$A$64,0)),""))</f>
        <v/>
      </c>
      <c r="M985" s="48">
        <f>IF($F985="","",IFERROR(INDEX(사건마스터!$AK$5:$AK$64,MATCH($F985,사건마스터!$A$5:$A$64,0)),""))</f>
        <v/>
      </c>
      <c r="N985" s="48">
        <f>IF($F985="","",IFERROR(INDEX(사건마스터!$AL$5:$AL$64,MATCH($F985,사건마스터!$A$5:$A$64,0)),""))</f>
        <v/>
      </c>
      <c r="O985" s="43">
        <f>IF($I985="","",COUNTIF($I985:$N985,"?*"))</f>
        <v/>
      </c>
      <c r="P985" s="46">
        <f>IF($I985="","",_xlfn.TEXTJOIN(", ",TRUE,$I985:$N985))</f>
        <v/>
      </c>
      <c r="Q985" s="47">
        <f>IF($I985="","",IFERROR(INDEX(코드설정!$D$5:$D$24,MATCH($I985,코드설정!$C$5:$C$24,0)),""))</f>
        <v/>
      </c>
      <c r="R985" s="49" t="n"/>
      <c r="S985" s="50" t="n"/>
      <c r="T985" s="51" t="n"/>
      <c r="U985" s="43">
        <f>IF(OR($B985="",$C985=""),"",$C985-$B985+1)</f>
        <v/>
      </c>
      <c r="V985" s="52" t="n"/>
      <c r="W985" s="53">
        <f>IF(OR($V985="",$O985=""),"",$V985*$O985)</f>
        <v/>
      </c>
      <c r="X985" s="45" t="n"/>
      <c r="Y985" s="49" t="n"/>
    </row>
    <row r="986">
      <c r="A986" s="43">
        <f>IF($B986="","",COUNT($B$5:$B986))</f>
        <v/>
      </c>
      <c r="B986" s="44" t="n"/>
      <c r="C986" s="44" t="n"/>
      <c r="D986" s="45" t="n"/>
      <c r="E986" s="45" t="n"/>
      <c r="F986" s="45" t="n"/>
      <c r="G986" s="46">
        <f>IF($F986="","",IFERROR(INDEX(사건마스터!$B$5:$B$64,MATCH($F986,사건마스터!$A$5:$A$64,0)),""))</f>
        <v/>
      </c>
      <c r="H986" s="47">
        <f>IF($F986="","",IFERROR(INDEX(사건마스터!$C$5:$C$64,MATCH($F986,사건마스터!$A$5:$A$64,0)),""))</f>
        <v/>
      </c>
      <c r="I986" s="48">
        <f>IF($F986="","",IFERROR(INDEX(사건마스터!$H$5:$H$64,MATCH($F986,사건마스터!$A$5:$A$64,0)),""))</f>
        <v/>
      </c>
      <c r="J986" s="48">
        <f>IF($F986="","",IFERROR(INDEX(사건마스터!$AH$5:$AH$64,MATCH($F986,사건마스터!$A$5:$A$64,0)),""))</f>
        <v/>
      </c>
      <c r="K986" s="48">
        <f>IF($F986="","",IFERROR(INDEX(사건마스터!$AI$5:$AI$64,MATCH($F986,사건마스터!$A$5:$A$64,0)),""))</f>
        <v/>
      </c>
      <c r="L986" s="48">
        <f>IF($F986="","",IFERROR(INDEX(사건마스터!$AJ$5:$AJ$64,MATCH($F986,사건마스터!$A$5:$A$64,0)),""))</f>
        <v/>
      </c>
      <c r="M986" s="48">
        <f>IF($F986="","",IFERROR(INDEX(사건마스터!$AK$5:$AK$64,MATCH($F986,사건마스터!$A$5:$A$64,0)),""))</f>
        <v/>
      </c>
      <c r="N986" s="48">
        <f>IF($F986="","",IFERROR(INDEX(사건마스터!$AL$5:$AL$64,MATCH($F986,사건마스터!$A$5:$A$64,0)),""))</f>
        <v/>
      </c>
      <c r="O986" s="43">
        <f>IF($I986="","",COUNTIF($I986:$N986,"?*"))</f>
        <v/>
      </c>
      <c r="P986" s="46">
        <f>IF($I986="","",_xlfn.TEXTJOIN(", ",TRUE,$I986:$N986))</f>
        <v/>
      </c>
      <c r="Q986" s="47">
        <f>IF($I986="","",IFERROR(INDEX(코드설정!$D$5:$D$24,MATCH($I986,코드설정!$C$5:$C$24,0)),""))</f>
        <v/>
      </c>
      <c r="R986" s="49" t="n"/>
      <c r="S986" s="50" t="n"/>
      <c r="T986" s="51" t="n"/>
      <c r="U986" s="43">
        <f>IF(OR($B986="",$C986=""),"",$C986-$B986+1)</f>
        <v/>
      </c>
      <c r="V986" s="52" t="n"/>
      <c r="W986" s="53">
        <f>IF(OR($V986="",$O986=""),"",$V986*$O986)</f>
        <v/>
      </c>
      <c r="X986" s="45" t="n"/>
      <c r="Y986" s="49" t="n"/>
    </row>
    <row r="987">
      <c r="A987" s="43">
        <f>IF($B987="","",COUNT($B$5:$B987))</f>
        <v/>
      </c>
      <c r="B987" s="44" t="n"/>
      <c r="C987" s="44" t="n"/>
      <c r="D987" s="45" t="n"/>
      <c r="E987" s="45" t="n"/>
      <c r="F987" s="45" t="n"/>
      <c r="G987" s="46">
        <f>IF($F987="","",IFERROR(INDEX(사건마스터!$B$5:$B$64,MATCH($F987,사건마스터!$A$5:$A$64,0)),""))</f>
        <v/>
      </c>
      <c r="H987" s="47">
        <f>IF($F987="","",IFERROR(INDEX(사건마스터!$C$5:$C$64,MATCH($F987,사건마스터!$A$5:$A$64,0)),""))</f>
        <v/>
      </c>
      <c r="I987" s="48">
        <f>IF($F987="","",IFERROR(INDEX(사건마스터!$H$5:$H$64,MATCH($F987,사건마스터!$A$5:$A$64,0)),""))</f>
        <v/>
      </c>
      <c r="J987" s="48">
        <f>IF($F987="","",IFERROR(INDEX(사건마스터!$AH$5:$AH$64,MATCH($F987,사건마스터!$A$5:$A$64,0)),""))</f>
        <v/>
      </c>
      <c r="K987" s="48">
        <f>IF($F987="","",IFERROR(INDEX(사건마스터!$AI$5:$AI$64,MATCH($F987,사건마스터!$A$5:$A$64,0)),""))</f>
        <v/>
      </c>
      <c r="L987" s="48">
        <f>IF($F987="","",IFERROR(INDEX(사건마스터!$AJ$5:$AJ$64,MATCH($F987,사건마스터!$A$5:$A$64,0)),""))</f>
        <v/>
      </c>
      <c r="M987" s="48">
        <f>IF($F987="","",IFERROR(INDEX(사건마스터!$AK$5:$AK$64,MATCH($F987,사건마스터!$A$5:$A$64,0)),""))</f>
        <v/>
      </c>
      <c r="N987" s="48">
        <f>IF($F987="","",IFERROR(INDEX(사건마스터!$AL$5:$AL$64,MATCH($F987,사건마스터!$A$5:$A$64,0)),""))</f>
        <v/>
      </c>
      <c r="O987" s="43">
        <f>IF($I987="","",COUNTIF($I987:$N987,"?*"))</f>
        <v/>
      </c>
      <c r="P987" s="46">
        <f>IF($I987="","",_xlfn.TEXTJOIN(", ",TRUE,$I987:$N987))</f>
        <v/>
      </c>
      <c r="Q987" s="47">
        <f>IF($I987="","",IFERROR(INDEX(코드설정!$D$5:$D$24,MATCH($I987,코드설정!$C$5:$C$24,0)),""))</f>
        <v/>
      </c>
      <c r="R987" s="49" t="n"/>
      <c r="S987" s="50" t="n"/>
      <c r="T987" s="51" t="n"/>
      <c r="U987" s="43">
        <f>IF(OR($B987="",$C987=""),"",$C987-$B987+1)</f>
        <v/>
      </c>
      <c r="V987" s="52" t="n"/>
      <c r="W987" s="53">
        <f>IF(OR($V987="",$O987=""),"",$V987*$O987)</f>
        <v/>
      </c>
      <c r="X987" s="45" t="n"/>
      <c r="Y987" s="49" t="n"/>
    </row>
    <row r="988">
      <c r="A988" s="43">
        <f>IF($B988="","",COUNT($B$5:$B988))</f>
        <v/>
      </c>
      <c r="B988" s="44" t="n"/>
      <c r="C988" s="44" t="n"/>
      <c r="D988" s="45" t="n"/>
      <c r="E988" s="45" t="n"/>
      <c r="F988" s="45" t="n"/>
      <c r="G988" s="46">
        <f>IF($F988="","",IFERROR(INDEX(사건마스터!$B$5:$B$64,MATCH($F988,사건마스터!$A$5:$A$64,0)),""))</f>
        <v/>
      </c>
      <c r="H988" s="47">
        <f>IF($F988="","",IFERROR(INDEX(사건마스터!$C$5:$C$64,MATCH($F988,사건마스터!$A$5:$A$64,0)),""))</f>
        <v/>
      </c>
      <c r="I988" s="48">
        <f>IF($F988="","",IFERROR(INDEX(사건마스터!$H$5:$H$64,MATCH($F988,사건마스터!$A$5:$A$64,0)),""))</f>
        <v/>
      </c>
      <c r="J988" s="48">
        <f>IF($F988="","",IFERROR(INDEX(사건마스터!$AH$5:$AH$64,MATCH($F988,사건마스터!$A$5:$A$64,0)),""))</f>
        <v/>
      </c>
      <c r="K988" s="48">
        <f>IF($F988="","",IFERROR(INDEX(사건마스터!$AI$5:$AI$64,MATCH($F988,사건마스터!$A$5:$A$64,0)),""))</f>
        <v/>
      </c>
      <c r="L988" s="48">
        <f>IF($F988="","",IFERROR(INDEX(사건마스터!$AJ$5:$AJ$64,MATCH($F988,사건마스터!$A$5:$A$64,0)),""))</f>
        <v/>
      </c>
      <c r="M988" s="48">
        <f>IF($F988="","",IFERROR(INDEX(사건마스터!$AK$5:$AK$64,MATCH($F988,사건마스터!$A$5:$A$64,0)),""))</f>
        <v/>
      </c>
      <c r="N988" s="48">
        <f>IF($F988="","",IFERROR(INDEX(사건마스터!$AL$5:$AL$64,MATCH($F988,사건마스터!$A$5:$A$64,0)),""))</f>
        <v/>
      </c>
      <c r="O988" s="43">
        <f>IF($I988="","",COUNTIF($I988:$N988,"?*"))</f>
        <v/>
      </c>
      <c r="P988" s="46">
        <f>IF($I988="","",_xlfn.TEXTJOIN(", ",TRUE,$I988:$N988))</f>
        <v/>
      </c>
      <c r="Q988" s="47">
        <f>IF($I988="","",IFERROR(INDEX(코드설정!$D$5:$D$24,MATCH($I988,코드설정!$C$5:$C$24,0)),""))</f>
        <v/>
      </c>
      <c r="R988" s="49" t="n"/>
      <c r="S988" s="50" t="n"/>
      <c r="T988" s="51" t="n"/>
      <c r="U988" s="43">
        <f>IF(OR($B988="",$C988=""),"",$C988-$B988+1)</f>
        <v/>
      </c>
      <c r="V988" s="52" t="n"/>
      <c r="W988" s="53">
        <f>IF(OR($V988="",$O988=""),"",$V988*$O988)</f>
        <v/>
      </c>
      <c r="X988" s="45" t="n"/>
      <c r="Y988" s="49" t="n"/>
    </row>
    <row r="989">
      <c r="A989" s="43">
        <f>IF($B989="","",COUNT($B$5:$B989))</f>
        <v/>
      </c>
      <c r="B989" s="44" t="n"/>
      <c r="C989" s="44" t="n"/>
      <c r="D989" s="45" t="n"/>
      <c r="E989" s="45" t="n"/>
      <c r="F989" s="45" t="n"/>
      <c r="G989" s="46">
        <f>IF($F989="","",IFERROR(INDEX(사건마스터!$B$5:$B$64,MATCH($F989,사건마스터!$A$5:$A$64,0)),""))</f>
        <v/>
      </c>
      <c r="H989" s="47">
        <f>IF($F989="","",IFERROR(INDEX(사건마스터!$C$5:$C$64,MATCH($F989,사건마스터!$A$5:$A$64,0)),""))</f>
        <v/>
      </c>
      <c r="I989" s="48">
        <f>IF($F989="","",IFERROR(INDEX(사건마스터!$H$5:$H$64,MATCH($F989,사건마스터!$A$5:$A$64,0)),""))</f>
        <v/>
      </c>
      <c r="J989" s="48">
        <f>IF($F989="","",IFERROR(INDEX(사건마스터!$AH$5:$AH$64,MATCH($F989,사건마스터!$A$5:$A$64,0)),""))</f>
        <v/>
      </c>
      <c r="K989" s="48">
        <f>IF($F989="","",IFERROR(INDEX(사건마스터!$AI$5:$AI$64,MATCH($F989,사건마스터!$A$5:$A$64,0)),""))</f>
        <v/>
      </c>
      <c r="L989" s="48">
        <f>IF($F989="","",IFERROR(INDEX(사건마스터!$AJ$5:$AJ$64,MATCH($F989,사건마스터!$A$5:$A$64,0)),""))</f>
        <v/>
      </c>
      <c r="M989" s="48">
        <f>IF($F989="","",IFERROR(INDEX(사건마스터!$AK$5:$AK$64,MATCH($F989,사건마스터!$A$5:$A$64,0)),""))</f>
        <v/>
      </c>
      <c r="N989" s="48">
        <f>IF($F989="","",IFERROR(INDEX(사건마스터!$AL$5:$AL$64,MATCH($F989,사건마스터!$A$5:$A$64,0)),""))</f>
        <v/>
      </c>
      <c r="O989" s="43">
        <f>IF($I989="","",COUNTIF($I989:$N989,"?*"))</f>
        <v/>
      </c>
      <c r="P989" s="46">
        <f>IF($I989="","",_xlfn.TEXTJOIN(", ",TRUE,$I989:$N989))</f>
        <v/>
      </c>
      <c r="Q989" s="47">
        <f>IF($I989="","",IFERROR(INDEX(코드설정!$D$5:$D$24,MATCH($I989,코드설정!$C$5:$C$24,0)),""))</f>
        <v/>
      </c>
      <c r="R989" s="49" t="n"/>
      <c r="S989" s="50" t="n"/>
      <c r="T989" s="51" t="n"/>
      <c r="U989" s="43">
        <f>IF(OR($B989="",$C989=""),"",$C989-$B989+1)</f>
        <v/>
      </c>
      <c r="V989" s="52" t="n"/>
      <c r="W989" s="53">
        <f>IF(OR($V989="",$O989=""),"",$V989*$O989)</f>
        <v/>
      </c>
      <c r="X989" s="45" t="n"/>
      <c r="Y989" s="49" t="n"/>
    </row>
    <row r="990">
      <c r="A990" s="43">
        <f>IF($B990="","",COUNT($B$5:$B990))</f>
        <v/>
      </c>
      <c r="B990" s="44" t="n"/>
      <c r="C990" s="44" t="n"/>
      <c r="D990" s="45" t="n"/>
      <c r="E990" s="45" t="n"/>
      <c r="F990" s="45" t="n"/>
      <c r="G990" s="46">
        <f>IF($F990="","",IFERROR(INDEX(사건마스터!$B$5:$B$64,MATCH($F990,사건마스터!$A$5:$A$64,0)),""))</f>
        <v/>
      </c>
      <c r="H990" s="47">
        <f>IF($F990="","",IFERROR(INDEX(사건마스터!$C$5:$C$64,MATCH($F990,사건마스터!$A$5:$A$64,0)),""))</f>
        <v/>
      </c>
      <c r="I990" s="48">
        <f>IF($F990="","",IFERROR(INDEX(사건마스터!$H$5:$H$64,MATCH($F990,사건마스터!$A$5:$A$64,0)),""))</f>
        <v/>
      </c>
      <c r="J990" s="48">
        <f>IF($F990="","",IFERROR(INDEX(사건마스터!$AH$5:$AH$64,MATCH($F990,사건마스터!$A$5:$A$64,0)),""))</f>
        <v/>
      </c>
      <c r="K990" s="48">
        <f>IF($F990="","",IFERROR(INDEX(사건마스터!$AI$5:$AI$64,MATCH($F990,사건마스터!$A$5:$A$64,0)),""))</f>
        <v/>
      </c>
      <c r="L990" s="48">
        <f>IF($F990="","",IFERROR(INDEX(사건마스터!$AJ$5:$AJ$64,MATCH($F990,사건마스터!$A$5:$A$64,0)),""))</f>
        <v/>
      </c>
      <c r="M990" s="48">
        <f>IF($F990="","",IFERROR(INDEX(사건마스터!$AK$5:$AK$64,MATCH($F990,사건마스터!$A$5:$A$64,0)),""))</f>
        <v/>
      </c>
      <c r="N990" s="48">
        <f>IF($F990="","",IFERROR(INDEX(사건마스터!$AL$5:$AL$64,MATCH($F990,사건마스터!$A$5:$A$64,0)),""))</f>
        <v/>
      </c>
      <c r="O990" s="43">
        <f>IF($I990="","",COUNTIF($I990:$N990,"?*"))</f>
        <v/>
      </c>
      <c r="P990" s="46">
        <f>IF($I990="","",_xlfn.TEXTJOIN(", ",TRUE,$I990:$N990))</f>
        <v/>
      </c>
      <c r="Q990" s="47">
        <f>IF($I990="","",IFERROR(INDEX(코드설정!$D$5:$D$24,MATCH($I990,코드설정!$C$5:$C$24,0)),""))</f>
        <v/>
      </c>
      <c r="R990" s="49" t="n"/>
      <c r="S990" s="50" t="n"/>
      <c r="T990" s="51" t="n"/>
      <c r="U990" s="43">
        <f>IF(OR($B990="",$C990=""),"",$C990-$B990+1)</f>
        <v/>
      </c>
      <c r="V990" s="52" t="n"/>
      <c r="W990" s="53">
        <f>IF(OR($V990="",$O990=""),"",$V990*$O990)</f>
        <v/>
      </c>
      <c r="X990" s="45" t="n"/>
      <c r="Y990" s="49" t="n"/>
    </row>
    <row r="991">
      <c r="A991" s="43">
        <f>IF($B991="","",COUNT($B$5:$B991))</f>
        <v/>
      </c>
      <c r="B991" s="44" t="n"/>
      <c r="C991" s="44" t="n"/>
      <c r="D991" s="45" t="n"/>
      <c r="E991" s="45" t="n"/>
      <c r="F991" s="45" t="n"/>
      <c r="G991" s="46">
        <f>IF($F991="","",IFERROR(INDEX(사건마스터!$B$5:$B$64,MATCH($F991,사건마스터!$A$5:$A$64,0)),""))</f>
        <v/>
      </c>
      <c r="H991" s="47">
        <f>IF($F991="","",IFERROR(INDEX(사건마스터!$C$5:$C$64,MATCH($F991,사건마스터!$A$5:$A$64,0)),""))</f>
        <v/>
      </c>
      <c r="I991" s="48">
        <f>IF($F991="","",IFERROR(INDEX(사건마스터!$H$5:$H$64,MATCH($F991,사건마스터!$A$5:$A$64,0)),""))</f>
        <v/>
      </c>
      <c r="J991" s="48">
        <f>IF($F991="","",IFERROR(INDEX(사건마스터!$AH$5:$AH$64,MATCH($F991,사건마스터!$A$5:$A$64,0)),""))</f>
        <v/>
      </c>
      <c r="K991" s="48">
        <f>IF($F991="","",IFERROR(INDEX(사건마스터!$AI$5:$AI$64,MATCH($F991,사건마스터!$A$5:$A$64,0)),""))</f>
        <v/>
      </c>
      <c r="L991" s="48">
        <f>IF($F991="","",IFERROR(INDEX(사건마스터!$AJ$5:$AJ$64,MATCH($F991,사건마스터!$A$5:$A$64,0)),""))</f>
        <v/>
      </c>
      <c r="M991" s="48">
        <f>IF($F991="","",IFERROR(INDEX(사건마스터!$AK$5:$AK$64,MATCH($F991,사건마스터!$A$5:$A$64,0)),""))</f>
        <v/>
      </c>
      <c r="N991" s="48">
        <f>IF($F991="","",IFERROR(INDEX(사건마스터!$AL$5:$AL$64,MATCH($F991,사건마스터!$A$5:$A$64,0)),""))</f>
        <v/>
      </c>
      <c r="O991" s="43">
        <f>IF($I991="","",COUNTIF($I991:$N991,"?*"))</f>
        <v/>
      </c>
      <c r="P991" s="46">
        <f>IF($I991="","",_xlfn.TEXTJOIN(", ",TRUE,$I991:$N991))</f>
        <v/>
      </c>
      <c r="Q991" s="47">
        <f>IF($I991="","",IFERROR(INDEX(코드설정!$D$5:$D$24,MATCH($I991,코드설정!$C$5:$C$24,0)),""))</f>
        <v/>
      </c>
      <c r="R991" s="49" t="n"/>
      <c r="S991" s="50" t="n"/>
      <c r="T991" s="51" t="n"/>
      <c r="U991" s="43">
        <f>IF(OR($B991="",$C991=""),"",$C991-$B991+1)</f>
        <v/>
      </c>
      <c r="V991" s="52" t="n"/>
      <c r="W991" s="53">
        <f>IF(OR($V991="",$O991=""),"",$V991*$O991)</f>
        <v/>
      </c>
      <c r="X991" s="45" t="n"/>
      <c r="Y991" s="49" t="n"/>
    </row>
    <row r="992">
      <c r="A992" s="43">
        <f>IF($B992="","",COUNT($B$5:$B992))</f>
        <v/>
      </c>
      <c r="B992" s="44" t="n"/>
      <c r="C992" s="44" t="n"/>
      <c r="D992" s="45" t="n"/>
      <c r="E992" s="45" t="n"/>
      <c r="F992" s="45" t="n"/>
      <c r="G992" s="46">
        <f>IF($F992="","",IFERROR(INDEX(사건마스터!$B$5:$B$64,MATCH($F992,사건마스터!$A$5:$A$64,0)),""))</f>
        <v/>
      </c>
      <c r="H992" s="47">
        <f>IF($F992="","",IFERROR(INDEX(사건마스터!$C$5:$C$64,MATCH($F992,사건마스터!$A$5:$A$64,0)),""))</f>
        <v/>
      </c>
      <c r="I992" s="48">
        <f>IF($F992="","",IFERROR(INDEX(사건마스터!$H$5:$H$64,MATCH($F992,사건마스터!$A$5:$A$64,0)),""))</f>
        <v/>
      </c>
      <c r="J992" s="48">
        <f>IF($F992="","",IFERROR(INDEX(사건마스터!$AH$5:$AH$64,MATCH($F992,사건마스터!$A$5:$A$64,0)),""))</f>
        <v/>
      </c>
      <c r="K992" s="48">
        <f>IF($F992="","",IFERROR(INDEX(사건마스터!$AI$5:$AI$64,MATCH($F992,사건마스터!$A$5:$A$64,0)),""))</f>
        <v/>
      </c>
      <c r="L992" s="48">
        <f>IF($F992="","",IFERROR(INDEX(사건마스터!$AJ$5:$AJ$64,MATCH($F992,사건마스터!$A$5:$A$64,0)),""))</f>
        <v/>
      </c>
      <c r="M992" s="48">
        <f>IF($F992="","",IFERROR(INDEX(사건마스터!$AK$5:$AK$64,MATCH($F992,사건마스터!$A$5:$A$64,0)),""))</f>
        <v/>
      </c>
      <c r="N992" s="48">
        <f>IF($F992="","",IFERROR(INDEX(사건마스터!$AL$5:$AL$64,MATCH($F992,사건마스터!$A$5:$A$64,0)),""))</f>
        <v/>
      </c>
      <c r="O992" s="43">
        <f>IF($I992="","",COUNTIF($I992:$N992,"?*"))</f>
        <v/>
      </c>
      <c r="P992" s="46">
        <f>IF($I992="","",_xlfn.TEXTJOIN(", ",TRUE,$I992:$N992))</f>
        <v/>
      </c>
      <c r="Q992" s="47">
        <f>IF($I992="","",IFERROR(INDEX(코드설정!$D$5:$D$24,MATCH($I992,코드설정!$C$5:$C$24,0)),""))</f>
        <v/>
      </c>
      <c r="R992" s="49" t="n"/>
      <c r="S992" s="50" t="n"/>
      <c r="T992" s="51" t="n"/>
      <c r="U992" s="43">
        <f>IF(OR($B992="",$C992=""),"",$C992-$B992+1)</f>
        <v/>
      </c>
      <c r="V992" s="52" t="n"/>
      <c r="W992" s="53">
        <f>IF(OR($V992="",$O992=""),"",$V992*$O992)</f>
        <v/>
      </c>
      <c r="X992" s="45" t="n"/>
      <c r="Y992" s="49" t="n"/>
    </row>
    <row r="993">
      <c r="A993" s="43">
        <f>IF($B993="","",COUNT($B$5:$B993))</f>
        <v/>
      </c>
      <c r="B993" s="44" t="n"/>
      <c r="C993" s="44" t="n"/>
      <c r="D993" s="45" t="n"/>
      <c r="E993" s="45" t="n"/>
      <c r="F993" s="45" t="n"/>
      <c r="G993" s="46">
        <f>IF($F993="","",IFERROR(INDEX(사건마스터!$B$5:$B$64,MATCH($F993,사건마스터!$A$5:$A$64,0)),""))</f>
        <v/>
      </c>
      <c r="H993" s="47">
        <f>IF($F993="","",IFERROR(INDEX(사건마스터!$C$5:$C$64,MATCH($F993,사건마스터!$A$5:$A$64,0)),""))</f>
        <v/>
      </c>
      <c r="I993" s="48">
        <f>IF($F993="","",IFERROR(INDEX(사건마스터!$H$5:$H$64,MATCH($F993,사건마스터!$A$5:$A$64,0)),""))</f>
        <v/>
      </c>
      <c r="J993" s="48">
        <f>IF($F993="","",IFERROR(INDEX(사건마스터!$AH$5:$AH$64,MATCH($F993,사건마스터!$A$5:$A$64,0)),""))</f>
        <v/>
      </c>
      <c r="K993" s="48">
        <f>IF($F993="","",IFERROR(INDEX(사건마스터!$AI$5:$AI$64,MATCH($F993,사건마스터!$A$5:$A$64,0)),""))</f>
        <v/>
      </c>
      <c r="L993" s="48">
        <f>IF($F993="","",IFERROR(INDEX(사건마스터!$AJ$5:$AJ$64,MATCH($F993,사건마스터!$A$5:$A$64,0)),""))</f>
        <v/>
      </c>
      <c r="M993" s="48">
        <f>IF($F993="","",IFERROR(INDEX(사건마스터!$AK$5:$AK$64,MATCH($F993,사건마스터!$A$5:$A$64,0)),""))</f>
        <v/>
      </c>
      <c r="N993" s="48">
        <f>IF($F993="","",IFERROR(INDEX(사건마스터!$AL$5:$AL$64,MATCH($F993,사건마스터!$A$5:$A$64,0)),""))</f>
        <v/>
      </c>
      <c r="O993" s="43">
        <f>IF($I993="","",COUNTIF($I993:$N993,"?*"))</f>
        <v/>
      </c>
      <c r="P993" s="46">
        <f>IF($I993="","",_xlfn.TEXTJOIN(", ",TRUE,$I993:$N993))</f>
        <v/>
      </c>
      <c r="Q993" s="47">
        <f>IF($I993="","",IFERROR(INDEX(코드설정!$D$5:$D$24,MATCH($I993,코드설정!$C$5:$C$24,0)),""))</f>
        <v/>
      </c>
      <c r="R993" s="49" t="n"/>
      <c r="S993" s="50" t="n"/>
      <c r="T993" s="51" t="n"/>
      <c r="U993" s="43">
        <f>IF(OR($B993="",$C993=""),"",$C993-$B993+1)</f>
        <v/>
      </c>
      <c r="V993" s="52" t="n"/>
      <c r="W993" s="53">
        <f>IF(OR($V993="",$O993=""),"",$V993*$O993)</f>
        <v/>
      </c>
      <c r="X993" s="45" t="n"/>
      <c r="Y993" s="49" t="n"/>
    </row>
    <row r="994">
      <c r="A994" s="43">
        <f>IF($B994="","",COUNT($B$5:$B994))</f>
        <v/>
      </c>
      <c r="B994" s="44" t="n"/>
      <c r="C994" s="44" t="n"/>
      <c r="D994" s="45" t="n"/>
      <c r="E994" s="45" t="n"/>
      <c r="F994" s="45" t="n"/>
      <c r="G994" s="46">
        <f>IF($F994="","",IFERROR(INDEX(사건마스터!$B$5:$B$64,MATCH($F994,사건마스터!$A$5:$A$64,0)),""))</f>
        <v/>
      </c>
      <c r="H994" s="47">
        <f>IF($F994="","",IFERROR(INDEX(사건마스터!$C$5:$C$64,MATCH($F994,사건마스터!$A$5:$A$64,0)),""))</f>
        <v/>
      </c>
      <c r="I994" s="48">
        <f>IF($F994="","",IFERROR(INDEX(사건마스터!$H$5:$H$64,MATCH($F994,사건마스터!$A$5:$A$64,0)),""))</f>
        <v/>
      </c>
      <c r="J994" s="48">
        <f>IF($F994="","",IFERROR(INDEX(사건마스터!$AH$5:$AH$64,MATCH($F994,사건마스터!$A$5:$A$64,0)),""))</f>
        <v/>
      </c>
      <c r="K994" s="48">
        <f>IF($F994="","",IFERROR(INDEX(사건마스터!$AI$5:$AI$64,MATCH($F994,사건마스터!$A$5:$A$64,0)),""))</f>
        <v/>
      </c>
      <c r="L994" s="48">
        <f>IF($F994="","",IFERROR(INDEX(사건마스터!$AJ$5:$AJ$64,MATCH($F994,사건마스터!$A$5:$A$64,0)),""))</f>
        <v/>
      </c>
      <c r="M994" s="48">
        <f>IF($F994="","",IFERROR(INDEX(사건마스터!$AK$5:$AK$64,MATCH($F994,사건마스터!$A$5:$A$64,0)),""))</f>
        <v/>
      </c>
      <c r="N994" s="48">
        <f>IF($F994="","",IFERROR(INDEX(사건마스터!$AL$5:$AL$64,MATCH($F994,사건마스터!$A$5:$A$64,0)),""))</f>
        <v/>
      </c>
      <c r="O994" s="43">
        <f>IF($I994="","",COUNTIF($I994:$N994,"?*"))</f>
        <v/>
      </c>
      <c r="P994" s="46">
        <f>IF($I994="","",_xlfn.TEXTJOIN(", ",TRUE,$I994:$N994))</f>
        <v/>
      </c>
      <c r="Q994" s="47">
        <f>IF($I994="","",IFERROR(INDEX(코드설정!$D$5:$D$24,MATCH($I994,코드설정!$C$5:$C$24,0)),""))</f>
        <v/>
      </c>
      <c r="R994" s="49" t="n"/>
      <c r="S994" s="50" t="n"/>
      <c r="T994" s="51" t="n"/>
      <c r="U994" s="43">
        <f>IF(OR($B994="",$C994=""),"",$C994-$B994+1)</f>
        <v/>
      </c>
      <c r="V994" s="52" t="n"/>
      <c r="W994" s="53">
        <f>IF(OR($V994="",$O994=""),"",$V994*$O994)</f>
        <v/>
      </c>
      <c r="X994" s="45" t="n"/>
      <c r="Y994" s="49" t="n"/>
    </row>
    <row r="995">
      <c r="A995" s="43">
        <f>IF($B995="","",COUNT($B$5:$B995))</f>
        <v/>
      </c>
      <c r="B995" s="44" t="n"/>
      <c r="C995" s="44" t="n"/>
      <c r="D995" s="45" t="n"/>
      <c r="E995" s="45" t="n"/>
      <c r="F995" s="45" t="n"/>
      <c r="G995" s="46">
        <f>IF($F995="","",IFERROR(INDEX(사건마스터!$B$5:$B$64,MATCH($F995,사건마스터!$A$5:$A$64,0)),""))</f>
        <v/>
      </c>
      <c r="H995" s="47">
        <f>IF($F995="","",IFERROR(INDEX(사건마스터!$C$5:$C$64,MATCH($F995,사건마스터!$A$5:$A$64,0)),""))</f>
        <v/>
      </c>
      <c r="I995" s="48">
        <f>IF($F995="","",IFERROR(INDEX(사건마스터!$H$5:$H$64,MATCH($F995,사건마스터!$A$5:$A$64,0)),""))</f>
        <v/>
      </c>
      <c r="J995" s="48">
        <f>IF($F995="","",IFERROR(INDEX(사건마스터!$AH$5:$AH$64,MATCH($F995,사건마스터!$A$5:$A$64,0)),""))</f>
        <v/>
      </c>
      <c r="K995" s="48">
        <f>IF($F995="","",IFERROR(INDEX(사건마스터!$AI$5:$AI$64,MATCH($F995,사건마스터!$A$5:$A$64,0)),""))</f>
        <v/>
      </c>
      <c r="L995" s="48">
        <f>IF($F995="","",IFERROR(INDEX(사건마스터!$AJ$5:$AJ$64,MATCH($F995,사건마스터!$A$5:$A$64,0)),""))</f>
        <v/>
      </c>
      <c r="M995" s="48">
        <f>IF($F995="","",IFERROR(INDEX(사건마스터!$AK$5:$AK$64,MATCH($F995,사건마스터!$A$5:$A$64,0)),""))</f>
        <v/>
      </c>
      <c r="N995" s="48">
        <f>IF($F995="","",IFERROR(INDEX(사건마스터!$AL$5:$AL$64,MATCH($F995,사건마스터!$A$5:$A$64,0)),""))</f>
        <v/>
      </c>
      <c r="O995" s="43">
        <f>IF($I995="","",COUNTIF($I995:$N995,"?*"))</f>
        <v/>
      </c>
      <c r="P995" s="46">
        <f>IF($I995="","",_xlfn.TEXTJOIN(", ",TRUE,$I995:$N995))</f>
        <v/>
      </c>
      <c r="Q995" s="47">
        <f>IF($I995="","",IFERROR(INDEX(코드설정!$D$5:$D$24,MATCH($I995,코드설정!$C$5:$C$24,0)),""))</f>
        <v/>
      </c>
      <c r="R995" s="49" t="n"/>
      <c r="S995" s="50" t="n"/>
      <c r="T995" s="51" t="n"/>
      <c r="U995" s="43">
        <f>IF(OR($B995="",$C995=""),"",$C995-$B995+1)</f>
        <v/>
      </c>
      <c r="V995" s="52" t="n"/>
      <c r="W995" s="53">
        <f>IF(OR($V995="",$O995=""),"",$V995*$O995)</f>
        <v/>
      </c>
      <c r="X995" s="45" t="n"/>
      <c r="Y995" s="49" t="n"/>
    </row>
    <row r="996">
      <c r="A996" s="43">
        <f>IF($B996="","",COUNT($B$5:$B996))</f>
        <v/>
      </c>
      <c r="B996" s="44" t="n"/>
      <c r="C996" s="44" t="n"/>
      <c r="D996" s="45" t="n"/>
      <c r="E996" s="45" t="n"/>
      <c r="F996" s="45" t="n"/>
      <c r="G996" s="46">
        <f>IF($F996="","",IFERROR(INDEX(사건마스터!$B$5:$B$64,MATCH($F996,사건마스터!$A$5:$A$64,0)),""))</f>
        <v/>
      </c>
      <c r="H996" s="47">
        <f>IF($F996="","",IFERROR(INDEX(사건마스터!$C$5:$C$64,MATCH($F996,사건마스터!$A$5:$A$64,0)),""))</f>
        <v/>
      </c>
      <c r="I996" s="48">
        <f>IF($F996="","",IFERROR(INDEX(사건마스터!$H$5:$H$64,MATCH($F996,사건마스터!$A$5:$A$64,0)),""))</f>
        <v/>
      </c>
      <c r="J996" s="48">
        <f>IF($F996="","",IFERROR(INDEX(사건마스터!$AH$5:$AH$64,MATCH($F996,사건마스터!$A$5:$A$64,0)),""))</f>
        <v/>
      </c>
      <c r="K996" s="48">
        <f>IF($F996="","",IFERROR(INDEX(사건마스터!$AI$5:$AI$64,MATCH($F996,사건마스터!$A$5:$A$64,0)),""))</f>
        <v/>
      </c>
      <c r="L996" s="48">
        <f>IF($F996="","",IFERROR(INDEX(사건마스터!$AJ$5:$AJ$64,MATCH($F996,사건마스터!$A$5:$A$64,0)),""))</f>
        <v/>
      </c>
      <c r="M996" s="48">
        <f>IF($F996="","",IFERROR(INDEX(사건마스터!$AK$5:$AK$64,MATCH($F996,사건마스터!$A$5:$A$64,0)),""))</f>
        <v/>
      </c>
      <c r="N996" s="48">
        <f>IF($F996="","",IFERROR(INDEX(사건마스터!$AL$5:$AL$64,MATCH($F996,사건마스터!$A$5:$A$64,0)),""))</f>
        <v/>
      </c>
      <c r="O996" s="43">
        <f>IF($I996="","",COUNTIF($I996:$N996,"?*"))</f>
        <v/>
      </c>
      <c r="P996" s="46">
        <f>IF($I996="","",_xlfn.TEXTJOIN(", ",TRUE,$I996:$N996))</f>
        <v/>
      </c>
      <c r="Q996" s="47">
        <f>IF($I996="","",IFERROR(INDEX(코드설정!$D$5:$D$24,MATCH($I996,코드설정!$C$5:$C$24,0)),""))</f>
        <v/>
      </c>
      <c r="R996" s="49" t="n"/>
      <c r="S996" s="50" t="n"/>
      <c r="T996" s="51" t="n"/>
      <c r="U996" s="43">
        <f>IF(OR($B996="",$C996=""),"",$C996-$B996+1)</f>
        <v/>
      </c>
      <c r="V996" s="52" t="n"/>
      <c r="W996" s="53">
        <f>IF(OR($V996="",$O996=""),"",$V996*$O996)</f>
        <v/>
      </c>
      <c r="X996" s="45" t="n"/>
      <c r="Y996" s="49" t="n"/>
    </row>
    <row r="997">
      <c r="A997" s="43">
        <f>IF($B997="","",COUNT($B$5:$B997))</f>
        <v/>
      </c>
      <c r="B997" s="44" t="n"/>
      <c r="C997" s="44" t="n"/>
      <c r="D997" s="45" t="n"/>
      <c r="E997" s="45" t="n"/>
      <c r="F997" s="45" t="n"/>
      <c r="G997" s="46">
        <f>IF($F997="","",IFERROR(INDEX(사건마스터!$B$5:$B$64,MATCH($F997,사건마스터!$A$5:$A$64,0)),""))</f>
        <v/>
      </c>
      <c r="H997" s="47">
        <f>IF($F997="","",IFERROR(INDEX(사건마스터!$C$5:$C$64,MATCH($F997,사건마스터!$A$5:$A$64,0)),""))</f>
        <v/>
      </c>
      <c r="I997" s="48">
        <f>IF($F997="","",IFERROR(INDEX(사건마스터!$H$5:$H$64,MATCH($F997,사건마스터!$A$5:$A$64,0)),""))</f>
        <v/>
      </c>
      <c r="J997" s="48">
        <f>IF($F997="","",IFERROR(INDEX(사건마스터!$AH$5:$AH$64,MATCH($F997,사건마스터!$A$5:$A$64,0)),""))</f>
        <v/>
      </c>
      <c r="K997" s="48">
        <f>IF($F997="","",IFERROR(INDEX(사건마스터!$AI$5:$AI$64,MATCH($F997,사건마스터!$A$5:$A$64,0)),""))</f>
        <v/>
      </c>
      <c r="L997" s="48">
        <f>IF($F997="","",IFERROR(INDEX(사건마스터!$AJ$5:$AJ$64,MATCH($F997,사건마스터!$A$5:$A$64,0)),""))</f>
        <v/>
      </c>
      <c r="M997" s="48">
        <f>IF($F997="","",IFERROR(INDEX(사건마스터!$AK$5:$AK$64,MATCH($F997,사건마스터!$A$5:$A$64,0)),""))</f>
        <v/>
      </c>
      <c r="N997" s="48">
        <f>IF($F997="","",IFERROR(INDEX(사건마스터!$AL$5:$AL$64,MATCH($F997,사건마스터!$A$5:$A$64,0)),""))</f>
        <v/>
      </c>
      <c r="O997" s="43">
        <f>IF($I997="","",COUNTIF($I997:$N997,"?*"))</f>
        <v/>
      </c>
      <c r="P997" s="46">
        <f>IF($I997="","",_xlfn.TEXTJOIN(", ",TRUE,$I997:$N997))</f>
        <v/>
      </c>
      <c r="Q997" s="47">
        <f>IF($I997="","",IFERROR(INDEX(코드설정!$D$5:$D$24,MATCH($I997,코드설정!$C$5:$C$24,0)),""))</f>
        <v/>
      </c>
      <c r="R997" s="49" t="n"/>
      <c r="S997" s="50" t="n"/>
      <c r="T997" s="51" t="n"/>
      <c r="U997" s="43">
        <f>IF(OR($B997="",$C997=""),"",$C997-$B997+1)</f>
        <v/>
      </c>
      <c r="V997" s="52" t="n"/>
      <c r="W997" s="53">
        <f>IF(OR($V997="",$O997=""),"",$V997*$O997)</f>
        <v/>
      </c>
      <c r="X997" s="45" t="n"/>
      <c r="Y997" s="49" t="n"/>
    </row>
    <row r="998">
      <c r="A998" s="43">
        <f>IF($B998="","",COUNT($B$5:$B998))</f>
        <v/>
      </c>
      <c r="B998" s="44" t="n"/>
      <c r="C998" s="44" t="n"/>
      <c r="D998" s="45" t="n"/>
      <c r="E998" s="45" t="n"/>
      <c r="F998" s="45" t="n"/>
      <c r="G998" s="46">
        <f>IF($F998="","",IFERROR(INDEX(사건마스터!$B$5:$B$64,MATCH($F998,사건마스터!$A$5:$A$64,0)),""))</f>
        <v/>
      </c>
      <c r="H998" s="47">
        <f>IF($F998="","",IFERROR(INDEX(사건마스터!$C$5:$C$64,MATCH($F998,사건마스터!$A$5:$A$64,0)),""))</f>
        <v/>
      </c>
      <c r="I998" s="48">
        <f>IF($F998="","",IFERROR(INDEX(사건마스터!$H$5:$H$64,MATCH($F998,사건마스터!$A$5:$A$64,0)),""))</f>
        <v/>
      </c>
      <c r="J998" s="48">
        <f>IF($F998="","",IFERROR(INDEX(사건마스터!$AH$5:$AH$64,MATCH($F998,사건마스터!$A$5:$A$64,0)),""))</f>
        <v/>
      </c>
      <c r="K998" s="48">
        <f>IF($F998="","",IFERROR(INDEX(사건마스터!$AI$5:$AI$64,MATCH($F998,사건마스터!$A$5:$A$64,0)),""))</f>
        <v/>
      </c>
      <c r="L998" s="48">
        <f>IF($F998="","",IFERROR(INDEX(사건마스터!$AJ$5:$AJ$64,MATCH($F998,사건마스터!$A$5:$A$64,0)),""))</f>
        <v/>
      </c>
      <c r="M998" s="48">
        <f>IF($F998="","",IFERROR(INDEX(사건마스터!$AK$5:$AK$64,MATCH($F998,사건마스터!$A$5:$A$64,0)),""))</f>
        <v/>
      </c>
      <c r="N998" s="48">
        <f>IF($F998="","",IFERROR(INDEX(사건마스터!$AL$5:$AL$64,MATCH($F998,사건마스터!$A$5:$A$64,0)),""))</f>
        <v/>
      </c>
      <c r="O998" s="43">
        <f>IF($I998="","",COUNTIF($I998:$N998,"?*"))</f>
        <v/>
      </c>
      <c r="P998" s="46">
        <f>IF($I998="","",_xlfn.TEXTJOIN(", ",TRUE,$I998:$N998))</f>
        <v/>
      </c>
      <c r="Q998" s="47">
        <f>IF($I998="","",IFERROR(INDEX(코드설정!$D$5:$D$24,MATCH($I998,코드설정!$C$5:$C$24,0)),""))</f>
        <v/>
      </c>
      <c r="R998" s="49" t="n"/>
      <c r="S998" s="50" t="n"/>
      <c r="T998" s="51" t="n"/>
      <c r="U998" s="43">
        <f>IF(OR($B998="",$C998=""),"",$C998-$B998+1)</f>
        <v/>
      </c>
      <c r="V998" s="52" t="n"/>
      <c r="W998" s="53">
        <f>IF(OR($V998="",$O998=""),"",$V998*$O998)</f>
        <v/>
      </c>
      <c r="X998" s="45" t="n"/>
      <c r="Y998" s="49" t="n"/>
    </row>
    <row r="999">
      <c r="A999" s="43">
        <f>IF($B999="","",COUNT($B$5:$B999))</f>
        <v/>
      </c>
      <c r="B999" s="44" t="n"/>
      <c r="C999" s="44" t="n"/>
      <c r="D999" s="45" t="n"/>
      <c r="E999" s="45" t="n"/>
      <c r="F999" s="45" t="n"/>
      <c r="G999" s="46">
        <f>IF($F999="","",IFERROR(INDEX(사건마스터!$B$5:$B$64,MATCH($F999,사건마스터!$A$5:$A$64,0)),""))</f>
        <v/>
      </c>
      <c r="H999" s="47">
        <f>IF($F999="","",IFERROR(INDEX(사건마스터!$C$5:$C$64,MATCH($F999,사건마스터!$A$5:$A$64,0)),""))</f>
        <v/>
      </c>
      <c r="I999" s="48">
        <f>IF($F999="","",IFERROR(INDEX(사건마스터!$H$5:$H$64,MATCH($F999,사건마스터!$A$5:$A$64,0)),""))</f>
        <v/>
      </c>
      <c r="J999" s="48">
        <f>IF($F999="","",IFERROR(INDEX(사건마스터!$AH$5:$AH$64,MATCH($F999,사건마스터!$A$5:$A$64,0)),""))</f>
        <v/>
      </c>
      <c r="K999" s="48">
        <f>IF($F999="","",IFERROR(INDEX(사건마스터!$AI$5:$AI$64,MATCH($F999,사건마스터!$A$5:$A$64,0)),""))</f>
        <v/>
      </c>
      <c r="L999" s="48">
        <f>IF($F999="","",IFERROR(INDEX(사건마스터!$AJ$5:$AJ$64,MATCH($F999,사건마스터!$A$5:$A$64,0)),""))</f>
        <v/>
      </c>
      <c r="M999" s="48">
        <f>IF($F999="","",IFERROR(INDEX(사건마스터!$AK$5:$AK$64,MATCH($F999,사건마스터!$A$5:$A$64,0)),""))</f>
        <v/>
      </c>
      <c r="N999" s="48">
        <f>IF($F999="","",IFERROR(INDEX(사건마스터!$AL$5:$AL$64,MATCH($F999,사건마스터!$A$5:$A$64,0)),""))</f>
        <v/>
      </c>
      <c r="O999" s="43">
        <f>IF($I999="","",COUNTIF($I999:$N999,"?*"))</f>
        <v/>
      </c>
      <c r="P999" s="46">
        <f>IF($I999="","",_xlfn.TEXTJOIN(", ",TRUE,$I999:$N999))</f>
        <v/>
      </c>
      <c r="Q999" s="47">
        <f>IF($I999="","",IFERROR(INDEX(코드설정!$D$5:$D$24,MATCH($I999,코드설정!$C$5:$C$24,0)),""))</f>
        <v/>
      </c>
      <c r="R999" s="49" t="n"/>
      <c r="S999" s="50" t="n"/>
      <c r="T999" s="51" t="n"/>
      <c r="U999" s="43">
        <f>IF(OR($B999="",$C999=""),"",$C999-$B999+1)</f>
        <v/>
      </c>
      <c r="V999" s="52" t="n"/>
      <c r="W999" s="53">
        <f>IF(OR($V999="",$O999=""),"",$V999*$O999)</f>
        <v/>
      </c>
      <c r="X999" s="45" t="n"/>
      <c r="Y999" s="49" t="n"/>
    </row>
    <row r="1000">
      <c r="A1000" s="43">
        <f>IF($B1000="","",COUNT($B$5:$B1000))</f>
        <v/>
      </c>
      <c r="B1000" s="44" t="n"/>
      <c r="C1000" s="44" t="n"/>
      <c r="D1000" s="45" t="n"/>
      <c r="E1000" s="45" t="n"/>
      <c r="F1000" s="45" t="n"/>
      <c r="G1000" s="46">
        <f>IF($F1000="","",IFERROR(INDEX(사건마스터!$B$5:$B$64,MATCH($F1000,사건마스터!$A$5:$A$64,0)),""))</f>
        <v/>
      </c>
      <c r="H1000" s="47">
        <f>IF($F1000="","",IFERROR(INDEX(사건마스터!$C$5:$C$64,MATCH($F1000,사건마스터!$A$5:$A$64,0)),""))</f>
        <v/>
      </c>
      <c r="I1000" s="48">
        <f>IF($F1000="","",IFERROR(INDEX(사건마스터!$H$5:$H$64,MATCH($F1000,사건마스터!$A$5:$A$64,0)),""))</f>
        <v/>
      </c>
      <c r="J1000" s="48">
        <f>IF($F1000="","",IFERROR(INDEX(사건마스터!$AH$5:$AH$64,MATCH($F1000,사건마스터!$A$5:$A$64,0)),""))</f>
        <v/>
      </c>
      <c r="K1000" s="48">
        <f>IF($F1000="","",IFERROR(INDEX(사건마스터!$AI$5:$AI$64,MATCH($F1000,사건마스터!$A$5:$A$64,0)),""))</f>
        <v/>
      </c>
      <c r="L1000" s="48">
        <f>IF($F1000="","",IFERROR(INDEX(사건마스터!$AJ$5:$AJ$64,MATCH($F1000,사건마스터!$A$5:$A$64,0)),""))</f>
        <v/>
      </c>
      <c r="M1000" s="48">
        <f>IF($F1000="","",IFERROR(INDEX(사건마스터!$AK$5:$AK$64,MATCH($F1000,사건마스터!$A$5:$A$64,0)),""))</f>
        <v/>
      </c>
      <c r="N1000" s="48">
        <f>IF($F1000="","",IFERROR(INDEX(사건마스터!$AL$5:$AL$64,MATCH($F1000,사건마스터!$A$5:$A$64,0)),""))</f>
        <v/>
      </c>
      <c r="O1000" s="43">
        <f>IF($I1000="","",COUNTIF($I1000:$N1000,"?*"))</f>
        <v/>
      </c>
      <c r="P1000" s="46">
        <f>IF($I1000="","",_xlfn.TEXTJOIN(", ",TRUE,$I1000:$N1000))</f>
        <v/>
      </c>
      <c r="Q1000" s="47">
        <f>IF($I1000="","",IFERROR(INDEX(코드설정!$D$5:$D$24,MATCH($I1000,코드설정!$C$5:$C$24,0)),""))</f>
        <v/>
      </c>
      <c r="R1000" s="49" t="n"/>
      <c r="S1000" s="50" t="n"/>
      <c r="T1000" s="51" t="n"/>
      <c r="U1000" s="43">
        <f>IF(OR($B1000="",$C1000=""),"",$C1000-$B1000+1)</f>
        <v/>
      </c>
      <c r="V1000" s="52" t="n"/>
      <c r="W1000" s="53">
        <f>IF(OR($V1000="",$O1000=""),"",$V1000*$O1000)</f>
        <v/>
      </c>
      <c r="X1000" s="45" t="n"/>
      <c r="Y1000" s="49" t="n"/>
    </row>
    <row r="1001">
      <c r="A1001" s="43">
        <f>IF($B1001="","",COUNT($B$5:$B1001))</f>
        <v/>
      </c>
      <c r="B1001" s="44" t="n"/>
      <c r="C1001" s="44" t="n"/>
      <c r="D1001" s="45" t="n"/>
      <c r="E1001" s="45" t="n"/>
      <c r="F1001" s="45" t="n"/>
      <c r="G1001" s="46">
        <f>IF($F1001="","",IFERROR(INDEX(사건마스터!$B$5:$B$64,MATCH($F1001,사건마스터!$A$5:$A$64,0)),""))</f>
        <v/>
      </c>
      <c r="H1001" s="47">
        <f>IF($F1001="","",IFERROR(INDEX(사건마스터!$C$5:$C$64,MATCH($F1001,사건마스터!$A$5:$A$64,0)),""))</f>
        <v/>
      </c>
      <c r="I1001" s="48">
        <f>IF($F1001="","",IFERROR(INDEX(사건마스터!$H$5:$H$64,MATCH($F1001,사건마스터!$A$5:$A$64,0)),""))</f>
        <v/>
      </c>
      <c r="J1001" s="48">
        <f>IF($F1001="","",IFERROR(INDEX(사건마스터!$AH$5:$AH$64,MATCH($F1001,사건마스터!$A$5:$A$64,0)),""))</f>
        <v/>
      </c>
      <c r="K1001" s="48">
        <f>IF($F1001="","",IFERROR(INDEX(사건마스터!$AI$5:$AI$64,MATCH($F1001,사건마스터!$A$5:$A$64,0)),""))</f>
        <v/>
      </c>
      <c r="L1001" s="48">
        <f>IF($F1001="","",IFERROR(INDEX(사건마스터!$AJ$5:$AJ$64,MATCH($F1001,사건마스터!$A$5:$A$64,0)),""))</f>
        <v/>
      </c>
      <c r="M1001" s="48">
        <f>IF($F1001="","",IFERROR(INDEX(사건마스터!$AK$5:$AK$64,MATCH($F1001,사건마스터!$A$5:$A$64,0)),""))</f>
        <v/>
      </c>
      <c r="N1001" s="48">
        <f>IF($F1001="","",IFERROR(INDEX(사건마스터!$AL$5:$AL$64,MATCH($F1001,사건마스터!$A$5:$A$64,0)),""))</f>
        <v/>
      </c>
      <c r="O1001" s="43">
        <f>IF($I1001="","",COUNTIF($I1001:$N1001,"?*"))</f>
        <v/>
      </c>
      <c r="P1001" s="46">
        <f>IF($I1001="","",_xlfn.TEXTJOIN(", ",TRUE,$I1001:$N1001))</f>
        <v/>
      </c>
      <c r="Q1001" s="47">
        <f>IF($I1001="","",IFERROR(INDEX(코드설정!$D$5:$D$24,MATCH($I1001,코드설정!$C$5:$C$24,0)),""))</f>
        <v/>
      </c>
      <c r="R1001" s="49" t="n"/>
      <c r="S1001" s="50" t="n"/>
      <c r="T1001" s="51" t="n"/>
      <c r="U1001" s="43">
        <f>IF(OR($B1001="",$C1001=""),"",$C1001-$B1001+1)</f>
        <v/>
      </c>
      <c r="V1001" s="52" t="n"/>
      <c r="W1001" s="53">
        <f>IF(OR($V1001="",$O1001=""),"",$V1001*$O1001)</f>
        <v/>
      </c>
      <c r="X1001" s="45" t="n"/>
      <c r="Y1001" s="49" t="n"/>
    </row>
    <row r="1002">
      <c r="A1002" s="43">
        <f>IF($B1002="","",COUNT($B$5:$B1002))</f>
        <v/>
      </c>
      <c r="B1002" s="44" t="n"/>
      <c r="C1002" s="44" t="n"/>
      <c r="D1002" s="45" t="n"/>
      <c r="E1002" s="45" t="n"/>
      <c r="F1002" s="45" t="n"/>
      <c r="G1002" s="46">
        <f>IF($F1002="","",IFERROR(INDEX(사건마스터!$B$5:$B$64,MATCH($F1002,사건마스터!$A$5:$A$64,0)),""))</f>
        <v/>
      </c>
      <c r="H1002" s="47">
        <f>IF($F1002="","",IFERROR(INDEX(사건마스터!$C$5:$C$64,MATCH($F1002,사건마스터!$A$5:$A$64,0)),""))</f>
        <v/>
      </c>
      <c r="I1002" s="48">
        <f>IF($F1002="","",IFERROR(INDEX(사건마스터!$H$5:$H$64,MATCH($F1002,사건마스터!$A$5:$A$64,0)),""))</f>
        <v/>
      </c>
      <c r="J1002" s="48">
        <f>IF($F1002="","",IFERROR(INDEX(사건마스터!$AH$5:$AH$64,MATCH($F1002,사건마스터!$A$5:$A$64,0)),""))</f>
        <v/>
      </c>
      <c r="K1002" s="48">
        <f>IF($F1002="","",IFERROR(INDEX(사건마스터!$AI$5:$AI$64,MATCH($F1002,사건마스터!$A$5:$A$64,0)),""))</f>
        <v/>
      </c>
      <c r="L1002" s="48">
        <f>IF($F1002="","",IFERROR(INDEX(사건마스터!$AJ$5:$AJ$64,MATCH($F1002,사건마스터!$A$5:$A$64,0)),""))</f>
        <v/>
      </c>
      <c r="M1002" s="48">
        <f>IF($F1002="","",IFERROR(INDEX(사건마스터!$AK$5:$AK$64,MATCH($F1002,사건마스터!$A$5:$A$64,0)),""))</f>
        <v/>
      </c>
      <c r="N1002" s="48">
        <f>IF($F1002="","",IFERROR(INDEX(사건마스터!$AL$5:$AL$64,MATCH($F1002,사건마스터!$A$5:$A$64,0)),""))</f>
        <v/>
      </c>
      <c r="O1002" s="43">
        <f>IF($I1002="","",COUNTIF($I1002:$N1002,"?*"))</f>
        <v/>
      </c>
      <c r="P1002" s="46">
        <f>IF($I1002="","",_xlfn.TEXTJOIN(", ",TRUE,$I1002:$N1002))</f>
        <v/>
      </c>
      <c r="Q1002" s="47">
        <f>IF($I1002="","",IFERROR(INDEX(코드설정!$D$5:$D$24,MATCH($I1002,코드설정!$C$5:$C$24,0)),""))</f>
        <v/>
      </c>
      <c r="R1002" s="49" t="n"/>
      <c r="S1002" s="50" t="n"/>
      <c r="T1002" s="51" t="n"/>
      <c r="U1002" s="43">
        <f>IF(OR($B1002="",$C1002=""),"",$C1002-$B1002+1)</f>
        <v/>
      </c>
      <c r="V1002" s="52" t="n"/>
      <c r="W1002" s="53">
        <f>IF(OR($V1002="",$O1002=""),"",$V1002*$O1002)</f>
        <v/>
      </c>
      <c r="X1002" s="45" t="n"/>
      <c r="Y1002" s="49" t="n"/>
    </row>
    <row r="1003">
      <c r="A1003" s="43">
        <f>IF($B1003="","",COUNT($B$5:$B1003))</f>
        <v/>
      </c>
      <c r="B1003" s="44" t="n"/>
      <c r="C1003" s="44" t="n"/>
      <c r="D1003" s="45" t="n"/>
      <c r="E1003" s="45" t="n"/>
      <c r="F1003" s="45" t="n"/>
      <c r="G1003" s="46">
        <f>IF($F1003="","",IFERROR(INDEX(사건마스터!$B$5:$B$64,MATCH($F1003,사건마스터!$A$5:$A$64,0)),""))</f>
        <v/>
      </c>
      <c r="H1003" s="47">
        <f>IF($F1003="","",IFERROR(INDEX(사건마스터!$C$5:$C$64,MATCH($F1003,사건마스터!$A$5:$A$64,0)),""))</f>
        <v/>
      </c>
      <c r="I1003" s="48">
        <f>IF($F1003="","",IFERROR(INDEX(사건마스터!$H$5:$H$64,MATCH($F1003,사건마스터!$A$5:$A$64,0)),""))</f>
        <v/>
      </c>
      <c r="J1003" s="48">
        <f>IF($F1003="","",IFERROR(INDEX(사건마스터!$AH$5:$AH$64,MATCH($F1003,사건마스터!$A$5:$A$64,0)),""))</f>
        <v/>
      </c>
      <c r="K1003" s="48">
        <f>IF($F1003="","",IFERROR(INDEX(사건마스터!$AI$5:$AI$64,MATCH($F1003,사건마스터!$A$5:$A$64,0)),""))</f>
        <v/>
      </c>
      <c r="L1003" s="48">
        <f>IF($F1003="","",IFERROR(INDEX(사건마스터!$AJ$5:$AJ$64,MATCH($F1003,사건마스터!$A$5:$A$64,0)),""))</f>
        <v/>
      </c>
      <c r="M1003" s="48">
        <f>IF($F1003="","",IFERROR(INDEX(사건마스터!$AK$5:$AK$64,MATCH($F1003,사건마스터!$A$5:$A$64,0)),""))</f>
        <v/>
      </c>
      <c r="N1003" s="48">
        <f>IF($F1003="","",IFERROR(INDEX(사건마스터!$AL$5:$AL$64,MATCH($F1003,사건마스터!$A$5:$A$64,0)),""))</f>
        <v/>
      </c>
      <c r="O1003" s="43">
        <f>IF($I1003="","",COUNTIF($I1003:$N1003,"?*"))</f>
        <v/>
      </c>
      <c r="P1003" s="46">
        <f>IF($I1003="","",_xlfn.TEXTJOIN(", ",TRUE,$I1003:$N1003))</f>
        <v/>
      </c>
      <c r="Q1003" s="47">
        <f>IF($I1003="","",IFERROR(INDEX(코드설정!$D$5:$D$24,MATCH($I1003,코드설정!$C$5:$C$24,0)),""))</f>
        <v/>
      </c>
      <c r="R1003" s="49" t="n"/>
      <c r="S1003" s="50" t="n"/>
      <c r="T1003" s="51" t="n"/>
      <c r="U1003" s="43">
        <f>IF(OR($B1003="",$C1003=""),"",$C1003-$B1003+1)</f>
        <v/>
      </c>
      <c r="V1003" s="52" t="n"/>
      <c r="W1003" s="53">
        <f>IF(OR($V1003="",$O1003=""),"",$V1003*$O1003)</f>
        <v/>
      </c>
      <c r="X1003" s="45" t="n"/>
      <c r="Y1003" s="49" t="n"/>
    </row>
    <row r="1004">
      <c r="A1004" s="43">
        <f>IF($B1004="","",COUNT($B$5:$B1004))</f>
        <v/>
      </c>
      <c r="B1004" s="44" t="n"/>
      <c r="C1004" s="44" t="n"/>
      <c r="D1004" s="45" t="n"/>
      <c r="E1004" s="45" t="n"/>
      <c r="F1004" s="45" t="n"/>
      <c r="G1004" s="46">
        <f>IF($F1004="","",IFERROR(INDEX(사건마스터!$B$5:$B$64,MATCH($F1004,사건마스터!$A$5:$A$64,0)),""))</f>
        <v/>
      </c>
      <c r="H1004" s="47">
        <f>IF($F1004="","",IFERROR(INDEX(사건마스터!$C$5:$C$64,MATCH($F1004,사건마스터!$A$5:$A$64,0)),""))</f>
        <v/>
      </c>
      <c r="I1004" s="48">
        <f>IF($F1004="","",IFERROR(INDEX(사건마스터!$H$5:$H$64,MATCH($F1004,사건마스터!$A$5:$A$64,0)),""))</f>
        <v/>
      </c>
      <c r="J1004" s="48">
        <f>IF($F1004="","",IFERROR(INDEX(사건마스터!$AH$5:$AH$64,MATCH($F1004,사건마스터!$A$5:$A$64,0)),""))</f>
        <v/>
      </c>
      <c r="K1004" s="48">
        <f>IF($F1004="","",IFERROR(INDEX(사건마스터!$AI$5:$AI$64,MATCH($F1004,사건마스터!$A$5:$A$64,0)),""))</f>
        <v/>
      </c>
      <c r="L1004" s="48">
        <f>IF($F1004="","",IFERROR(INDEX(사건마스터!$AJ$5:$AJ$64,MATCH($F1004,사건마스터!$A$5:$A$64,0)),""))</f>
        <v/>
      </c>
      <c r="M1004" s="48">
        <f>IF($F1004="","",IFERROR(INDEX(사건마스터!$AK$5:$AK$64,MATCH($F1004,사건마스터!$A$5:$A$64,0)),""))</f>
        <v/>
      </c>
      <c r="N1004" s="48">
        <f>IF($F1004="","",IFERROR(INDEX(사건마스터!$AL$5:$AL$64,MATCH($F1004,사건마스터!$A$5:$A$64,0)),""))</f>
        <v/>
      </c>
      <c r="O1004" s="43">
        <f>IF($I1004="","",COUNTIF($I1004:$N1004,"?*"))</f>
        <v/>
      </c>
      <c r="P1004" s="46">
        <f>IF($I1004="","",_xlfn.TEXTJOIN(", ",TRUE,$I1004:$N1004))</f>
        <v/>
      </c>
      <c r="Q1004" s="47">
        <f>IF($I1004="","",IFERROR(INDEX(코드설정!$D$5:$D$24,MATCH($I1004,코드설정!$C$5:$C$24,0)),""))</f>
        <v/>
      </c>
      <c r="R1004" s="49" t="n"/>
      <c r="S1004" s="50" t="n"/>
      <c r="T1004" s="51" t="n"/>
      <c r="U1004" s="43">
        <f>IF(OR($B1004="",$C1004=""),"",$C1004-$B1004+1)</f>
        <v/>
      </c>
      <c r="V1004" s="52" t="n"/>
      <c r="W1004" s="53">
        <f>IF(OR($V1004="",$O1004=""),"",$V1004*$O1004)</f>
        <v/>
      </c>
      <c r="X1004" s="45" t="n"/>
      <c r="Y1004" s="49" t="n"/>
    </row>
  </sheetData>
  <autoFilter ref="A4:Y1004"/>
  <conditionalFormatting sqref="A5:Y1004">
    <cfRule type="expression" priority="1" dxfId="2" stopIfTrue="0">
      <formula>AND($B5&lt;&gt;"",$X5="완료")</formula>
    </cfRule>
    <cfRule type="expression" priority="2" dxfId="3" stopIfTrue="0">
      <formula>AND($B5&lt;&gt;"",$X5="보류")</formula>
    </cfRule>
    <cfRule type="expression" priority="3" dxfId="4" stopIfTrue="0">
      <formula>AND($B5&lt;&gt;"",$X5&lt;&gt;"완료",$C5&lt;&gt;"",$C5&lt;TODAY())</formula>
    </cfRule>
  </conditionalFormatting>
  <dataValidations count="5">
    <dataValidation sqref="D5:D1004" showDropDown="0" showInputMessage="0" showErrorMessage="0" allowBlank="1" type="list">
      <formula1>코드설정!$H$5:$H$6</formula1>
    </dataValidation>
    <dataValidation sqref="E5:E1004" showDropDown="0" showInputMessage="0" showErrorMessage="0" allowBlank="1" type="list">
      <formula1>코드설정!$B$5:$B$17</formula1>
    </dataValidation>
    <dataValidation sqref="F5:F1004" showDropDown="0" showInputMessage="0" showErrorMessage="0" allowBlank="1" type="list">
      <formula1>사건마스터!$A$5:$A$64</formula1>
    </dataValidation>
    <dataValidation sqref="I5:N1004" showDropDown="0" showInputMessage="0" showErrorMessage="0" allowBlank="1" type="list">
      <formula1>코드설정!$C$5:$C$24</formula1>
    </dataValidation>
    <dataValidation sqref="X5:X1004" showDropDown="0" showInputMessage="0" showErrorMessage="0" allowBlank="1" type="list">
      <formula1>코드설정!$F$5:$F$7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L10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11" customWidth="1" min="4" max="4"/>
    <col width="13" customWidth="1" min="5" max="5"/>
    <col width="16" customWidth="1" min="6" max="6"/>
    <col width="16" customWidth="1" min="7" max="7"/>
    <col width="38" customWidth="1" min="8" max="8"/>
    <col width="30" customWidth="1" min="9" max="9"/>
    <col width="12" customWidth="1" min="10" max="10"/>
    <col width="10" customWidth="1" min="11" max="11"/>
    <col width="26" customWidth="1" min="12" max="12"/>
  </cols>
  <sheetData>
    <row r="1" ht="24" customHeight="1">
      <c r="A1" s="6" t="inlineStr">
        <is>
          <t>일일 실시사항  ·  부서 일일 업무 기록</t>
        </is>
      </c>
    </row>
    <row r="2" ht="26" customHeight="1">
      <c r="A2" s="7" t="inlineStr">
        <is>
          <t>※ 출장·분석 외 부서의 모든 일일 업무를 여기에 기록합니다(행정·교육·회의·장비관리·당직 등).  ※ 하루에 여러 건이면 여러 행으로 나눠 쓰세요.  ※ 파란 글씨 칸만 입력 / 회색 칸은 자동.</t>
        </is>
      </c>
    </row>
    <row r="4" ht="32" customHeight="1">
      <c r="A4" s="23" t="inlineStr">
        <is>
          <t>연번</t>
        </is>
      </c>
      <c r="B4" s="23" t="inlineStr">
        <is>
          <t>일자</t>
        </is>
      </c>
      <c r="C4" s="23" t="inlineStr">
        <is>
          <t>요일</t>
        </is>
      </c>
      <c r="D4" s="23" t="inlineStr">
        <is>
          <t>담당자</t>
        </is>
      </c>
      <c r="E4" s="23" t="inlineStr">
        <is>
          <t>소속팀</t>
        </is>
      </c>
      <c r="F4" s="23" t="inlineStr">
        <is>
          <t>업무구분</t>
        </is>
      </c>
      <c r="G4" s="23" t="inlineStr">
        <is>
          <t>관련 사건번호</t>
        </is>
      </c>
      <c r="H4" s="23" t="inlineStr">
        <is>
          <t>실시 내용</t>
        </is>
      </c>
      <c r="I4" s="23" t="inlineStr">
        <is>
          <t>조치 · 결과</t>
        </is>
      </c>
      <c r="J4" s="23" t="inlineStr">
        <is>
          <t>투입시간(H)</t>
        </is>
      </c>
      <c r="K4" s="23" t="inlineStr">
        <is>
          <t>진행상태</t>
        </is>
      </c>
      <c r="L4" s="23" t="inlineStr">
        <is>
          <t>특이사항 / 후속조치</t>
        </is>
      </c>
    </row>
    <row r="5">
      <c r="A5" s="32">
        <f>IF($B5="","",COUNT($B$5:$B5))</f>
        <v/>
      </c>
      <c r="B5" s="33" t="n">
        <v>46087</v>
      </c>
      <c r="C5" s="36">
        <f>IF($B5="","",CHOOSE(WEEKDAY($B5),"일","월","화","수","목","금","토"))</f>
        <v/>
      </c>
      <c r="D5" s="34" t="inlineStr">
        <is>
          <t>최분석</t>
        </is>
      </c>
      <c r="E5" s="36">
        <f>IF($D5="","",IFERROR(INDEX(코드설정!$D$5:$D$24,MATCH($D5,코드설정!$C$5:$C$24,0)),""))</f>
        <v/>
      </c>
      <c r="F5" s="34" t="inlineStr">
        <is>
          <t>장비·시스템 관리</t>
        </is>
      </c>
      <c r="G5" s="34" t="n"/>
      <c r="H5" s="38" t="inlineStr">
        <is>
          <t>포렌식 워크스테이션 2호기 이미징 장비 점검 및 펌웨어 업데이트</t>
        </is>
      </c>
      <c r="I5" s="38" t="inlineStr">
        <is>
          <t>정상 완료, 검증용 해시 테스트 통과</t>
        </is>
      </c>
      <c r="J5" s="41" t="n">
        <v>3</v>
      </c>
      <c r="K5" s="34" t="inlineStr">
        <is>
          <t>완료</t>
        </is>
      </c>
      <c r="L5" s="38" t="inlineStr">
        <is>
          <t>※ 예시 - 지우고 사용하세요</t>
        </is>
      </c>
    </row>
    <row r="6">
      <c r="A6" s="43">
        <f>IF($B6="","",COUNT($B$5:$B6))</f>
        <v/>
      </c>
      <c r="B6" s="44" t="n"/>
      <c r="C6" s="47">
        <f>IF($B6="","",CHOOSE(WEEKDAY($B6),"일","월","화","수","목","금","토"))</f>
        <v/>
      </c>
      <c r="D6" s="45" t="n"/>
      <c r="E6" s="47">
        <f>IF($D6="","",IFERROR(INDEX(코드설정!$D$5:$D$24,MATCH($D6,코드설정!$C$5:$C$24,0)),""))</f>
        <v/>
      </c>
      <c r="F6" s="45" t="n"/>
      <c r="G6" s="45" t="n"/>
      <c r="H6" s="49" t="n"/>
      <c r="I6" s="49" t="n"/>
      <c r="J6" s="52" t="n"/>
      <c r="K6" s="45" t="n"/>
      <c r="L6" s="49" t="n"/>
    </row>
    <row r="7">
      <c r="A7" s="43">
        <f>IF($B7="","",COUNT($B$5:$B7))</f>
        <v/>
      </c>
      <c r="B7" s="44" t="n"/>
      <c r="C7" s="47">
        <f>IF($B7="","",CHOOSE(WEEKDAY($B7),"일","월","화","수","목","금","토"))</f>
        <v/>
      </c>
      <c r="D7" s="45" t="n"/>
      <c r="E7" s="47">
        <f>IF($D7="","",IFERROR(INDEX(코드설정!$D$5:$D$24,MATCH($D7,코드설정!$C$5:$C$24,0)),""))</f>
        <v/>
      </c>
      <c r="F7" s="45" t="n"/>
      <c r="G7" s="45" t="n"/>
      <c r="H7" s="49" t="n"/>
      <c r="I7" s="49" t="n"/>
      <c r="J7" s="52" t="n"/>
      <c r="K7" s="45" t="n"/>
      <c r="L7" s="49" t="n"/>
    </row>
    <row r="8">
      <c r="A8" s="43">
        <f>IF($B8="","",COUNT($B$5:$B8))</f>
        <v/>
      </c>
      <c r="B8" s="44" t="n"/>
      <c r="C8" s="47">
        <f>IF($B8="","",CHOOSE(WEEKDAY($B8),"일","월","화","수","목","금","토"))</f>
        <v/>
      </c>
      <c r="D8" s="45" t="n"/>
      <c r="E8" s="47">
        <f>IF($D8="","",IFERROR(INDEX(코드설정!$D$5:$D$24,MATCH($D8,코드설정!$C$5:$C$24,0)),""))</f>
        <v/>
      </c>
      <c r="F8" s="45" t="n"/>
      <c r="G8" s="45" t="n"/>
      <c r="H8" s="49" t="n"/>
      <c r="I8" s="49" t="n"/>
      <c r="J8" s="52" t="n"/>
      <c r="K8" s="45" t="n"/>
      <c r="L8" s="49" t="n"/>
    </row>
    <row r="9">
      <c r="A9" s="43">
        <f>IF($B9="","",COUNT($B$5:$B9))</f>
        <v/>
      </c>
      <c r="B9" s="44" t="n"/>
      <c r="C9" s="47">
        <f>IF($B9="","",CHOOSE(WEEKDAY($B9),"일","월","화","수","목","금","토"))</f>
        <v/>
      </c>
      <c r="D9" s="45" t="n"/>
      <c r="E9" s="47">
        <f>IF($D9="","",IFERROR(INDEX(코드설정!$D$5:$D$24,MATCH($D9,코드설정!$C$5:$C$24,0)),""))</f>
        <v/>
      </c>
      <c r="F9" s="45" t="n"/>
      <c r="G9" s="45" t="n"/>
      <c r="H9" s="49" t="n"/>
      <c r="I9" s="49" t="n"/>
      <c r="J9" s="52" t="n"/>
      <c r="K9" s="45" t="n"/>
      <c r="L9" s="49" t="n"/>
    </row>
    <row r="10">
      <c r="A10" s="43">
        <f>IF($B10="","",COUNT($B$5:$B10))</f>
        <v/>
      </c>
      <c r="B10" s="44" t="n"/>
      <c r="C10" s="47">
        <f>IF($B10="","",CHOOSE(WEEKDAY($B10),"일","월","화","수","목","금","토"))</f>
        <v/>
      </c>
      <c r="D10" s="45" t="n"/>
      <c r="E10" s="47">
        <f>IF($D10="","",IFERROR(INDEX(코드설정!$D$5:$D$24,MATCH($D10,코드설정!$C$5:$C$24,0)),""))</f>
        <v/>
      </c>
      <c r="F10" s="45" t="n"/>
      <c r="G10" s="45" t="n"/>
      <c r="H10" s="49" t="n"/>
      <c r="I10" s="49" t="n"/>
      <c r="J10" s="52" t="n"/>
      <c r="K10" s="45" t="n"/>
      <c r="L10" s="49" t="n"/>
    </row>
    <row r="11">
      <c r="A11" s="43">
        <f>IF($B11="","",COUNT($B$5:$B11))</f>
        <v/>
      </c>
      <c r="B11" s="44" t="n"/>
      <c r="C11" s="47">
        <f>IF($B11="","",CHOOSE(WEEKDAY($B11),"일","월","화","수","목","금","토"))</f>
        <v/>
      </c>
      <c r="D11" s="45" t="n"/>
      <c r="E11" s="47">
        <f>IF($D11="","",IFERROR(INDEX(코드설정!$D$5:$D$24,MATCH($D11,코드설정!$C$5:$C$24,0)),""))</f>
        <v/>
      </c>
      <c r="F11" s="45" t="n"/>
      <c r="G11" s="45" t="n"/>
      <c r="H11" s="49" t="n"/>
      <c r="I11" s="49" t="n"/>
      <c r="J11" s="52" t="n"/>
      <c r="K11" s="45" t="n"/>
      <c r="L11" s="49" t="n"/>
    </row>
    <row r="12">
      <c r="A12" s="43">
        <f>IF($B12="","",COUNT($B$5:$B12))</f>
        <v/>
      </c>
      <c r="B12" s="44" t="n"/>
      <c r="C12" s="47">
        <f>IF($B12="","",CHOOSE(WEEKDAY($B12),"일","월","화","수","목","금","토"))</f>
        <v/>
      </c>
      <c r="D12" s="45" t="n"/>
      <c r="E12" s="47">
        <f>IF($D12="","",IFERROR(INDEX(코드설정!$D$5:$D$24,MATCH($D12,코드설정!$C$5:$C$24,0)),""))</f>
        <v/>
      </c>
      <c r="F12" s="45" t="n"/>
      <c r="G12" s="45" t="n"/>
      <c r="H12" s="49" t="n"/>
      <c r="I12" s="49" t="n"/>
      <c r="J12" s="52" t="n"/>
      <c r="K12" s="45" t="n"/>
      <c r="L12" s="49" t="n"/>
    </row>
    <row r="13">
      <c r="A13" s="43">
        <f>IF($B13="","",COUNT($B$5:$B13))</f>
        <v/>
      </c>
      <c r="B13" s="44" t="n"/>
      <c r="C13" s="47">
        <f>IF($B13="","",CHOOSE(WEEKDAY($B13),"일","월","화","수","목","금","토"))</f>
        <v/>
      </c>
      <c r="D13" s="45" t="n"/>
      <c r="E13" s="47">
        <f>IF($D13="","",IFERROR(INDEX(코드설정!$D$5:$D$24,MATCH($D13,코드설정!$C$5:$C$24,0)),""))</f>
        <v/>
      </c>
      <c r="F13" s="45" t="n"/>
      <c r="G13" s="45" t="n"/>
      <c r="H13" s="49" t="n"/>
      <c r="I13" s="49" t="n"/>
      <c r="J13" s="52" t="n"/>
      <c r="K13" s="45" t="n"/>
      <c r="L13" s="49" t="n"/>
    </row>
    <row r="14">
      <c r="A14" s="43">
        <f>IF($B14="","",COUNT($B$5:$B14))</f>
        <v/>
      </c>
      <c r="B14" s="44" t="n"/>
      <c r="C14" s="47">
        <f>IF($B14="","",CHOOSE(WEEKDAY($B14),"일","월","화","수","목","금","토"))</f>
        <v/>
      </c>
      <c r="D14" s="45" t="n"/>
      <c r="E14" s="47">
        <f>IF($D14="","",IFERROR(INDEX(코드설정!$D$5:$D$24,MATCH($D14,코드설정!$C$5:$C$24,0)),""))</f>
        <v/>
      </c>
      <c r="F14" s="45" t="n"/>
      <c r="G14" s="45" t="n"/>
      <c r="H14" s="49" t="n"/>
      <c r="I14" s="49" t="n"/>
      <c r="J14" s="52" t="n"/>
      <c r="K14" s="45" t="n"/>
      <c r="L14" s="49" t="n"/>
    </row>
    <row r="15">
      <c r="A15" s="43">
        <f>IF($B15="","",COUNT($B$5:$B15))</f>
        <v/>
      </c>
      <c r="B15" s="44" t="n"/>
      <c r="C15" s="47">
        <f>IF($B15="","",CHOOSE(WEEKDAY($B15),"일","월","화","수","목","금","토"))</f>
        <v/>
      </c>
      <c r="D15" s="45" t="n"/>
      <c r="E15" s="47">
        <f>IF($D15="","",IFERROR(INDEX(코드설정!$D$5:$D$24,MATCH($D15,코드설정!$C$5:$C$24,0)),""))</f>
        <v/>
      </c>
      <c r="F15" s="45" t="n"/>
      <c r="G15" s="45" t="n"/>
      <c r="H15" s="49" t="n"/>
      <c r="I15" s="49" t="n"/>
      <c r="J15" s="52" t="n"/>
      <c r="K15" s="45" t="n"/>
      <c r="L15" s="49" t="n"/>
    </row>
    <row r="16">
      <c r="A16" s="43">
        <f>IF($B16="","",COUNT($B$5:$B16))</f>
        <v/>
      </c>
      <c r="B16" s="44" t="n"/>
      <c r="C16" s="47">
        <f>IF($B16="","",CHOOSE(WEEKDAY($B16),"일","월","화","수","목","금","토"))</f>
        <v/>
      </c>
      <c r="D16" s="45" t="n"/>
      <c r="E16" s="47">
        <f>IF($D16="","",IFERROR(INDEX(코드설정!$D$5:$D$24,MATCH($D16,코드설정!$C$5:$C$24,0)),""))</f>
        <v/>
      </c>
      <c r="F16" s="45" t="n"/>
      <c r="G16" s="45" t="n"/>
      <c r="H16" s="49" t="n"/>
      <c r="I16" s="49" t="n"/>
      <c r="J16" s="52" t="n"/>
      <c r="K16" s="45" t="n"/>
      <c r="L16" s="49" t="n"/>
    </row>
    <row r="17">
      <c r="A17" s="43">
        <f>IF($B17="","",COUNT($B$5:$B17))</f>
        <v/>
      </c>
      <c r="B17" s="44" t="n"/>
      <c r="C17" s="47">
        <f>IF($B17="","",CHOOSE(WEEKDAY($B17),"일","월","화","수","목","금","토"))</f>
        <v/>
      </c>
      <c r="D17" s="45" t="n"/>
      <c r="E17" s="47">
        <f>IF($D17="","",IFERROR(INDEX(코드설정!$D$5:$D$24,MATCH($D17,코드설정!$C$5:$C$24,0)),""))</f>
        <v/>
      </c>
      <c r="F17" s="45" t="n"/>
      <c r="G17" s="45" t="n"/>
      <c r="H17" s="49" t="n"/>
      <c r="I17" s="49" t="n"/>
      <c r="J17" s="52" t="n"/>
      <c r="K17" s="45" t="n"/>
      <c r="L17" s="49" t="n"/>
    </row>
    <row r="18">
      <c r="A18" s="43">
        <f>IF($B18="","",COUNT($B$5:$B18))</f>
        <v/>
      </c>
      <c r="B18" s="44" t="n"/>
      <c r="C18" s="47">
        <f>IF($B18="","",CHOOSE(WEEKDAY($B18),"일","월","화","수","목","금","토"))</f>
        <v/>
      </c>
      <c r="D18" s="45" t="n"/>
      <c r="E18" s="47">
        <f>IF($D18="","",IFERROR(INDEX(코드설정!$D$5:$D$24,MATCH($D18,코드설정!$C$5:$C$24,0)),""))</f>
        <v/>
      </c>
      <c r="F18" s="45" t="n"/>
      <c r="G18" s="45" t="n"/>
      <c r="H18" s="49" t="n"/>
      <c r="I18" s="49" t="n"/>
      <c r="J18" s="52" t="n"/>
      <c r="K18" s="45" t="n"/>
      <c r="L18" s="49" t="n"/>
    </row>
    <row r="19">
      <c r="A19" s="43">
        <f>IF($B19="","",COUNT($B$5:$B19))</f>
        <v/>
      </c>
      <c r="B19" s="44" t="n"/>
      <c r="C19" s="47">
        <f>IF($B19="","",CHOOSE(WEEKDAY($B19),"일","월","화","수","목","금","토"))</f>
        <v/>
      </c>
      <c r="D19" s="45" t="n"/>
      <c r="E19" s="47">
        <f>IF($D19="","",IFERROR(INDEX(코드설정!$D$5:$D$24,MATCH($D19,코드설정!$C$5:$C$24,0)),""))</f>
        <v/>
      </c>
      <c r="F19" s="45" t="n"/>
      <c r="G19" s="45" t="n"/>
      <c r="H19" s="49" t="n"/>
      <c r="I19" s="49" t="n"/>
      <c r="J19" s="52" t="n"/>
      <c r="K19" s="45" t="n"/>
      <c r="L19" s="49" t="n"/>
    </row>
    <row r="20">
      <c r="A20" s="43">
        <f>IF($B20="","",COUNT($B$5:$B20))</f>
        <v/>
      </c>
      <c r="B20" s="44" t="n"/>
      <c r="C20" s="47">
        <f>IF($B20="","",CHOOSE(WEEKDAY($B20),"일","월","화","수","목","금","토"))</f>
        <v/>
      </c>
      <c r="D20" s="45" t="n"/>
      <c r="E20" s="47">
        <f>IF($D20="","",IFERROR(INDEX(코드설정!$D$5:$D$24,MATCH($D20,코드설정!$C$5:$C$24,0)),""))</f>
        <v/>
      </c>
      <c r="F20" s="45" t="n"/>
      <c r="G20" s="45" t="n"/>
      <c r="H20" s="49" t="n"/>
      <c r="I20" s="49" t="n"/>
      <c r="J20" s="52" t="n"/>
      <c r="K20" s="45" t="n"/>
      <c r="L20" s="49" t="n"/>
    </row>
    <row r="21">
      <c r="A21" s="43">
        <f>IF($B21="","",COUNT($B$5:$B21))</f>
        <v/>
      </c>
      <c r="B21" s="44" t="n"/>
      <c r="C21" s="47">
        <f>IF($B21="","",CHOOSE(WEEKDAY($B21),"일","월","화","수","목","금","토"))</f>
        <v/>
      </c>
      <c r="D21" s="45" t="n"/>
      <c r="E21" s="47">
        <f>IF($D21="","",IFERROR(INDEX(코드설정!$D$5:$D$24,MATCH($D21,코드설정!$C$5:$C$24,0)),""))</f>
        <v/>
      </c>
      <c r="F21" s="45" t="n"/>
      <c r="G21" s="45" t="n"/>
      <c r="H21" s="49" t="n"/>
      <c r="I21" s="49" t="n"/>
      <c r="J21" s="52" t="n"/>
      <c r="K21" s="45" t="n"/>
      <c r="L21" s="49" t="n"/>
    </row>
    <row r="22">
      <c r="A22" s="43">
        <f>IF($B22="","",COUNT($B$5:$B22))</f>
        <v/>
      </c>
      <c r="B22" s="44" t="n"/>
      <c r="C22" s="47">
        <f>IF($B22="","",CHOOSE(WEEKDAY($B22),"일","월","화","수","목","금","토"))</f>
        <v/>
      </c>
      <c r="D22" s="45" t="n"/>
      <c r="E22" s="47">
        <f>IF($D22="","",IFERROR(INDEX(코드설정!$D$5:$D$24,MATCH($D22,코드설정!$C$5:$C$24,0)),""))</f>
        <v/>
      </c>
      <c r="F22" s="45" t="n"/>
      <c r="G22" s="45" t="n"/>
      <c r="H22" s="49" t="n"/>
      <c r="I22" s="49" t="n"/>
      <c r="J22" s="52" t="n"/>
      <c r="K22" s="45" t="n"/>
      <c r="L22" s="49" t="n"/>
    </row>
    <row r="23">
      <c r="A23" s="43">
        <f>IF($B23="","",COUNT($B$5:$B23))</f>
        <v/>
      </c>
      <c r="B23" s="44" t="n"/>
      <c r="C23" s="47">
        <f>IF($B23="","",CHOOSE(WEEKDAY($B23),"일","월","화","수","목","금","토"))</f>
        <v/>
      </c>
      <c r="D23" s="45" t="n"/>
      <c r="E23" s="47">
        <f>IF($D23="","",IFERROR(INDEX(코드설정!$D$5:$D$24,MATCH($D23,코드설정!$C$5:$C$24,0)),""))</f>
        <v/>
      </c>
      <c r="F23" s="45" t="n"/>
      <c r="G23" s="45" t="n"/>
      <c r="H23" s="49" t="n"/>
      <c r="I23" s="49" t="n"/>
      <c r="J23" s="52" t="n"/>
      <c r="K23" s="45" t="n"/>
      <c r="L23" s="49" t="n"/>
    </row>
    <row r="24">
      <c r="A24" s="43">
        <f>IF($B24="","",COUNT($B$5:$B24))</f>
        <v/>
      </c>
      <c r="B24" s="44" t="n"/>
      <c r="C24" s="47">
        <f>IF($B24="","",CHOOSE(WEEKDAY($B24),"일","월","화","수","목","금","토"))</f>
        <v/>
      </c>
      <c r="D24" s="45" t="n"/>
      <c r="E24" s="47">
        <f>IF($D24="","",IFERROR(INDEX(코드설정!$D$5:$D$24,MATCH($D24,코드설정!$C$5:$C$24,0)),""))</f>
        <v/>
      </c>
      <c r="F24" s="45" t="n"/>
      <c r="G24" s="45" t="n"/>
      <c r="H24" s="49" t="n"/>
      <c r="I24" s="49" t="n"/>
      <c r="J24" s="52" t="n"/>
      <c r="K24" s="45" t="n"/>
      <c r="L24" s="49" t="n"/>
    </row>
    <row r="25">
      <c r="A25" s="43">
        <f>IF($B25="","",COUNT($B$5:$B25))</f>
        <v/>
      </c>
      <c r="B25" s="44" t="n"/>
      <c r="C25" s="47">
        <f>IF($B25="","",CHOOSE(WEEKDAY($B25),"일","월","화","수","목","금","토"))</f>
        <v/>
      </c>
      <c r="D25" s="45" t="n"/>
      <c r="E25" s="47">
        <f>IF($D25="","",IFERROR(INDEX(코드설정!$D$5:$D$24,MATCH($D25,코드설정!$C$5:$C$24,0)),""))</f>
        <v/>
      </c>
      <c r="F25" s="45" t="n"/>
      <c r="G25" s="45" t="n"/>
      <c r="H25" s="49" t="n"/>
      <c r="I25" s="49" t="n"/>
      <c r="J25" s="52" t="n"/>
      <c r="K25" s="45" t="n"/>
      <c r="L25" s="49" t="n"/>
    </row>
    <row r="26">
      <c r="A26" s="43">
        <f>IF($B26="","",COUNT($B$5:$B26))</f>
        <v/>
      </c>
      <c r="B26" s="44" t="n"/>
      <c r="C26" s="47">
        <f>IF($B26="","",CHOOSE(WEEKDAY($B26),"일","월","화","수","목","금","토"))</f>
        <v/>
      </c>
      <c r="D26" s="45" t="n"/>
      <c r="E26" s="47">
        <f>IF($D26="","",IFERROR(INDEX(코드설정!$D$5:$D$24,MATCH($D26,코드설정!$C$5:$C$24,0)),""))</f>
        <v/>
      </c>
      <c r="F26" s="45" t="n"/>
      <c r="G26" s="45" t="n"/>
      <c r="H26" s="49" t="n"/>
      <c r="I26" s="49" t="n"/>
      <c r="J26" s="52" t="n"/>
      <c r="K26" s="45" t="n"/>
      <c r="L26" s="49" t="n"/>
    </row>
    <row r="27">
      <c r="A27" s="43">
        <f>IF($B27="","",COUNT($B$5:$B27))</f>
        <v/>
      </c>
      <c r="B27" s="44" t="n"/>
      <c r="C27" s="47">
        <f>IF($B27="","",CHOOSE(WEEKDAY($B27),"일","월","화","수","목","금","토"))</f>
        <v/>
      </c>
      <c r="D27" s="45" t="n"/>
      <c r="E27" s="47">
        <f>IF($D27="","",IFERROR(INDEX(코드설정!$D$5:$D$24,MATCH($D27,코드설정!$C$5:$C$24,0)),""))</f>
        <v/>
      </c>
      <c r="F27" s="45" t="n"/>
      <c r="G27" s="45" t="n"/>
      <c r="H27" s="49" t="n"/>
      <c r="I27" s="49" t="n"/>
      <c r="J27" s="52" t="n"/>
      <c r="K27" s="45" t="n"/>
      <c r="L27" s="49" t="n"/>
    </row>
    <row r="28">
      <c r="A28" s="43">
        <f>IF($B28="","",COUNT($B$5:$B28))</f>
        <v/>
      </c>
      <c r="B28" s="44" t="n"/>
      <c r="C28" s="47">
        <f>IF($B28="","",CHOOSE(WEEKDAY($B28),"일","월","화","수","목","금","토"))</f>
        <v/>
      </c>
      <c r="D28" s="45" t="n"/>
      <c r="E28" s="47">
        <f>IF($D28="","",IFERROR(INDEX(코드설정!$D$5:$D$24,MATCH($D28,코드설정!$C$5:$C$24,0)),""))</f>
        <v/>
      </c>
      <c r="F28" s="45" t="n"/>
      <c r="G28" s="45" t="n"/>
      <c r="H28" s="49" t="n"/>
      <c r="I28" s="49" t="n"/>
      <c r="J28" s="52" t="n"/>
      <c r="K28" s="45" t="n"/>
      <c r="L28" s="49" t="n"/>
    </row>
    <row r="29">
      <c r="A29" s="43">
        <f>IF($B29="","",COUNT($B$5:$B29))</f>
        <v/>
      </c>
      <c r="B29" s="44" t="n"/>
      <c r="C29" s="47">
        <f>IF($B29="","",CHOOSE(WEEKDAY($B29),"일","월","화","수","목","금","토"))</f>
        <v/>
      </c>
      <c r="D29" s="45" t="n"/>
      <c r="E29" s="47">
        <f>IF($D29="","",IFERROR(INDEX(코드설정!$D$5:$D$24,MATCH($D29,코드설정!$C$5:$C$24,0)),""))</f>
        <v/>
      </c>
      <c r="F29" s="45" t="n"/>
      <c r="G29" s="45" t="n"/>
      <c r="H29" s="49" t="n"/>
      <c r="I29" s="49" t="n"/>
      <c r="J29" s="52" t="n"/>
      <c r="K29" s="45" t="n"/>
      <c r="L29" s="49" t="n"/>
    </row>
    <row r="30">
      <c r="A30" s="43">
        <f>IF($B30="","",COUNT($B$5:$B30))</f>
        <v/>
      </c>
      <c r="B30" s="44" t="n"/>
      <c r="C30" s="47">
        <f>IF($B30="","",CHOOSE(WEEKDAY($B30),"일","월","화","수","목","금","토"))</f>
        <v/>
      </c>
      <c r="D30" s="45" t="n"/>
      <c r="E30" s="47">
        <f>IF($D30="","",IFERROR(INDEX(코드설정!$D$5:$D$24,MATCH($D30,코드설정!$C$5:$C$24,0)),""))</f>
        <v/>
      </c>
      <c r="F30" s="45" t="n"/>
      <c r="G30" s="45" t="n"/>
      <c r="H30" s="49" t="n"/>
      <c r="I30" s="49" t="n"/>
      <c r="J30" s="52" t="n"/>
      <c r="K30" s="45" t="n"/>
      <c r="L30" s="49" t="n"/>
    </row>
    <row r="31">
      <c r="A31" s="43">
        <f>IF($B31="","",COUNT($B$5:$B31))</f>
        <v/>
      </c>
      <c r="B31" s="44" t="n"/>
      <c r="C31" s="47">
        <f>IF($B31="","",CHOOSE(WEEKDAY($B31),"일","월","화","수","목","금","토"))</f>
        <v/>
      </c>
      <c r="D31" s="45" t="n"/>
      <c r="E31" s="47">
        <f>IF($D31="","",IFERROR(INDEX(코드설정!$D$5:$D$24,MATCH($D31,코드설정!$C$5:$C$24,0)),""))</f>
        <v/>
      </c>
      <c r="F31" s="45" t="n"/>
      <c r="G31" s="45" t="n"/>
      <c r="H31" s="49" t="n"/>
      <c r="I31" s="49" t="n"/>
      <c r="J31" s="52" t="n"/>
      <c r="K31" s="45" t="n"/>
      <c r="L31" s="49" t="n"/>
    </row>
    <row r="32">
      <c r="A32" s="43">
        <f>IF($B32="","",COUNT($B$5:$B32))</f>
        <v/>
      </c>
      <c r="B32" s="44" t="n"/>
      <c r="C32" s="47">
        <f>IF($B32="","",CHOOSE(WEEKDAY($B32),"일","월","화","수","목","금","토"))</f>
        <v/>
      </c>
      <c r="D32" s="45" t="n"/>
      <c r="E32" s="47">
        <f>IF($D32="","",IFERROR(INDEX(코드설정!$D$5:$D$24,MATCH($D32,코드설정!$C$5:$C$24,0)),""))</f>
        <v/>
      </c>
      <c r="F32" s="45" t="n"/>
      <c r="G32" s="45" t="n"/>
      <c r="H32" s="49" t="n"/>
      <c r="I32" s="49" t="n"/>
      <c r="J32" s="52" t="n"/>
      <c r="K32" s="45" t="n"/>
      <c r="L32" s="49" t="n"/>
    </row>
    <row r="33">
      <c r="A33" s="43">
        <f>IF($B33="","",COUNT($B$5:$B33))</f>
        <v/>
      </c>
      <c r="B33" s="44" t="n"/>
      <c r="C33" s="47">
        <f>IF($B33="","",CHOOSE(WEEKDAY($B33),"일","월","화","수","목","금","토"))</f>
        <v/>
      </c>
      <c r="D33" s="45" t="n"/>
      <c r="E33" s="47">
        <f>IF($D33="","",IFERROR(INDEX(코드설정!$D$5:$D$24,MATCH($D33,코드설정!$C$5:$C$24,0)),""))</f>
        <v/>
      </c>
      <c r="F33" s="45" t="n"/>
      <c r="G33" s="45" t="n"/>
      <c r="H33" s="49" t="n"/>
      <c r="I33" s="49" t="n"/>
      <c r="J33" s="52" t="n"/>
      <c r="K33" s="45" t="n"/>
      <c r="L33" s="49" t="n"/>
    </row>
    <row r="34">
      <c r="A34" s="43">
        <f>IF($B34="","",COUNT($B$5:$B34))</f>
        <v/>
      </c>
      <c r="B34" s="44" t="n"/>
      <c r="C34" s="47">
        <f>IF($B34="","",CHOOSE(WEEKDAY($B34),"일","월","화","수","목","금","토"))</f>
        <v/>
      </c>
      <c r="D34" s="45" t="n"/>
      <c r="E34" s="47">
        <f>IF($D34="","",IFERROR(INDEX(코드설정!$D$5:$D$24,MATCH($D34,코드설정!$C$5:$C$24,0)),""))</f>
        <v/>
      </c>
      <c r="F34" s="45" t="n"/>
      <c r="G34" s="45" t="n"/>
      <c r="H34" s="49" t="n"/>
      <c r="I34" s="49" t="n"/>
      <c r="J34" s="52" t="n"/>
      <c r="K34" s="45" t="n"/>
      <c r="L34" s="49" t="n"/>
    </row>
    <row r="35">
      <c r="A35" s="43">
        <f>IF($B35="","",COUNT($B$5:$B35))</f>
        <v/>
      </c>
      <c r="B35" s="44" t="n"/>
      <c r="C35" s="47">
        <f>IF($B35="","",CHOOSE(WEEKDAY($B35),"일","월","화","수","목","금","토"))</f>
        <v/>
      </c>
      <c r="D35" s="45" t="n"/>
      <c r="E35" s="47">
        <f>IF($D35="","",IFERROR(INDEX(코드설정!$D$5:$D$24,MATCH($D35,코드설정!$C$5:$C$24,0)),""))</f>
        <v/>
      </c>
      <c r="F35" s="45" t="n"/>
      <c r="G35" s="45" t="n"/>
      <c r="H35" s="49" t="n"/>
      <c r="I35" s="49" t="n"/>
      <c r="J35" s="52" t="n"/>
      <c r="K35" s="45" t="n"/>
      <c r="L35" s="49" t="n"/>
    </row>
    <row r="36">
      <c r="A36" s="43">
        <f>IF($B36="","",COUNT($B$5:$B36))</f>
        <v/>
      </c>
      <c r="B36" s="44" t="n"/>
      <c r="C36" s="47">
        <f>IF($B36="","",CHOOSE(WEEKDAY($B36),"일","월","화","수","목","금","토"))</f>
        <v/>
      </c>
      <c r="D36" s="45" t="n"/>
      <c r="E36" s="47">
        <f>IF($D36="","",IFERROR(INDEX(코드설정!$D$5:$D$24,MATCH($D36,코드설정!$C$5:$C$24,0)),""))</f>
        <v/>
      </c>
      <c r="F36" s="45" t="n"/>
      <c r="G36" s="45" t="n"/>
      <c r="H36" s="49" t="n"/>
      <c r="I36" s="49" t="n"/>
      <c r="J36" s="52" t="n"/>
      <c r="K36" s="45" t="n"/>
      <c r="L36" s="49" t="n"/>
    </row>
    <row r="37">
      <c r="A37" s="43">
        <f>IF($B37="","",COUNT($B$5:$B37))</f>
        <v/>
      </c>
      <c r="B37" s="44" t="n"/>
      <c r="C37" s="47">
        <f>IF($B37="","",CHOOSE(WEEKDAY($B37),"일","월","화","수","목","금","토"))</f>
        <v/>
      </c>
      <c r="D37" s="45" t="n"/>
      <c r="E37" s="47">
        <f>IF($D37="","",IFERROR(INDEX(코드설정!$D$5:$D$24,MATCH($D37,코드설정!$C$5:$C$24,0)),""))</f>
        <v/>
      </c>
      <c r="F37" s="45" t="n"/>
      <c r="G37" s="45" t="n"/>
      <c r="H37" s="49" t="n"/>
      <c r="I37" s="49" t="n"/>
      <c r="J37" s="52" t="n"/>
      <c r="K37" s="45" t="n"/>
      <c r="L37" s="49" t="n"/>
    </row>
    <row r="38">
      <c r="A38" s="43">
        <f>IF($B38="","",COUNT($B$5:$B38))</f>
        <v/>
      </c>
      <c r="B38" s="44" t="n"/>
      <c r="C38" s="47">
        <f>IF($B38="","",CHOOSE(WEEKDAY($B38),"일","월","화","수","목","금","토"))</f>
        <v/>
      </c>
      <c r="D38" s="45" t="n"/>
      <c r="E38" s="47">
        <f>IF($D38="","",IFERROR(INDEX(코드설정!$D$5:$D$24,MATCH($D38,코드설정!$C$5:$C$24,0)),""))</f>
        <v/>
      </c>
      <c r="F38" s="45" t="n"/>
      <c r="G38" s="45" t="n"/>
      <c r="H38" s="49" t="n"/>
      <c r="I38" s="49" t="n"/>
      <c r="J38" s="52" t="n"/>
      <c r="K38" s="45" t="n"/>
      <c r="L38" s="49" t="n"/>
    </row>
    <row r="39">
      <c r="A39" s="43">
        <f>IF($B39="","",COUNT($B$5:$B39))</f>
        <v/>
      </c>
      <c r="B39" s="44" t="n"/>
      <c r="C39" s="47">
        <f>IF($B39="","",CHOOSE(WEEKDAY($B39),"일","월","화","수","목","금","토"))</f>
        <v/>
      </c>
      <c r="D39" s="45" t="n"/>
      <c r="E39" s="47">
        <f>IF($D39="","",IFERROR(INDEX(코드설정!$D$5:$D$24,MATCH($D39,코드설정!$C$5:$C$24,0)),""))</f>
        <v/>
      </c>
      <c r="F39" s="45" t="n"/>
      <c r="G39" s="45" t="n"/>
      <c r="H39" s="49" t="n"/>
      <c r="I39" s="49" t="n"/>
      <c r="J39" s="52" t="n"/>
      <c r="K39" s="45" t="n"/>
      <c r="L39" s="49" t="n"/>
    </row>
    <row r="40">
      <c r="A40" s="43">
        <f>IF($B40="","",COUNT($B$5:$B40))</f>
        <v/>
      </c>
      <c r="B40" s="44" t="n"/>
      <c r="C40" s="47">
        <f>IF($B40="","",CHOOSE(WEEKDAY($B40),"일","월","화","수","목","금","토"))</f>
        <v/>
      </c>
      <c r="D40" s="45" t="n"/>
      <c r="E40" s="47">
        <f>IF($D40="","",IFERROR(INDEX(코드설정!$D$5:$D$24,MATCH($D40,코드설정!$C$5:$C$24,0)),""))</f>
        <v/>
      </c>
      <c r="F40" s="45" t="n"/>
      <c r="G40" s="45" t="n"/>
      <c r="H40" s="49" t="n"/>
      <c r="I40" s="49" t="n"/>
      <c r="J40" s="52" t="n"/>
      <c r="K40" s="45" t="n"/>
      <c r="L40" s="49" t="n"/>
    </row>
    <row r="41">
      <c r="A41" s="43">
        <f>IF($B41="","",COUNT($B$5:$B41))</f>
        <v/>
      </c>
      <c r="B41" s="44" t="n"/>
      <c r="C41" s="47">
        <f>IF($B41="","",CHOOSE(WEEKDAY($B41),"일","월","화","수","목","금","토"))</f>
        <v/>
      </c>
      <c r="D41" s="45" t="n"/>
      <c r="E41" s="47">
        <f>IF($D41="","",IFERROR(INDEX(코드설정!$D$5:$D$24,MATCH($D41,코드설정!$C$5:$C$24,0)),""))</f>
        <v/>
      </c>
      <c r="F41" s="45" t="n"/>
      <c r="G41" s="45" t="n"/>
      <c r="H41" s="49" t="n"/>
      <c r="I41" s="49" t="n"/>
      <c r="J41" s="52" t="n"/>
      <c r="K41" s="45" t="n"/>
      <c r="L41" s="49" t="n"/>
    </row>
    <row r="42">
      <c r="A42" s="43">
        <f>IF($B42="","",COUNT($B$5:$B42))</f>
        <v/>
      </c>
      <c r="B42" s="44" t="n"/>
      <c r="C42" s="47">
        <f>IF($B42="","",CHOOSE(WEEKDAY($B42),"일","월","화","수","목","금","토"))</f>
        <v/>
      </c>
      <c r="D42" s="45" t="n"/>
      <c r="E42" s="47">
        <f>IF($D42="","",IFERROR(INDEX(코드설정!$D$5:$D$24,MATCH($D42,코드설정!$C$5:$C$24,0)),""))</f>
        <v/>
      </c>
      <c r="F42" s="45" t="n"/>
      <c r="G42" s="45" t="n"/>
      <c r="H42" s="49" t="n"/>
      <c r="I42" s="49" t="n"/>
      <c r="J42" s="52" t="n"/>
      <c r="K42" s="45" t="n"/>
      <c r="L42" s="49" t="n"/>
    </row>
    <row r="43">
      <c r="A43" s="43">
        <f>IF($B43="","",COUNT($B$5:$B43))</f>
        <v/>
      </c>
      <c r="B43" s="44" t="n"/>
      <c r="C43" s="47">
        <f>IF($B43="","",CHOOSE(WEEKDAY($B43),"일","월","화","수","목","금","토"))</f>
        <v/>
      </c>
      <c r="D43" s="45" t="n"/>
      <c r="E43" s="47">
        <f>IF($D43="","",IFERROR(INDEX(코드설정!$D$5:$D$24,MATCH($D43,코드설정!$C$5:$C$24,0)),""))</f>
        <v/>
      </c>
      <c r="F43" s="45" t="n"/>
      <c r="G43" s="45" t="n"/>
      <c r="H43" s="49" t="n"/>
      <c r="I43" s="49" t="n"/>
      <c r="J43" s="52" t="n"/>
      <c r="K43" s="45" t="n"/>
      <c r="L43" s="49" t="n"/>
    </row>
    <row r="44">
      <c r="A44" s="43">
        <f>IF($B44="","",COUNT($B$5:$B44))</f>
        <v/>
      </c>
      <c r="B44" s="44" t="n"/>
      <c r="C44" s="47">
        <f>IF($B44="","",CHOOSE(WEEKDAY($B44),"일","월","화","수","목","금","토"))</f>
        <v/>
      </c>
      <c r="D44" s="45" t="n"/>
      <c r="E44" s="47">
        <f>IF($D44="","",IFERROR(INDEX(코드설정!$D$5:$D$24,MATCH($D44,코드설정!$C$5:$C$24,0)),""))</f>
        <v/>
      </c>
      <c r="F44" s="45" t="n"/>
      <c r="G44" s="45" t="n"/>
      <c r="H44" s="49" t="n"/>
      <c r="I44" s="49" t="n"/>
      <c r="J44" s="52" t="n"/>
      <c r="K44" s="45" t="n"/>
      <c r="L44" s="49" t="n"/>
    </row>
    <row r="45">
      <c r="A45" s="43">
        <f>IF($B45="","",COUNT($B$5:$B45))</f>
        <v/>
      </c>
      <c r="B45" s="44" t="n"/>
      <c r="C45" s="47">
        <f>IF($B45="","",CHOOSE(WEEKDAY($B45),"일","월","화","수","목","금","토"))</f>
        <v/>
      </c>
      <c r="D45" s="45" t="n"/>
      <c r="E45" s="47">
        <f>IF($D45="","",IFERROR(INDEX(코드설정!$D$5:$D$24,MATCH($D45,코드설정!$C$5:$C$24,0)),""))</f>
        <v/>
      </c>
      <c r="F45" s="45" t="n"/>
      <c r="G45" s="45" t="n"/>
      <c r="H45" s="49" t="n"/>
      <c r="I45" s="49" t="n"/>
      <c r="J45" s="52" t="n"/>
      <c r="K45" s="45" t="n"/>
      <c r="L45" s="49" t="n"/>
    </row>
    <row r="46">
      <c r="A46" s="43">
        <f>IF($B46="","",COUNT($B$5:$B46))</f>
        <v/>
      </c>
      <c r="B46" s="44" t="n"/>
      <c r="C46" s="47">
        <f>IF($B46="","",CHOOSE(WEEKDAY($B46),"일","월","화","수","목","금","토"))</f>
        <v/>
      </c>
      <c r="D46" s="45" t="n"/>
      <c r="E46" s="47">
        <f>IF($D46="","",IFERROR(INDEX(코드설정!$D$5:$D$24,MATCH($D46,코드설정!$C$5:$C$24,0)),""))</f>
        <v/>
      </c>
      <c r="F46" s="45" t="n"/>
      <c r="G46" s="45" t="n"/>
      <c r="H46" s="49" t="n"/>
      <c r="I46" s="49" t="n"/>
      <c r="J46" s="52" t="n"/>
      <c r="K46" s="45" t="n"/>
      <c r="L46" s="49" t="n"/>
    </row>
    <row r="47">
      <c r="A47" s="43">
        <f>IF($B47="","",COUNT($B$5:$B47))</f>
        <v/>
      </c>
      <c r="B47" s="44" t="n"/>
      <c r="C47" s="47">
        <f>IF($B47="","",CHOOSE(WEEKDAY($B47),"일","월","화","수","목","금","토"))</f>
        <v/>
      </c>
      <c r="D47" s="45" t="n"/>
      <c r="E47" s="47">
        <f>IF($D47="","",IFERROR(INDEX(코드설정!$D$5:$D$24,MATCH($D47,코드설정!$C$5:$C$24,0)),""))</f>
        <v/>
      </c>
      <c r="F47" s="45" t="n"/>
      <c r="G47" s="45" t="n"/>
      <c r="H47" s="49" t="n"/>
      <c r="I47" s="49" t="n"/>
      <c r="J47" s="52" t="n"/>
      <c r="K47" s="45" t="n"/>
      <c r="L47" s="49" t="n"/>
    </row>
    <row r="48">
      <c r="A48" s="43">
        <f>IF($B48="","",COUNT($B$5:$B48))</f>
        <v/>
      </c>
      <c r="B48" s="44" t="n"/>
      <c r="C48" s="47">
        <f>IF($B48="","",CHOOSE(WEEKDAY($B48),"일","월","화","수","목","금","토"))</f>
        <v/>
      </c>
      <c r="D48" s="45" t="n"/>
      <c r="E48" s="47">
        <f>IF($D48="","",IFERROR(INDEX(코드설정!$D$5:$D$24,MATCH($D48,코드설정!$C$5:$C$24,0)),""))</f>
        <v/>
      </c>
      <c r="F48" s="45" t="n"/>
      <c r="G48" s="45" t="n"/>
      <c r="H48" s="49" t="n"/>
      <c r="I48" s="49" t="n"/>
      <c r="J48" s="52" t="n"/>
      <c r="K48" s="45" t="n"/>
      <c r="L48" s="49" t="n"/>
    </row>
    <row r="49">
      <c r="A49" s="43">
        <f>IF($B49="","",COUNT($B$5:$B49))</f>
        <v/>
      </c>
      <c r="B49" s="44" t="n"/>
      <c r="C49" s="47">
        <f>IF($B49="","",CHOOSE(WEEKDAY($B49),"일","월","화","수","목","금","토"))</f>
        <v/>
      </c>
      <c r="D49" s="45" t="n"/>
      <c r="E49" s="47">
        <f>IF($D49="","",IFERROR(INDEX(코드설정!$D$5:$D$24,MATCH($D49,코드설정!$C$5:$C$24,0)),""))</f>
        <v/>
      </c>
      <c r="F49" s="45" t="n"/>
      <c r="G49" s="45" t="n"/>
      <c r="H49" s="49" t="n"/>
      <c r="I49" s="49" t="n"/>
      <c r="J49" s="52" t="n"/>
      <c r="K49" s="45" t="n"/>
      <c r="L49" s="49" t="n"/>
    </row>
    <row r="50">
      <c r="A50" s="43">
        <f>IF($B50="","",COUNT($B$5:$B50))</f>
        <v/>
      </c>
      <c r="B50" s="44" t="n"/>
      <c r="C50" s="47">
        <f>IF($B50="","",CHOOSE(WEEKDAY($B50),"일","월","화","수","목","금","토"))</f>
        <v/>
      </c>
      <c r="D50" s="45" t="n"/>
      <c r="E50" s="47">
        <f>IF($D50="","",IFERROR(INDEX(코드설정!$D$5:$D$24,MATCH($D50,코드설정!$C$5:$C$24,0)),""))</f>
        <v/>
      </c>
      <c r="F50" s="45" t="n"/>
      <c r="G50" s="45" t="n"/>
      <c r="H50" s="49" t="n"/>
      <c r="I50" s="49" t="n"/>
      <c r="J50" s="52" t="n"/>
      <c r="K50" s="45" t="n"/>
      <c r="L50" s="49" t="n"/>
    </row>
    <row r="51">
      <c r="A51" s="43">
        <f>IF($B51="","",COUNT($B$5:$B51))</f>
        <v/>
      </c>
      <c r="B51" s="44" t="n"/>
      <c r="C51" s="47">
        <f>IF($B51="","",CHOOSE(WEEKDAY($B51),"일","월","화","수","목","금","토"))</f>
        <v/>
      </c>
      <c r="D51" s="45" t="n"/>
      <c r="E51" s="47">
        <f>IF($D51="","",IFERROR(INDEX(코드설정!$D$5:$D$24,MATCH($D51,코드설정!$C$5:$C$24,0)),""))</f>
        <v/>
      </c>
      <c r="F51" s="45" t="n"/>
      <c r="G51" s="45" t="n"/>
      <c r="H51" s="49" t="n"/>
      <c r="I51" s="49" t="n"/>
      <c r="J51" s="52" t="n"/>
      <c r="K51" s="45" t="n"/>
      <c r="L51" s="49" t="n"/>
    </row>
    <row r="52">
      <c r="A52" s="43">
        <f>IF($B52="","",COUNT($B$5:$B52))</f>
        <v/>
      </c>
      <c r="B52" s="44" t="n"/>
      <c r="C52" s="47">
        <f>IF($B52="","",CHOOSE(WEEKDAY($B52),"일","월","화","수","목","금","토"))</f>
        <v/>
      </c>
      <c r="D52" s="45" t="n"/>
      <c r="E52" s="47">
        <f>IF($D52="","",IFERROR(INDEX(코드설정!$D$5:$D$24,MATCH($D52,코드설정!$C$5:$C$24,0)),""))</f>
        <v/>
      </c>
      <c r="F52" s="45" t="n"/>
      <c r="G52" s="45" t="n"/>
      <c r="H52" s="49" t="n"/>
      <c r="I52" s="49" t="n"/>
      <c r="J52" s="52" t="n"/>
      <c r="K52" s="45" t="n"/>
      <c r="L52" s="49" t="n"/>
    </row>
    <row r="53">
      <c r="A53" s="43">
        <f>IF($B53="","",COUNT($B$5:$B53))</f>
        <v/>
      </c>
      <c r="B53" s="44" t="n"/>
      <c r="C53" s="47">
        <f>IF($B53="","",CHOOSE(WEEKDAY($B53),"일","월","화","수","목","금","토"))</f>
        <v/>
      </c>
      <c r="D53" s="45" t="n"/>
      <c r="E53" s="47">
        <f>IF($D53="","",IFERROR(INDEX(코드설정!$D$5:$D$24,MATCH($D53,코드설정!$C$5:$C$24,0)),""))</f>
        <v/>
      </c>
      <c r="F53" s="45" t="n"/>
      <c r="G53" s="45" t="n"/>
      <c r="H53" s="49" t="n"/>
      <c r="I53" s="49" t="n"/>
      <c r="J53" s="52" t="n"/>
      <c r="K53" s="45" t="n"/>
      <c r="L53" s="49" t="n"/>
    </row>
    <row r="54">
      <c r="A54" s="43">
        <f>IF($B54="","",COUNT($B$5:$B54))</f>
        <v/>
      </c>
      <c r="B54" s="44" t="n"/>
      <c r="C54" s="47">
        <f>IF($B54="","",CHOOSE(WEEKDAY($B54),"일","월","화","수","목","금","토"))</f>
        <v/>
      </c>
      <c r="D54" s="45" t="n"/>
      <c r="E54" s="47">
        <f>IF($D54="","",IFERROR(INDEX(코드설정!$D$5:$D$24,MATCH($D54,코드설정!$C$5:$C$24,0)),""))</f>
        <v/>
      </c>
      <c r="F54" s="45" t="n"/>
      <c r="G54" s="45" t="n"/>
      <c r="H54" s="49" t="n"/>
      <c r="I54" s="49" t="n"/>
      <c r="J54" s="52" t="n"/>
      <c r="K54" s="45" t="n"/>
      <c r="L54" s="49" t="n"/>
    </row>
    <row r="55">
      <c r="A55" s="43">
        <f>IF($B55="","",COUNT($B$5:$B55))</f>
        <v/>
      </c>
      <c r="B55" s="44" t="n"/>
      <c r="C55" s="47">
        <f>IF($B55="","",CHOOSE(WEEKDAY($B55),"일","월","화","수","목","금","토"))</f>
        <v/>
      </c>
      <c r="D55" s="45" t="n"/>
      <c r="E55" s="47">
        <f>IF($D55="","",IFERROR(INDEX(코드설정!$D$5:$D$24,MATCH($D55,코드설정!$C$5:$C$24,0)),""))</f>
        <v/>
      </c>
      <c r="F55" s="45" t="n"/>
      <c r="G55" s="45" t="n"/>
      <c r="H55" s="49" t="n"/>
      <c r="I55" s="49" t="n"/>
      <c r="J55" s="52" t="n"/>
      <c r="K55" s="45" t="n"/>
      <c r="L55" s="49" t="n"/>
    </row>
    <row r="56">
      <c r="A56" s="43">
        <f>IF($B56="","",COUNT($B$5:$B56))</f>
        <v/>
      </c>
      <c r="B56" s="44" t="n"/>
      <c r="C56" s="47">
        <f>IF($B56="","",CHOOSE(WEEKDAY($B56),"일","월","화","수","목","금","토"))</f>
        <v/>
      </c>
      <c r="D56" s="45" t="n"/>
      <c r="E56" s="47">
        <f>IF($D56="","",IFERROR(INDEX(코드설정!$D$5:$D$24,MATCH($D56,코드설정!$C$5:$C$24,0)),""))</f>
        <v/>
      </c>
      <c r="F56" s="45" t="n"/>
      <c r="G56" s="45" t="n"/>
      <c r="H56" s="49" t="n"/>
      <c r="I56" s="49" t="n"/>
      <c r="J56" s="52" t="n"/>
      <c r="K56" s="45" t="n"/>
      <c r="L56" s="49" t="n"/>
    </row>
    <row r="57">
      <c r="A57" s="43">
        <f>IF($B57="","",COUNT($B$5:$B57))</f>
        <v/>
      </c>
      <c r="B57" s="44" t="n"/>
      <c r="C57" s="47">
        <f>IF($B57="","",CHOOSE(WEEKDAY($B57),"일","월","화","수","목","금","토"))</f>
        <v/>
      </c>
      <c r="D57" s="45" t="n"/>
      <c r="E57" s="47">
        <f>IF($D57="","",IFERROR(INDEX(코드설정!$D$5:$D$24,MATCH($D57,코드설정!$C$5:$C$24,0)),""))</f>
        <v/>
      </c>
      <c r="F57" s="45" t="n"/>
      <c r="G57" s="45" t="n"/>
      <c r="H57" s="49" t="n"/>
      <c r="I57" s="49" t="n"/>
      <c r="J57" s="52" t="n"/>
      <c r="K57" s="45" t="n"/>
      <c r="L57" s="49" t="n"/>
    </row>
    <row r="58">
      <c r="A58" s="43">
        <f>IF($B58="","",COUNT($B$5:$B58))</f>
        <v/>
      </c>
      <c r="B58" s="44" t="n"/>
      <c r="C58" s="47">
        <f>IF($B58="","",CHOOSE(WEEKDAY($B58),"일","월","화","수","목","금","토"))</f>
        <v/>
      </c>
      <c r="D58" s="45" t="n"/>
      <c r="E58" s="47">
        <f>IF($D58="","",IFERROR(INDEX(코드설정!$D$5:$D$24,MATCH($D58,코드설정!$C$5:$C$24,0)),""))</f>
        <v/>
      </c>
      <c r="F58" s="45" t="n"/>
      <c r="G58" s="45" t="n"/>
      <c r="H58" s="49" t="n"/>
      <c r="I58" s="49" t="n"/>
      <c r="J58" s="52" t="n"/>
      <c r="K58" s="45" t="n"/>
      <c r="L58" s="49" t="n"/>
    </row>
    <row r="59">
      <c r="A59" s="43">
        <f>IF($B59="","",COUNT($B$5:$B59))</f>
        <v/>
      </c>
      <c r="B59" s="44" t="n"/>
      <c r="C59" s="47">
        <f>IF($B59="","",CHOOSE(WEEKDAY($B59),"일","월","화","수","목","금","토"))</f>
        <v/>
      </c>
      <c r="D59" s="45" t="n"/>
      <c r="E59" s="47">
        <f>IF($D59="","",IFERROR(INDEX(코드설정!$D$5:$D$24,MATCH($D59,코드설정!$C$5:$C$24,0)),""))</f>
        <v/>
      </c>
      <c r="F59" s="45" t="n"/>
      <c r="G59" s="45" t="n"/>
      <c r="H59" s="49" t="n"/>
      <c r="I59" s="49" t="n"/>
      <c r="J59" s="52" t="n"/>
      <c r="K59" s="45" t="n"/>
      <c r="L59" s="49" t="n"/>
    </row>
    <row r="60">
      <c r="A60" s="43">
        <f>IF($B60="","",COUNT($B$5:$B60))</f>
        <v/>
      </c>
      <c r="B60" s="44" t="n"/>
      <c r="C60" s="47">
        <f>IF($B60="","",CHOOSE(WEEKDAY($B60),"일","월","화","수","목","금","토"))</f>
        <v/>
      </c>
      <c r="D60" s="45" t="n"/>
      <c r="E60" s="47">
        <f>IF($D60="","",IFERROR(INDEX(코드설정!$D$5:$D$24,MATCH($D60,코드설정!$C$5:$C$24,0)),""))</f>
        <v/>
      </c>
      <c r="F60" s="45" t="n"/>
      <c r="G60" s="45" t="n"/>
      <c r="H60" s="49" t="n"/>
      <c r="I60" s="49" t="n"/>
      <c r="J60" s="52" t="n"/>
      <c r="K60" s="45" t="n"/>
      <c r="L60" s="49" t="n"/>
    </row>
    <row r="61">
      <c r="A61" s="43">
        <f>IF($B61="","",COUNT($B$5:$B61))</f>
        <v/>
      </c>
      <c r="B61" s="44" t="n"/>
      <c r="C61" s="47">
        <f>IF($B61="","",CHOOSE(WEEKDAY($B61),"일","월","화","수","목","금","토"))</f>
        <v/>
      </c>
      <c r="D61" s="45" t="n"/>
      <c r="E61" s="47">
        <f>IF($D61="","",IFERROR(INDEX(코드설정!$D$5:$D$24,MATCH($D61,코드설정!$C$5:$C$24,0)),""))</f>
        <v/>
      </c>
      <c r="F61" s="45" t="n"/>
      <c r="G61" s="45" t="n"/>
      <c r="H61" s="49" t="n"/>
      <c r="I61" s="49" t="n"/>
      <c r="J61" s="52" t="n"/>
      <c r="K61" s="45" t="n"/>
      <c r="L61" s="49" t="n"/>
    </row>
    <row r="62">
      <c r="A62" s="43">
        <f>IF($B62="","",COUNT($B$5:$B62))</f>
        <v/>
      </c>
      <c r="B62" s="44" t="n"/>
      <c r="C62" s="47">
        <f>IF($B62="","",CHOOSE(WEEKDAY($B62),"일","월","화","수","목","금","토"))</f>
        <v/>
      </c>
      <c r="D62" s="45" t="n"/>
      <c r="E62" s="47">
        <f>IF($D62="","",IFERROR(INDEX(코드설정!$D$5:$D$24,MATCH($D62,코드설정!$C$5:$C$24,0)),""))</f>
        <v/>
      </c>
      <c r="F62" s="45" t="n"/>
      <c r="G62" s="45" t="n"/>
      <c r="H62" s="49" t="n"/>
      <c r="I62" s="49" t="n"/>
      <c r="J62" s="52" t="n"/>
      <c r="K62" s="45" t="n"/>
      <c r="L62" s="49" t="n"/>
    </row>
    <row r="63">
      <c r="A63" s="43">
        <f>IF($B63="","",COUNT($B$5:$B63))</f>
        <v/>
      </c>
      <c r="B63" s="44" t="n"/>
      <c r="C63" s="47">
        <f>IF($B63="","",CHOOSE(WEEKDAY($B63),"일","월","화","수","목","금","토"))</f>
        <v/>
      </c>
      <c r="D63" s="45" t="n"/>
      <c r="E63" s="47">
        <f>IF($D63="","",IFERROR(INDEX(코드설정!$D$5:$D$24,MATCH($D63,코드설정!$C$5:$C$24,0)),""))</f>
        <v/>
      </c>
      <c r="F63" s="45" t="n"/>
      <c r="G63" s="45" t="n"/>
      <c r="H63" s="49" t="n"/>
      <c r="I63" s="49" t="n"/>
      <c r="J63" s="52" t="n"/>
      <c r="K63" s="45" t="n"/>
      <c r="L63" s="49" t="n"/>
    </row>
    <row r="64">
      <c r="A64" s="43">
        <f>IF($B64="","",COUNT($B$5:$B64))</f>
        <v/>
      </c>
      <c r="B64" s="44" t="n"/>
      <c r="C64" s="47">
        <f>IF($B64="","",CHOOSE(WEEKDAY($B64),"일","월","화","수","목","금","토"))</f>
        <v/>
      </c>
      <c r="D64" s="45" t="n"/>
      <c r="E64" s="47">
        <f>IF($D64="","",IFERROR(INDEX(코드설정!$D$5:$D$24,MATCH($D64,코드설정!$C$5:$C$24,0)),""))</f>
        <v/>
      </c>
      <c r="F64" s="45" t="n"/>
      <c r="G64" s="45" t="n"/>
      <c r="H64" s="49" t="n"/>
      <c r="I64" s="49" t="n"/>
      <c r="J64" s="52" t="n"/>
      <c r="K64" s="45" t="n"/>
      <c r="L64" s="49" t="n"/>
    </row>
    <row r="65">
      <c r="A65" s="43">
        <f>IF($B65="","",COUNT($B$5:$B65))</f>
        <v/>
      </c>
      <c r="B65" s="44" t="n"/>
      <c r="C65" s="47">
        <f>IF($B65="","",CHOOSE(WEEKDAY($B65),"일","월","화","수","목","금","토"))</f>
        <v/>
      </c>
      <c r="D65" s="45" t="n"/>
      <c r="E65" s="47">
        <f>IF($D65="","",IFERROR(INDEX(코드설정!$D$5:$D$24,MATCH($D65,코드설정!$C$5:$C$24,0)),""))</f>
        <v/>
      </c>
      <c r="F65" s="45" t="n"/>
      <c r="G65" s="45" t="n"/>
      <c r="H65" s="49" t="n"/>
      <c r="I65" s="49" t="n"/>
      <c r="J65" s="52" t="n"/>
      <c r="K65" s="45" t="n"/>
      <c r="L65" s="49" t="n"/>
    </row>
    <row r="66">
      <c r="A66" s="43">
        <f>IF($B66="","",COUNT($B$5:$B66))</f>
        <v/>
      </c>
      <c r="B66" s="44" t="n"/>
      <c r="C66" s="47">
        <f>IF($B66="","",CHOOSE(WEEKDAY($B66),"일","월","화","수","목","금","토"))</f>
        <v/>
      </c>
      <c r="D66" s="45" t="n"/>
      <c r="E66" s="47">
        <f>IF($D66="","",IFERROR(INDEX(코드설정!$D$5:$D$24,MATCH($D66,코드설정!$C$5:$C$24,0)),""))</f>
        <v/>
      </c>
      <c r="F66" s="45" t="n"/>
      <c r="G66" s="45" t="n"/>
      <c r="H66" s="49" t="n"/>
      <c r="I66" s="49" t="n"/>
      <c r="J66" s="52" t="n"/>
      <c r="K66" s="45" t="n"/>
      <c r="L66" s="49" t="n"/>
    </row>
    <row r="67">
      <c r="A67" s="43">
        <f>IF($B67="","",COUNT($B$5:$B67))</f>
        <v/>
      </c>
      <c r="B67" s="44" t="n"/>
      <c r="C67" s="47">
        <f>IF($B67="","",CHOOSE(WEEKDAY($B67),"일","월","화","수","목","금","토"))</f>
        <v/>
      </c>
      <c r="D67" s="45" t="n"/>
      <c r="E67" s="47">
        <f>IF($D67="","",IFERROR(INDEX(코드설정!$D$5:$D$24,MATCH($D67,코드설정!$C$5:$C$24,0)),""))</f>
        <v/>
      </c>
      <c r="F67" s="45" t="n"/>
      <c r="G67" s="45" t="n"/>
      <c r="H67" s="49" t="n"/>
      <c r="I67" s="49" t="n"/>
      <c r="J67" s="52" t="n"/>
      <c r="K67" s="45" t="n"/>
      <c r="L67" s="49" t="n"/>
    </row>
    <row r="68">
      <c r="A68" s="43">
        <f>IF($B68="","",COUNT($B$5:$B68))</f>
        <v/>
      </c>
      <c r="B68" s="44" t="n"/>
      <c r="C68" s="47">
        <f>IF($B68="","",CHOOSE(WEEKDAY($B68),"일","월","화","수","목","금","토"))</f>
        <v/>
      </c>
      <c r="D68" s="45" t="n"/>
      <c r="E68" s="47">
        <f>IF($D68="","",IFERROR(INDEX(코드설정!$D$5:$D$24,MATCH($D68,코드설정!$C$5:$C$24,0)),""))</f>
        <v/>
      </c>
      <c r="F68" s="45" t="n"/>
      <c r="G68" s="45" t="n"/>
      <c r="H68" s="49" t="n"/>
      <c r="I68" s="49" t="n"/>
      <c r="J68" s="52" t="n"/>
      <c r="K68" s="45" t="n"/>
      <c r="L68" s="49" t="n"/>
    </row>
    <row r="69">
      <c r="A69" s="43">
        <f>IF($B69="","",COUNT($B$5:$B69))</f>
        <v/>
      </c>
      <c r="B69" s="44" t="n"/>
      <c r="C69" s="47">
        <f>IF($B69="","",CHOOSE(WEEKDAY($B69),"일","월","화","수","목","금","토"))</f>
        <v/>
      </c>
      <c r="D69" s="45" t="n"/>
      <c r="E69" s="47">
        <f>IF($D69="","",IFERROR(INDEX(코드설정!$D$5:$D$24,MATCH($D69,코드설정!$C$5:$C$24,0)),""))</f>
        <v/>
      </c>
      <c r="F69" s="45" t="n"/>
      <c r="G69" s="45" t="n"/>
      <c r="H69" s="49" t="n"/>
      <c r="I69" s="49" t="n"/>
      <c r="J69" s="52" t="n"/>
      <c r="K69" s="45" t="n"/>
      <c r="L69" s="49" t="n"/>
    </row>
    <row r="70">
      <c r="A70" s="43">
        <f>IF($B70="","",COUNT($B$5:$B70))</f>
        <v/>
      </c>
      <c r="B70" s="44" t="n"/>
      <c r="C70" s="47">
        <f>IF($B70="","",CHOOSE(WEEKDAY($B70),"일","월","화","수","목","금","토"))</f>
        <v/>
      </c>
      <c r="D70" s="45" t="n"/>
      <c r="E70" s="47">
        <f>IF($D70="","",IFERROR(INDEX(코드설정!$D$5:$D$24,MATCH($D70,코드설정!$C$5:$C$24,0)),""))</f>
        <v/>
      </c>
      <c r="F70" s="45" t="n"/>
      <c r="G70" s="45" t="n"/>
      <c r="H70" s="49" t="n"/>
      <c r="I70" s="49" t="n"/>
      <c r="J70" s="52" t="n"/>
      <c r="K70" s="45" t="n"/>
      <c r="L70" s="49" t="n"/>
    </row>
    <row r="71">
      <c r="A71" s="43">
        <f>IF($B71="","",COUNT($B$5:$B71))</f>
        <v/>
      </c>
      <c r="B71" s="44" t="n"/>
      <c r="C71" s="47">
        <f>IF($B71="","",CHOOSE(WEEKDAY($B71),"일","월","화","수","목","금","토"))</f>
        <v/>
      </c>
      <c r="D71" s="45" t="n"/>
      <c r="E71" s="47">
        <f>IF($D71="","",IFERROR(INDEX(코드설정!$D$5:$D$24,MATCH($D71,코드설정!$C$5:$C$24,0)),""))</f>
        <v/>
      </c>
      <c r="F71" s="45" t="n"/>
      <c r="G71" s="45" t="n"/>
      <c r="H71" s="49" t="n"/>
      <c r="I71" s="49" t="n"/>
      <c r="J71" s="52" t="n"/>
      <c r="K71" s="45" t="n"/>
      <c r="L71" s="49" t="n"/>
    </row>
    <row r="72">
      <c r="A72" s="43">
        <f>IF($B72="","",COUNT($B$5:$B72))</f>
        <v/>
      </c>
      <c r="B72" s="44" t="n"/>
      <c r="C72" s="47">
        <f>IF($B72="","",CHOOSE(WEEKDAY($B72),"일","월","화","수","목","금","토"))</f>
        <v/>
      </c>
      <c r="D72" s="45" t="n"/>
      <c r="E72" s="47">
        <f>IF($D72="","",IFERROR(INDEX(코드설정!$D$5:$D$24,MATCH($D72,코드설정!$C$5:$C$24,0)),""))</f>
        <v/>
      </c>
      <c r="F72" s="45" t="n"/>
      <c r="G72" s="45" t="n"/>
      <c r="H72" s="49" t="n"/>
      <c r="I72" s="49" t="n"/>
      <c r="J72" s="52" t="n"/>
      <c r="K72" s="45" t="n"/>
      <c r="L72" s="49" t="n"/>
    </row>
    <row r="73">
      <c r="A73" s="43">
        <f>IF($B73="","",COUNT($B$5:$B73))</f>
        <v/>
      </c>
      <c r="B73" s="44" t="n"/>
      <c r="C73" s="47">
        <f>IF($B73="","",CHOOSE(WEEKDAY($B73),"일","월","화","수","목","금","토"))</f>
        <v/>
      </c>
      <c r="D73" s="45" t="n"/>
      <c r="E73" s="47">
        <f>IF($D73="","",IFERROR(INDEX(코드설정!$D$5:$D$24,MATCH($D73,코드설정!$C$5:$C$24,0)),""))</f>
        <v/>
      </c>
      <c r="F73" s="45" t="n"/>
      <c r="G73" s="45" t="n"/>
      <c r="H73" s="49" t="n"/>
      <c r="I73" s="49" t="n"/>
      <c r="J73" s="52" t="n"/>
      <c r="K73" s="45" t="n"/>
      <c r="L73" s="49" t="n"/>
    </row>
    <row r="74">
      <c r="A74" s="43">
        <f>IF($B74="","",COUNT($B$5:$B74))</f>
        <v/>
      </c>
      <c r="B74" s="44" t="n"/>
      <c r="C74" s="47">
        <f>IF($B74="","",CHOOSE(WEEKDAY($B74),"일","월","화","수","목","금","토"))</f>
        <v/>
      </c>
      <c r="D74" s="45" t="n"/>
      <c r="E74" s="47">
        <f>IF($D74="","",IFERROR(INDEX(코드설정!$D$5:$D$24,MATCH($D74,코드설정!$C$5:$C$24,0)),""))</f>
        <v/>
      </c>
      <c r="F74" s="45" t="n"/>
      <c r="G74" s="45" t="n"/>
      <c r="H74" s="49" t="n"/>
      <c r="I74" s="49" t="n"/>
      <c r="J74" s="52" t="n"/>
      <c r="K74" s="45" t="n"/>
      <c r="L74" s="49" t="n"/>
    </row>
    <row r="75">
      <c r="A75" s="43">
        <f>IF($B75="","",COUNT($B$5:$B75))</f>
        <v/>
      </c>
      <c r="B75" s="44" t="n"/>
      <c r="C75" s="47">
        <f>IF($B75="","",CHOOSE(WEEKDAY($B75),"일","월","화","수","목","금","토"))</f>
        <v/>
      </c>
      <c r="D75" s="45" t="n"/>
      <c r="E75" s="47">
        <f>IF($D75="","",IFERROR(INDEX(코드설정!$D$5:$D$24,MATCH($D75,코드설정!$C$5:$C$24,0)),""))</f>
        <v/>
      </c>
      <c r="F75" s="45" t="n"/>
      <c r="G75" s="45" t="n"/>
      <c r="H75" s="49" t="n"/>
      <c r="I75" s="49" t="n"/>
      <c r="J75" s="52" t="n"/>
      <c r="K75" s="45" t="n"/>
      <c r="L75" s="49" t="n"/>
    </row>
    <row r="76">
      <c r="A76" s="43">
        <f>IF($B76="","",COUNT($B$5:$B76))</f>
        <v/>
      </c>
      <c r="B76" s="44" t="n"/>
      <c r="C76" s="47">
        <f>IF($B76="","",CHOOSE(WEEKDAY($B76),"일","월","화","수","목","금","토"))</f>
        <v/>
      </c>
      <c r="D76" s="45" t="n"/>
      <c r="E76" s="47">
        <f>IF($D76="","",IFERROR(INDEX(코드설정!$D$5:$D$24,MATCH($D76,코드설정!$C$5:$C$24,0)),""))</f>
        <v/>
      </c>
      <c r="F76" s="45" t="n"/>
      <c r="G76" s="45" t="n"/>
      <c r="H76" s="49" t="n"/>
      <c r="I76" s="49" t="n"/>
      <c r="J76" s="52" t="n"/>
      <c r="K76" s="45" t="n"/>
      <c r="L76" s="49" t="n"/>
    </row>
    <row r="77">
      <c r="A77" s="43">
        <f>IF($B77="","",COUNT($B$5:$B77))</f>
        <v/>
      </c>
      <c r="B77" s="44" t="n"/>
      <c r="C77" s="47">
        <f>IF($B77="","",CHOOSE(WEEKDAY($B77),"일","월","화","수","목","금","토"))</f>
        <v/>
      </c>
      <c r="D77" s="45" t="n"/>
      <c r="E77" s="47">
        <f>IF($D77="","",IFERROR(INDEX(코드설정!$D$5:$D$24,MATCH($D77,코드설정!$C$5:$C$24,0)),""))</f>
        <v/>
      </c>
      <c r="F77" s="45" t="n"/>
      <c r="G77" s="45" t="n"/>
      <c r="H77" s="49" t="n"/>
      <c r="I77" s="49" t="n"/>
      <c r="J77" s="52" t="n"/>
      <c r="K77" s="45" t="n"/>
      <c r="L77" s="49" t="n"/>
    </row>
    <row r="78">
      <c r="A78" s="43">
        <f>IF($B78="","",COUNT($B$5:$B78))</f>
        <v/>
      </c>
      <c r="B78" s="44" t="n"/>
      <c r="C78" s="47">
        <f>IF($B78="","",CHOOSE(WEEKDAY($B78),"일","월","화","수","목","금","토"))</f>
        <v/>
      </c>
      <c r="D78" s="45" t="n"/>
      <c r="E78" s="47">
        <f>IF($D78="","",IFERROR(INDEX(코드설정!$D$5:$D$24,MATCH($D78,코드설정!$C$5:$C$24,0)),""))</f>
        <v/>
      </c>
      <c r="F78" s="45" t="n"/>
      <c r="G78" s="45" t="n"/>
      <c r="H78" s="49" t="n"/>
      <c r="I78" s="49" t="n"/>
      <c r="J78" s="52" t="n"/>
      <c r="K78" s="45" t="n"/>
      <c r="L78" s="49" t="n"/>
    </row>
    <row r="79">
      <c r="A79" s="43">
        <f>IF($B79="","",COUNT($B$5:$B79))</f>
        <v/>
      </c>
      <c r="B79" s="44" t="n"/>
      <c r="C79" s="47">
        <f>IF($B79="","",CHOOSE(WEEKDAY($B79),"일","월","화","수","목","금","토"))</f>
        <v/>
      </c>
      <c r="D79" s="45" t="n"/>
      <c r="E79" s="47">
        <f>IF($D79="","",IFERROR(INDEX(코드설정!$D$5:$D$24,MATCH($D79,코드설정!$C$5:$C$24,0)),""))</f>
        <v/>
      </c>
      <c r="F79" s="45" t="n"/>
      <c r="G79" s="45" t="n"/>
      <c r="H79" s="49" t="n"/>
      <c r="I79" s="49" t="n"/>
      <c r="J79" s="52" t="n"/>
      <c r="K79" s="45" t="n"/>
      <c r="L79" s="49" t="n"/>
    </row>
    <row r="80">
      <c r="A80" s="43">
        <f>IF($B80="","",COUNT($B$5:$B80))</f>
        <v/>
      </c>
      <c r="B80" s="44" t="n"/>
      <c r="C80" s="47">
        <f>IF($B80="","",CHOOSE(WEEKDAY($B80),"일","월","화","수","목","금","토"))</f>
        <v/>
      </c>
      <c r="D80" s="45" t="n"/>
      <c r="E80" s="47">
        <f>IF($D80="","",IFERROR(INDEX(코드설정!$D$5:$D$24,MATCH($D80,코드설정!$C$5:$C$24,0)),""))</f>
        <v/>
      </c>
      <c r="F80" s="45" t="n"/>
      <c r="G80" s="45" t="n"/>
      <c r="H80" s="49" t="n"/>
      <c r="I80" s="49" t="n"/>
      <c r="J80" s="52" t="n"/>
      <c r="K80" s="45" t="n"/>
      <c r="L80" s="49" t="n"/>
    </row>
    <row r="81">
      <c r="A81" s="43">
        <f>IF($B81="","",COUNT($B$5:$B81))</f>
        <v/>
      </c>
      <c r="B81" s="44" t="n"/>
      <c r="C81" s="47">
        <f>IF($B81="","",CHOOSE(WEEKDAY($B81),"일","월","화","수","목","금","토"))</f>
        <v/>
      </c>
      <c r="D81" s="45" t="n"/>
      <c r="E81" s="47">
        <f>IF($D81="","",IFERROR(INDEX(코드설정!$D$5:$D$24,MATCH($D81,코드설정!$C$5:$C$24,0)),""))</f>
        <v/>
      </c>
      <c r="F81" s="45" t="n"/>
      <c r="G81" s="45" t="n"/>
      <c r="H81" s="49" t="n"/>
      <c r="I81" s="49" t="n"/>
      <c r="J81" s="52" t="n"/>
      <c r="K81" s="45" t="n"/>
      <c r="L81" s="49" t="n"/>
    </row>
    <row r="82">
      <c r="A82" s="43">
        <f>IF($B82="","",COUNT($B$5:$B82))</f>
        <v/>
      </c>
      <c r="B82" s="44" t="n"/>
      <c r="C82" s="47">
        <f>IF($B82="","",CHOOSE(WEEKDAY($B82),"일","월","화","수","목","금","토"))</f>
        <v/>
      </c>
      <c r="D82" s="45" t="n"/>
      <c r="E82" s="47">
        <f>IF($D82="","",IFERROR(INDEX(코드설정!$D$5:$D$24,MATCH($D82,코드설정!$C$5:$C$24,0)),""))</f>
        <v/>
      </c>
      <c r="F82" s="45" t="n"/>
      <c r="G82" s="45" t="n"/>
      <c r="H82" s="49" t="n"/>
      <c r="I82" s="49" t="n"/>
      <c r="J82" s="52" t="n"/>
      <c r="K82" s="45" t="n"/>
      <c r="L82" s="49" t="n"/>
    </row>
    <row r="83">
      <c r="A83" s="43">
        <f>IF($B83="","",COUNT($B$5:$B83))</f>
        <v/>
      </c>
      <c r="B83" s="44" t="n"/>
      <c r="C83" s="47">
        <f>IF($B83="","",CHOOSE(WEEKDAY($B83),"일","월","화","수","목","금","토"))</f>
        <v/>
      </c>
      <c r="D83" s="45" t="n"/>
      <c r="E83" s="47">
        <f>IF($D83="","",IFERROR(INDEX(코드설정!$D$5:$D$24,MATCH($D83,코드설정!$C$5:$C$24,0)),""))</f>
        <v/>
      </c>
      <c r="F83" s="45" t="n"/>
      <c r="G83" s="45" t="n"/>
      <c r="H83" s="49" t="n"/>
      <c r="I83" s="49" t="n"/>
      <c r="J83" s="52" t="n"/>
      <c r="K83" s="45" t="n"/>
      <c r="L83" s="49" t="n"/>
    </row>
    <row r="84">
      <c r="A84" s="43">
        <f>IF($B84="","",COUNT($B$5:$B84))</f>
        <v/>
      </c>
      <c r="B84" s="44" t="n"/>
      <c r="C84" s="47">
        <f>IF($B84="","",CHOOSE(WEEKDAY($B84),"일","월","화","수","목","금","토"))</f>
        <v/>
      </c>
      <c r="D84" s="45" t="n"/>
      <c r="E84" s="47">
        <f>IF($D84="","",IFERROR(INDEX(코드설정!$D$5:$D$24,MATCH($D84,코드설정!$C$5:$C$24,0)),""))</f>
        <v/>
      </c>
      <c r="F84" s="45" t="n"/>
      <c r="G84" s="45" t="n"/>
      <c r="H84" s="49" t="n"/>
      <c r="I84" s="49" t="n"/>
      <c r="J84" s="52" t="n"/>
      <c r="K84" s="45" t="n"/>
      <c r="L84" s="49" t="n"/>
    </row>
    <row r="85">
      <c r="A85" s="43">
        <f>IF($B85="","",COUNT($B$5:$B85))</f>
        <v/>
      </c>
      <c r="B85" s="44" t="n"/>
      <c r="C85" s="47">
        <f>IF($B85="","",CHOOSE(WEEKDAY($B85),"일","월","화","수","목","금","토"))</f>
        <v/>
      </c>
      <c r="D85" s="45" t="n"/>
      <c r="E85" s="47">
        <f>IF($D85="","",IFERROR(INDEX(코드설정!$D$5:$D$24,MATCH($D85,코드설정!$C$5:$C$24,0)),""))</f>
        <v/>
      </c>
      <c r="F85" s="45" t="n"/>
      <c r="G85" s="45" t="n"/>
      <c r="H85" s="49" t="n"/>
      <c r="I85" s="49" t="n"/>
      <c r="J85" s="52" t="n"/>
      <c r="K85" s="45" t="n"/>
      <c r="L85" s="49" t="n"/>
    </row>
    <row r="86">
      <c r="A86" s="43">
        <f>IF($B86="","",COUNT($B$5:$B86))</f>
        <v/>
      </c>
      <c r="B86" s="44" t="n"/>
      <c r="C86" s="47">
        <f>IF($B86="","",CHOOSE(WEEKDAY($B86),"일","월","화","수","목","금","토"))</f>
        <v/>
      </c>
      <c r="D86" s="45" t="n"/>
      <c r="E86" s="47">
        <f>IF($D86="","",IFERROR(INDEX(코드설정!$D$5:$D$24,MATCH($D86,코드설정!$C$5:$C$24,0)),""))</f>
        <v/>
      </c>
      <c r="F86" s="45" t="n"/>
      <c r="G86" s="45" t="n"/>
      <c r="H86" s="49" t="n"/>
      <c r="I86" s="49" t="n"/>
      <c r="J86" s="52" t="n"/>
      <c r="K86" s="45" t="n"/>
      <c r="L86" s="49" t="n"/>
    </row>
    <row r="87">
      <c r="A87" s="43">
        <f>IF($B87="","",COUNT($B$5:$B87))</f>
        <v/>
      </c>
      <c r="B87" s="44" t="n"/>
      <c r="C87" s="47">
        <f>IF($B87="","",CHOOSE(WEEKDAY($B87),"일","월","화","수","목","금","토"))</f>
        <v/>
      </c>
      <c r="D87" s="45" t="n"/>
      <c r="E87" s="47">
        <f>IF($D87="","",IFERROR(INDEX(코드설정!$D$5:$D$24,MATCH($D87,코드설정!$C$5:$C$24,0)),""))</f>
        <v/>
      </c>
      <c r="F87" s="45" t="n"/>
      <c r="G87" s="45" t="n"/>
      <c r="H87" s="49" t="n"/>
      <c r="I87" s="49" t="n"/>
      <c r="J87" s="52" t="n"/>
      <c r="K87" s="45" t="n"/>
      <c r="L87" s="49" t="n"/>
    </row>
    <row r="88">
      <c r="A88" s="43">
        <f>IF($B88="","",COUNT($B$5:$B88))</f>
        <v/>
      </c>
      <c r="B88" s="44" t="n"/>
      <c r="C88" s="47">
        <f>IF($B88="","",CHOOSE(WEEKDAY($B88),"일","월","화","수","목","금","토"))</f>
        <v/>
      </c>
      <c r="D88" s="45" t="n"/>
      <c r="E88" s="47">
        <f>IF($D88="","",IFERROR(INDEX(코드설정!$D$5:$D$24,MATCH($D88,코드설정!$C$5:$C$24,0)),""))</f>
        <v/>
      </c>
      <c r="F88" s="45" t="n"/>
      <c r="G88" s="45" t="n"/>
      <c r="H88" s="49" t="n"/>
      <c r="I88" s="49" t="n"/>
      <c r="J88" s="52" t="n"/>
      <c r="K88" s="45" t="n"/>
      <c r="L88" s="49" t="n"/>
    </row>
    <row r="89">
      <c r="A89" s="43">
        <f>IF($B89="","",COUNT($B$5:$B89))</f>
        <v/>
      </c>
      <c r="B89" s="44" t="n"/>
      <c r="C89" s="47">
        <f>IF($B89="","",CHOOSE(WEEKDAY($B89),"일","월","화","수","목","금","토"))</f>
        <v/>
      </c>
      <c r="D89" s="45" t="n"/>
      <c r="E89" s="47">
        <f>IF($D89="","",IFERROR(INDEX(코드설정!$D$5:$D$24,MATCH($D89,코드설정!$C$5:$C$24,0)),""))</f>
        <v/>
      </c>
      <c r="F89" s="45" t="n"/>
      <c r="G89" s="45" t="n"/>
      <c r="H89" s="49" t="n"/>
      <c r="I89" s="49" t="n"/>
      <c r="J89" s="52" t="n"/>
      <c r="K89" s="45" t="n"/>
      <c r="L89" s="49" t="n"/>
    </row>
    <row r="90">
      <c r="A90" s="43">
        <f>IF($B90="","",COUNT($B$5:$B90))</f>
        <v/>
      </c>
      <c r="B90" s="44" t="n"/>
      <c r="C90" s="47">
        <f>IF($B90="","",CHOOSE(WEEKDAY($B90),"일","월","화","수","목","금","토"))</f>
        <v/>
      </c>
      <c r="D90" s="45" t="n"/>
      <c r="E90" s="47">
        <f>IF($D90="","",IFERROR(INDEX(코드설정!$D$5:$D$24,MATCH($D90,코드설정!$C$5:$C$24,0)),""))</f>
        <v/>
      </c>
      <c r="F90" s="45" t="n"/>
      <c r="G90" s="45" t="n"/>
      <c r="H90" s="49" t="n"/>
      <c r="I90" s="49" t="n"/>
      <c r="J90" s="52" t="n"/>
      <c r="K90" s="45" t="n"/>
      <c r="L90" s="49" t="n"/>
    </row>
    <row r="91">
      <c r="A91" s="43">
        <f>IF($B91="","",COUNT($B$5:$B91))</f>
        <v/>
      </c>
      <c r="B91" s="44" t="n"/>
      <c r="C91" s="47">
        <f>IF($B91="","",CHOOSE(WEEKDAY($B91),"일","월","화","수","목","금","토"))</f>
        <v/>
      </c>
      <c r="D91" s="45" t="n"/>
      <c r="E91" s="47">
        <f>IF($D91="","",IFERROR(INDEX(코드설정!$D$5:$D$24,MATCH($D91,코드설정!$C$5:$C$24,0)),""))</f>
        <v/>
      </c>
      <c r="F91" s="45" t="n"/>
      <c r="G91" s="45" t="n"/>
      <c r="H91" s="49" t="n"/>
      <c r="I91" s="49" t="n"/>
      <c r="J91" s="52" t="n"/>
      <c r="K91" s="45" t="n"/>
      <c r="L91" s="49" t="n"/>
    </row>
    <row r="92">
      <c r="A92" s="43">
        <f>IF($B92="","",COUNT($B$5:$B92))</f>
        <v/>
      </c>
      <c r="B92" s="44" t="n"/>
      <c r="C92" s="47">
        <f>IF($B92="","",CHOOSE(WEEKDAY($B92),"일","월","화","수","목","금","토"))</f>
        <v/>
      </c>
      <c r="D92" s="45" t="n"/>
      <c r="E92" s="47">
        <f>IF($D92="","",IFERROR(INDEX(코드설정!$D$5:$D$24,MATCH($D92,코드설정!$C$5:$C$24,0)),""))</f>
        <v/>
      </c>
      <c r="F92" s="45" t="n"/>
      <c r="G92" s="45" t="n"/>
      <c r="H92" s="49" t="n"/>
      <c r="I92" s="49" t="n"/>
      <c r="J92" s="52" t="n"/>
      <c r="K92" s="45" t="n"/>
      <c r="L92" s="49" t="n"/>
    </row>
    <row r="93">
      <c r="A93" s="43">
        <f>IF($B93="","",COUNT($B$5:$B93))</f>
        <v/>
      </c>
      <c r="B93" s="44" t="n"/>
      <c r="C93" s="47">
        <f>IF($B93="","",CHOOSE(WEEKDAY($B93),"일","월","화","수","목","금","토"))</f>
        <v/>
      </c>
      <c r="D93" s="45" t="n"/>
      <c r="E93" s="47">
        <f>IF($D93="","",IFERROR(INDEX(코드설정!$D$5:$D$24,MATCH($D93,코드설정!$C$5:$C$24,0)),""))</f>
        <v/>
      </c>
      <c r="F93" s="45" t="n"/>
      <c r="G93" s="45" t="n"/>
      <c r="H93" s="49" t="n"/>
      <c r="I93" s="49" t="n"/>
      <c r="J93" s="52" t="n"/>
      <c r="K93" s="45" t="n"/>
      <c r="L93" s="49" t="n"/>
    </row>
    <row r="94">
      <c r="A94" s="43">
        <f>IF($B94="","",COUNT($B$5:$B94))</f>
        <v/>
      </c>
      <c r="B94" s="44" t="n"/>
      <c r="C94" s="47">
        <f>IF($B94="","",CHOOSE(WEEKDAY($B94),"일","월","화","수","목","금","토"))</f>
        <v/>
      </c>
      <c r="D94" s="45" t="n"/>
      <c r="E94" s="47">
        <f>IF($D94="","",IFERROR(INDEX(코드설정!$D$5:$D$24,MATCH($D94,코드설정!$C$5:$C$24,0)),""))</f>
        <v/>
      </c>
      <c r="F94" s="45" t="n"/>
      <c r="G94" s="45" t="n"/>
      <c r="H94" s="49" t="n"/>
      <c r="I94" s="49" t="n"/>
      <c r="J94" s="52" t="n"/>
      <c r="K94" s="45" t="n"/>
      <c r="L94" s="49" t="n"/>
    </row>
    <row r="95">
      <c r="A95" s="43">
        <f>IF($B95="","",COUNT($B$5:$B95))</f>
        <v/>
      </c>
      <c r="B95" s="44" t="n"/>
      <c r="C95" s="47">
        <f>IF($B95="","",CHOOSE(WEEKDAY($B95),"일","월","화","수","목","금","토"))</f>
        <v/>
      </c>
      <c r="D95" s="45" t="n"/>
      <c r="E95" s="47">
        <f>IF($D95="","",IFERROR(INDEX(코드설정!$D$5:$D$24,MATCH($D95,코드설정!$C$5:$C$24,0)),""))</f>
        <v/>
      </c>
      <c r="F95" s="45" t="n"/>
      <c r="G95" s="45" t="n"/>
      <c r="H95" s="49" t="n"/>
      <c r="I95" s="49" t="n"/>
      <c r="J95" s="52" t="n"/>
      <c r="K95" s="45" t="n"/>
      <c r="L95" s="49" t="n"/>
    </row>
    <row r="96">
      <c r="A96" s="43">
        <f>IF($B96="","",COUNT($B$5:$B96))</f>
        <v/>
      </c>
      <c r="B96" s="44" t="n"/>
      <c r="C96" s="47">
        <f>IF($B96="","",CHOOSE(WEEKDAY($B96),"일","월","화","수","목","금","토"))</f>
        <v/>
      </c>
      <c r="D96" s="45" t="n"/>
      <c r="E96" s="47">
        <f>IF($D96="","",IFERROR(INDEX(코드설정!$D$5:$D$24,MATCH($D96,코드설정!$C$5:$C$24,0)),""))</f>
        <v/>
      </c>
      <c r="F96" s="45" t="n"/>
      <c r="G96" s="45" t="n"/>
      <c r="H96" s="49" t="n"/>
      <c r="I96" s="49" t="n"/>
      <c r="J96" s="52" t="n"/>
      <c r="K96" s="45" t="n"/>
      <c r="L96" s="49" t="n"/>
    </row>
    <row r="97">
      <c r="A97" s="43">
        <f>IF($B97="","",COUNT($B$5:$B97))</f>
        <v/>
      </c>
      <c r="B97" s="44" t="n"/>
      <c r="C97" s="47">
        <f>IF($B97="","",CHOOSE(WEEKDAY($B97),"일","월","화","수","목","금","토"))</f>
        <v/>
      </c>
      <c r="D97" s="45" t="n"/>
      <c r="E97" s="47">
        <f>IF($D97="","",IFERROR(INDEX(코드설정!$D$5:$D$24,MATCH($D97,코드설정!$C$5:$C$24,0)),""))</f>
        <v/>
      </c>
      <c r="F97" s="45" t="n"/>
      <c r="G97" s="45" t="n"/>
      <c r="H97" s="49" t="n"/>
      <c r="I97" s="49" t="n"/>
      <c r="J97" s="52" t="n"/>
      <c r="K97" s="45" t="n"/>
      <c r="L97" s="49" t="n"/>
    </row>
    <row r="98">
      <c r="A98" s="43">
        <f>IF($B98="","",COUNT($B$5:$B98))</f>
        <v/>
      </c>
      <c r="B98" s="44" t="n"/>
      <c r="C98" s="47">
        <f>IF($B98="","",CHOOSE(WEEKDAY($B98),"일","월","화","수","목","금","토"))</f>
        <v/>
      </c>
      <c r="D98" s="45" t="n"/>
      <c r="E98" s="47">
        <f>IF($D98="","",IFERROR(INDEX(코드설정!$D$5:$D$24,MATCH($D98,코드설정!$C$5:$C$24,0)),""))</f>
        <v/>
      </c>
      <c r="F98" s="45" t="n"/>
      <c r="G98" s="45" t="n"/>
      <c r="H98" s="49" t="n"/>
      <c r="I98" s="49" t="n"/>
      <c r="J98" s="52" t="n"/>
      <c r="K98" s="45" t="n"/>
      <c r="L98" s="49" t="n"/>
    </row>
    <row r="99">
      <c r="A99" s="43">
        <f>IF($B99="","",COUNT($B$5:$B99))</f>
        <v/>
      </c>
      <c r="B99" s="44" t="n"/>
      <c r="C99" s="47">
        <f>IF($B99="","",CHOOSE(WEEKDAY($B99),"일","월","화","수","목","금","토"))</f>
        <v/>
      </c>
      <c r="D99" s="45" t="n"/>
      <c r="E99" s="47">
        <f>IF($D99="","",IFERROR(INDEX(코드설정!$D$5:$D$24,MATCH($D99,코드설정!$C$5:$C$24,0)),""))</f>
        <v/>
      </c>
      <c r="F99" s="45" t="n"/>
      <c r="G99" s="45" t="n"/>
      <c r="H99" s="49" t="n"/>
      <c r="I99" s="49" t="n"/>
      <c r="J99" s="52" t="n"/>
      <c r="K99" s="45" t="n"/>
      <c r="L99" s="49" t="n"/>
    </row>
    <row r="100">
      <c r="A100" s="43">
        <f>IF($B100="","",COUNT($B$5:$B100))</f>
        <v/>
      </c>
      <c r="B100" s="44" t="n"/>
      <c r="C100" s="47">
        <f>IF($B100="","",CHOOSE(WEEKDAY($B100),"일","월","화","수","목","금","토"))</f>
        <v/>
      </c>
      <c r="D100" s="45" t="n"/>
      <c r="E100" s="47">
        <f>IF($D100="","",IFERROR(INDEX(코드설정!$D$5:$D$24,MATCH($D100,코드설정!$C$5:$C$24,0)),""))</f>
        <v/>
      </c>
      <c r="F100" s="45" t="n"/>
      <c r="G100" s="45" t="n"/>
      <c r="H100" s="49" t="n"/>
      <c r="I100" s="49" t="n"/>
      <c r="J100" s="52" t="n"/>
      <c r="K100" s="45" t="n"/>
      <c r="L100" s="49" t="n"/>
    </row>
    <row r="101">
      <c r="A101" s="43">
        <f>IF($B101="","",COUNT($B$5:$B101))</f>
        <v/>
      </c>
      <c r="B101" s="44" t="n"/>
      <c r="C101" s="47">
        <f>IF($B101="","",CHOOSE(WEEKDAY($B101),"일","월","화","수","목","금","토"))</f>
        <v/>
      </c>
      <c r="D101" s="45" t="n"/>
      <c r="E101" s="47">
        <f>IF($D101="","",IFERROR(INDEX(코드설정!$D$5:$D$24,MATCH($D101,코드설정!$C$5:$C$24,0)),""))</f>
        <v/>
      </c>
      <c r="F101" s="45" t="n"/>
      <c r="G101" s="45" t="n"/>
      <c r="H101" s="49" t="n"/>
      <c r="I101" s="49" t="n"/>
      <c r="J101" s="52" t="n"/>
      <c r="K101" s="45" t="n"/>
      <c r="L101" s="49" t="n"/>
    </row>
    <row r="102">
      <c r="A102" s="43">
        <f>IF($B102="","",COUNT($B$5:$B102))</f>
        <v/>
      </c>
      <c r="B102" s="44" t="n"/>
      <c r="C102" s="47">
        <f>IF($B102="","",CHOOSE(WEEKDAY($B102),"일","월","화","수","목","금","토"))</f>
        <v/>
      </c>
      <c r="D102" s="45" t="n"/>
      <c r="E102" s="47">
        <f>IF($D102="","",IFERROR(INDEX(코드설정!$D$5:$D$24,MATCH($D102,코드설정!$C$5:$C$24,0)),""))</f>
        <v/>
      </c>
      <c r="F102" s="45" t="n"/>
      <c r="G102" s="45" t="n"/>
      <c r="H102" s="49" t="n"/>
      <c r="I102" s="49" t="n"/>
      <c r="J102" s="52" t="n"/>
      <c r="K102" s="45" t="n"/>
      <c r="L102" s="49" t="n"/>
    </row>
    <row r="103">
      <c r="A103" s="43">
        <f>IF($B103="","",COUNT($B$5:$B103))</f>
        <v/>
      </c>
      <c r="B103" s="44" t="n"/>
      <c r="C103" s="47">
        <f>IF($B103="","",CHOOSE(WEEKDAY($B103),"일","월","화","수","목","금","토"))</f>
        <v/>
      </c>
      <c r="D103" s="45" t="n"/>
      <c r="E103" s="47">
        <f>IF($D103="","",IFERROR(INDEX(코드설정!$D$5:$D$24,MATCH($D103,코드설정!$C$5:$C$24,0)),""))</f>
        <v/>
      </c>
      <c r="F103" s="45" t="n"/>
      <c r="G103" s="45" t="n"/>
      <c r="H103" s="49" t="n"/>
      <c r="I103" s="49" t="n"/>
      <c r="J103" s="52" t="n"/>
      <c r="K103" s="45" t="n"/>
      <c r="L103" s="49" t="n"/>
    </row>
    <row r="104">
      <c r="A104" s="43">
        <f>IF($B104="","",COUNT($B$5:$B104))</f>
        <v/>
      </c>
      <c r="B104" s="44" t="n"/>
      <c r="C104" s="47">
        <f>IF($B104="","",CHOOSE(WEEKDAY($B104),"일","월","화","수","목","금","토"))</f>
        <v/>
      </c>
      <c r="D104" s="45" t="n"/>
      <c r="E104" s="47">
        <f>IF($D104="","",IFERROR(INDEX(코드설정!$D$5:$D$24,MATCH($D104,코드설정!$C$5:$C$24,0)),""))</f>
        <v/>
      </c>
      <c r="F104" s="45" t="n"/>
      <c r="G104" s="45" t="n"/>
      <c r="H104" s="49" t="n"/>
      <c r="I104" s="49" t="n"/>
      <c r="J104" s="52" t="n"/>
      <c r="K104" s="45" t="n"/>
      <c r="L104" s="49" t="n"/>
    </row>
    <row r="105">
      <c r="A105" s="43">
        <f>IF($B105="","",COUNT($B$5:$B105))</f>
        <v/>
      </c>
      <c r="B105" s="44" t="n"/>
      <c r="C105" s="47">
        <f>IF($B105="","",CHOOSE(WEEKDAY($B105),"일","월","화","수","목","금","토"))</f>
        <v/>
      </c>
      <c r="D105" s="45" t="n"/>
      <c r="E105" s="47">
        <f>IF($D105="","",IFERROR(INDEX(코드설정!$D$5:$D$24,MATCH($D105,코드설정!$C$5:$C$24,0)),""))</f>
        <v/>
      </c>
      <c r="F105" s="45" t="n"/>
      <c r="G105" s="45" t="n"/>
      <c r="H105" s="49" t="n"/>
      <c r="I105" s="49" t="n"/>
      <c r="J105" s="52" t="n"/>
      <c r="K105" s="45" t="n"/>
      <c r="L105" s="49" t="n"/>
    </row>
    <row r="106">
      <c r="A106" s="43">
        <f>IF($B106="","",COUNT($B$5:$B106))</f>
        <v/>
      </c>
      <c r="B106" s="44" t="n"/>
      <c r="C106" s="47">
        <f>IF($B106="","",CHOOSE(WEEKDAY($B106),"일","월","화","수","목","금","토"))</f>
        <v/>
      </c>
      <c r="D106" s="45" t="n"/>
      <c r="E106" s="47">
        <f>IF($D106="","",IFERROR(INDEX(코드설정!$D$5:$D$24,MATCH($D106,코드설정!$C$5:$C$24,0)),""))</f>
        <v/>
      </c>
      <c r="F106" s="45" t="n"/>
      <c r="G106" s="45" t="n"/>
      <c r="H106" s="49" t="n"/>
      <c r="I106" s="49" t="n"/>
      <c r="J106" s="52" t="n"/>
      <c r="K106" s="45" t="n"/>
      <c r="L106" s="49" t="n"/>
    </row>
    <row r="107">
      <c r="A107" s="43">
        <f>IF($B107="","",COUNT($B$5:$B107))</f>
        <v/>
      </c>
      <c r="B107" s="44" t="n"/>
      <c r="C107" s="47">
        <f>IF($B107="","",CHOOSE(WEEKDAY($B107),"일","월","화","수","목","금","토"))</f>
        <v/>
      </c>
      <c r="D107" s="45" t="n"/>
      <c r="E107" s="47">
        <f>IF($D107="","",IFERROR(INDEX(코드설정!$D$5:$D$24,MATCH($D107,코드설정!$C$5:$C$24,0)),""))</f>
        <v/>
      </c>
      <c r="F107" s="45" t="n"/>
      <c r="G107" s="45" t="n"/>
      <c r="H107" s="49" t="n"/>
      <c r="I107" s="49" t="n"/>
      <c r="J107" s="52" t="n"/>
      <c r="K107" s="45" t="n"/>
      <c r="L107" s="49" t="n"/>
    </row>
    <row r="108">
      <c r="A108" s="43">
        <f>IF($B108="","",COUNT($B$5:$B108))</f>
        <v/>
      </c>
      <c r="B108" s="44" t="n"/>
      <c r="C108" s="47">
        <f>IF($B108="","",CHOOSE(WEEKDAY($B108),"일","월","화","수","목","금","토"))</f>
        <v/>
      </c>
      <c r="D108" s="45" t="n"/>
      <c r="E108" s="47">
        <f>IF($D108="","",IFERROR(INDEX(코드설정!$D$5:$D$24,MATCH($D108,코드설정!$C$5:$C$24,0)),""))</f>
        <v/>
      </c>
      <c r="F108" s="45" t="n"/>
      <c r="G108" s="45" t="n"/>
      <c r="H108" s="49" t="n"/>
      <c r="I108" s="49" t="n"/>
      <c r="J108" s="52" t="n"/>
      <c r="K108" s="45" t="n"/>
      <c r="L108" s="49" t="n"/>
    </row>
    <row r="109">
      <c r="A109" s="43">
        <f>IF($B109="","",COUNT($B$5:$B109))</f>
        <v/>
      </c>
      <c r="B109" s="44" t="n"/>
      <c r="C109" s="47">
        <f>IF($B109="","",CHOOSE(WEEKDAY($B109),"일","월","화","수","목","금","토"))</f>
        <v/>
      </c>
      <c r="D109" s="45" t="n"/>
      <c r="E109" s="47">
        <f>IF($D109="","",IFERROR(INDEX(코드설정!$D$5:$D$24,MATCH($D109,코드설정!$C$5:$C$24,0)),""))</f>
        <v/>
      </c>
      <c r="F109" s="45" t="n"/>
      <c r="G109" s="45" t="n"/>
      <c r="H109" s="49" t="n"/>
      <c r="I109" s="49" t="n"/>
      <c r="J109" s="52" t="n"/>
      <c r="K109" s="45" t="n"/>
      <c r="L109" s="49" t="n"/>
    </row>
    <row r="110">
      <c r="A110" s="43">
        <f>IF($B110="","",COUNT($B$5:$B110))</f>
        <v/>
      </c>
      <c r="B110" s="44" t="n"/>
      <c r="C110" s="47">
        <f>IF($B110="","",CHOOSE(WEEKDAY($B110),"일","월","화","수","목","금","토"))</f>
        <v/>
      </c>
      <c r="D110" s="45" t="n"/>
      <c r="E110" s="47">
        <f>IF($D110="","",IFERROR(INDEX(코드설정!$D$5:$D$24,MATCH($D110,코드설정!$C$5:$C$24,0)),""))</f>
        <v/>
      </c>
      <c r="F110" s="45" t="n"/>
      <c r="G110" s="45" t="n"/>
      <c r="H110" s="49" t="n"/>
      <c r="I110" s="49" t="n"/>
      <c r="J110" s="52" t="n"/>
      <c r="K110" s="45" t="n"/>
      <c r="L110" s="49" t="n"/>
    </row>
    <row r="111">
      <c r="A111" s="43">
        <f>IF($B111="","",COUNT($B$5:$B111))</f>
        <v/>
      </c>
      <c r="B111" s="44" t="n"/>
      <c r="C111" s="47">
        <f>IF($B111="","",CHOOSE(WEEKDAY($B111),"일","월","화","수","목","금","토"))</f>
        <v/>
      </c>
      <c r="D111" s="45" t="n"/>
      <c r="E111" s="47">
        <f>IF($D111="","",IFERROR(INDEX(코드설정!$D$5:$D$24,MATCH($D111,코드설정!$C$5:$C$24,0)),""))</f>
        <v/>
      </c>
      <c r="F111" s="45" t="n"/>
      <c r="G111" s="45" t="n"/>
      <c r="H111" s="49" t="n"/>
      <c r="I111" s="49" t="n"/>
      <c r="J111" s="52" t="n"/>
      <c r="K111" s="45" t="n"/>
      <c r="L111" s="49" t="n"/>
    </row>
    <row r="112">
      <c r="A112" s="43">
        <f>IF($B112="","",COUNT($B$5:$B112))</f>
        <v/>
      </c>
      <c r="B112" s="44" t="n"/>
      <c r="C112" s="47">
        <f>IF($B112="","",CHOOSE(WEEKDAY($B112),"일","월","화","수","목","금","토"))</f>
        <v/>
      </c>
      <c r="D112" s="45" t="n"/>
      <c r="E112" s="47">
        <f>IF($D112="","",IFERROR(INDEX(코드설정!$D$5:$D$24,MATCH($D112,코드설정!$C$5:$C$24,0)),""))</f>
        <v/>
      </c>
      <c r="F112" s="45" t="n"/>
      <c r="G112" s="45" t="n"/>
      <c r="H112" s="49" t="n"/>
      <c r="I112" s="49" t="n"/>
      <c r="J112" s="52" t="n"/>
      <c r="K112" s="45" t="n"/>
      <c r="L112" s="49" t="n"/>
    </row>
    <row r="113">
      <c r="A113" s="43">
        <f>IF($B113="","",COUNT($B$5:$B113))</f>
        <v/>
      </c>
      <c r="B113" s="44" t="n"/>
      <c r="C113" s="47">
        <f>IF($B113="","",CHOOSE(WEEKDAY($B113),"일","월","화","수","목","금","토"))</f>
        <v/>
      </c>
      <c r="D113" s="45" t="n"/>
      <c r="E113" s="47">
        <f>IF($D113="","",IFERROR(INDEX(코드설정!$D$5:$D$24,MATCH($D113,코드설정!$C$5:$C$24,0)),""))</f>
        <v/>
      </c>
      <c r="F113" s="45" t="n"/>
      <c r="G113" s="45" t="n"/>
      <c r="H113" s="49" t="n"/>
      <c r="I113" s="49" t="n"/>
      <c r="J113" s="52" t="n"/>
      <c r="K113" s="45" t="n"/>
      <c r="L113" s="49" t="n"/>
    </row>
    <row r="114">
      <c r="A114" s="43">
        <f>IF($B114="","",COUNT($B$5:$B114))</f>
        <v/>
      </c>
      <c r="B114" s="44" t="n"/>
      <c r="C114" s="47">
        <f>IF($B114="","",CHOOSE(WEEKDAY($B114),"일","월","화","수","목","금","토"))</f>
        <v/>
      </c>
      <c r="D114" s="45" t="n"/>
      <c r="E114" s="47">
        <f>IF($D114="","",IFERROR(INDEX(코드설정!$D$5:$D$24,MATCH($D114,코드설정!$C$5:$C$24,0)),""))</f>
        <v/>
      </c>
      <c r="F114" s="45" t="n"/>
      <c r="G114" s="45" t="n"/>
      <c r="H114" s="49" t="n"/>
      <c r="I114" s="49" t="n"/>
      <c r="J114" s="52" t="n"/>
      <c r="K114" s="45" t="n"/>
      <c r="L114" s="49" t="n"/>
    </row>
    <row r="115">
      <c r="A115" s="43">
        <f>IF($B115="","",COUNT($B$5:$B115))</f>
        <v/>
      </c>
      <c r="B115" s="44" t="n"/>
      <c r="C115" s="47">
        <f>IF($B115="","",CHOOSE(WEEKDAY($B115),"일","월","화","수","목","금","토"))</f>
        <v/>
      </c>
      <c r="D115" s="45" t="n"/>
      <c r="E115" s="47">
        <f>IF($D115="","",IFERROR(INDEX(코드설정!$D$5:$D$24,MATCH($D115,코드설정!$C$5:$C$24,0)),""))</f>
        <v/>
      </c>
      <c r="F115" s="45" t="n"/>
      <c r="G115" s="45" t="n"/>
      <c r="H115" s="49" t="n"/>
      <c r="I115" s="49" t="n"/>
      <c r="J115" s="52" t="n"/>
      <c r="K115" s="45" t="n"/>
      <c r="L115" s="49" t="n"/>
    </row>
    <row r="116">
      <c r="A116" s="43">
        <f>IF($B116="","",COUNT($B$5:$B116))</f>
        <v/>
      </c>
      <c r="B116" s="44" t="n"/>
      <c r="C116" s="47">
        <f>IF($B116="","",CHOOSE(WEEKDAY($B116),"일","월","화","수","목","금","토"))</f>
        <v/>
      </c>
      <c r="D116" s="45" t="n"/>
      <c r="E116" s="47">
        <f>IF($D116="","",IFERROR(INDEX(코드설정!$D$5:$D$24,MATCH($D116,코드설정!$C$5:$C$24,0)),""))</f>
        <v/>
      </c>
      <c r="F116" s="45" t="n"/>
      <c r="G116" s="45" t="n"/>
      <c r="H116" s="49" t="n"/>
      <c r="I116" s="49" t="n"/>
      <c r="J116" s="52" t="n"/>
      <c r="K116" s="45" t="n"/>
      <c r="L116" s="49" t="n"/>
    </row>
    <row r="117">
      <c r="A117" s="43">
        <f>IF($B117="","",COUNT($B$5:$B117))</f>
        <v/>
      </c>
      <c r="B117" s="44" t="n"/>
      <c r="C117" s="47">
        <f>IF($B117="","",CHOOSE(WEEKDAY($B117),"일","월","화","수","목","금","토"))</f>
        <v/>
      </c>
      <c r="D117" s="45" t="n"/>
      <c r="E117" s="47">
        <f>IF($D117="","",IFERROR(INDEX(코드설정!$D$5:$D$24,MATCH($D117,코드설정!$C$5:$C$24,0)),""))</f>
        <v/>
      </c>
      <c r="F117" s="45" t="n"/>
      <c r="G117" s="45" t="n"/>
      <c r="H117" s="49" t="n"/>
      <c r="I117" s="49" t="n"/>
      <c r="J117" s="52" t="n"/>
      <c r="K117" s="45" t="n"/>
      <c r="L117" s="49" t="n"/>
    </row>
    <row r="118">
      <c r="A118" s="43">
        <f>IF($B118="","",COUNT($B$5:$B118))</f>
        <v/>
      </c>
      <c r="B118" s="44" t="n"/>
      <c r="C118" s="47">
        <f>IF($B118="","",CHOOSE(WEEKDAY($B118),"일","월","화","수","목","금","토"))</f>
        <v/>
      </c>
      <c r="D118" s="45" t="n"/>
      <c r="E118" s="47">
        <f>IF($D118="","",IFERROR(INDEX(코드설정!$D$5:$D$24,MATCH($D118,코드설정!$C$5:$C$24,0)),""))</f>
        <v/>
      </c>
      <c r="F118" s="45" t="n"/>
      <c r="G118" s="45" t="n"/>
      <c r="H118" s="49" t="n"/>
      <c r="I118" s="49" t="n"/>
      <c r="J118" s="52" t="n"/>
      <c r="K118" s="45" t="n"/>
      <c r="L118" s="49" t="n"/>
    </row>
    <row r="119">
      <c r="A119" s="43">
        <f>IF($B119="","",COUNT($B$5:$B119))</f>
        <v/>
      </c>
      <c r="B119" s="44" t="n"/>
      <c r="C119" s="47">
        <f>IF($B119="","",CHOOSE(WEEKDAY($B119),"일","월","화","수","목","금","토"))</f>
        <v/>
      </c>
      <c r="D119" s="45" t="n"/>
      <c r="E119" s="47">
        <f>IF($D119="","",IFERROR(INDEX(코드설정!$D$5:$D$24,MATCH($D119,코드설정!$C$5:$C$24,0)),""))</f>
        <v/>
      </c>
      <c r="F119" s="45" t="n"/>
      <c r="G119" s="45" t="n"/>
      <c r="H119" s="49" t="n"/>
      <c r="I119" s="49" t="n"/>
      <c r="J119" s="52" t="n"/>
      <c r="K119" s="45" t="n"/>
      <c r="L119" s="49" t="n"/>
    </row>
    <row r="120">
      <c r="A120" s="43">
        <f>IF($B120="","",COUNT($B$5:$B120))</f>
        <v/>
      </c>
      <c r="B120" s="44" t="n"/>
      <c r="C120" s="47">
        <f>IF($B120="","",CHOOSE(WEEKDAY($B120),"일","월","화","수","목","금","토"))</f>
        <v/>
      </c>
      <c r="D120" s="45" t="n"/>
      <c r="E120" s="47">
        <f>IF($D120="","",IFERROR(INDEX(코드설정!$D$5:$D$24,MATCH($D120,코드설정!$C$5:$C$24,0)),""))</f>
        <v/>
      </c>
      <c r="F120" s="45" t="n"/>
      <c r="G120" s="45" t="n"/>
      <c r="H120" s="49" t="n"/>
      <c r="I120" s="49" t="n"/>
      <c r="J120" s="52" t="n"/>
      <c r="K120" s="45" t="n"/>
      <c r="L120" s="49" t="n"/>
    </row>
    <row r="121">
      <c r="A121" s="43">
        <f>IF($B121="","",COUNT($B$5:$B121))</f>
        <v/>
      </c>
      <c r="B121" s="44" t="n"/>
      <c r="C121" s="47">
        <f>IF($B121="","",CHOOSE(WEEKDAY($B121),"일","월","화","수","목","금","토"))</f>
        <v/>
      </c>
      <c r="D121" s="45" t="n"/>
      <c r="E121" s="47">
        <f>IF($D121="","",IFERROR(INDEX(코드설정!$D$5:$D$24,MATCH($D121,코드설정!$C$5:$C$24,0)),""))</f>
        <v/>
      </c>
      <c r="F121" s="45" t="n"/>
      <c r="G121" s="45" t="n"/>
      <c r="H121" s="49" t="n"/>
      <c r="I121" s="49" t="n"/>
      <c r="J121" s="52" t="n"/>
      <c r="K121" s="45" t="n"/>
      <c r="L121" s="49" t="n"/>
    </row>
    <row r="122">
      <c r="A122" s="43">
        <f>IF($B122="","",COUNT($B$5:$B122))</f>
        <v/>
      </c>
      <c r="B122" s="44" t="n"/>
      <c r="C122" s="47">
        <f>IF($B122="","",CHOOSE(WEEKDAY($B122),"일","월","화","수","목","금","토"))</f>
        <v/>
      </c>
      <c r="D122" s="45" t="n"/>
      <c r="E122" s="47">
        <f>IF($D122="","",IFERROR(INDEX(코드설정!$D$5:$D$24,MATCH($D122,코드설정!$C$5:$C$24,0)),""))</f>
        <v/>
      </c>
      <c r="F122" s="45" t="n"/>
      <c r="G122" s="45" t="n"/>
      <c r="H122" s="49" t="n"/>
      <c r="I122" s="49" t="n"/>
      <c r="J122" s="52" t="n"/>
      <c r="K122" s="45" t="n"/>
      <c r="L122" s="49" t="n"/>
    </row>
    <row r="123">
      <c r="A123" s="43">
        <f>IF($B123="","",COUNT($B$5:$B123))</f>
        <v/>
      </c>
      <c r="B123" s="44" t="n"/>
      <c r="C123" s="47">
        <f>IF($B123="","",CHOOSE(WEEKDAY($B123),"일","월","화","수","목","금","토"))</f>
        <v/>
      </c>
      <c r="D123" s="45" t="n"/>
      <c r="E123" s="47">
        <f>IF($D123="","",IFERROR(INDEX(코드설정!$D$5:$D$24,MATCH($D123,코드설정!$C$5:$C$24,0)),""))</f>
        <v/>
      </c>
      <c r="F123" s="45" t="n"/>
      <c r="G123" s="45" t="n"/>
      <c r="H123" s="49" t="n"/>
      <c r="I123" s="49" t="n"/>
      <c r="J123" s="52" t="n"/>
      <c r="K123" s="45" t="n"/>
      <c r="L123" s="49" t="n"/>
    </row>
    <row r="124">
      <c r="A124" s="43">
        <f>IF($B124="","",COUNT($B$5:$B124))</f>
        <v/>
      </c>
      <c r="B124" s="44" t="n"/>
      <c r="C124" s="47">
        <f>IF($B124="","",CHOOSE(WEEKDAY($B124),"일","월","화","수","목","금","토"))</f>
        <v/>
      </c>
      <c r="D124" s="45" t="n"/>
      <c r="E124" s="47">
        <f>IF($D124="","",IFERROR(INDEX(코드설정!$D$5:$D$24,MATCH($D124,코드설정!$C$5:$C$24,0)),""))</f>
        <v/>
      </c>
      <c r="F124" s="45" t="n"/>
      <c r="G124" s="45" t="n"/>
      <c r="H124" s="49" t="n"/>
      <c r="I124" s="49" t="n"/>
      <c r="J124" s="52" t="n"/>
      <c r="K124" s="45" t="n"/>
      <c r="L124" s="49" t="n"/>
    </row>
    <row r="125">
      <c r="A125" s="43">
        <f>IF($B125="","",COUNT($B$5:$B125))</f>
        <v/>
      </c>
      <c r="B125" s="44" t="n"/>
      <c r="C125" s="47">
        <f>IF($B125="","",CHOOSE(WEEKDAY($B125),"일","월","화","수","목","금","토"))</f>
        <v/>
      </c>
      <c r="D125" s="45" t="n"/>
      <c r="E125" s="47">
        <f>IF($D125="","",IFERROR(INDEX(코드설정!$D$5:$D$24,MATCH($D125,코드설정!$C$5:$C$24,0)),""))</f>
        <v/>
      </c>
      <c r="F125" s="45" t="n"/>
      <c r="G125" s="45" t="n"/>
      <c r="H125" s="49" t="n"/>
      <c r="I125" s="49" t="n"/>
      <c r="J125" s="52" t="n"/>
      <c r="K125" s="45" t="n"/>
      <c r="L125" s="49" t="n"/>
    </row>
    <row r="126">
      <c r="A126" s="43">
        <f>IF($B126="","",COUNT($B$5:$B126))</f>
        <v/>
      </c>
      <c r="B126" s="44" t="n"/>
      <c r="C126" s="47">
        <f>IF($B126="","",CHOOSE(WEEKDAY($B126),"일","월","화","수","목","금","토"))</f>
        <v/>
      </c>
      <c r="D126" s="45" t="n"/>
      <c r="E126" s="47">
        <f>IF($D126="","",IFERROR(INDEX(코드설정!$D$5:$D$24,MATCH($D126,코드설정!$C$5:$C$24,0)),""))</f>
        <v/>
      </c>
      <c r="F126" s="45" t="n"/>
      <c r="G126" s="45" t="n"/>
      <c r="H126" s="49" t="n"/>
      <c r="I126" s="49" t="n"/>
      <c r="J126" s="52" t="n"/>
      <c r="K126" s="45" t="n"/>
      <c r="L126" s="49" t="n"/>
    </row>
    <row r="127">
      <c r="A127" s="43">
        <f>IF($B127="","",COUNT($B$5:$B127))</f>
        <v/>
      </c>
      <c r="B127" s="44" t="n"/>
      <c r="C127" s="47">
        <f>IF($B127="","",CHOOSE(WEEKDAY($B127),"일","월","화","수","목","금","토"))</f>
        <v/>
      </c>
      <c r="D127" s="45" t="n"/>
      <c r="E127" s="47">
        <f>IF($D127="","",IFERROR(INDEX(코드설정!$D$5:$D$24,MATCH($D127,코드설정!$C$5:$C$24,0)),""))</f>
        <v/>
      </c>
      <c r="F127" s="45" t="n"/>
      <c r="G127" s="45" t="n"/>
      <c r="H127" s="49" t="n"/>
      <c r="I127" s="49" t="n"/>
      <c r="J127" s="52" t="n"/>
      <c r="K127" s="45" t="n"/>
      <c r="L127" s="49" t="n"/>
    </row>
    <row r="128">
      <c r="A128" s="43">
        <f>IF($B128="","",COUNT($B$5:$B128))</f>
        <v/>
      </c>
      <c r="B128" s="44" t="n"/>
      <c r="C128" s="47">
        <f>IF($B128="","",CHOOSE(WEEKDAY($B128),"일","월","화","수","목","금","토"))</f>
        <v/>
      </c>
      <c r="D128" s="45" t="n"/>
      <c r="E128" s="47">
        <f>IF($D128="","",IFERROR(INDEX(코드설정!$D$5:$D$24,MATCH($D128,코드설정!$C$5:$C$24,0)),""))</f>
        <v/>
      </c>
      <c r="F128" s="45" t="n"/>
      <c r="G128" s="45" t="n"/>
      <c r="H128" s="49" t="n"/>
      <c r="I128" s="49" t="n"/>
      <c r="J128" s="52" t="n"/>
      <c r="K128" s="45" t="n"/>
      <c r="L128" s="49" t="n"/>
    </row>
    <row r="129">
      <c r="A129" s="43">
        <f>IF($B129="","",COUNT($B$5:$B129))</f>
        <v/>
      </c>
      <c r="B129" s="44" t="n"/>
      <c r="C129" s="47">
        <f>IF($B129="","",CHOOSE(WEEKDAY($B129),"일","월","화","수","목","금","토"))</f>
        <v/>
      </c>
      <c r="D129" s="45" t="n"/>
      <c r="E129" s="47">
        <f>IF($D129="","",IFERROR(INDEX(코드설정!$D$5:$D$24,MATCH($D129,코드설정!$C$5:$C$24,0)),""))</f>
        <v/>
      </c>
      <c r="F129" s="45" t="n"/>
      <c r="G129" s="45" t="n"/>
      <c r="H129" s="49" t="n"/>
      <c r="I129" s="49" t="n"/>
      <c r="J129" s="52" t="n"/>
      <c r="K129" s="45" t="n"/>
      <c r="L129" s="49" t="n"/>
    </row>
    <row r="130">
      <c r="A130" s="43">
        <f>IF($B130="","",COUNT($B$5:$B130))</f>
        <v/>
      </c>
      <c r="B130" s="44" t="n"/>
      <c r="C130" s="47">
        <f>IF($B130="","",CHOOSE(WEEKDAY($B130),"일","월","화","수","목","금","토"))</f>
        <v/>
      </c>
      <c r="D130" s="45" t="n"/>
      <c r="E130" s="47">
        <f>IF($D130="","",IFERROR(INDEX(코드설정!$D$5:$D$24,MATCH($D130,코드설정!$C$5:$C$24,0)),""))</f>
        <v/>
      </c>
      <c r="F130" s="45" t="n"/>
      <c r="G130" s="45" t="n"/>
      <c r="H130" s="49" t="n"/>
      <c r="I130" s="49" t="n"/>
      <c r="J130" s="52" t="n"/>
      <c r="K130" s="45" t="n"/>
      <c r="L130" s="49" t="n"/>
    </row>
    <row r="131">
      <c r="A131" s="43">
        <f>IF($B131="","",COUNT($B$5:$B131))</f>
        <v/>
      </c>
      <c r="B131" s="44" t="n"/>
      <c r="C131" s="47">
        <f>IF($B131="","",CHOOSE(WEEKDAY($B131),"일","월","화","수","목","금","토"))</f>
        <v/>
      </c>
      <c r="D131" s="45" t="n"/>
      <c r="E131" s="47">
        <f>IF($D131="","",IFERROR(INDEX(코드설정!$D$5:$D$24,MATCH($D131,코드설정!$C$5:$C$24,0)),""))</f>
        <v/>
      </c>
      <c r="F131" s="45" t="n"/>
      <c r="G131" s="45" t="n"/>
      <c r="H131" s="49" t="n"/>
      <c r="I131" s="49" t="n"/>
      <c r="J131" s="52" t="n"/>
      <c r="K131" s="45" t="n"/>
      <c r="L131" s="49" t="n"/>
    </row>
    <row r="132">
      <c r="A132" s="43">
        <f>IF($B132="","",COUNT($B$5:$B132))</f>
        <v/>
      </c>
      <c r="B132" s="44" t="n"/>
      <c r="C132" s="47">
        <f>IF($B132="","",CHOOSE(WEEKDAY($B132),"일","월","화","수","목","금","토"))</f>
        <v/>
      </c>
      <c r="D132" s="45" t="n"/>
      <c r="E132" s="47">
        <f>IF($D132="","",IFERROR(INDEX(코드설정!$D$5:$D$24,MATCH($D132,코드설정!$C$5:$C$24,0)),""))</f>
        <v/>
      </c>
      <c r="F132" s="45" t="n"/>
      <c r="G132" s="45" t="n"/>
      <c r="H132" s="49" t="n"/>
      <c r="I132" s="49" t="n"/>
      <c r="J132" s="52" t="n"/>
      <c r="K132" s="45" t="n"/>
      <c r="L132" s="49" t="n"/>
    </row>
    <row r="133">
      <c r="A133" s="43">
        <f>IF($B133="","",COUNT($B$5:$B133))</f>
        <v/>
      </c>
      <c r="B133" s="44" t="n"/>
      <c r="C133" s="47">
        <f>IF($B133="","",CHOOSE(WEEKDAY($B133),"일","월","화","수","목","금","토"))</f>
        <v/>
      </c>
      <c r="D133" s="45" t="n"/>
      <c r="E133" s="47">
        <f>IF($D133="","",IFERROR(INDEX(코드설정!$D$5:$D$24,MATCH($D133,코드설정!$C$5:$C$24,0)),""))</f>
        <v/>
      </c>
      <c r="F133" s="45" t="n"/>
      <c r="G133" s="45" t="n"/>
      <c r="H133" s="49" t="n"/>
      <c r="I133" s="49" t="n"/>
      <c r="J133" s="52" t="n"/>
      <c r="K133" s="45" t="n"/>
      <c r="L133" s="49" t="n"/>
    </row>
    <row r="134">
      <c r="A134" s="43">
        <f>IF($B134="","",COUNT($B$5:$B134))</f>
        <v/>
      </c>
      <c r="B134" s="44" t="n"/>
      <c r="C134" s="47">
        <f>IF($B134="","",CHOOSE(WEEKDAY($B134),"일","월","화","수","목","금","토"))</f>
        <v/>
      </c>
      <c r="D134" s="45" t="n"/>
      <c r="E134" s="47">
        <f>IF($D134="","",IFERROR(INDEX(코드설정!$D$5:$D$24,MATCH($D134,코드설정!$C$5:$C$24,0)),""))</f>
        <v/>
      </c>
      <c r="F134" s="45" t="n"/>
      <c r="G134" s="45" t="n"/>
      <c r="H134" s="49" t="n"/>
      <c r="I134" s="49" t="n"/>
      <c r="J134" s="52" t="n"/>
      <c r="K134" s="45" t="n"/>
      <c r="L134" s="49" t="n"/>
    </row>
    <row r="135">
      <c r="A135" s="43">
        <f>IF($B135="","",COUNT($B$5:$B135))</f>
        <v/>
      </c>
      <c r="B135" s="44" t="n"/>
      <c r="C135" s="47">
        <f>IF($B135="","",CHOOSE(WEEKDAY($B135),"일","월","화","수","목","금","토"))</f>
        <v/>
      </c>
      <c r="D135" s="45" t="n"/>
      <c r="E135" s="47">
        <f>IF($D135="","",IFERROR(INDEX(코드설정!$D$5:$D$24,MATCH($D135,코드설정!$C$5:$C$24,0)),""))</f>
        <v/>
      </c>
      <c r="F135" s="45" t="n"/>
      <c r="G135" s="45" t="n"/>
      <c r="H135" s="49" t="n"/>
      <c r="I135" s="49" t="n"/>
      <c r="J135" s="52" t="n"/>
      <c r="K135" s="45" t="n"/>
      <c r="L135" s="49" t="n"/>
    </row>
    <row r="136">
      <c r="A136" s="43">
        <f>IF($B136="","",COUNT($B$5:$B136))</f>
        <v/>
      </c>
      <c r="B136" s="44" t="n"/>
      <c r="C136" s="47">
        <f>IF($B136="","",CHOOSE(WEEKDAY($B136),"일","월","화","수","목","금","토"))</f>
        <v/>
      </c>
      <c r="D136" s="45" t="n"/>
      <c r="E136" s="47">
        <f>IF($D136="","",IFERROR(INDEX(코드설정!$D$5:$D$24,MATCH($D136,코드설정!$C$5:$C$24,0)),""))</f>
        <v/>
      </c>
      <c r="F136" s="45" t="n"/>
      <c r="G136" s="45" t="n"/>
      <c r="H136" s="49" t="n"/>
      <c r="I136" s="49" t="n"/>
      <c r="J136" s="52" t="n"/>
      <c r="K136" s="45" t="n"/>
      <c r="L136" s="49" t="n"/>
    </row>
    <row r="137">
      <c r="A137" s="43">
        <f>IF($B137="","",COUNT($B$5:$B137))</f>
        <v/>
      </c>
      <c r="B137" s="44" t="n"/>
      <c r="C137" s="47">
        <f>IF($B137="","",CHOOSE(WEEKDAY($B137),"일","월","화","수","목","금","토"))</f>
        <v/>
      </c>
      <c r="D137" s="45" t="n"/>
      <c r="E137" s="47">
        <f>IF($D137="","",IFERROR(INDEX(코드설정!$D$5:$D$24,MATCH($D137,코드설정!$C$5:$C$24,0)),""))</f>
        <v/>
      </c>
      <c r="F137" s="45" t="n"/>
      <c r="G137" s="45" t="n"/>
      <c r="H137" s="49" t="n"/>
      <c r="I137" s="49" t="n"/>
      <c r="J137" s="52" t="n"/>
      <c r="K137" s="45" t="n"/>
      <c r="L137" s="49" t="n"/>
    </row>
    <row r="138">
      <c r="A138" s="43">
        <f>IF($B138="","",COUNT($B$5:$B138))</f>
        <v/>
      </c>
      <c r="B138" s="44" t="n"/>
      <c r="C138" s="47">
        <f>IF($B138="","",CHOOSE(WEEKDAY($B138),"일","월","화","수","목","금","토"))</f>
        <v/>
      </c>
      <c r="D138" s="45" t="n"/>
      <c r="E138" s="47">
        <f>IF($D138="","",IFERROR(INDEX(코드설정!$D$5:$D$24,MATCH($D138,코드설정!$C$5:$C$24,0)),""))</f>
        <v/>
      </c>
      <c r="F138" s="45" t="n"/>
      <c r="G138" s="45" t="n"/>
      <c r="H138" s="49" t="n"/>
      <c r="I138" s="49" t="n"/>
      <c r="J138" s="52" t="n"/>
      <c r="K138" s="45" t="n"/>
      <c r="L138" s="49" t="n"/>
    </row>
    <row r="139">
      <c r="A139" s="43">
        <f>IF($B139="","",COUNT($B$5:$B139))</f>
        <v/>
      </c>
      <c r="B139" s="44" t="n"/>
      <c r="C139" s="47">
        <f>IF($B139="","",CHOOSE(WEEKDAY($B139),"일","월","화","수","목","금","토"))</f>
        <v/>
      </c>
      <c r="D139" s="45" t="n"/>
      <c r="E139" s="47">
        <f>IF($D139="","",IFERROR(INDEX(코드설정!$D$5:$D$24,MATCH($D139,코드설정!$C$5:$C$24,0)),""))</f>
        <v/>
      </c>
      <c r="F139" s="45" t="n"/>
      <c r="G139" s="45" t="n"/>
      <c r="H139" s="49" t="n"/>
      <c r="I139" s="49" t="n"/>
      <c r="J139" s="52" t="n"/>
      <c r="K139" s="45" t="n"/>
      <c r="L139" s="49" t="n"/>
    </row>
    <row r="140">
      <c r="A140" s="43">
        <f>IF($B140="","",COUNT($B$5:$B140))</f>
        <v/>
      </c>
      <c r="B140" s="44" t="n"/>
      <c r="C140" s="47">
        <f>IF($B140="","",CHOOSE(WEEKDAY($B140),"일","월","화","수","목","금","토"))</f>
        <v/>
      </c>
      <c r="D140" s="45" t="n"/>
      <c r="E140" s="47">
        <f>IF($D140="","",IFERROR(INDEX(코드설정!$D$5:$D$24,MATCH($D140,코드설정!$C$5:$C$24,0)),""))</f>
        <v/>
      </c>
      <c r="F140" s="45" t="n"/>
      <c r="G140" s="45" t="n"/>
      <c r="H140" s="49" t="n"/>
      <c r="I140" s="49" t="n"/>
      <c r="J140" s="52" t="n"/>
      <c r="K140" s="45" t="n"/>
      <c r="L140" s="49" t="n"/>
    </row>
    <row r="141">
      <c r="A141" s="43">
        <f>IF($B141="","",COUNT($B$5:$B141))</f>
        <v/>
      </c>
      <c r="B141" s="44" t="n"/>
      <c r="C141" s="47">
        <f>IF($B141="","",CHOOSE(WEEKDAY($B141),"일","월","화","수","목","금","토"))</f>
        <v/>
      </c>
      <c r="D141" s="45" t="n"/>
      <c r="E141" s="47">
        <f>IF($D141="","",IFERROR(INDEX(코드설정!$D$5:$D$24,MATCH($D141,코드설정!$C$5:$C$24,0)),""))</f>
        <v/>
      </c>
      <c r="F141" s="45" t="n"/>
      <c r="G141" s="45" t="n"/>
      <c r="H141" s="49" t="n"/>
      <c r="I141" s="49" t="n"/>
      <c r="J141" s="52" t="n"/>
      <c r="K141" s="45" t="n"/>
      <c r="L141" s="49" t="n"/>
    </row>
    <row r="142">
      <c r="A142" s="43">
        <f>IF($B142="","",COUNT($B$5:$B142))</f>
        <v/>
      </c>
      <c r="B142" s="44" t="n"/>
      <c r="C142" s="47">
        <f>IF($B142="","",CHOOSE(WEEKDAY($B142),"일","월","화","수","목","금","토"))</f>
        <v/>
      </c>
      <c r="D142" s="45" t="n"/>
      <c r="E142" s="47">
        <f>IF($D142="","",IFERROR(INDEX(코드설정!$D$5:$D$24,MATCH($D142,코드설정!$C$5:$C$24,0)),""))</f>
        <v/>
      </c>
      <c r="F142" s="45" t="n"/>
      <c r="G142" s="45" t="n"/>
      <c r="H142" s="49" t="n"/>
      <c r="I142" s="49" t="n"/>
      <c r="J142" s="52" t="n"/>
      <c r="K142" s="45" t="n"/>
      <c r="L142" s="49" t="n"/>
    </row>
    <row r="143">
      <c r="A143" s="43">
        <f>IF($B143="","",COUNT($B$5:$B143))</f>
        <v/>
      </c>
      <c r="B143" s="44" t="n"/>
      <c r="C143" s="47">
        <f>IF($B143="","",CHOOSE(WEEKDAY($B143),"일","월","화","수","목","금","토"))</f>
        <v/>
      </c>
      <c r="D143" s="45" t="n"/>
      <c r="E143" s="47">
        <f>IF($D143="","",IFERROR(INDEX(코드설정!$D$5:$D$24,MATCH($D143,코드설정!$C$5:$C$24,0)),""))</f>
        <v/>
      </c>
      <c r="F143" s="45" t="n"/>
      <c r="G143" s="45" t="n"/>
      <c r="H143" s="49" t="n"/>
      <c r="I143" s="49" t="n"/>
      <c r="J143" s="52" t="n"/>
      <c r="K143" s="45" t="n"/>
      <c r="L143" s="49" t="n"/>
    </row>
    <row r="144">
      <c r="A144" s="43">
        <f>IF($B144="","",COUNT($B$5:$B144))</f>
        <v/>
      </c>
      <c r="B144" s="44" t="n"/>
      <c r="C144" s="47">
        <f>IF($B144="","",CHOOSE(WEEKDAY($B144),"일","월","화","수","목","금","토"))</f>
        <v/>
      </c>
      <c r="D144" s="45" t="n"/>
      <c r="E144" s="47">
        <f>IF($D144="","",IFERROR(INDEX(코드설정!$D$5:$D$24,MATCH($D144,코드설정!$C$5:$C$24,0)),""))</f>
        <v/>
      </c>
      <c r="F144" s="45" t="n"/>
      <c r="G144" s="45" t="n"/>
      <c r="H144" s="49" t="n"/>
      <c r="I144" s="49" t="n"/>
      <c r="J144" s="52" t="n"/>
      <c r="K144" s="45" t="n"/>
      <c r="L144" s="49" t="n"/>
    </row>
    <row r="145">
      <c r="A145" s="43">
        <f>IF($B145="","",COUNT($B$5:$B145))</f>
        <v/>
      </c>
      <c r="B145" s="44" t="n"/>
      <c r="C145" s="47">
        <f>IF($B145="","",CHOOSE(WEEKDAY($B145),"일","월","화","수","목","금","토"))</f>
        <v/>
      </c>
      <c r="D145" s="45" t="n"/>
      <c r="E145" s="47">
        <f>IF($D145="","",IFERROR(INDEX(코드설정!$D$5:$D$24,MATCH($D145,코드설정!$C$5:$C$24,0)),""))</f>
        <v/>
      </c>
      <c r="F145" s="45" t="n"/>
      <c r="G145" s="45" t="n"/>
      <c r="H145" s="49" t="n"/>
      <c r="I145" s="49" t="n"/>
      <c r="J145" s="52" t="n"/>
      <c r="K145" s="45" t="n"/>
      <c r="L145" s="49" t="n"/>
    </row>
    <row r="146">
      <c r="A146" s="43">
        <f>IF($B146="","",COUNT($B$5:$B146))</f>
        <v/>
      </c>
      <c r="B146" s="44" t="n"/>
      <c r="C146" s="47">
        <f>IF($B146="","",CHOOSE(WEEKDAY($B146),"일","월","화","수","목","금","토"))</f>
        <v/>
      </c>
      <c r="D146" s="45" t="n"/>
      <c r="E146" s="47">
        <f>IF($D146="","",IFERROR(INDEX(코드설정!$D$5:$D$24,MATCH($D146,코드설정!$C$5:$C$24,0)),""))</f>
        <v/>
      </c>
      <c r="F146" s="45" t="n"/>
      <c r="G146" s="45" t="n"/>
      <c r="H146" s="49" t="n"/>
      <c r="I146" s="49" t="n"/>
      <c r="J146" s="52" t="n"/>
      <c r="K146" s="45" t="n"/>
      <c r="L146" s="49" t="n"/>
    </row>
    <row r="147">
      <c r="A147" s="43">
        <f>IF($B147="","",COUNT($B$5:$B147))</f>
        <v/>
      </c>
      <c r="B147" s="44" t="n"/>
      <c r="C147" s="47">
        <f>IF($B147="","",CHOOSE(WEEKDAY($B147),"일","월","화","수","목","금","토"))</f>
        <v/>
      </c>
      <c r="D147" s="45" t="n"/>
      <c r="E147" s="47">
        <f>IF($D147="","",IFERROR(INDEX(코드설정!$D$5:$D$24,MATCH($D147,코드설정!$C$5:$C$24,0)),""))</f>
        <v/>
      </c>
      <c r="F147" s="45" t="n"/>
      <c r="G147" s="45" t="n"/>
      <c r="H147" s="49" t="n"/>
      <c r="I147" s="49" t="n"/>
      <c r="J147" s="52" t="n"/>
      <c r="K147" s="45" t="n"/>
      <c r="L147" s="49" t="n"/>
    </row>
    <row r="148">
      <c r="A148" s="43">
        <f>IF($B148="","",COUNT($B$5:$B148))</f>
        <v/>
      </c>
      <c r="B148" s="44" t="n"/>
      <c r="C148" s="47">
        <f>IF($B148="","",CHOOSE(WEEKDAY($B148),"일","월","화","수","목","금","토"))</f>
        <v/>
      </c>
      <c r="D148" s="45" t="n"/>
      <c r="E148" s="47">
        <f>IF($D148="","",IFERROR(INDEX(코드설정!$D$5:$D$24,MATCH($D148,코드설정!$C$5:$C$24,0)),""))</f>
        <v/>
      </c>
      <c r="F148" s="45" t="n"/>
      <c r="G148" s="45" t="n"/>
      <c r="H148" s="49" t="n"/>
      <c r="I148" s="49" t="n"/>
      <c r="J148" s="52" t="n"/>
      <c r="K148" s="45" t="n"/>
      <c r="L148" s="49" t="n"/>
    </row>
    <row r="149">
      <c r="A149" s="43">
        <f>IF($B149="","",COUNT($B$5:$B149))</f>
        <v/>
      </c>
      <c r="B149" s="44" t="n"/>
      <c r="C149" s="47">
        <f>IF($B149="","",CHOOSE(WEEKDAY($B149),"일","월","화","수","목","금","토"))</f>
        <v/>
      </c>
      <c r="D149" s="45" t="n"/>
      <c r="E149" s="47">
        <f>IF($D149="","",IFERROR(INDEX(코드설정!$D$5:$D$24,MATCH($D149,코드설정!$C$5:$C$24,0)),""))</f>
        <v/>
      </c>
      <c r="F149" s="45" t="n"/>
      <c r="G149" s="45" t="n"/>
      <c r="H149" s="49" t="n"/>
      <c r="I149" s="49" t="n"/>
      <c r="J149" s="52" t="n"/>
      <c r="K149" s="45" t="n"/>
      <c r="L149" s="49" t="n"/>
    </row>
    <row r="150">
      <c r="A150" s="43">
        <f>IF($B150="","",COUNT($B$5:$B150))</f>
        <v/>
      </c>
      <c r="B150" s="44" t="n"/>
      <c r="C150" s="47">
        <f>IF($B150="","",CHOOSE(WEEKDAY($B150),"일","월","화","수","목","금","토"))</f>
        <v/>
      </c>
      <c r="D150" s="45" t="n"/>
      <c r="E150" s="47">
        <f>IF($D150="","",IFERROR(INDEX(코드설정!$D$5:$D$24,MATCH($D150,코드설정!$C$5:$C$24,0)),""))</f>
        <v/>
      </c>
      <c r="F150" s="45" t="n"/>
      <c r="G150" s="45" t="n"/>
      <c r="H150" s="49" t="n"/>
      <c r="I150" s="49" t="n"/>
      <c r="J150" s="52" t="n"/>
      <c r="K150" s="45" t="n"/>
      <c r="L150" s="49" t="n"/>
    </row>
    <row r="151">
      <c r="A151" s="43">
        <f>IF($B151="","",COUNT($B$5:$B151))</f>
        <v/>
      </c>
      <c r="B151" s="44" t="n"/>
      <c r="C151" s="47">
        <f>IF($B151="","",CHOOSE(WEEKDAY($B151),"일","월","화","수","목","금","토"))</f>
        <v/>
      </c>
      <c r="D151" s="45" t="n"/>
      <c r="E151" s="47">
        <f>IF($D151="","",IFERROR(INDEX(코드설정!$D$5:$D$24,MATCH($D151,코드설정!$C$5:$C$24,0)),""))</f>
        <v/>
      </c>
      <c r="F151" s="45" t="n"/>
      <c r="G151" s="45" t="n"/>
      <c r="H151" s="49" t="n"/>
      <c r="I151" s="49" t="n"/>
      <c r="J151" s="52" t="n"/>
      <c r="K151" s="45" t="n"/>
      <c r="L151" s="49" t="n"/>
    </row>
    <row r="152">
      <c r="A152" s="43">
        <f>IF($B152="","",COUNT($B$5:$B152))</f>
        <v/>
      </c>
      <c r="B152" s="44" t="n"/>
      <c r="C152" s="47">
        <f>IF($B152="","",CHOOSE(WEEKDAY($B152),"일","월","화","수","목","금","토"))</f>
        <v/>
      </c>
      <c r="D152" s="45" t="n"/>
      <c r="E152" s="47">
        <f>IF($D152="","",IFERROR(INDEX(코드설정!$D$5:$D$24,MATCH($D152,코드설정!$C$5:$C$24,0)),""))</f>
        <v/>
      </c>
      <c r="F152" s="45" t="n"/>
      <c r="G152" s="45" t="n"/>
      <c r="H152" s="49" t="n"/>
      <c r="I152" s="49" t="n"/>
      <c r="J152" s="52" t="n"/>
      <c r="K152" s="45" t="n"/>
      <c r="L152" s="49" t="n"/>
    </row>
    <row r="153">
      <c r="A153" s="43">
        <f>IF($B153="","",COUNT($B$5:$B153))</f>
        <v/>
      </c>
      <c r="B153" s="44" t="n"/>
      <c r="C153" s="47">
        <f>IF($B153="","",CHOOSE(WEEKDAY($B153),"일","월","화","수","목","금","토"))</f>
        <v/>
      </c>
      <c r="D153" s="45" t="n"/>
      <c r="E153" s="47">
        <f>IF($D153="","",IFERROR(INDEX(코드설정!$D$5:$D$24,MATCH($D153,코드설정!$C$5:$C$24,0)),""))</f>
        <v/>
      </c>
      <c r="F153" s="45" t="n"/>
      <c r="G153" s="45" t="n"/>
      <c r="H153" s="49" t="n"/>
      <c r="I153" s="49" t="n"/>
      <c r="J153" s="52" t="n"/>
      <c r="K153" s="45" t="n"/>
      <c r="L153" s="49" t="n"/>
    </row>
    <row r="154">
      <c r="A154" s="43">
        <f>IF($B154="","",COUNT($B$5:$B154))</f>
        <v/>
      </c>
      <c r="B154" s="44" t="n"/>
      <c r="C154" s="47">
        <f>IF($B154="","",CHOOSE(WEEKDAY($B154),"일","월","화","수","목","금","토"))</f>
        <v/>
      </c>
      <c r="D154" s="45" t="n"/>
      <c r="E154" s="47">
        <f>IF($D154="","",IFERROR(INDEX(코드설정!$D$5:$D$24,MATCH($D154,코드설정!$C$5:$C$24,0)),""))</f>
        <v/>
      </c>
      <c r="F154" s="45" t="n"/>
      <c r="G154" s="45" t="n"/>
      <c r="H154" s="49" t="n"/>
      <c r="I154" s="49" t="n"/>
      <c r="J154" s="52" t="n"/>
      <c r="K154" s="45" t="n"/>
      <c r="L154" s="49" t="n"/>
    </row>
    <row r="155">
      <c r="A155" s="43">
        <f>IF($B155="","",COUNT($B$5:$B155))</f>
        <v/>
      </c>
      <c r="B155" s="44" t="n"/>
      <c r="C155" s="47">
        <f>IF($B155="","",CHOOSE(WEEKDAY($B155),"일","월","화","수","목","금","토"))</f>
        <v/>
      </c>
      <c r="D155" s="45" t="n"/>
      <c r="E155" s="47">
        <f>IF($D155="","",IFERROR(INDEX(코드설정!$D$5:$D$24,MATCH($D155,코드설정!$C$5:$C$24,0)),""))</f>
        <v/>
      </c>
      <c r="F155" s="45" t="n"/>
      <c r="G155" s="45" t="n"/>
      <c r="H155" s="49" t="n"/>
      <c r="I155" s="49" t="n"/>
      <c r="J155" s="52" t="n"/>
      <c r="K155" s="45" t="n"/>
      <c r="L155" s="49" t="n"/>
    </row>
    <row r="156">
      <c r="A156" s="43">
        <f>IF($B156="","",COUNT($B$5:$B156))</f>
        <v/>
      </c>
      <c r="B156" s="44" t="n"/>
      <c r="C156" s="47">
        <f>IF($B156="","",CHOOSE(WEEKDAY($B156),"일","월","화","수","목","금","토"))</f>
        <v/>
      </c>
      <c r="D156" s="45" t="n"/>
      <c r="E156" s="47">
        <f>IF($D156="","",IFERROR(INDEX(코드설정!$D$5:$D$24,MATCH($D156,코드설정!$C$5:$C$24,0)),""))</f>
        <v/>
      </c>
      <c r="F156" s="45" t="n"/>
      <c r="G156" s="45" t="n"/>
      <c r="H156" s="49" t="n"/>
      <c r="I156" s="49" t="n"/>
      <c r="J156" s="52" t="n"/>
      <c r="K156" s="45" t="n"/>
      <c r="L156" s="49" t="n"/>
    </row>
    <row r="157">
      <c r="A157" s="43">
        <f>IF($B157="","",COUNT($B$5:$B157))</f>
        <v/>
      </c>
      <c r="B157" s="44" t="n"/>
      <c r="C157" s="47">
        <f>IF($B157="","",CHOOSE(WEEKDAY($B157),"일","월","화","수","목","금","토"))</f>
        <v/>
      </c>
      <c r="D157" s="45" t="n"/>
      <c r="E157" s="47">
        <f>IF($D157="","",IFERROR(INDEX(코드설정!$D$5:$D$24,MATCH($D157,코드설정!$C$5:$C$24,0)),""))</f>
        <v/>
      </c>
      <c r="F157" s="45" t="n"/>
      <c r="G157" s="45" t="n"/>
      <c r="H157" s="49" t="n"/>
      <c r="I157" s="49" t="n"/>
      <c r="J157" s="52" t="n"/>
      <c r="K157" s="45" t="n"/>
      <c r="L157" s="49" t="n"/>
    </row>
    <row r="158">
      <c r="A158" s="43">
        <f>IF($B158="","",COUNT($B$5:$B158))</f>
        <v/>
      </c>
      <c r="B158" s="44" t="n"/>
      <c r="C158" s="47">
        <f>IF($B158="","",CHOOSE(WEEKDAY($B158),"일","월","화","수","목","금","토"))</f>
        <v/>
      </c>
      <c r="D158" s="45" t="n"/>
      <c r="E158" s="47">
        <f>IF($D158="","",IFERROR(INDEX(코드설정!$D$5:$D$24,MATCH($D158,코드설정!$C$5:$C$24,0)),""))</f>
        <v/>
      </c>
      <c r="F158" s="45" t="n"/>
      <c r="G158" s="45" t="n"/>
      <c r="H158" s="49" t="n"/>
      <c r="I158" s="49" t="n"/>
      <c r="J158" s="52" t="n"/>
      <c r="K158" s="45" t="n"/>
      <c r="L158" s="49" t="n"/>
    </row>
    <row r="159">
      <c r="A159" s="43">
        <f>IF($B159="","",COUNT($B$5:$B159))</f>
        <v/>
      </c>
      <c r="B159" s="44" t="n"/>
      <c r="C159" s="47">
        <f>IF($B159="","",CHOOSE(WEEKDAY($B159),"일","월","화","수","목","금","토"))</f>
        <v/>
      </c>
      <c r="D159" s="45" t="n"/>
      <c r="E159" s="47">
        <f>IF($D159="","",IFERROR(INDEX(코드설정!$D$5:$D$24,MATCH($D159,코드설정!$C$5:$C$24,0)),""))</f>
        <v/>
      </c>
      <c r="F159" s="45" t="n"/>
      <c r="G159" s="45" t="n"/>
      <c r="H159" s="49" t="n"/>
      <c r="I159" s="49" t="n"/>
      <c r="J159" s="52" t="n"/>
      <c r="K159" s="45" t="n"/>
      <c r="L159" s="49" t="n"/>
    </row>
    <row r="160">
      <c r="A160" s="43">
        <f>IF($B160="","",COUNT($B$5:$B160))</f>
        <v/>
      </c>
      <c r="B160" s="44" t="n"/>
      <c r="C160" s="47">
        <f>IF($B160="","",CHOOSE(WEEKDAY($B160),"일","월","화","수","목","금","토"))</f>
        <v/>
      </c>
      <c r="D160" s="45" t="n"/>
      <c r="E160" s="47">
        <f>IF($D160="","",IFERROR(INDEX(코드설정!$D$5:$D$24,MATCH($D160,코드설정!$C$5:$C$24,0)),""))</f>
        <v/>
      </c>
      <c r="F160" s="45" t="n"/>
      <c r="G160" s="45" t="n"/>
      <c r="H160" s="49" t="n"/>
      <c r="I160" s="49" t="n"/>
      <c r="J160" s="52" t="n"/>
      <c r="K160" s="45" t="n"/>
      <c r="L160" s="49" t="n"/>
    </row>
    <row r="161">
      <c r="A161" s="43">
        <f>IF($B161="","",COUNT($B$5:$B161))</f>
        <v/>
      </c>
      <c r="B161" s="44" t="n"/>
      <c r="C161" s="47">
        <f>IF($B161="","",CHOOSE(WEEKDAY($B161),"일","월","화","수","목","금","토"))</f>
        <v/>
      </c>
      <c r="D161" s="45" t="n"/>
      <c r="E161" s="47">
        <f>IF($D161="","",IFERROR(INDEX(코드설정!$D$5:$D$24,MATCH($D161,코드설정!$C$5:$C$24,0)),""))</f>
        <v/>
      </c>
      <c r="F161" s="45" t="n"/>
      <c r="G161" s="45" t="n"/>
      <c r="H161" s="49" t="n"/>
      <c r="I161" s="49" t="n"/>
      <c r="J161" s="52" t="n"/>
      <c r="K161" s="45" t="n"/>
      <c r="L161" s="49" t="n"/>
    </row>
    <row r="162">
      <c r="A162" s="43">
        <f>IF($B162="","",COUNT($B$5:$B162))</f>
        <v/>
      </c>
      <c r="B162" s="44" t="n"/>
      <c r="C162" s="47">
        <f>IF($B162="","",CHOOSE(WEEKDAY($B162),"일","월","화","수","목","금","토"))</f>
        <v/>
      </c>
      <c r="D162" s="45" t="n"/>
      <c r="E162" s="47">
        <f>IF($D162="","",IFERROR(INDEX(코드설정!$D$5:$D$24,MATCH($D162,코드설정!$C$5:$C$24,0)),""))</f>
        <v/>
      </c>
      <c r="F162" s="45" t="n"/>
      <c r="G162" s="45" t="n"/>
      <c r="H162" s="49" t="n"/>
      <c r="I162" s="49" t="n"/>
      <c r="J162" s="52" t="n"/>
      <c r="K162" s="45" t="n"/>
      <c r="L162" s="49" t="n"/>
    </row>
    <row r="163">
      <c r="A163" s="43">
        <f>IF($B163="","",COUNT($B$5:$B163))</f>
        <v/>
      </c>
      <c r="B163" s="44" t="n"/>
      <c r="C163" s="47">
        <f>IF($B163="","",CHOOSE(WEEKDAY($B163),"일","월","화","수","목","금","토"))</f>
        <v/>
      </c>
      <c r="D163" s="45" t="n"/>
      <c r="E163" s="47">
        <f>IF($D163="","",IFERROR(INDEX(코드설정!$D$5:$D$24,MATCH($D163,코드설정!$C$5:$C$24,0)),""))</f>
        <v/>
      </c>
      <c r="F163" s="45" t="n"/>
      <c r="G163" s="45" t="n"/>
      <c r="H163" s="49" t="n"/>
      <c r="I163" s="49" t="n"/>
      <c r="J163" s="52" t="n"/>
      <c r="K163" s="45" t="n"/>
      <c r="L163" s="49" t="n"/>
    </row>
    <row r="164">
      <c r="A164" s="43">
        <f>IF($B164="","",COUNT($B$5:$B164))</f>
        <v/>
      </c>
      <c r="B164" s="44" t="n"/>
      <c r="C164" s="47">
        <f>IF($B164="","",CHOOSE(WEEKDAY($B164),"일","월","화","수","목","금","토"))</f>
        <v/>
      </c>
      <c r="D164" s="45" t="n"/>
      <c r="E164" s="47">
        <f>IF($D164="","",IFERROR(INDEX(코드설정!$D$5:$D$24,MATCH($D164,코드설정!$C$5:$C$24,0)),""))</f>
        <v/>
      </c>
      <c r="F164" s="45" t="n"/>
      <c r="G164" s="45" t="n"/>
      <c r="H164" s="49" t="n"/>
      <c r="I164" s="49" t="n"/>
      <c r="J164" s="52" t="n"/>
      <c r="K164" s="45" t="n"/>
      <c r="L164" s="49" t="n"/>
    </row>
    <row r="165">
      <c r="A165" s="43">
        <f>IF($B165="","",COUNT($B$5:$B165))</f>
        <v/>
      </c>
      <c r="B165" s="44" t="n"/>
      <c r="C165" s="47">
        <f>IF($B165="","",CHOOSE(WEEKDAY($B165),"일","월","화","수","목","금","토"))</f>
        <v/>
      </c>
      <c r="D165" s="45" t="n"/>
      <c r="E165" s="47">
        <f>IF($D165="","",IFERROR(INDEX(코드설정!$D$5:$D$24,MATCH($D165,코드설정!$C$5:$C$24,0)),""))</f>
        <v/>
      </c>
      <c r="F165" s="45" t="n"/>
      <c r="G165" s="45" t="n"/>
      <c r="H165" s="49" t="n"/>
      <c r="I165" s="49" t="n"/>
      <c r="J165" s="52" t="n"/>
      <c r="K165" s="45" t="n"/>
      <c r="L165" s="49" t="n"/>
    </row>
    <row r="166">
      <c r="A166" s="43">
        <f>IF($B166="","",COUNT($B$5:$B166))</f>
        <v/>
      </c>
      <c r="B166" s="44" t="n"/>
      <c r="C166" s="47">
        <f>IF($B166="","",CHOOSE(WEEKDAY($B166),"일","월","화","수","목","금","토"))</f>
        <v/>
      </c>
      <c r="D166" s="45" t="n"/>
      <c r="E166" s="47">
        <f>IF($D166="","",IFERROR(INDEX(코드설정!$D$5:$D$24,MATCH($D166,코드설정!$C$5:$C$24,0)),""))</f>
        <v/>
      </c>
      <c r="F166" s="45" t="n"/>
      <c r="G166" s="45" t="n"/>
      <c r="H166" s="49" t="n"/>
      <c r="I166" s="49" t="n"/>
      <c r="J166" s="52" t="n"/>
      <c r="K166" s="45" t="n"/>
      <c r="L166" s="49" t="n"/>
    </row>
    <row r="167">
      <c r="A167" s="43">
        <f>IF($B167="","",COUNT($B$5:$B167))</f>
        <v/>
      </c>
      <c r="B167" s="44" t="n"/>
      <c r="C167" s="47">
        <f>IF($B167="","",CHOOSE(WEEKDAY($B167),"일","월","화","수","목","금","토"))</f>
        <v/>
      </c>
      <c r="D167" s="45" t="n"/>
      <c r="E167" s="47">
        <f>IF($D167="","",IFERROR(INDEX(코드설정!$D$5:$D$24,MATCH($D167,코드설정!$C$5:$C$24,0)),""))</f>
        <v/>
      </c>
      <c r="F167" s="45" t="n"/>
      <c r="G167" s="45" t="n"/>
      <c r="H167" s="49" t="n"/>
      <c r="I167" s="49" t="n"/>
      <c r="J167" s="52" t="n"/>
      <c r="K167" s="45" t="n"/>
      <c r="L167" s="49" t="n"/>
    </row>
    <row r="168">
      <c r="A168" s="43">
        <f>IF($B168="","",COUNT($B$5:$B168))</f>
        <v/>
      </c>
      <c r="B168" s="44" t="n"/>
      <c r="C168" s="47">
        <f>IF($B168="","",CHOOSE(WEEKDAY($B168),"일","월","화","수","목","금","토"))</f>
        <v/>
      </c>
      <c r="D168" s="45" t="n"/>
      <c r="E168" s="47">
        <f>IF($D168="","",IFERROR(INDEX(코드설정!$D$5:$D$24,MATCH($D168,코드설정!$C$5:$C$24,0)),""))</f>
        <v/>
      </c>
      <c r="F168" s="45" t="n"/>
      <c r="G168" s="45" t="n"/>
      <c r="H168" s="49" t="n"/>
      <c r="I168" s="49" t="n"/>
      <c r="J168" s="52" t="n"/>
      <c r="K168" s="45" t="n"/>
      <c r="L168" s="49" t="n"/>
    </row>
    <row r="169">
      <c r="A169" s="43">
        <f>IF($B169="","",COUNT($B$5:$B169))</f>
        <v/>
      </c>
      <c r="B169" s="44" t="n"/>
      <c r="C169" s="47">
        <f>IF($B169="","",CHOOSE(WEEKDAY($B169),"일","월","화","수","목","금","토"))</f>
        <v/>
      </c>
      <c r="D169" s="45" t="n"/>
      <c r="E169" s="47">
        <f>IF($D169="","",IFERROR(INDEX(코드설정!$D$5:$D$24,MATCH($D169,코드설정!$C$5:$C$24,0)),""))</f>
        <v/>
      </c>
      <c r="F169" s="45" t="n"/>
      <c r="G169" s="45" t="n"/>
      <c r="H169" s="49" t="n"/>
      <c r="I169" s="49" t="n"/>
      <c r="J169" s="52" t="n"/>
      <c r="K169" s="45" t="n"/>
      <c r="L169" s="49" t="n"/>
    </row>
    <row r="170">
      <c r="A170" s="43">
        <f>IF($B170="","",COUNT($B$5:$B170))</f>
        <v/>
      </c>
      <c r="B170" s="44" t="n"/>
      <c r="C170" s="47">
        <f>IF($B170="","",CHOOSE(WEEKDAY($B170),"일","월","화","수","목","금","토"))</f>
        <v/>
      </c>
      <c r="D170" s="45" t="n"/>
      <c r="E170" s="47">
        <f>IF($D170="","",IFERROR(INDEX(코드설정!$D$5:$D$24,MATCH($D170,코드설정!$C$5:$C$24,0)),""))</f>
        <v/>
      </c>
      <c r="F170" s="45" t="n"/>
      <c r="G170" s="45" t="n"/>
      <c r="H170" s="49" t="n"/>
      <c r="I170" s="49" t="n"/>
      <c r="J170" s="52" t="n"/>
      <c r="K170" s="45" t="n"/>
      <c r="L170" s="49" t="n"/>
    </row>
    <row r="171">
      <c r="A171" s="43">
        <f>IF($B171="","",COUNT($B$5:$B171))</f>
        <v/>
      </c>
      <c r="B171" s="44" t="n"/>
      <c r="C171" s="47">
        <f>IF($B171="","",CHOOSE(WEEKDAY($B171),"일","월","화","수","목","금","토"))</f>
        <v/>
      </c>
      <c r="D171" s="45" t="n"/>
      <c r="E171" s="47">
        <f>IF($D171="","",IFERROR(INDEX(코드설정!$D$5:$D$24,MATCH($D171,코드설정!$C$5:$C$24,0)),""))</f>
        <v/>
      </c>
      <c r="F171" s="45" t="n"/>
      <c r="G171" s="45" t="n"/>
      <c r="H171" s="49" t="n"/>
      <c r="I171" s="49" t="n"/>
      <c r="J171" s="52" t="n"/>
      <c r="K171" s="45" t="n"/>
      <c r="L171" s="49" t="n"/>
    </row>
    <row r="172">
      <c r="A172" s="43">
        <f>IF($B172="","",COUNT($B$5:$B172))</f>
        <v/>
      </c>
      <c r="B172" s="44" t="n"/>
      <c r="C172" s="47">
        <f>IF($B172="","",CHOOSE(WEEKDAY($B172),"일","월","화","수","목","금","토"))</f>
        <v/>
      </c>
      <c r="D172" s="45" t="n"/>
      <c r="E172" s="47">
        <f>IF($D172="","",IFERROR(INDEX(코드설정!$D$5:$D$24,MATCH($D172,코드설정!$C$5:$C$24,0)),""))</f>
        <v/>
      </c>
      <c r="F172" s="45" t="n"/>
      <c r="G172" s="45" t="n"/>
      <c r="H172" s="49" t="n"/>
      <c r="I172" s="49" t="n"/>
      <c r="J172" s="52" t="n"/>
      <c r="K172" s="45" t="n"/>
      <c r="L172" s="49" t="n"/>
    </row>
    <row r="173">
      <c r="A173" s="43">
        <f>IF($B173="","",COUNT($B$5:$B173))</f>
        <v/>
      </c>
      <c r="B173" s="44" t="n"/>
      <c r="C173" s="47">
        <f>IF($B173="","",CHOOSE(WEEKDAY($B173),"일","월","화","수","목","금","토"))</f>
        <v/>
      </c>
      <c r="D173" s="45" t="n"/>
      <c r="E173" s="47">
        <f>IF($D173="","",IFERROR(INDEX(코드설정!$D$5:$D$24,MATCH($D173,코드설정!$C$5:$C$24,0)),""))</f>
        <v/>
      </c>
      <c r="F173" s="45" t="n"/>
      <c r="G173" s="45" t="n"/>
      <c r="H173" s="49" t="n"/>
      <c r="I173" s="49" t="n"/>
      <c r="J173" s="52" t="n"/>
      <c r="K173" s="45" t="n"/>
      <c r="L173" s="49" t="n"/>
    </row>
    <row r="174">
      <c r="A174" s="43">
        <f>IF($B174="","",COUNT($B$5:$B174))</f>
        <v/>
      </c>
      <c r="B174" s="44" t="n"/>
      <c r="C174" s="47">
        <f>IF($B174="","",CHOOSE(WEEKDAY($B174),"일","월","화","수","목","금","토"))</f>
        <v/>
      </c>
      <c r="D174" s="45" t="n"/>
      <c r="E174" s="47">
        <f>IF($D174="","",IFERROR(INDEX(코드설정!$D$5:$D$24,MATCH($D174,코드설정!$C$5:$C$24,0)),""))</f>
        <v/>
      </c>
      <c r="F174" s="45" t="n"/>
      <c r="G174" s="45" t="n"/>
      <c r="H174" s="49" t="n"/>
      <c r="I174" s="49" t="n"/>
      <c r="J174" s="52" t="n"/>
      <c r="K174" s="45" t="n"/>
      <c r="L174" s="49" t="n"/>
    </row>
    <row r="175">
      <c r="A175" s="43">
        <f>IF($B175="","",COUNT($B$5:$B175))</f>
        <v/>
      </c>
      <c r="B175" s="44" t="n"/>
      <c r="C175" s="47">
        <f>IF($B175="","",CHOOSE(WEEKDAY($B175),"일","월","화","수","목","금","토"))</f>
        <v/>
      </c>
      <c r="D175" s="45" t="n"/>
      <c r="E175" s="47">
        <f>IF($D175="","",IFERROR(INDEX(코드설정!$D$5:$D$24,MATCH($D175,코드설정!$C$5:$C$24,0)),""))</f>
        <v/>
      </c>
      <c r="F175" s="45" t="n"/>
      <c r="G175" s="45" t="n"/>
      <c r="H175" s="49" t="n"/>
      <c r="I175" s="49" t="n"/>
      <c r="J175" s="52" t="n"/>
      <c r="K175" s="45" t="n"/>
      <c r="L175" s="49" t="n"/>
    </row>
    <row r="176">
      <c r="A176" s="43">
        <f>IF($B176="","",COUNT($B$5:$B176))</f>
        <v/>
      </c>
      <c r="B176" s="44" t="n"/>
      <c r="C176" s="47">
        <f>IF($B176="","",CHOOSE(WEEKDAY($B176),"일","월","화","수","목","금","토"))</f>
        <v/>
      </c>
      <c r="D176" s="45" t="n"/>
      <c r="E176" s="47">
        <f>IF($D176="","",IFERROR(INDEX(코드설정!$D$5:$D$24,MATCH($D176,코드설정!$C$5:$C$24,0)),""))</f>
        <v/>
      </c>
      <c r="F176" s="45" t="n"/>
      <c r="G176" s="45" t="n"/>
      <c r="H176" s="49" t="n"/>
      <c r="I176" s="49" t="n"/>
      <c r="J176" s="52" t="n"/>
      <c r="K176" s="45" t="n"/>
      <c r="L176" s="49" t="n"/>
    </row>
    <row r="177">
      <c r="A177" s="43">
        <f>IF($B177="","",COUNT($B$5:$B177))</f>
        <v/>
      </c>
      <c r="B177" s="44" t="n"/>
      <c r="C177" s="47">
        <f>IF($B177="","",CHOOSE(WEEKDAY($B177),"일","월","화","수","목","금","토"))</f>
        <v/>
      </c>
      <c r="D177" s="45" t="n"/>
      <c r="E177" s="47">
        <f>IF($D177="","",IFERROR(INDEX(코드설정!$D$5:$D$24,MATCH($D177,코드설정!$C$5:$C$24,0)),""))</f>
        <v/>
      </c>
      <c r="F177" s="45" t="n"/>
      <c r="G177" s="45" t="n"/>
      <c r="H177" s="49" t="n"/>
      <c r="I177" s="49" t="n"/>
      <c r="J177" s="52" t="n"/>
      <c r="K177" s="45" t="n"/>
      <c r="L177" s="49" t="n"/>
    </row>
    <row r="178">
      <c r="A178" s="43">
        <f>IF($B178="","",COUNT($B$5:$B178))</f>
        <v/>
      </c>
      <c r="B178" s="44" t="n"/>
      <c r="C178" s="47">
        <f>IF($B178="","",CHOOSE(WEEKDAY($B178),"일","월","화","수","목","금","토"))</f>
        <v/>
      </c>
      <c r="D178" s="45" t="n"/>
      <c r="E178" s="47">
        <f>IF($D178="","",IFERROR(INDEX(코드설정!$D$5:$D$24,MATCH($D178,코드설정!$C$5:$C$24,0)),""))</f>
        <v/>
      </c>
      <c r="F178" s="45" t="n"/>
      <c r="G178" s="45" t="n"/>
      <c r="H178" s="49" t="n"/>
      <c r="I178" s="49" t="n"/>
      <c r="J178" s="52" t="n"/>
      <c r="K178" s="45" t="n"/>
      <c r="L178" s="49" t="n"/>
    </row>
    <row r="179">
      <c r="A179" s="43">
        <f>IF($B179="","",COUNT($B$5:$B179))</f>
        <v/>
      </c>
      <c r="B179" s="44" t="n"/>
      <c r="C179" s="47">
        <f>IF($B179="","",CHOOSE(WEEKDAY($B179),"일","월","화","수","목","금","토"))</f>
        <v/>
      </c>
      <c r="D179" s="45" t="n"/>
      <c r="E179" s="47">
        <f>IF($D179="","",IFERROR(INDEX(코드설정!$D$5:$D$24,MATCH($D179,코드설정!$C$5:$C$24,0)),""))</f>
        <v/>
      </c>
      <c r="F179" s="45" t="n"/>
      <c r="G179" s="45" t="n"/>
      <c r="H179" s="49" t="n"/>
      <c r="I179" s="49" t="n"/>
      <c r="J179" s="52" t="n"/>
      <c r="K179" s="45" t="n"/>
      <c r="L179" s="49" t="n"/>
    </row>
    <row r="180">
      <c r="A180" s="43">
        <f>IF($B180="","",COUNT($B$5:$B180))</f>
        <v/>
      </c>
      <c r="B180" s="44" t="n"/>
      <c r="C180" s="47">
        <f>IF($B180="","",CHOOSE(WEEKDAY($B180),"일","월","화","수","목","금","토"))</f>
        <v/>
      </c>
      <c r="D180" s="45" t="n"/>
      <c r="E180" s="47">
        <f>IF($D180="","",IFERROR(INDEX(코드설정!$D$5:$D$24,MATCH($D180,코드설정!$C$5:$C$24,0)),""))</f>
        <v/>
      </c>
      <c r="F180" s="45" t="n"/>
      <c r="G180" s="45" t="n"/>
      <c r="H180" s="49" t="n"/>
      <c r="I180" s="49" t="n"/>
      <c r="J180" s="52" t="n"/>
      <c r="K180" s="45" t="n"/>
      <c r="L180" s="49" t="n"/>
    </row>
    <row r="181">
      <c r="A181" s="43">
        <f>IF($B181="","",COUNT($B$5:$B181))</f>
        <v/>
      </c>
      <c r="B181" s="44" t="n"/>
      <c r="C181" s="47">
        <f>IF($B181="","",CHOOSE(WEEKDAY($B181),"일","월","화","수","목","금","토"))</f>
        <v/>
      </c>
      <c r="D181" s="45" t="n"/>
      <c r="E181" s="47">
        <f>IF($D181="","",IFERROR(INDEX(코드설정!$D$5:$D$24,MATCH($D181,코드설정!$C$5:$C$24,0)),""))</f>
        <v/>
      </c>
      <c r="F181" s="45" t="n"/>
      <c r="G181" s="45" t="n"/>
      <c r="H181" s="49" t="n"/>
      <c r="I181" s="49" t="n"/>
      <c r="J181" s="52" t="n"/>
      <c r="K181" s="45" t="n"/>
      <c r="L181" s="49" t="n"/>
    </row>
    <row r="182">
      <c r="A182" s="43">
        <f>IF($B182="","",COUNT($B$5:$B182))</f>
        <v/>
      </c>
      <c r="B182" s="44" t="n"/>
      <c r="C182" s="47">
        <f>IF($B182="","",CHOOSE(WEEKDAY($B182),"일","월","화","수","목","금","토"))</f>
        <v/>
      </c>
      <c r="D182" s="45" t="n"/>
      <c r="E182" s="47">
        <f>IF($D182="","",IFERROR(INDEX(코드설정!$D$5:$D$24,MATCH($D182,코드설정!$C$5:$C$24,0)),""))</f>
        <v/>
      </c>
      <c r="F182" s="45" t="n"/>
      <c r="G182" s="45" t="n"/>
      <c r="H182" s="49" t="n"/>
      <c r="I182" s="49" t="n"/>
      <c r="J182" s="52" t="n"/>
      <c r="K182" s="45" t="n"/>
      <c r="L182" s="49" t="n"/>
    </row>
    <row r="183">
      <c r="A183" s="43">
        <f>IF($B183="","",COUNT($B$5:$B183))</f>
        <v/>
      </c>
      <c r="B183" s="44" t="n"/>
      <c r="C183" s="47">
        <f>IF($B183="","",CHOOSE(WEEKDAY($B183),"일","월","화","수","목","금","토"))</f>
        <v/>
      </c>
      <c r="D183" s="45" t="n"/>
      <c r="E183" s="47">
        <f>IF($D183="","",IFERROR(INDEX(코드설정!$D$5:$D$24,MATCH($D183,코드설정!$C$5:$C$24,0)),""))</f>
        <v/>
      </c>
      <c r="F183" s="45" t="n"/>
      <c r="G183" s="45" t="n"/>
      <c r="H183" s="49" t="n"/>
      <c r="I183" s="49" t="n"/>
      <c r="J183" s="52" t="n"/>
      <c r="K183" s="45" t="n"/>
      <c r="L183" s="49" t="n"/>
    </row>
    <row r="184">
      <c r="A184" s="43">
        <f>IF($B184="","",COUNT($B$5:$B184))</f>
        <v/>
      </c>
      <c r="B184" s="44" t="n"/>
      <c r="C184" s="47">
        <f>IF($B184="","",CHOOSE(WEEKDAY($B184),"일","월","화","수","목","금","토"))</f>
        <v/>
      </c>
      <c r="D184" s="45" t="n"/>
      <c r="E184" s="47">
        <f>IF($D184="","",IFERROR(INDEX(코드설정!$D$5:$D$24,MATCH($D184,코드설정!$C$5:$C$24,0)),""))</f>
        <v/>
      </c>
      <c r="F184" s="45" t="n"/>
      <c r="G184" s="45" t="n"/>
      <c r="H184" s="49" t="n"/>
      <c r="I184" s="49" t="n"/>
      <c r="J184" s="52" t="n"/>
      <c r="K184" s="45" t="n"/>
      <c r="L184" s="49" t="n"/>
    </row>
    <row r="185">
      <c r="A185" s="43">
        <f>IF($B185="","",COUNT($B$5:$B185))</f>
        <v/>
      </c>
      <c r="B185" s="44" t="n"/>
      <c r="C185" s="47">
        <f>IF($B185="","",CHOOSE(WEEKDAY($B185),"일","월","화","수","목","금","토"))</f>
        <v/>
      </c>
      <c r="D185" s="45" t="n"/>
      <c r="E185" s="47">
        <f>IF($D185="","",IFERROR(INDEX(코드설정!$D$5:$D$24,MATCH($D185,코드설정!$C$5:$C$24,0)),""))</f>
        <v/>
      </c>
      <c r="F185" s="45" t="n"/>
      <c r="G185" s="45" t="n"/>
      <c r="H185" s="49" t="n"/>
      <c r="I185" s="49" t="n"/>
      <c r="J185" s="52" t="n"/>
      <c r="K185" s="45" t="n"/>
      <c r="L185" s="49" t="n"/>
    </row>
    <row r="186">
      <c r="A186" s="43">
        <f>IF($B186="","",COUNT($B$5:$B186))</f>
        <v/>
      </c>
      <c r="B186" s="44" t="n"/>
      <c r="C186" s="47">
        <f>IF($B186="","",CHOOSE(WEEKDAY($B186),"일","월","화","수","목","금","토"))</f>
        <v/>
      </c>
      <c r="D186" s="45" t="n"/>
      <c r="E186" s="47">
        <f>IF($D186="","",IFERROR(INDEX(코드설정!$D$5:$D$24,MATCH($D186,코드설정!$C$5:$C$24,0)),""))</f>
        <v/>
      </c>
      <c r="F186" s="45" t="n"/>
      <c r="G186" s="45" t="n"/>
      <c r="H186" s="49" t="n"/>
      <c r="I186" s="49" t="n"/>
      <c r="J186" s="52" t="n"/>
      <c r="K186" s="45" t="n"/>
      <c r="L186" s="49" t="n"/>
    </row>
    <row r="187">
      <c r="A187" s="43">
        <f>IF($B187="","",COUNT($B$5:$B187))</f>
        <v/>
      </c>
      <c r="B187" s="44" t="n"/>
      <c r="C187" s="47">
        <f>IF($B187="","",CHOOSE(WEEKDAY($B187),"일","월","화","수","목","금","토"))</f>
        <v/>
      </c>
      <c r="D187" s="45" t="n"/>
      <c r="E187" s="47">
        <f>IF($D187="","",IFERROR(INDEX(코드설정!$D$5:$D$24,MATCH($D187,코드설정!$C$5:$C$24,0)),""))</f>
        <v/>
      </c>
      <c r="F187" s="45" t="n"/>
      <c r="G187" s="45" t="n"/>
      <c r="H187" s="49" t="n"/>
      <c r="I187" s="49" t="n"/>
      <c r="J187" s="52" t="n"/>
      <c r="K187" s="45" t="n"/>
      <c r="L187" s="49" t="n"/>
    </row>
    <row r="188">
      <c r="A188" s="43">
        <f>IF($B188="","",COUNT($B$5:$B188))</f>
        <v/>
      </c>
      <c r="B188" s="44" t="n"/>
      <c r="C188" s="47">
        <f>IF($B188="","",CHOOSE(WEEKDAY($B188),"일","월","화","수","목","금","토"))</f>
        <v/>
      </c>
      <c r="D188" s="45" t="n"/>
      <c r="E188" s="47">
        <f>IF($D188="","",IFERROR(INDEX(코드설정!$D$5:$D$24,MATCH($D188,코드설정!$C$5:$C$24,0)),""))</f>
        <v/>
      </c>
      <c r="F188" s="45" t="n"/>
      <c r="G188" s="45" t="n"/>
      <c r="H188" s="49" t="n"/>
      <c r="I188" s="49" t="n"/>
      <c r="J188" s="52" t="n"/>
      <c r="K188" s="45" t="n"/>
      <c r="L188" s="49" t="n"/>
    </row>
    <row r="189">
      <c r="A189" s="43">
        <f>IF($B189="","",COUNT($B$5:$B189))</f>
        <v/>
      </c>
      <c r="B189" s="44" t="n"/>
      <c r="C189" s="47">
        <f>IF($B189="","",CHOOSE(WEEKDAY($B189),"일","월","화","수","목","금","토"))</f>
        <v/>
      </c>
      <c r="D189" s="45" t="n"/>
      <c r="E189" s="47">
        <f>IF($D189="","",IFERROR(INDEX(코드설정!$D$5:$D$24,MATCH($D189,코드설정!$C$5:$C$24,0)),""))</f>
        <v/>
      </c>
      <c r="F189" s="45" t="n"/>
      <c r="G189" s="45" t="n"/>
      <c r="H189" s="49" t="n"/>
      <c r="I189" s="49" t="n"/>
      <c r="J189" s="52" t="n"/>
      <c r="K189" s="45" t="n"/>
      <c r="L189" s="49" t="n"/>
    </row>
    <row r="190">
      <c r="A190" s="43">
        <f>IF($B190="","",COUNT($B$5:$B190))</f>
        <v/>
      </c>
      <c r="B190" s="44" t="n"/>
      <c r="C190" s="47">
        <f>IF($B190="","",CHOOSE(WEEKDAY($B190),"일","월","화","수","목","금","토"))</f>
        <v/>
      </c>
      <c r="D190" s="45" t="n"/>
      <c r="E190" s="47">
        <f>IF($D190="","",IFERROR(INDEX(코드설정!$D$5:$D$24,MATCH($D190,코드설정!$C$5:$C$24,0)),""))</f>
        <v/>
      </c>
      <c r="F190" s="45" t="n"/>
      <c r="G190" s="45" t="n"/>
      <c r="H190" s="49" t="n"/>
      <c r="I190" s="49" t="n"/>
      <c r="J190" s="52" t="n"/>
      <c r="K190" s="45" t="n"/>
      <c r="L190" s="49" t="n"/>
    </row>
    <row r="191">
      <c r="A191" s="43">
        <f>IF($B191="","",COUNT($B$5:$B191))</f>
        <v/>
      </c>
      <c r="B191" s="44" t="n"/>
      <c r="C191" s="47">
        <f>IF($B191="","",CHOOSE(WEEKDAY($B191),"일","월","화","수","목","금","토"))</f>
        <v/>
      </c>
      <c r="D191" s="45" t="n"/>
      <c r="E191" s="47">
        <f>IF($D191="","",IFERROR(INDEX(코드설정!$D$5:$D$24,MATCH($D191,코드설정!$C$5:$C$24,0)),""))</f>
        <v/>
      </c>
      <c r="F191" s="45" t="n"/>
      <c r="G191" s="45" t="n"/>
      <c r="H191" s="49" t="n"/>
      <c r="I191" s="49" t="n"/>
      <c r="J191" s="52" t="n"/>
      <c r="K191" s="45" t="n"/>
      <c r="L191" s="49" t="n"/>
    </row>
    <row r="192">
      <c r="A192" s="43">
        <f>IF($B192="","",COUNT($B$5:$B192))</f>
        <v/>
      </c>
      <c r="B192" s="44" t="n"/>
      <c r="C192" s="47">
        <f>IF($B192="","",CHOOSE(WEEKDAY($B192),"일","월","화","수","목","금","토"))</f>
        <v/>
      </c>
      <c r="D192" s="45" t="n"/>
      <c r="E192" s="47">
        <f>IF($D192="","",IFERROR(INDEX(코드설정!$D$5:$D$24,MATCH($D192,코드설정!$C$5:$C$24,0)),""))</f>
        <v/>
      </c>
      <c r="F192" s="45" t="n"/>
      <c r="G192" s="45" t="n"/>
      <c r="H192" s="49" t="n"/>
      <c r="I192" s="49" t="n"/>
      <c r="J192" s="52" t="n"/>
      <c r="K192" s="45" t="n"/>
      <c r="L192" s="49" t="n"/>
    </row>
    <row r="193">
      <c r="A193" s="43">
        <f>IF($B193="","",COUNT($B$5:$B193))</f>
        <v/>
      </c>
      <c r="B193" s="44" t="n"/>
      <c r="C193" s="47">
        <f>IF($B193="","",CHOOSE(WEEKDAY($B193),"일","월","화","수","목","금","토"))</f>
        <v/>
      </c>
      <c r="D193" s="45" t="n"/>
      <c r="E193" s="47">
        <f>IF($D193="","",IFERROR(INDEX(코드설정!$D$5:$D$24,MATCH($D193,코드설정!$C$5:$C$24,0)),""))</f>
        <v/>
      </c>
      <c r="F193" s="45" t="n"/>
      <c r="G193" s="45" t="n"/>
      <c r="H193" s="49" t="n"/>
      <c r="I193" s="49" t="n"/>
      <c r="J193" s="52" t="n"/>
      <c r="K193" s="45" t="n"/>
      <c r="L193" s="49" t="n"/>
    </row>
    <row r="194">
      <c r="A194" s="43">
        <f>IF($B194="","",COUNT($B$5:$B194))</f>
        <v/>
      </c>
      <c r="B194" s="44" t="n"/>
      <c r="C194" s="47">
        <f>IF($B194="","",CHOOSE(WEEKDAY($B194),"일","월","화","수","목","금","토"))</f>
        <v/>
      </c>
      <c r="D194" s="45" t="n"/>
      <c r="E194" s="47">
        <f>IF($D194="","",IFERROR(INDEX(코드설정!$D$5:$D$24,MATCH($D194,코드설정!$C$5:$C$24,0)),""))</f>
        <v/>
      </c>
      <c r="F194" s="45" t="n"/>
      <c r="G194" s="45" t="n"/>
      <c r="H194" s="49" t="n"/>
      <c r="I194" s="49" t="n"/>
      <c r="J194" s="52" t="n"/>
      <c r="K194" s="45" t="n"/>
      <c r="L194" s="49" t="n"/>
    </row>
    <row r="195">
      <c r="A195" s="43">
        <f>IF($B195="","",COUNT($B$5:$B195))</f>
        <v/>
      </c>
      <c r="B195" s="44" t="n"/>
      <c r="C195" s="47">
        <f>IF($B195="","",CHOOSE(WEEKDAY($B195),"일","월","화","수","목","금","토"))</f>
        <v/>
      </c>
      <c r="D195" s="45" t="n"/>
      <c r="E195" s="47">
        <f>IF($D195="","",IFERROR(INDEX(코드설정!$D$5:$D$24,MATCH($D195,코드설정!$C$5:$C$24,0)),""))</f>
        <v/>
      </c>
      <c r="F195" s="45" t="n"/>
      <c r="G195" s="45" t="n"/>
      <c r="H195" s="49" t="n"/>
      <c r="I195" s="49" t="n"/>
      <c r="J195" s="52" t="n"/>
      <c r="K195" s="45" t="n"/>
      <c r="L195" s="49" t="n"/>
    </row>
    <row r="196">
      <c r="A196" s="43">
        <f>IF($B196="","",COUNT($B$5:$B196))</f>
        <v/>
      </c>
      <c r="B196" s="44" t="n"/>
      <c r="C196" s="47">
        <f>IF($B196="","",CHOOSE(WEEKDAY($B196),"일","월","화","수","목","금","토"))</f>
        <v/>
      </c>
      <c r="D196" s="45" t="n"/>
      <c r="E196" s="47">
        <f>IF($D196="","",IFERROR(INDEX(코드설정!$D$5:$D$24,MATCH($D196,코드설정!$C$5:$C$24,0)),""))</f>
        <v/>
      </c>
      <c r="F196" s="45" t="n"/>
      <c r="G196" s="45" t="n"/>
      <c r="H196" s="49" t="n"/>
      <c r="I196" s="49" t="n"/>
      <c r="J196" s="52" t="n"/>
      <c r="K196" s="45" t="n"/>
      <c r="L196" s="49" t="n"/>
    </row>
    <row r="197">
      <c r="A197" s="43">
        <f>IF($B197="","",COUNT($B$5:$B197))</f>
        <v/>
      </c>
      <c r="B197" s="44" t="n"/>
      <c r="C197" s="47">
        <f>IF($B197="","",CHOOSE(WEEKDAY($B197),"일","월","화","수","목","금","토"))</f>
        <v/>
      </c>
      <c r="D197" s="45" t="n"/>
      <c r="E197" s="47">
        <f>IF($D197="","",IFERROR(INDEX(코드설정!$D$5:$D$24,MATCH($D197,코드설정!$C$5:$C$24,0)),""))</f>
        <v/>
      </c>
      <c r="F197" s="45" t="n"/>
      <c r="G197" s="45" t="n"/>
      <c r="H197" s="49" t="n"/>
      <c r="I197" s="49" t="n"/>
      <c r="J197" s="52" t="n"/>
      <c r="K197" s="45" t="n"/>
      <c r="L197" s="49" t="n"/>
    </row>
    <row r="198">
      <c r="A198" s="43">
        <f>IF($B198="","",COUNT($B$5:$B198))</f>
        <v/>
      </c>
      <c r="B198" s="44" t="n"/>
      <c r="C198" s="47">
        <f>IF($B198="","",CHOOSE(WEEKDAY($B198),"일","월","화","수","목","금","토"))</f>
        <v/>
      </c>
      <c r="D198" s="45" t="n"/>
      <c r="E198" s="47">
        <f>IF($D198="","",IFERROR(INDEX(코드설정!$D$5:$D$24,MATCH($D198,코드설정!$C$5:$C$24,0)),""))</f>
        <v/>
      </c>
      <c r="F198" s="45" t="n"/>
      <c r="G198" s="45" t="n"/>
      <c r="H198" s="49" t="n"/>
      <c r="I198" s="49" t="n"/>
      <c r="J198" s="52" t="n"/>
      <c r="K198" s="45" t="n"/>
      <c r="L198" s="49" t="n"/>
    </row>
    <row r="199">
      <c r="A199" s="43">
        <f>IF($B199="","",COUNT($B$5:$B199))</f>
        <v/>
      </c>
      <c r="B199" s="44" t="n"/>
      <c r="C199" s="47">
        <f>IF($B199="","",CHOOSE(WEEKDAY($B199),"일","월","화","수","목","금","토"))</f>
        <v/>
      </c>
      <c r="D199" s="45" t="n"/>
      <c r="E199" s="47">
        <f>IF($D199="","",IFERROR(INDEX(코드설정!$D$5:$D$24,MATCH($D199,코드설정!$C$5:$C$24,0)),""))</f>
        <v/>
      </c>
      <c r="F199" s="45" t="n"/>
      <c r="G199" s="45" t="n"/>
      <c r="H199" s="49" t="n"/>
      <c r="I199" s="49" t="n"/>
      <c r="J199" s="52" t="n"/>
      <c r="K199" s="45" t="n"/>
      <c r="L199" s="49" t="n"/>
    </row>
    <row r="200">
      <c r="A200" s="43">
        <f>IF($B200="","",COUNT($B$5:$B200))</f>
        <v/>
      </c>
      <c r="B200" s="44" t="n"/>
      <c r="C200" s="47">
        <f>IF($B200="","",CHOOSE(WEEKDAY($B200),"일","월","화","수","목","금","토"))</f>
        <v/>
      </c>
      <c r="D200" s="45" t="n"/>
      <c r="E200" s="47">
        <f>IF($D200="","",IFERROR(INDEX(코드설정!$D$5:$D$24,MATCH($D200,코드설정!$C$5:$C$24,0)),""))</f>
        <v/>
      </c>
      <c r="F200" s="45" t="n"/>
      <c r="G200" s="45" t="n"/>
      <c r="H200" s="49" t="n"/>
      <c r="I200" s="49" t="n"/>
      <c r="J200" s="52" t="n"/>
      <c r="K200" s="45" t="n"/>
      <c r="L200" s="49" t="n"/>
    </row>
    <row r="201">
      <c r="A201" s="43">
        <f>IF($B201="","",COUNT($B$5:$B201))</f>
        <v/>
      </c>
      <c r="B201" s="44" t="n"/>
      <c r="C201" s="47">
        <f>IF($B201="","",CHOOSE(WEEKDAY($B201),"일","월","화","수","목","금","토"))</f>
        <v/>
      </c>
      <c r="D201" s="45" t="n"/>
      <c r="E201" s="47">
        <f>IF($D201="","",IFERROR(INDEX(코드설정!$D$5:$D$24,MATCH($D201,코드설정!$C$5:$C$24,0)),""))</f>
        <v/>
      </c>
      <c r="F201" s="45" t="n"/>
      <c r="G201" s="45" t="n"/>
      <c r="H201" s="49" t="n"/>
      <c r="I201" s="49" t="n"/>
      <c r="J201" s="52" t="n"/>
      <c r="K201" s="45" t="n"/>
      <c r="L201" s="49" t="n"/>
    </row>
    <row r="202">
      <c r="A202" s="43">
        <f>IF($B202="","",COUNT($B$5:$B202))</f>
        <v/>
      </c>
      <c r="B202" s="44" t="n"/>
      <c r="C202" s="47">
        <f>IF($B202="","",CHOOSE(WEEKDAY($B202),"일","월","화","수","목","금","토"))</f>
        <v/>
      </c>
      <c r="D202" s="45" t="n"/>
      <c r="E202" s="47">
        <f>IF($D202="","",IFERROR(INDEX(코드설정!$D$5:$D$24,MATCH($D202,코드설정!$C$5:$C$24,0)),""))</f>
        <v/>
      </c>
      <c r="F202" s="45" t="n"/>
      <c r="G202" s="45" t="n"/>
      <c r="H202" s="49" t="n"/>
      <c r="I202" s="49" t="n"/>
      <c r="J202" s="52" t="n"/>
      <c r="K202" s="45" t="n"/>
      <c r="L202" s="49" t="n"/>
    </row>
    <row r="203">
      <c r="A203" s="43">
        <f>IF($B203="","",COUNT($B$5:$B203))</f>
        <v/>
      </c>
      <c r="B203" s="44" t="n"/>
      <c r="C203" s="47">
        <f>IF($B203="","",CHOOSE(WEEKDAY($B203),"일","월","화","수","목","금","토"))</f>
        <v/>
      </c>
      <c r="D203" s="45" t="n"/>
      <c r="E203" s="47">
        <f>IF($D203="","",IFERROR(INDEX(코드설정!$D$5:$D$24,MATCH($D203,코드설정!$C$5:$C$24,0)),""))</f>
        <v/>
      </c>
      <c r="F203" s="45" t="n"/>
      <c r="G203" s="45" t="n"/>
      <c r="H203" s="49" t="n"/>
      <c r="I203" s="49" t="n"/>
      <c r="J203" s="52" t="n"/>
      <c r="K203" s="45" t="n"/>
      <c r="L203" s="49" t="n"/>
    </row>
    <row r="204">
      <c r="A204" s="43">
        <f>IF($B204="","",COUNT($B$5:$B204))</f>
        <v/>
      </c>
      <c r="B204" s="44" t="n"/>
      <c r="C204" s="47">
        <f>IF($B204="","",CHOOSE(WEEKDAY($B204),"일","월","화","수","목","금","토"))</f>
        <v/>
      </c>
      <c r="D204" s="45" t="n"/>
      <c r="E204" s="47">
        <f>IF($D204="","",IFERROR(INDEX(코드설정!$D$5:$D$24,MATCH($D204,코드설정!$C$5:$C$24,0)),""))</f>
        <v/>
      </c>
      <c r="F204" s="45" t="n"/>
      <c r="G204" s="45" t="n"/>
      <c r="H204" s="49" t="n"/>
      <c r="I204" s="49" t="n"/>
      <c r="J204" s="52" t="n"/>
      <c r="K204" s="45" t="n"/>
      <c r="L204" s="49" t="n"/>
    </row>
    <row r="205">
      <c r="A205" s="43">
        <f>IF($B205="","",COUNT($B$5:$B205))</f>
        <v/>
      </c>
      <c r="B205" s="44" t="n"/>
      <c r="C205" s="47">
        <f>IF($B205="","",CHOOSE(WEEKDAY($B205),"일","월","화","수","목","금","토"))</f>
        <v/>
      </c>
      <c r="D205" s="45" t="n"/>
      <c r="E205" s="47">
        <f>IF($D205="","",IFERROR(INDEX(코드설정!$D$5:$D$24,MATCH($D205,코드설정!$C$5:$C$24,0)),""))</f>
        <v/>
      </c>
      <c r="F205" s="45" t="n"/>
      <c r="G205" s="45" t="n"/>
      <c r="H205" s="49" t="n"/>
      <c r="I205" s="49" t="n"/>
      <c r="J205" s="52" t="n"/>
      <c r="K205" s="45" t="n"/>
      <c r="L205" s="49" t="n"/>
    </row>
    <row r="206">
      <c r="A206" s="43">
        <f>IF($B206="","",COUNT($B$5:$B206))</f>
        <v/>
      </c>
      <c r="B206" s="44" t="n"/>
      <c r="C206" s="47">
        <f>IF($B206="","",CHOOSE(WEEKDAY($B206),"일","월","화","수","목","금","토"))</f>
        <v/>
      </c>
      <c r="D206" s="45" t="n"/>
      <c r="E206" s="47">
        <f>IF($D206="","",IFERROR(INDEX(코드설정!$D$5:$D$24,MATCH($D206,코드설정!$C$5:$C$24,0)),""))</f>
        <v/>
      </c>
      <c r="F206" s="45" t="n"/>
      <c r="G206" s="45" t="n"/>
      <c r="H206" s="49" t="n"/>
      <c r="I206" s="49" t="n"/>
      <c r="J206" s="52" t="n"/>
      <c r="K206" s="45" t="n"/>
      <c r="L206" s="49" t="n"/>
    </row>
    <row r="207">
      <c r="A207" s="43">
        <f>IF($B207="","",COUNT($B$5:$B207))</f>
        <v/>
      </c>
      <c r="B207" s="44" t="n"/>
      <c r="C207" s="47">
        <f>IF($B207="","",CHOOSE(WEEKDAY($B207),"일","월","화","수","목","금","토"))</f>
        <v/>
      </c>
      <c r="D207" s="45" t="n"/>
      <c r="E207" s="47">
        <f>IF($D207="","",IFERROR(INDEX(코드설정!$D$5:$D$24,MATCH($D207,코드설정!$C$5:$C$24,0)),""))</f>
        <v/>
      </c>
      <c r="F207" s="45" t="n"/>
      <c r="G207" s="45" t="n"/>
      <c r="H207" s="49" t="n"/>
      <c r="I207" s="49" t="n"/>
      <c r="J207" s="52" t="n"/>
      <c r="K207" s="45" t="n"/>
      <c r="L207" s="49" t="n"/>
    </row>
    <row r="208">
      <c r="A208" s="43">
        <f>IF($B208="","",COUNT($B$5:$B208))</f>
        <v/>
      </c>
      <c r="B208" s="44" t="n"/>
      <c r="C208" s="47">
        <f>IF($B208="","",CHOOSE(WEEKDAY($B208),"일","월","화","수","목","금","토"))</f>
        <v/>
      </c>
      <c r="D208" s="45" t="n"/>
      <c r="E208" s="47">
        <f>IF($D208="","",IFERROR(INDEX(코드설정!$D$5:$D$24,MATCH($D208,코드설정!$C$5:$C$24,0)),""))</f>
        <v/>
      </c>
      <c r="F208" s="45" t="n"/>
      <c r="G208" s="45" t="n"/>
      <c r="H208" s="49" t="n"/>
      <c r="I208" s="49" t="n"/>
      <c r="J208" s="52" t="n"/>
      <c r="K208" s="45" t="n"/>
      <c r="L208" s="49" t="n"/>
    </row>
    <row r="209">
      <c r="A209" s="43">
        <f>IF($B209="","",COUNT($B$5:$B209))</f>
        <v/>
      </c>
      <c r="B209" s="44" t="n"/>
      <c r="C209" s="47">
        <f>IF($B209="","",CHOOSE(WEEKDAY($B209),"일","월","화","수","목","금","토"))</f>
        <v/>
      </c>
      <c r="D209" s="45" t="n"/>
      <c r="E209" s="47">
        <f>IF($D209="","",IFERROR(INDEX(코드설정!$D$5:$D$24,MATCH($D209,코드설정!$C$5:$C$24,0)),""))</f>
        <v/>
      </c>
      <c r="F209" s="45" t="n"/>
      <c r="G209" s="45" t="n"/>
      <c r="H209" s="49" t="n"/>
      <c r="I209" s="49" t="n"/>
      <c r="J209" s="52" t="n"/>
      <c r="K209" s="45" t="n"/>
      <c r="L209" s="49" t="n"/>
    </row>
    <row r="210">
      <c r="A210" s="43">
        <f>IF($B210="","",COUNT($B$5:$B210))</f>
        <v/>
      </c>
      <c r="B210" s="44" t="n"/>
      <c r="C210" s="47">
        <f>IF($B210="","",CHOOSE(WEEKDAY($B210),"일","월","화","수","목","금","토"))</f>
        <v/>
      </c>
      <c r="D210" s="45" t="n"/>
      <c r="E210" s="47">
        <f>IF($D210="","",IFERROR(INDEX(코드설정!$D$5:$D$24,MATCH($D210,코드설정!$C$5:$C$24,0)),""))</f>
        <v/>
      </c>
      <c r="F210" s="45" t="n"/>
      <c r="G210" s="45" t="n"/>
      <c r="H210" s="49" t="n"/>
      <c r="I210" s="49" t="n"/>
      <c r="J210" s="52" t="n"/>
      <c r="K210" s="45" t="n"/>
      <c r="L210" s="49" t="n"/>
    </row>
    <row r="211">
      <c r="A211" s="43">
        <f>IF($B211="","",COUNT($B$5:$B211))</f>
        <v/>
      </c>
      <c r="B211" s="44" t="n"/>
      <c r="C211" s="47">
        <f>IF($B211="","",CHOOSE(WEEKDAY($B211),"일","월","화","수","목","금","토"))</f>
        <v/>
      </c>
      <c r="D211" s="45" t="n"/>
      <c r="E211" s="47">
        <f>IF($D211="","",IFERROR(INDEX(코드설정!$D$5:$D$24,MATCH($D211,코드설정!$C$5:$C$24,0)),""))</f>
        <v/>
      </c>
      <c r="F211" s="45" t="n"/>
      <c r="G211" s="45" t="n"/>
      <c r="H211" s="49" t="n"/>
      <c r="I211" s="49" t="n"/>
      <c r="J211" s="52" t="n"/>
      <c r="K211" s="45" t="n"/>
      <c r="L211" s="49" t="n"/>
    </row>
    <row r="212">
      <c r="A212" s="43">
        <f>IF($B212="","",COUNT($B$5:$B212))</f>
        <v/>
      </c>
      <c r="B212" s="44" t="n"/>
      <c r="C212" s="47">
        <f>IF($B212="","",CHOOSE(WEEKDAY($B212),"일","월","화","수","목","금","토"))</f>
        <v/>
      </c>
      <c r="D212" s="45" t="n"/>
      <c r="E212" s="47">
        <f>IF($D212="","",IFERROR(INDEX(코드설정!$D$5:$D$24,MATCH($D212,코드설정!$C$5:$C$24,0)),""))</f>
        <v/>
      </c>
      <c r="F212" s="45" t="n"/>
      <c r="G212" s="45" t="n"/>
      <c r="H212" s="49" t="n"/>
      <c r="I212" s="49" t="n"/>
      <c r="J212" s="52" t="n"/>
      <c r="K212" s="45" t="n"/>
      <c r="L212" s="49" t="n"/>
    </row>
    <row r="213">
      <c r="A213" s="43">
        <f>IF($B213="","",COUNT($B$5:$B213))</f>
        <v/>
      </c>
      <c r="B213" s="44" t="n"/>
      <c r="C213" s="47">
        <f>IF($B213="","",CHOOSE(WEEKDAY($B213),"일","월","화","수","목","금","토"))</f>
        <v/>
      </c>
      <c r="D213" s="45" t="n"/>
      <c r="E213" s="47">
        <f>IF($D213="","",IFERROR(INDEX(코드설정!$D$5:$D$24,MATCH($D213,코드설정!$C$5:$C$24,0)),""))</f>
        <v/>
      </c>
      <c r="F213" s="45" t="n"/>
      <c r="G213" s="45" t="n"/>
      <c r="H213" s="49" t="n"/>
      <c r="I213" s="49" t="n"/>
      <c r="J213" s="52" t="n"/>
      <c r="K213" s="45" t="n"/>
      <c r="L213" s="49" t="n"/>
    </row>
    <row r="214">
      <c r="A214" s="43">
        <f>IF($B214="","",COUNT($B$5:$B214))</f>
        <v/>
      </c>
      <c r="B214" s="44" t="n"/>
      <c r="C214" s="47">
        <f>IF($B214="","",CHOOSE(WEEKDAY($B214),"일","월","화","수","목","금","토"))</f>
        <v/>
      </c>
      <c r="D214" s="45" t="n"/>
      <c r="E214" s="47">
        <f>IF($D214="","",IFERROR(INDEX(코드설정!$D$5:$D$24,MATCH($D214,코드설정!$C$5:$C$24,0)),""))</f>
        <v/>
      </c>
      <c r="F214" s="45" t="n"/>
      <c r="G214" s="45" t="n"/>
      <c r="H214" s="49" t="n"/>
      <c r="I214" s="49" t="n"/>
      <c r="J214" s="52" t="n"/>
      <c r="K214" s="45" t="n"/>
      <c r="L214" s="49" t="n"/>
    </row>
    <row r="215">
      <c r="A215" s="43">
        <f>IF($B215="","",COUNT($B$5:$B215))</f>
        <v/>
      </c>
      <c r="B215" s="44" t="n"/>
      <c r="C215" s="47">
        <f>IF($B215="","",CHOOSE(WEEKDAY($B215),"일","월","화","수","목","금","토"))</f>
        <v/>
      </c>
      <c r="D215" s="45" t="n"/>
      <c r="E215" s="47">
        <f>IF($D215="","",IFERROR(INDEX(코드설정!$D$5:$D$24,MATCH($D215,코드설정!$C$5:$C$24,0)),""))</f>
        <v/>
      </c>
      <c r="F215" s="45" t="n"/>
      <c r="G215" s="45" t="n"/>
      <c r="H215" s="49" t="n"/>
      <c r="I215" s="49" t="n"/>
      <c r="J215" s="52" t="n"/>
      <c r="K215" s="45" t="n"/>
      <c r="L215" s="49" t="n"/>
    </row>
    <row r="216">
      <c r="A216" s="43">
        <f>IF($B216="","",COUNT($B$5:$B216))</f>
        <v/>
      </c>
      <c r="B216" s="44" t="n"/>
      <c r="C216" s="47">
        <f>IF($B216="","",CHOOSE(WEEKDAY($B216),"일","월","화","수","목","금","토"))</f>
        <v/>
      </c>
      <c r="D216" s="45" t="n"/>
      <c r="E216" s="47">
        <f>IF($D216="","",IFERROR(INDEX(코드설정!$D$5:$D$24,MATCH($D216,코드설정!$C$5:$C$24,0)),""))</f>
        <v/>
      </c>
      <c r="F216" s="45" t="n"/>
      <c r="G216" s="45" t="n"/>
      <c r="H216" s="49" t="n"/>
      <c r="I216" s="49" t="n"/>
      <c r="J216" s="52" t="n"/>
      <c r="K216" s="45" t="n"/>
      <c r="L216" s="49" t="n"/>
    </row>
    <row r="217">
      <c r="A217" s="43">
        <f>IF($B217="","",COUNT($B$5:$B217))</f>
        <v/>
      </c>
      <c r="B217" s="44" t="n"/>
      <c r="C217" s="47">
        <f>IF($B217="","",CHOOSE(WEEKDAY($B217),"일","월","화","수","목","금","토"))</f>
        <v/>
      </c>
      <c r="D217" s="45" t="n"/>
      <c r="E217" s="47">
        <f>IF($D217="","",IFERROR(INDEX(코드설정!$D$5:$D$24,MATCH($D217,코드설정!$C$5:$C$24,0)),""))</f>
        <v/>
      </c>
      <c r="F217" s="45" t="n"/>
      <c r="G217" s="45" t="n"/>
      <c r="H217" s="49" t="n"/>
      <c r="I217" s="49" t="n"/>
      <c r="J217" s="52" t="n"/>
      <c r="K217" s="45" t="n"/>
      <c r="L217" s="49" t="n"/>
    </row>
    <row r="218">
      <c r="A218" s="43">
        <f>IF($B218="","",COUNT($B$5:$B218))</f>
        <v/>
      </c>
      <c r="B218" s="44" t="n"/>
      <c r="C218" s="47">
        <f>IF($B218="","",CHOOSE(WEEKDAY($B218),"일","월","화","수","목","금","토"))</f>
        <v/>
      </c>
      <c r="D218" s="45" t="n"/>
      <c r="E218" s="47">
        <f>IF($D218="","",IFERROR(INDEX(코드설정!$D$5:$D$24,MATCH($D218,코드설정!$C$5:$C$24,0)),""))</f>
        <v/>
      </c>
      <c r="F218" s="45" t="n"/>
      <c r="G218" s="45" t="n"/>
      <c r="H218" s="49" t="n"/>
      <c r="I218" s="49" t="n"/>
      <c r="J218" s="52" t="n"/>
      <c r="K218" s="45" t="n"/>
      <c r="L218" s="49" t="n"/>
    </row>
    <row r="219">
      <c r="A219" s="43">
        <f>IF($B219="","",COUNT($B$5:$B219))</f>
        <v/>
      </c>
      <c r="B219" s="44" t="n"/>
      <c r="C219" s="47">
        <f>IF($B219="","",CHOOSE(WEEKDAY($B219),"일","월","화","수","목","금","토"))</f>
        <v/>
      </c>
      <c r="D219" s="45" t="n"/>
      <c r="E219" s="47">
        <f>IF($D219="","",IFERROR(INDEX(코드설정!$D$5:$D$24,MATCH($D219,코드설정!$C$5:$C$24,0)),""))</f>
        <v/>
      </c>
      <c r="F219" s="45" t="n"/>
      <c r="G219" s="45" t="n"/>
      <c r="H219" s="49" t="n"/>
      <c r="I219" s="49" t="n"/>
      <c r="J219" s="52" t="n"/>
      <c r="K219" s="45" t="n"/>
      <c r="L219" s="49" t="n"/>
    </row>
    <row r="220">
      <c r="A220" s="43">
        <f>IF($B220="","",COUNT($B$5:$B220))</f>
        <v/>
      </c>
      <c r="B220" s="44" t="n"/>
      <c r="C220" s="47">
        <f>IF($B220="","",CHOOSE(WEEKDAY($B220),"일","월","화","수","목","금","토"))</f>
        <v/>
      </c>
      <c r="D220" s="45" t="n"/>
      <c r="E220" s="47">
        <f>IF($D220="","",IFERROR(INDEX(코드설정!$D$5:$D$24,MATCH($D220,코드설정!$C$5:$C$24,0)),""))</f>
        <v/>
      </c>
      <c r="F220" s="45" t="n"/>
      <c r="G220" s="45" t="n"/>
      <c r="H220" s="49" t="n"/>
      <c r="I220" s="49" t="n"/>
      <c r="J220" s="52" t="n"/>
      <c r="K220" s="45" t="n"/>
      <c r="L220" s="49" t="n"/>
    </row>
    <row r="221">
      <c r="A221" s="43">
        <f>IF($B221="","",COUNT($B$5:$B221))</f>
        <v/>
      </c>
      <c r="B221" s="44" t="n"/>
      <c r="C221" s="47">
        <f>IF($B221="","",CHOOSE(WEEKDAY($B221),"일","월","화","수","목","금","토"))</f>
        <v/>
      </c>
      <c r="D221" s="45" t="n"/>
      <c r="E221" s="47">
        <f>IF($D221="","",IFERROR(INDEX(코드설정!$D$5:$D$24,MATCH($D221,코드설정!$C$5:$C$24,0)),""))</f>
        <v/>
      </c>
      <c r="F221" s="45" t="n"/>
      <c r="G221" s="45" t="n"/>
      <c r="H221" s="49" t="n"/>
      <c r="I221" s="49" t="n"/>
      <c r="J221" s="52" t="n"/>
      <c r="K221" s="45" t="n"/>
      <c r="L221" s="49" t="n"/>
    </row>
    <row r="222">
      <c r="A222" s="43">
        <f>IF($B222="","",COUNT($B$5:$B222))</f>
        <v/>
      </c>
      <c r="B222" s="44" t="n"/>
      <c r="C222" s="47">
        <f>IF($B222="","",CHOOSE(WEEKDAY($B222),"일","월","화","수","목","금","토"))</f>
        <v/>
      </c>
      <c r="D222" s="45" t="n"/>
      <c r="E222" s="47">
        <f>IF($D222="","",IFERROR(INDEX(코드설정!$D$5:$D$24,MATCH($D222,코드설정!$C$5:$C$24,0)),""))</f>
        <v/>
      </c>
      <c r="F222" s="45" t="n"/>
      <c r="G222" s="45" t="n"/>
      <c r="H222" s="49" t="n"/>
      <c r="I222" s="49" t="n"/>
      <c r="J222" s="52" t="n"/>
      <c r="K222" s="45" t="n"/>
      <c r="L222" s="49" t="n"/>
    </row>
    <row r="223">
      <c r="A223" s="43">
        <f>IF($B223="","",COUNT($B$5:$B223))</f>
        <v/>
      </c>
      <c r="B223" s="44" t="n"/>
      <c r="C223" s="47">
        <f>IF($B223="","",CHOOSE(WEEKDAY($B223),"일","월","화","수","목","금","토"))</f>
        <v/>
      </c>
      <c r="D223" s="45" t="n"/>
      <c r="E223" s="47">
        <f>IF($D223="","",IFERROR(INDEX(코드설정!$D$5:$D$24,MATCH($D223,코드설정!$C$5:$C$24,0)),""))</f>
        <v/>
      </c>
      <c r="F223" s="45" t="n"/>
      <c r="G223" s="45" t="n"/>
      <c r="H223" s="49" t="n"/>
      <c r="I223" s="49" t="n"/>
      <c r="J223" s="52" t="n"/>
      <c r="K223" s="45" t="n"/>
      <c r="L223" s="49" t="n"/>
    </row>
    <row r="224">
      <c r="A224" s="43">
        <f>IF($B224="","",COUNT($B$5:$B224))</f>
        <v/>
      </c>
      <c r="B224" s="44" t="n"/>
      <c r="C224" s="47">
        <f>IF($B224="","",CHOOSE(WEEKDAY($B224),"일","월","화","수","목","금","토"))</f>
        <v/>
      </c>
      <c r="D224" s="45" t="n"/>
      <c r="E224" s="47">
        <f>IF($D224="","",IFERROR(INDEX(코드설정!$D$5:$D$24,MATCH($D224,코드설정!$C$5:$C$24,0)),""))</f>
        <v/>
      </c>
      <c r="F224" s="45" t="n"/>
      <c r="G224" s="45" t="n"/>
      <c r="H224" s="49" t="n"/>
      <c r="I224" s="49" t="n"/>
      <c r="J224" s="52" t="n"/>
      <c r="K224" s="45" t="n"/>
      <c r="L224" s="49" t="n"/>
    </row>
    <row r="225">
      <c r="A225" s="43">
        <f>IF($B225="","",COUNT($B$5:$B225))</f>
        <v/>
      </c>
      <c r="B225" s="44" t="n"/>
      <c r="C225" s="47">
        <f>IF($B225="","",CHOOSE(WEEKDAY($B225),"일","월","화","수","목","금","토"))</f>
        <v/>
      </c>
      <c r="D225" s="45" t="n"/>
      <c r="E225" s="47">
        <f>IF($D225="","",IFERROR(INDEX(코드설정!$D$5:$D$24,MATCH($D225,코드설정!$C$5:$C$24,0)),""))</f>
        <v/>
      </c>
      <c r="F225" s="45" t="n"/>
      <c r="G225" s="45" t="n"/>
      <c r="H225" s="49" t="n"/>
      <c r="I225" s="49" t="n"/>
      <c r="J225" s="52" t="n"/>
      <c r="K225" s="45" t="n"/>
      <c r="L225" s="49" t="n"/>
    </row>
    <row r="226">
      <c r="A226" s="43">
        <f>IF($B226="","",COUNT($B$5:$B226))</f>
        <v/>
      </c>
      <c r="B226" s="44" t="n"/>
      <c r="C226" s="47">
        <f>IF($B226="","",CHOOSE(WEEKDAY($B226),"일","월","화","수","목","금","토"))</f>
        <v/>
      </c>
      <c r="D226" s="45" t="n"/>
      <c r="E226" s="47">
        <f>IF($D226="","",IFERROR(INDEX(코드설정!$D$5:$D$24,MATCH($D226,코드설정!$C$5:$C$24,0)),""))</f>
        <v/>
      </c>
      <c r="F226" s="45" t="n"/>
      <c r="G226" s="45" t="n"/>
      <c r="H226" s="49" t="n"/>
      <c r="I226" s="49" t="n"/>
      <c r="J226" s="52" t="n"/>
      <c r="K226" s="45" t="n"/>
      <c r="L226" s="49" t="n"/>
    </row>
    <row r="227">
      <c r="A227" s="43">
        <f>IF($B227="","",COUNT($B$5:$B227))</f>
        <v/>
      </c>
      <c r="B227" s="44" t="n"/>
      <c r="C227" s="47">
        <f>IF($B227="","",CHOOSE(WEEKDAY($B227),"일","월","화","수","목","금","토"))</f>
        <v/>
      </c>
      <c r="D227" s="45" t="n"/>
      <c r="E227" s="47">
        <f>IF($D227="","",IFERROR(INDEX(코드설정!$D$5:$D$24,MATCH($D227,코드설정!$C$5:$C$24,0)),""))</f>
        <v/>
      </c>
      <c r="F227" s="45" t="n"/>
      <c r="G227" s="45" t="n"/>
      <c r="H227" s="49" t="n"/>
      <c r="I227" s="49" t="n"/>
      <c r="J227" s="52" t="n"/>
      <c r="K227" s="45" t="n"/>
      <c r="L227" s="49" t="n"/>
    </row>
    <row r="228">
      <c r="A228" s="43">
        <f>IF($B228="","",COUNT($B$5:$B228))</f>
        <v/>
      </c>
      <c r="B228" s="44" t="n"/>
      <c r="C228" s="47">
        <f>IF($B228="","",CHOOSE(WEEKDAY($B228),"일","월","화","수","목","금","토"))</f>
        <v/>
      </c>
      <c r="D228" s="45" t="n"/>
      <c r="E228" s="47">
        <f>IF($D228="","",IFERROR(INDEX(코드설정!$D$5:$D$24,MATCH($D228,코드설정!$C$5:$C$24,0)),""))</f>
        <v/>
      </c>
      <c r="F228" s="45" t="n"/>
      <c r="G228" s="45" t="n"/>
      <c r="H228" s="49" t="n"/>
      <c r="I228" s="49" t="n"/>
      <c r="J228" s="52" t="n"/>
      <c r="K228" s="45" t="n"/>
      <c r="L228" s="49" t="n"/>
    </row>
    <row r="229">
      <c r="A229" s="43">
        <f>IF($B229="","",COUNT($B$5:$B229))</f>
        <v/>
      </c>
      <c r="B229" s="44" t="n"/>
      <c r="C229" s="47">
        <f>IF($B229="","",CHOOSE(WEEKDAY($B229),"일","월","화","수","목","금","토"))</f>
        <v/>
      </c>
      <c r="D229" s="45" t="n"/>
      <c r="E229" s="47">
        <f>IF($D229="","",IFERROR(INDEX(코드설정!$D$5:$D$24,MATCH($D229,코드설정!$C$5:$C$24,0)),""))</f>
        <v/>
      </c>
      <c r="F229" s="45" t="n"/>
      <c r="G229" s="45" t="n"/>
      <c r="H229" s="49" t="n"/>
      <c r="I229" s="49" t="n"/>
      <c r="J229" s="52" t="n"/>
      <c r="K229" s="45" t="n"/>
      <c r="L229" s="49" t="n"/>
    </row>
    <row r="230">
      <c r="A230" s="43">
        <f>IF($B230="","",COUNT($B$5:$B230))</f>
        <v/>
      </c>
      <c r="B230" s="44" t="n"/>
      <c r="C230" s="47">
        <f>IF($B230="","",CHOOSE(WEEKDAY($B230),"일","월","화","수","목","금","토"))</f>
        <v/>
      </c>
      <c r="D230" s="45" t="n"/>
      <c r="E230" s="47">
        <f>IF($D230="","",IFERROR(INDEX(코드설정!$D$5:$D$24,MATCH($D230,코드설정!$C$5:$C$24,0)),""))</f>
        <v/>
      </c>
      <c r="F230" s="45" t="n"/>
      <c r="G230" s="45" t="n"/>
      <c r="H230" s="49" t="n"/>
      <c r="I230" s="49" t="n"/>
      <c r="J230" s="52" t="n"/>
      <c r="K230" s="45" t="n"/>
      <c r="L230" s="49" t="n"/>
    </row>
    <row r="231">
      <c r="A231" s="43">
        <f>IF($B231="","",COUNT($B$5:$B231))</f>
        <v/>
      </c>
      <c r="B231" s="44" t="n"/>
      <c r="C231" s="47">
        <f>IF($B231="","",CHOOSE(WEEKDAY($B231),"일","월","화","수","목","금","토"))</f>
        <v/>
      </c>
      <c r="D231" s="45" t="n"/>
      <c r="E231" s="47">
        <f>IF($D231="","",IFERROR(INDEX(코드설정!$D$5:$D$24,MATCH($D231,코드설정!$C$5:$C$24,0)),""))</f>
        <v/>
      </c>
      <c r="F231" s="45" t="n"/>
      <c r="G231" s="45" t="n"/>
      <c r="H231" s="49" t="n"/>
      <c r="I231" s="49" t="n"/>
      <c r="J231" s="52" t="n"/>
      <c r="K231" s="45" t="n"/>
      <c r="L231" s="49" t="n"/>
    </row>
    <row r="232">
      <c r="A232" s="43">
        <f>IF($B232="","",COUNT($B$5:$B232))</f>
        <v/>
      </c>
      <c r="B232" s="44" t="n"/>
      <c r="C232" s="47">
        <f>IF($B232="","",CHOOSE(WEEKDAY($B232),"일","월","화","수","목","금","토"))</f>
        <v/>
      </c>
      <c r="D232" s="45" t="n"/>
      <c r="E232" s="47">
        <f>IF($D232="","",IFERROR(INDEX(코드설정!$D$5:$D$24,MATCH($D232,코드설정!$C$5:$C$24,0)),""))</f>
        <v/>
      </c>
      <c r="F232" s="45" t="n"/>
      <c r="G232" s="45" t="n"/>
      <c r="H232" s="49" t="n"/>
      <c r="I232" s="49" t="n"/>
      <c r="J232" s="52" t="n"/>
      <c r="K232" s="45" t="n"/>
      <c r="L232" s="49" t="n"/>
    </row>
    <row r="233">
      <c r="A233" s="43">
        <f>IF($B233="","",COUNT($B$5:$B233))</f>
        <v/>
      </c>
      <c r="B233" s="44" t="n"/>
      <c r="C233" s="47">
        <f>IF($B233="","",CHOOSE(WEEKDAY($B233),"일","월","화","수","목","금","토"))</f>
        <v/>
      </c>
      <c r="D233" s="45" t="n"/>
      <c r="E233" s="47">
        <f>IF($D233="","",IFERROR(INDEX(코드설정!$D$5:$D$24,MATCH($D233,코드설정!$C$5:$C$24,0)),""))</f>
        <v/>
      </c>
      <c r="F233" s="45" t="n"/>
      <c r="G233" s="45" t="n"/>
      <c r="H233" s="49" t="n"/>
      <c r="I233" s="49" t="n"/>
      <c r="J233" s="52" t="n"/>
      <c r="K233" s="45" t="n"/>
      <c r="L233" s="49" t="n"/>
    </row>
    <row r="234">
      <c r="A234" s="43">
        <f>IF($B234="","",COUNT($B$5:$B234))</f>
        <v/>
      </c>
      <c r="B234" s="44" t="n"/>
      <c r="C234" s="47">
        <f>IF($B234="","",CHOOSE(WEEKDAY($B234),"일","월","화","수","목","금","토"))</f>
        <v/>
      </c>
      <c r="D234" s="45" t="n"/>
      <c r="E234" s="47">
        <f>IF($D234="","",IFERROR(INDEX(코드설정!$D$5:$D$24,MATCH($D234,코드설정!$C$5:$C$24,0)),""))</f>
        <v/>
      </c>
      <c r="F234" s="45" t="n"/>
      <c r="G234" s="45" t="n"/>
      <c r="H234" s="49" t="n"/>
      <c r="I234" s="49" t="n"/>
      <c r="J234" s="52" t="n"/>
      <c r="K234" s="45" t="n"/>
      <c r="L234" s="49" t="n"/>
    </row>
    <row r="235">
      <c r="A235" s="43">
        <f>IF($B235="","",COUNT($B$5:$B235))</f>
        <v/>
      </c>
      <c r="B235" s="44" t="n"/>
      <c r="C235" s="47">
        <f>IF($B235="","",CHOOSE(WEEKDAY($B235),"일","월","화","수","목","금","토"))</f>
        <v/>
      </c>
      <c r="D235" s="45" t="n"/>
      <c r="E235" s="47">
        <f>IF($D235="","",IFERROR(INDEX(코드설정!$D$5:$D$24,MATCH($D235,코드설정!$C$5:$C$24,0)),""))</f>
        <v/>
      </c>
      <c r="F235" s="45" t="n"/>
      <c r="G235" s="45" t="n"/>
      <c r="H235" s="49" t="n"/>
      <c r="I235" s="49" t="n"/>
      <c r="J235" s="52" t="n"/>
      <c r="K235" s="45" t="n"/>
      <c r="L235" s="49" t="n"/>
    </row>
    <row r="236">
      <c r="A236" s="43">
        <f>IF($B236="","",COUNT($B$5:$B236))</f>
        <v/>
      </c>
      <c r="B236" s="44" t="n"/>
      <c r="C236" s="47">
        <f>IF($B236="","",CHOOSE(WEEKDAY($B236),"일","월","화","수","목","금","토"))</f>
        <v/>
      </c>
      <c r="D236" s="45" t="n"/>
      <c r="E236" s="47">
        <f>IF($D236="","",IFERROR(INDEX(코드설정!$D$5:$D$24,MATCH($D236,코드설정!$C$5:$C$24,0)),""))</f>
        <v/>
      </c>
      <c r="F236" s="45" t="n"/>
      <c r="G236" s="45" t="n"/>
      <c r="H236" s="49" t="n"/>
      <c r="I236" s="49" t="n"/>
      <c r="J236" s="52" t="n"/>
      <c r="K236" s="45" t="n"/>
      <c r="L236" s="49" t="n"/>
    </row>
    <row r="237">
      <c r="A237" s="43">
        <f>IF($B237="","",COUNT($B$5:$B237))</f>
        <v/>
      </c>
      <c r="B237" s="44" t="n"/>
      <c r="C237" s="47">
        <f>IF($B237="","",CHOOSE(WEEKDAY($B237),"일","월","화","수","목","금","토"))</f>
        <v/>
      </c>
      <c r="D237" s="45" t="n"/>
      <c r="E237" s="47">
        <f>IF($D237="","",IFERROR(INDEX(코드설정!$D$5:$D$24,MATCH($D237,코드설정!$C$5:$C$24,0)),""))</f>
        <v/>
      </c>
      <c r="F237" s="45" t="n"/>
      <c r="G237" s="45" t="n"/>
      <c r="H237" s="49" t="n"/>
      <c r="I237" s="49" t="n"/>
      <c r="J237" s="52" t="n"/>
      <c r="K237" s="45" t="n"/>
      <c r="L237" s="49" t="n"/>
    </row>
    <row r="238">
      <c r="A238" s="43">
        <f>IF($B238="","",COUNT($B$5:$B238))</f>
        <v/>
      </c>
      <c r="B238" s="44" t="n"/>
      <c r="C238" s="47">
        <f>IF($B238="","",CHOOSE(WEEKDAY($B238),"일","월","화","수","목","금","토"))</f>
        <v/>
      </c>
      <c r="D238" s="45" t="n"/>
      <c r="E238" s="47">
        <f>IF($D238="","",IFERROR(INDEX(코드설정!$D$5:$D$24,MATCH($D238,코드설정!$C$5:$C$24,0)),""))</f>
        <v/>
      </c>
      <c r="F238" s="45" t="n"/>
      <c r="G238" s="45" t="n"/>
      <c r="H238" s="49" t="n"/>
      <c r="I238" s="49" t="n"/>
      <c r="J238" s="52" t="n"/>
      <c r="K238" s="45" t="n"/>
      <c r="L238" s="49" t="n"/>
    </row>
    <row r="239">
      <c r="A239" s="43">
        <f>IF($B239="","",COUNT($B$5:$B239))</f>
        <v/>
      </c>
      <c r="B239" s="44" t="n"/>
      <c r="C239" s="47">
        <f>IF($B239="","",CHOOSE(WEEKDAY($B239),"일","월","화","수","목","금","토"))</f>
        <v/>
      </c>
      <c r="D239" s="45" t="n"/>
      <c r="E239" s="47">
        <f>IF($D239="","",IFERROR(INDEX(코드설정!$D$5:$D$24,MATCH($D239,코드설정!$C$5:$C$24,0)),""))</f>
        <v/>
      </c>
      <c r="F239" s="45" t="n"/>
      <c r="G239" s="45" t="n"/>
      <c r="H239" s="49" t="n"/>
      <c r="I239" s="49" t="n"/>
      <c r="J239" s="52" t="n"/>
      <c r="K239" s="45" t="n"/>
      <c r="L239" s="49" t="n"/>
    </row>
    <row r="240">
      <c r="A240" s="43">
        <f>IF($B240="","",COUNT($B$5:$B240))</f>
        <v/>
      </c>
      <c r="B240" s="44" t="n"/>
      <c r="C240" s="47">
        <f>IF($B240="","",CHOOSE(WEEKDAY($B240),"일","월","화","수","목","금","토"))</f>
        <v/>
      </c>
      <c r="D240" s="45" t="n"/>
      <c r="E240" s="47">
        <f>IF($D240="","",IFERROR(INDEX(코드설정!$D$5:$D$24,MATCH($D240,코드설정!$C$5:$C$24,0)),""))</f>
        <v/>
      </c>
      <c r="F240" s="45" t="n"/>
      <c r="G240" s="45" t="n"/>
      <c r="H240" s="49" t="n"/>
      <c r="I240" s="49" t="n"/>
      <c r="J240" s="52" t="n"/>
      <c r="K240" s="45" t="n"/>
      <c r="L240" s="49" t="n"/>
    </row>
    <row r="241">
      <c r="A241" s="43">
        <f>IF($B241="","",COUNT($B$5:$B241))</f>
        <v/>
      </c>
      <c r="B241" s="44" t="n"/>
      <c r="C241" s="47">
        <f>IF($B241="","",CHOOSE(WEEKDAY($B241),"일","월","화","수","목","금","토"))</f>
        <v/>
      </c>
      <c r="D241" s="45" t="n"/>
      <c r="E241" s="47">
        <f>IF($D241="","",IFERROR(INDEX(코드설정!$D$5:$D$24,MATCH($D241,코드설정!$C$5:$C$24,0)),""))</f>
        <v/>
      </c>
      <c r="F241" s="45" t="n"/>
      <c r="G241" s="45" t="n"/>
      <c r="H241" s="49" t="n"/>
      <c r="I241" s="49" t="n"/>
      <c r="J241" s="52" t="n"/>
      <c r="K241" s="45" t="n"/>
      <c r="L241" s="49" t="n"/>
    </row>
    <row r="242">
      <c r="A242" s="43">
        <f>IF($B242="","",COUNT($B$5:$B242))</f>
        <v/>
      </c>
      <c r="B242" s="44" t="n"/>
      <c r="C242" s="47">
        <f>IF($B242="","",CHOOSE(WEEKDAY($B242),"일","월","화","수","목","금","토"))</f>
        <v/>
      </c>
      <c r="D242" s="45" t="n"/>
      <c r="E242" s="47">
        <f>IF($D242="","",IFERROR(INDEX(코드설정!$D$5:$D$24,MATCH($D242,코드설정!$C$5:$C$24,0)),""))</f>
        <v/>
      </c>
      <c r="F242" s="45" t="n"/>
      <c r="G242" s="45" t="n"/>
      <c r="H242" s="49" t="n"/>
      <c r="I242" s="49" t="n"/>
      <c r="J242" s="52" t="n"/>
      <c r="K242" s="45" t="n"/>
      <c r="L242" s="49" t="n"/>
    </row>
    <row r="243">
      <c r="A243" s="43">
        <f>IF($B243="","",COUNT($B$5:$B243))</f>
        <v/>
      </c>
      <c r="B243" s="44" t="n"/>
      <c r="C243" s="47">
        <f>IF($B243="","",CHOOSE(WEEKDAY($B243),"일","월","화","수","목","금","토"))</f>
        <v/>
      </c>
      <c r="D243" s="45" t="n"/>
      <c r="E243" s="47">
        <f>IF($D243="","",IFERROR(INDEX(코드설정!$D$5:$D$24,MATCH($D243,코드설정!$C$5:$C$24,0)),""))</f>
        <v/>
      </c>
      <c r="F243" s="45" t="n"/>
      <c r="G243" s="45" t="n"/>
      <c r="H243" s="49" t="n"/>
      <c r="I243" s="49" t="n"/>
      <c r="J243" s="52" t="n"/>
      <c r="K243" s="45" t="n"/>
      <c r="L243" s="49" t="n"/>
    </row>
    <row r="244">
      <c r="A244" s="43">
        <f>IF($B244="","",COUNT($B$5:$B244))</f>
        <v/>
      </c>
      <c r="B244" s="44" t="n"/>
      <c r="C244" s="47">
        <f>IF($B244="","",CHOOSE(WEEKDAY($B244),"일","월","화","수","목","금","토"))</f>
        <v/>
      </c>
      <c r="D244" s="45" t="n"/>
      <c r="E244" s="47">
        <f>IF($D244="","",IFERROR(INDEX(코드설정!$D$5:$D$24,MATCH($D244,코드설정!$C$5:$C$24,0)),""))</f>
        <v/>
      </c>
      <c r="F244" s="45" t="n"/>
      <c r="G244" s="45" t="n"/>
      <c r="H244" s="49" t="n"/>
      <c r="I244" s="49" t="n"/>
      <c r="J244" s="52" t="n"/>
      <c r="K244" s="45" t="n"/>
      <c r="L244" s="49" t="n"/>
    </row>
    <row r="245">
      <c r="A245" s="43">
        <f>IF($B245="","",COUNT($B$5:$B245))</f>
        <v/>
      </c>
      <c r="B245" s="44" t="n"/>
      <c r="C245" s="47">
        <f>IF($B245="","",CHOOSE(WEEKDAY($B245),"일","월","화","수","목","금","토"))</f>
        <v/>
      </c>
      <c r="D245" s="45" t="n"/>
      <c r="E245" s="47">
        <f>IF($D245="","",IFERROR(INDEX(코드설정!$D$5:$D$24,MATCH($D245,코드설정!$C$5:$C$24,0)),""))</f>
        <v/>
      </c>
      <c r="F245" s="45" t="n"/>
      <c r="G245" s="45" t="n"/>
      <c r="H245" s="49" t="n"/>
      <c r="I245" s="49" t="n"/>
      <c r="J245" s="52" t="n"/>
      <c r="K245" s="45" t="n"/>
      <c r="L245" s="49" t="n"/>
    </row>
    <row r="246">
      <c r="A246" s="43">
        <f>IF($B246="","",COUNT($B$5:$B246))</f>
        <v/>
      </c>
      <c r="B246" s="44" t="n"/>
      <c r="C246" s="47">
        <f>IF($B246="","",CHOOSE(WEEKDAY($B246),"일","월","화","수","목","금","토"))</f>
        <v/>
      </c>
      <c r="D246" s="45" t="n"/>
      <c r="E246" s="47">
        <f>IF($D246="","",IFERROR(INDEX(코드설정!$D$5:$D$24,MATCH($D246,코드설정!$C$5:$C$24,0)),""))</f>
        <v/>
      </c>
      <c r="F246" s="45" t="n"/>
      <c r="G246" s="45" t="n"/>
      <c r="H246" s="49" t="n"/>
      <c r="I246" s="49" t="n"/>
      <c r="J246" s="52" t="n"/>
      <c r="K246" s="45" t="n"/>
      <c r="L246" s="49" t="n"/>
    </row>
    <row r="247">
      <c r="A247" s="43">
        <f>IF($B247="","",COUNT($B$5:$B247))</f>
        <v/>
      </c>
      <c r="B247" s="44" t="n"/>
      <c r="C247" s="47">
        <f>IF($B247="","",CHOOSE(WEEKDAY($B247),"일","월","화","수","목","금","토"))</f>
        <v/>
      </c>
      <c r="D247" s="45" t="n"/>
      <c r="E247" s="47">
        <f>IF($D247="","",IFERROR(INDEX(코드설정!$D$5:$D$24,MATCH($D247,코드설정!$C$5:$C$24,0)),""))</f>
        <v/>
      </c>
      <c r="F247" s="45" t="n"/>
      <c r="G247" s="45" t="n"/>
      <c r="H247" s="49" t="n"/>
      <c r="I247" s="49" t="n"/>
      <c r="J247" s="52" t="n"/>
      <c r="K247" s="45" t="n"/>
      <c r="L247" s="49" t="n"/>
    </row>
    <row r="248">
      <c r="A248" s="43">
        <f>IF($B248="","",COUNT($B$5:$B248))</f>
        <v/>
      </c>
      <c r="B248" s="44" t="n"/>
      <c r="C248" s="47">
        <f>IF($B248="","",CHOOSE(WEEKDAY($B248),"일","월","화","수","목","금","토"))</f>
        <v/>
      </c>
      <c r="D248" s="45" t="n"/>
      <c r="E248" s="47">
        <f>IF($D248="","",IFERROR(INDEX(코드설정!$D$5:$D$24,MATCH($D248,코드설정!$C$5:$C$24,0)),""))</f>
        <v/>
      </c>
      <c r="F248" s="45" t="n"/>
      <c r="G248" s="45" t="n"/>
      <c r="H248" s="49" t="n"/>
      <c r="I248" s="49" t="n"/>
      <c r="J248" s="52" t="n"/>
      <c r="K248" s="45" t="n"/>
      <c r="L248" s="49" t="n"/>
    </row>
    <row r="249">
      <c r="A249" s="43">
        <f>IF($B249="","",COUNT($B$5:$B249))</f>
        <v/>
      </c>
      <c r="B249" s="44" t="n"/>
      <c r="C249" s="47">
        <f>IF($B249="","",CHOOSE(WEEKDAY($B249),"일","월","화","수","목","금","토"))</f>
        <v/>
      </c>
      <c r="D249" s="45" t="n"/>
      <c r="E249" s="47">
        <f>IF($D249="","",IFERROR(INDEX(코드설정!$D$5:$D$24,MATCH($D249,코드설정!$C$5:$C$24,0)),""))</f>
        <v/>
      </c>
      <c r="F249" s="45" t="n"/>
      <c r="G249" s="45" t="n"/>
      <c r="H249" s="49" t="n"/>
      <c r="I249" s="49" t="n"/>
      <c r="J249" s="52" t="n"/>
      <c r="K249" s="45" t="n"/>
      <c r="L249" s="49" t="n"/>
    </row>
    <row r="250">
      <c r="A250" s="43">
        <f>IF($B250="","",COUNT($B$5:$B250))</f>
        <v/>
      </c>
      <c r="B250" s="44" t="n"/>
      <c r="C250" s="47">
        <f>IF($B250="","",CHOOSE(WEEKDAY($B250),"일","월","화","수","목","금","토"))</f>
        <v/>
      </c>
      <c r="D250" s="45" t="n"/>
      <c r="E250" s="47">
        <f>IF($D250="","",IFERROR(INDEX(코드설정!$D$5:$D$24,MATCH($D250,코드설정!$C$5:$C$24,0)),""))</f>
        <v/>
      </c>
      <c r="F250" s="45" t="n"/>
      <c r="G250" s="45" t="n"/>
      <c r="H250" s="49" t="n"/>
      <c r="I250" s="49" t="n"/>
      <c r="J250" s="52" t="n"/>
      <c r="K250" s="45" t="n"/>
      <c r="L250" s="49" t="n"/>
    </row>
    <row r="251">
      <c r="A251" s="43">
        <f>IF($B251="","",COUNT($B$5:$B251))</f>
        <v/>
      </c>
      <c r="B251" s="44" t="n"/>
      <c r="C251" s="47">
        <f>IF($B251="","",CHOOSE(WEEKDAY($B251),"일","월","화","수","목","금","토"))</f>
        <v/>
      </c>
      <c r="D251" s="45" t="n"/>
      <c r="E251" s="47">
        <f>IF($D251="","",IFERROR(INDEX(코드설정!$D$5:$D$24,MATCH($D251,코드설정!$C$5:$C$24,0)),""))</f>
        <v/>
      </c>
      <c r="F251" s="45" t="n"/>
      <c r="G251" s="45" t="n"/>
      <c r="H251" s="49" t="n"/>
      <c r="I251" s="49" t="n"/>
      <c r="J251" s="52" t="n"/>
      <c r="K251" s="45" t="n"/>
      <c r="L251" s="49" t="n"/>
    </row>
    <row r="252">
      <c r="A252" s="43">
        <f>IF($B252="","",COUNT($B$5:$B252))</f>
        <v/>
      </c>
      <c r="B252" s="44" t="n"/>
      <c r="C252" s="47">
        <f>IF($B252="","",CHOOSE(WEEKDAY($B252),"일","월","화","수","목","금","토"))</f>
        <v/>
      </c>
      <c r="D252" s="45" t="n"/>
      <c r="E252" s="47">
        <f>IF($D252="","",IFERROR(INDEX(코드설정!$D$5:$D$24,MATCH($D252,코드설정!$C$5:$C$24,0)),""))</f>
        <v/>
      </c>
      <c r="F252" s="45" t="n"/>
      <c r="G252" s="45" t="n"/>
      <c r="H252" s="49" t="n"/>
      <c r="I252" s="49" t="n"/>
      <c r="J252" s="52" t="n"/>
      <c r="K252" s="45" t="n"/>
      <c r="L252" s="49" t="n"/>
    </row>
    <row r="253">
      <c r="A253" s="43">
        <f>IF($B253="","",COUNT($B$5:$B253))</f>
        <v/>
      </c>
      <c r="B253" s="44" t="n"/>
      <c r="C253" s="47">
        <f>IF($B253="","",CHOOSE(WEEKDAY($B253),"일","월","화","수","목","금","토"))</f>
        <v/>
      </c>
      <c r="D253" s="45" t="n"/>
      <c r="E253" s="47">
        <f>IF($D253="","",IFERROR(INDEX(코드설정!$D$5:$D$24,MATCH($D253,코드설정!$C$5:$C$24,0)),""))</f>
        <v/>
      </c>
      <c r="F253" s="45" t="n"/>
      <c r="G253" s="45" t="n"/>
      <c r="H253" s="49" t="n"/>
      <c r="I253" s="49" t="n"/>
      <c r="J253" s="52" t="n"/>
      <c r="K253" s="45" t="n"/>
      <c r="L253" s="49" t="n"/>
    </row>
    <row r="254">
      <c r="A254" s="43">
        <f>IF($B254="","",COUNT($B$5:$B254))</f>
        <v/>
      </c>
      <c r="B254" s="44" t="n"/>
      <c r="C254" s="47">
        <f>IF($B254="","",CHOOSE(WEEKDAY($B254),"일","월","화","수","목","금","토"))</f>
        <v/>
      </c>
      <c r="D254" s="45" t="n"/>
      <c r="E254" s="47">
        <f>IF($D254="","",IFERROR(INDEX(코드설정!$D$5:$D$24,MATCH($D254,코드설정!$C$5:$C$24,0)),""))</f>
        <v/>
      </c>
      <c r="F254" s="45" t="n"/>
      <c r="G254" s="45" t="n"/>
      <c r="H254" s="49" t="n"/>
      <c r="I254" s="49" t="n"/>
      <c r="J254" s="52" t="n"/>
      <c r="K254" s="45" t="n"/>
      <c r="L254" s="49" t="n"/>
    </row>
    <row r="255">
      <c r="A255" s="43">
        <f>IF($B255="","",COUNT($B$5:$B255))</f>
        <v/>
      </c>
      <c r="B255" s="44" t="n"/>
      <c r="C255" s="47">
        <f>IF($B255="","",CHOOSE(WEEKDAY($B255),"일","월","화","수","목","금","토"))</f>
        <v/>
      </c>
      <c r="D255" s="45" t="n"/>
      <c r="E255" s="47">
        <f>IF($D255="","",IFERROR(INDEX(코드설정!$D$5:$D$24,MATCH($D255,코드설정!$C$5:$C$24,0)),""))</f>
        <v/>
      </c>
      <c r="F255" s="45" t="n"/>
      <c r="G255" s="45" t="n"/>
      <c r="H255" s="49" t="n"/>
      <c r="I255" s="49" t="n"/>
      <c r="J255" s="52" t="n"/>
      <c r="K255" s="45" t="n"/>
      <c r="L255" s="49" t="n"/>
    </row>
    <row r="256">
      <c r="A256" s="43">
        <f>IF($B256="","",COUNT($B$5:$B256))</f>
        <v/>
      </c>
      <c r="B256" s="44" t="n"/>
      <c r="C256" s="47">
        <f>IF($B256="","",CHOOSE(WEEKDAY($B256),"일","월","화","수","목","금","토"))</f>
        <v/>
      </c>
      <c r="D256" s="45" t="n"/>
      <c r="E256" s="47">
        <f>IF($D256="","",IFERROR(INDEX(코드설정!$D$5:$D$24,MATCH($D256,코드설정!$C$5:$C$24,0)),""))</f>
        <v/>
      </c>
      <c r="F256" s="45" t="n"/>
      <c r="G256" s="45" t="n"/>
      <c r="H256" s="49" t="n"/>
      <c r="I256" s="49" t="n"/>
      <c r="J256" s="52" t="n"/>
      <c r="K256" s="45" t="n"/>
      <c r="L256" s="49" t="n"/>
    </row>
    <row r="257">
      <c r="A257" s="43">
        <f>IF($B257="","",COUNT($B$5:$B257))</f>
        <v/>
      </c>
      <c r="B257" s="44" t="n"/>
      <c r="C257" s="47">
        <f>IF($B257="","",CHOOSE(WEEKDAY($B257),"일","월","화","수","목","금","토"))</f>
        <v/>
      </c>
      <c r="D257" s="45" t="n"/>
      <c r="E257" s="47">
        <f>IF($D257="","",IFERROR(INDEX(코드설정!$D$5:$D$24,MATCH($D257,코드설정!$C$5:$C$24,0)),""))</f>
        <v/>
      </c>
      <c r="F257" s="45" t="n"/>
      <c r="G257" s="45" t="n"/>
      <c r="H257" s="49" t="n"/>
      <c r="I257" s="49" t="n"/>
      <c r="J257" s="52" t="n"/>
      <c r="K257" s="45" t="n"/>
      <c r="L257" s="49" t="n"/>
    </row>
    <row r="258">
      <c r="A258" s="43">
        <f>IF($B258="","",COUNT($B$5:$B258))</f>
        <v/>
      </c>
      <c r="B258" s="44" t="n"/>
      <c r="C258" s="47">
        <f>IF($B258="","",CHOOSE(WEEKDAY($B258),"일","월","화","수","목","금","토"))</f>
        <v/>
      </c>
      <c r="D258" s="45" t="n"/>
      <c r="E258" s="47">
        <f>IF($D258="","",IFERROR(INDEX(코드설정!$D$5:$D$24,MATCH($D258,코드설정!$C$5:$C$24,0)),""))</f>
        <v/>
      </c>
      <c r="F258" s="45" t="n"/>
      <c r="G258" s="45" t="n"/>
      <c r="H258" s="49" t="n"/>
      <c r="I258" s="49" t="n"/>
      <c r="J258" s="52" t="n"/>
      <c r="K258" s="45" t="n"/>
      <c r="L258" s="49" t="n"/>
    </row>
    <row r="259">
      <c r="A259" s="43">
        <f>IF($B259="","",COUNT($B$5:$B259))</f>
        <v/>
      </c>
      <c r="B259" s="44" t="n"/>
      <c r="C259" s="47">
        <f>IF($B259="","",CHOOSE(WEEKDAY($B259),"일","월","화","수","목","금","토"))</f>
        <v/>
      </c>
      <c r="D259" s="45" t="n"/>
      <c r="E259" s="47">
        <f>IF($D259="","",IFERROR(INDEX(코드설정!$D$5:$D$24,MATCH($D259,코드설정!$C$5:$C$24,0)),""))</f>
        <v/>
      </c>
      <c r="F259" s="45" t="n"/>
      <c r="G259" s="45" t="n"/>
      <c r="H259" s="49" t="n"/>
      <c r="I259" s="49" t="n"/>
      <c r="J259" s="52" t="n"/>
      <c r="K259" s="45" t="n"/>
      <c r="L259" s="49" t="n"/>
    </row>
    <row r="260">
      <c r="A260" s="43">
        <f>IF($B260="","",COUNT($B$5:$B260))</f>
        <v/>
      </c>
      <c r="B260" s="44" t="n"/>
      <c r="C260" s="47">
        <f>IF($B260="","",CHOOSE(WEEKDAY($B260),"일","월","화","수","목","금","토"))</f>
        <v/>
      </c>
      <c r="D260" s="45" t="n"/>
      <c r="E260" s="47">
        <f>IF($D260="","",IFERROR(INDEX(코드설정!$D$5:$D$24,MATCH($D260,코드설정!$C$5:$C$24,0)),""))</f>
        <v/>
      </c>
      <c r="F260" s="45" t="n"/>
      <c r="G260" s="45" t="n"/>
      <c r="H260" s="49" t="n"/>
      <c r="I260" s="49" t="n"/>
      <c r="J260" s="52" t="n"/>
      <c r="K260" s="45" t="n"/>
      <c r="L260" s="49" t="n"/>
    </row>
    <row r="261">
      <c r="A261" s="43">
        <f>IF($B261="","",COUNT($B$5:$B261))</f>
        <v/>
      </c>
      <c r="B261" s="44" t="n"/>
      <c r="C261" s="47">
        <f>IF($B261="","",CHOOSE(WEEKDAY($B261),"일","월","화","수","목","금","토"))</f>
        <v/>
      </c>
      <c r="D261" s="45" t="n"/>
      <c r="E261" s="47">
        <f>IF($D261="","",IFERROR(INDEX(코드설정!$D$5:$D$24,MATCH($D261,코드설정!$C$5:$C$24,0)),""))</f>
        <v/>
      </c>
      <c r="F261" s="45" t="n"/>
      <c r="G261" s="45" t="n"/>
      <c r="H261" s="49" t="n"/>
      <c r="I261" s="49" t="n"/>
      <c r="J261" s="52" t="n"/>
      <c r="K261" s="45" t="n"/>
      <c r="L261" s="49" t="n"/>
    </row>
    <row r="262">
      <c r="A262" s="43">
        <f>IF($B262="","",COUNT($B$5:$B262))</f>
        <v/>
      </c>
      <c r="B262" s="44" t="n"/>
      <c r="C262" s="47">
        <f>IF($B262="","",CHOOSE(WEEKDAY($B262),"일","월","화","수","목","금","토"))</f>
        <v/>
      </c>
      <c r="D262" s="45" t="n"/>
      <c r="E262" s="47">
        <f>IF($D262="","",IFERROR(INDEX(코드설정!$D$5:$D$24,MATCH($D262,코드설정!$C$5:$C$24,0)),""))</f>
        <v/>
      </c>
      <c r="F262" s="45" t="n"/>
      <c r="G262" s="45" t="n"/>
      <c r="H262" s="49" t="n"/>
      <c r="I262" s="49" t="n"/>
      <c r="J262" s="52" t="n"/>
      <c r="K262" s="45" t="n"/>
      <c r="L262" s="49" t="n"/>
    </row>
    <row r="263">
      <c r="A263" s="43">
        <f>IF($B263="","",COUNT($B$5:$B263))</f>
        <v/>
      </c>
      <c r="B263" s="44" t="n"/>
      <c r="C263" s="47">
        <f>IF($B263="","",CHOOSE(WEEKDAY($B263),"일","월","화","수","목","금","토"))</f>
        <v/>
      </c>
      <c r="D263" s="45" t="n"/>
      <c r="E263" s="47">
        <f>IF($D263="","",IFERROR(INDEX(코드설정!$D$5:$D$24,MATCH($D263,코드설정!$C$5:$C$24,0)),""))</f>
        <v/>
      </c>
      <c r="F263" s="45" t="n"/>
      <c r="G263" s="45" t="n"/>
      <c r="H263" s="49" t="n"/>
      <c r="I263" s="49" t="n"/>
      <c r="J263" s="52" t="n"/>
      <c r="K263" s="45" t="n"/>
      <c r="L263" s="49" t="n"/>
    </row>
    <row r="264">
      <c r="A264" s="43">
        <f>IF($B264="","",COUNT($B$5:$B264))</f>
        <v/>
      </c>
      <c r="B264" s="44" t="n"/>
      <c r="C264" s="47">
        <f>IF($B264="","",CHOOSE(WEEKDAY($B264),"일","월","화","수","목","금","토"))</f>
        <v/>
      </c>
      <c r="D264" s="45" t="n"/>
      <c r="E264" s="47">
        <f>IF($D264="","",IFERROR(INDEX(코드설정!$D$5:$D$24,MATCH($D264,코드설정!$C$5:$C$24,0)),""))</f>
        <v/>
      </c>
      <c r="F264" s="45" t="n"/>
      <c r="G264" s="45" t="n"/>
      <c r="H264" s="49" t="n"/>
      <c r="I264" s="49" t="n"/>
      <c r="J264" s="52" t="n"/>
      <c r="K264" s="45" t="n"/>
      <c r="L264" s="49" t="n"/>
    </row>
    <row r="265">
      <c r="A265" s="43">
        <f>IF($B265="","",COUNT($B$5:$B265))</f>
        <v/>
      </c>
      <c r="B265" s="44" t="n"/>
      <c r="C265" s="47">
        <f>IF($B265="","",CHOOSE(WEEKDAY($B265),"일","월","화","수","목","금","토"))</f>
        <v/>
      </c>
      <c r="D265" s="45" t="n"/>
      <c r="E265" s="47">
        <f>IF($D265="","",IFERROR(INDEX(코드설정!$D$5:$D$24,MATCH($D265,코드설정!$C$5:$C$24,0)),""))</f>
        <v/>
      </c>
      <c r="F265" s="45" t="n"/>
      <c r="G265" s="45" t="n"/>
      <c r="H265" s="49" t="n"/>
      <c r="I265" s="49" t="n"/>
      <c r="J265" s="52" t="n"/>
      <c r="K265" s="45" t="n"/>
      <c r="L265" s="49" t="n"/>
    </row>
    <row r="266">
      <c r="A266" s="43">
        <f>IF($B266="","",COUNT($B$5:$B266))</f>
        <v/>
      </c>
      <c r="B266" s="44" t="n"/>
      <c r="C266" s="47">
        <f>IF($B266="","",CHOOSE(WEEKDAY($B266),"일","월","화","수","목","금","토"))</f>
        <v/>
      </c>
      <c r="D266" s="45" t="n"/>
      <c r="E266" s="47">
        <f>IF($D266="","",IFERROR(INDEX(코드설정!$D$5:$D$24,MATCH($D266,코드설정!$C$5:$C$24,0)),""))</f>
        <v/>
      </c>
      <c r="F266" s="45" t="n"/>
      <c r="G266" s="45" t="n"/>
      <c r="H266" s="49" t="n"/>
      <c r="I266" s="49" t="n"/>
      <c r="J266" s="52" t="n"/>
      <c r="K266" s="45" t="n"/>
      <c r="L266" s="49" t="n"/>
    </row>
    <row r="267">
      <c r="A267" s="43">
        <f>IF($B267="","",COUNT($B$5:$B267))</f>
        <v/>
      </c>
      <c r="B267" s="44" t="n"/>
      <c r="C267" s="47">
        <f>IF($B267="","",CHOOSE(WEEKDAY($B267),"일","월","화","수","목","금","토"))</f>
        <v/>
      </c>
      <c r="D267" s="45" t="n"/>
      <c r="E267" s="47">
        <f>IF($D267="","",IFERROR(INDEX(코드설정!$D$5:$D$24,MATCH($D267,코드설정!$C$5:$C$24,0)),""))</f>
        <v/>
      </c>
      <c r="F267" s="45" t="n"/>
      <c r="G267" s="45" t="n"/>
      <c r="H267" s="49" t="n"/>
      <c r="I267" s="49" t="n"/>
      <c r="J267" s="52" t="n"/>
      <c r="K267" s="45" t="n"/>
      <c r="L267" s="49" t="n"/>
    </row>
    <row r="268">
      <c r="A268" s="43">
        <f>IF($B268="","",COUNT($B$5:$B268))</f>
        <v/>
      </c>
      <c r="B268" s="44" t="n"/>
      <c r="C268" s="47">
        <f>IF($B268="","",CHOOSE(WEEKDAY($B268),"일","월","화","수","목","금","토"))</f>
        <v/>
      </c>
      <c r="D268" s="45" t="n"/>
      <c r="E268" s="47">
        <f>IF($D268="","",IFERROR(INDEX(코드설정!$D$5:$D$24,MATCH($D268,코드설정!$C$5:$C$24,0)),""))</f>
        <v/>
      </c>
      <c r="F268" s="45" t="n"/>
      <c r="G268" s="45" t="n"/>
      <c r="H268" s="49" t="n"/>
      <c r="I268" s="49" t="n"/>
      <c r="J268" s="52" t="n"/>
      <c r="K268" s="45" t="n"/>
      <c r="L268" s="49" t="n"/>
    </row>
    <row r="269">
      <c r="A269" s="43">
        <f>IF($B269="","",COUNT($B$5:$B269))</f>
        <v/>
      </c>
      <c r="B269" s="44" t="n"/>
      <c r="C269" s="47">
        <f>IF($B269="","",CHOOSE(WEEKDAY($B269),"일","월","화","수","목","금","토"))</f>
        <v/>
      </c>
      <c r="D269" s="45" t="n"/>
      <c r="E269" s="47">
        <f>IF($D269="","",IFERROR(INDEX(코드설정!$D$5:$D$24,MATCH($D269,코드설정!$C$5:$C$24,0)),""))</f>
        <v/>
      </c>
      <c r="F269" s="45" t="n"/>
      <c r="G269" s="45" t="n"/>
      <c r="H269" s="49" t="n"/>
      <c r="I269" s="49" t="n"/>
      <c r="J269" s="52" t="n"/>
      <c r="K269" s="45" t="n"/>
      <c r="L269" s="49" t="n"/>
    </row>
    <row r="270">
      <c r="A270" s="43">
        <f>IF($B270="","",COUNT($B$5:$B270))</f>
        <v/>
      </c>
      <c r="B270" s="44" t="n"/>
      <c r="C270" s="47">
        <f>IF($B270="","",CHOOSE(WEEKDAY($B270),"일","월","화","수","목","금","토"))</f>
        <v/>
      </c>
      <c r="D270" s="45" t="n"/>
      <c r="E270" s="47">
        <f>IF($D270="","",IFERROR(INDEX(코드설정!$D$5:$D$24,MATCH($D270,코드설정!$C$5:$C$24,0)),""))</f>
        <v/>
      </c>
      <c r="F270" s="45" t="n"/>
      <c r="G270" s="45" t="n"/>
      <c r="H270" s="49" t="n"/>
      <c r="I270" s="49" t="n"/>
      <c r="J270" s="52" t="n"/>
      <c r="K270" s="45" t="n"/>
      <c r="L270" s="49" t="n"/>
    </row>
    <row r="271">
      <c r="A271" s="43">
        <f>IF($B271="","",COUNT($B$5:$B271))</f>
        <v/>
      </c>
      <c r="B271" s="44" t="n"/>
      <c r="C271" s="47">
        <f>IF($B271="","",CHOOSE(WEEKDAY($B271),"일","월","화","수","목","금","토"))</f>
        <v/>
      </c>
      <c r="D271" s="45" t="n"/>
      <c r="E271" s="47">
        <f>IF($D271="","",IFERROR(INDEX(코드설정!$D$5:$D$24,MATCH($D271,코드설정!$C$5:$C$24,0)),""))</f>
        <v/>
      </c>
      <c r="F271" s="45" t="n"/>
      <c r="G271" s="45" t="n"/>
      <c r="H271" s="49" t="n"/>
      <c r="I271" s="49" t="n"/>
      <c r="J271" s="52" t="n"/>
      <c r="K271" s="45" t="n"/>
      <c r="L271" s="49" t="n"/>
    </row>
    <row r="272">
      <c r="A272" s="43">
        <f>IF($B272="","",COUNT($B$5:$B272))</f>
        <v/>
      </c>
      <c r="B272" s="44" t="n"/>
      <c r="C272" s="47">
        <f>IF($B272="","",CHOOSE(WEEKDAY($B272),"일","월","화","수","목","금","토"))</f>
        <v/>
      </c>
      <c r="D272" s="45" t="n"/>
      <c r="E272" s="47">
        <f>IF($D272="","",IFERROR(INDEX(코드설정!$D$5:$D$24,MATCH($D272,코드설정!$C$5:$C$24,0)),""))</f>
        <v/>
      </c>
      <c r="F272" s="45" t="n"/>
      <c r="G272" s="45" t="n"/>
      <c r="H272" s="49" t="n"/>
      <c r="I272" s="49" t="n"/>
      <c r="J272" s="52" t="n"/>
      <c r="K272" s="45" t="n"/>
      <c r="L272" s="49" t="n"/>
    </row>
    <row r="273">
      <c r="A273" s="43">
        <f>IF($B273="","",COUNT($B$5:$B273))</f>
        <v/>
      </c>
      <c r="B273" s="44" t="n"/>
      <c r="C273" s="47">
        <f>IF($B273="","",CHOOSE(WEEKDAY($B273),"일","월","화","수","목","금","토"))</f>
        <v/>
      </c>
      <c r="D273" s="45" t="n"/>
      <c r="E273" s="47">
        <f>IF($D273="","",IFERROR(INDEX(코드설정!$D$5:$D$24,MATCH($D273,코드설정!$C$5:$C$24,0)),""))</f>
        <v/>
      </c>
      <c r="F273" s="45" t="n"/>
      <c r="G273" s="45" t="n"/>
      <c r="H273" s="49" t="n"/>
      <c r="I273" s="49" t="n"/>
      <c r="J273" s="52" t="n"/>
      <c r="K273" s="45" t="n"/>
      <c r="L273" s="49" t="n"/>
    </row>
    <row r="274">
      <c r="A274" s="43">
        <f>IF($B274="","",COUNT($B$5:$B274))</f>
        <v/>
      </c>
      <c r="B274" s="44" t="n"/>
      <c r="C274" s="47">
        <f>IF($B274="","",CHOOSE(WEEKDAY($B274),"일","월","화","수","목","금","토"))</f>
        <v/>
      </c>
      <c r="D274" s="45" t="n"/>
      <c r="E274" s="47">
        <f>IF($D274="","",IFERROR(INDEX(코드설정!$D$5:$D$24,MATCH($D274,코드설정!$C$5:$C$24,0)),""))</f>
        <v/>
      </c>
      <c r="F274" s="45" t="n"/>
      <c r="G274" s="45" t="n"/>
      <c r="H274" s="49" t="n"/>
      <c r="I274" s="49" t="n"/>
      <c r="J274" s="52" t="n"/>
      <c r="K274" s="45" t="n"/>
      <c r="L274" s="49" t="n"/>
    </row>
    <row r="275">
      <c r="A275" s="43">
        <f>IF($B275="","",COUNT($B$5:$B275))</f>
        <v/>
      </c>
      <c r="B275" s="44" t="n"/>
      <c r="C275" s="47">
        <f>IF($B275="","",CHOOSE(WEEKDAY($B275),"일","월","화","수","목","금","토"))</f>
        <v/>
      </c>
      <c r="D275" s="45" t="n"/>
      <c r="E275" s="47">
        <f>IF($D275="","",IFERROR(INDEX(코드설정!$D$5:$D$24,MATCH($D275,코드설정!$C$5:$C$24,0)),""))</f>
        <v/>
      </c>
      <c r="F275" s="45" t="n"/>
      <c r="G275" s="45" t="n"/>
      <c r="H275" s="49" t="n"/>
      <c r="I275" s="49" t="n"/>
      <c r="J275" s="52" t="n"/>
      <c r="K275" s="45" t="n"/>
      <c r="L275" s="49" t="n"/>
    </row>
    <row r="276">
      <c r="A276" s="43">
        <f>IF($B276="","",COUNT($B$5:$B276))</f>
        <v/>
      </c>
      <c r="B276" s="44" t="n"/>
      <c r="C276" s="47">
        <f>IF($B276="","",CHOOSE(WEEKDAY($B276),"일","월","화","수","목","금","토"))</f>
        <v/>
      </c>
      <c r="D276" s="45" t="n"/>
      <c r="E276" s="47">
        <f>IF($D276="","",IFERROR(INDEX(코드설정!$D$5:$D$24,MATCH($D276,코드설정!$C$5:$C$24,0)),""))</f>
        <v/>
      </c>
      <c r="F276" s="45" t="n"/>
      <c r="G276" s="45" t="n"/>
      <c r="H276" s="49" t="n"/>
      <c r="I276" s="49" t="n"/>
      <c r="J276" s="52" t="n"/>
      <c r="K276" s="45" t="n"/>
      <c r="L276" s="49" t="n"/>
    </row>
    <row r="277">
      <c r="A277" s="43">
        <f>IF($B277="","",COUNT($B$5:$B277))</f>
        <v/>
      </c>
      <c r="B277" s="44" t="n"/>
      <c r="C277" s="47">
        <f>IF($B277="","",CHOOSE(WEEKDAY($B277),"일","월","화","수","목","금","토"))</f>
        <v/>
      </c>
      <c r="D277" s="45" t="n"/>
      <c r="E277" s="47">
        <f>IF($D277="","",IFERROR(INDEX(코드설정!$D$5:$D$24,MATCH($D277,코드설정!$C$5:$C$24,0)),""))</f>
        <v/>
      </c>
      <c r="F277" s="45" t="n"/>
      <c r="G277" s="45" t="n"/>
      <c r="H277" s="49" t="n"/>
      <c r="I277" s="49" t="n"/>
      <c r="J277" s="52" t="n"/>
      <c r="K277" s="45" t="n"/>
      <c r="L277" s="49" t="n"/>
    </row>
    <row r="278">
      <c r="A278" s="43">
        <f>IF($B278="","",COUNT($B$5:$B278))</f>
        <v/>
      </c>
      <c r="B278" s="44" t="n"/>
      <c r="C278" s="47">
        <f>IF($B278="","",CHOOSE(WEEKDAY($B278),"일","월","화","수","목","금","토"))</f>
        <v/>
      </c>
      <c r="D278" s="45" t="n"/>
      <c r="E278" s="47">
        <f>IF($D278="","",IFERROR(INDEX(코드설정!$D$5:$D$24,MATCH($D278,코드설정!$C$5:$C$24,0)),""))</f>
        <v/>
      </c>
      <c r="F278" s="45" t="n"/>
      <c r="G278" s="45" t="n"/>
      <c r="H278" s="49" t="n"/>
      <c r="I278" s="49" t="n"/>
      <c r="J278" s="52" t="n"/>
      <c r="K278" s="45" t="n"/>
      <c r="L278" s="49" t="n"/>
    </row>
    <row r="279">
      <c r="A279" s="43">
        <f>IF($B279="","",COUNT($B$5:$B279))</f>
        <v/>
      </c>
      <c r="B279" s="44" t="n"/>
      <c r="C279" s="47">
        <f>IF($B279="","",CHOOSE(WEEKDAY($B279),"일","월","화","수","목","금","토"))</f>
        <v/>
      </c>
      <c r="D279" s="45" t="n"/>
      <c r="E279" s="47">
        <f>IF($D279="","",IFERROR(INDEX(코드설정!$D$5:$D$24,MATCH($D279,코드설정!$C$5:$C$24,0)),""))</f>
        <v/>
      </c>
      <c r="F279" s="45" t="n"/>
      <c r="G279" s="45" t="n"/>
      <c r="H279" s="49" t="n"/>
      <c r="I279" s="49" t="n"/>
      <c r="J279" s="52" t="n"/>
      <c r="K279" s="45" t="n"/>
      <c r="L279" s="49" t="n"/>
    </row>
    <row r="280">
      <c r="A280" s="43">
        <f>IF($B280="","",COUNT($B$5:$B280))</f>
        <v/>
      </c>
      <c r="B280" s="44" t="n"/>
      <c r="C280" s="47">
        <f>IF($B280="","",CHOOSE(WEEKDAY($B280),"일","월","화","수","목","금","토"))</f>
        <v/>
      </c>
      <c r="D280" s="45" t="n"/>
      <c r="E280" s="47">
        <f>IF($D280="","",IFERROR(INDEX(코드설정!$D$5:$D$24,MATCH($D280,코드설정!$C$5:$C$24,0)),""))</f>
        <v/>
      </c>
      <c r="F280" s="45" t="n"/>
      <c r="G280" s="45" t="n"/>
      <c r="H280" s="49" t="n"/>
      <c r="I280" s="49" t="n"/>
      <c r="J280" s="52" t="n"/>
      <c r="K280" s="45" t="n"/>
      <c r="L280" s="49" t="n"/>
    </row>
    <row r="281">
      <c r="A281" s="43">
        <f>IF($B281="","",COUNT($B$5:$B281))</f>
        <v/>
      </c>
      <c r="B281" s="44" t="n"/>
      <c r="C281" s="47">
        <f>IF($B281="","",CHOOSE(WEEKDAY($B281),"일","월","화","수","목","금","토"))</f>
        <v/>
      </c>
      <c r="D281" s="45" t="n"/>
      <c r="E281" s="47">
        <f>IF($D281="","",IFERROR(INDEX(코드설정!$D$5:$D$24,MATCH($D281,코드설정!$C$5:$C$24,0)),""))</f>
        <v/>
      </c>
      <c r="F281" s="45" t="n"/>
      <c r="G281" s="45" t="n"/>
      <c r="H281" s="49" t="n"/>
      <c r="I281" s="49" t="n"/>
      <c r="J281" s="52" t="n"/>
      <c r="K281" s="45" t="n"/>
      <c r="L281" s="49" t="n"/>
    </row>
    <row r="282">
      <c r="A282" s="43">
        <f>IF($B282="","",COUNT($B$5:$B282))</f>
        <v/>
      </c>
      <c r="B282" s="44" t="n"/>
      <c r="C282" s="47">
        <f>IF($B282="","",CHOOSE(WEEKDAY($B282),"일","월","화","수","목","금","토"))</f>
        <v/>
      </c>
      <c r="D282" s="45" t="n"/>
      <c r="E282" s="47">
        <f>IF($D282="","",IFERROR(INDEX(코드설정!$D$5:$D$24,MATCH($D282,코드설정!$C$5:$C$24,0)),""))</f>
        <v/>
      </c>
      <c r="F282" s="45" t="n"/>
      <c r="G282" s="45" t="n"/>
      <c r="H282" s="49" t="n"/>
      <c r="I282" s="49" t="n"/>
      <c r="J282" s="52" t="n"/>
      <c r="K282" s="45" t="n"/>
      <c r="L282" s="49" t="n"/>
    </row>
    <row r="283">
      <c r="A283" s="43">
        <f>IF($B283="","",COUNT($B$5:$B283))</f>
        <v/>
      </c>
      <c r="B283" s="44" t="n"/>
      <c r="C283" s="47">
        <f>IF($B283="","",CHOOSE(WEEKDAY($B283),"일","월","화","수","목","금","토"))</f>
        <v/>
      </c>
      <c r="D283" s="45" t="n"/>
      <c r="E283" s="47">
        <f>IF($D283="","",IFERROR(INDEX(코드설정!$D$5:$D$24,MATCH($D283,코드설정!$C$5:$C$24,0)),""))</f>
        <v/>
      </c>
      <c r="F283" s="45" t="n"/>
      <c r="G283" s="45" t="n"/>
      <c r="H283" s="49" t="n"/>
      <c r="I283" s="49" t="n"/>
      <c r="J283" s="52" t="n"/>
      <c r="K283" s="45" t="n"/>
      <c r="L283" s="49" t="n"/>
    </row>
    <row r="284">
      <c r="A284" s="43">
        <f>IF($B284="","",COUNT($B$5:$B284))</f>
        <v/>
      </c>
      <c r="B284" s="44" t="n"/>
      <c r="C284" s="47">
        <f>IF($B284="","",CHOOSE(WEEKDAY($B284),"일","월","화","수","목","금","토"))</f>
        <v/>
      </c>
      <c r="D284" s="45" t="n"/>
      <c r="E284" s="47">
        <f>IF($D284="","",IFERROR(INDEX(코드설정!$D$5:$D$24,MATCH($D284,코드설정!$C$5:$C$24,0)),""))</f>
        <v/>
      </c>
      <c r="F284" s="45" t="n"/>
      <c r="G284" s="45" t="n"/>
      <c r="H284" s="49" t="n"/>
      <c r="I284" s="49" t="n"/>
      <c r="J284" s="52" t="n"/>
      <c r="K284" s="45" t="n"/>
      <c r="L284" s="49" t="n"/>
    </row>
    <row r="285">
      <c r="A285" s="43">
        <f>IF($B285="","",COUNT($B$5:$B285))</f>
        <v/>
      </c>
      <c r="B285" s="44" t="n"/>
      <c r="C285" s="47">
        <f>IF($B285="","",CHOOSE(WEEKDAY($B285),"일","월","화","수","목","금","토"))</f>
        <v/>
      </c>
      <c r="D285" s="45" t="n"/>
      <c r="E285" s="47">
        <f>IF($D285="","",IFERROR(INDEX(코드설정!$D$5:$D$24,MATCH($D285,코드설정!$C$5:$C$24,0)),""))</f>
        <v/>
      </c>
      <c r="F285" s="45" t="n"/>
      <c r="G285" s="45" t="n"/>
      <c r="H285" s="49" t="n"/>
      <c r="I285" s="49" t="n"/>
      <c r="J285" s="52" t="n"/>
      <c r="K285" s="45" t="n"/>
      <c r="L285" s="49" t="n"/>
    </row>
    <row r="286">
      <c r="A286" s="43">
        <f>IF($B286="","",COUNT($B$5:$B286))</f>
        <v/>
      </c>
      <c r="B286" s="44" t="n"/>
      <c r="C286" s="47">
        <f>IF($B286="","",CHOOSE(WEEKDAY($B286),"일","월","화","수","목","금","토"))</f>
        <v/>
      </c>
      <c r="D286" s="45" t="n"/>
      <c r="E286" s="47">
        <f>IF($D286="","",IFERROR(INDEX(코드설정!$D$5:$D$24,MATCH($D286,코드설정!$C$5:$C$24,0)),""))</f>
        <v/>
      </c>
      <c r="F286" s="45" t="n"/>
      <c r="G286" s="45" t="n"/>
      <c r="H286" s="49" t="n"/>
      <c r="I286" s="49" t="n"/>
      <c r="J286" s="52" t="n"/>
      <c r="K286" s="45" t="n"/>
      <c r="L286" s="49" t="n"/>
    </row>
    <row r="287">
      <c r="A287" s="43">
        <f>IF($B287="","",COUNT($B$5:$B287))</f>
        <v/>
      </c>
      <c r="B287" s="44" t="n"/>
      <c r="C287" s="47">
        <f>IF($B287="","",CHOOSE(WEEKDAY($B287),"일","월","화","수","목","금","토"))</f>
        <v/>
      </c>
      <c r="D287" s="45" t="n"/>
      <c r="E287" s="47">
        <f>IF($D287="","",IFERROR(INDEX(코드설정!$D$5:$D$24,MATCH($D287,코드설정!$C$5:$C$24,0)),""))</f>
        <v/>
      </c>
      <c r="F287" s="45" t="n"/>
      <c r="G287" s="45" t="n"/>
      <c r="H287" s="49" t="n"/>
      <c r="I287" s="49" t="n"/>
      <c r="J287" s="52" t="n"/>
      <c r="K287" s="45" t="n"/>
      <c r="L287" s="49" t="n"/>
    </row>
    <row r="288">
      <c r="A288" s="43">
        <f>IF($B288="","",COUNT($B$5:$B288))</f>
        <v/>
      </c>
      <c r="B288" s="44" t="n"/>
      <c r="C288" s="47">
        <f>IF($B288="","",CHOOSE(WEEKDAY($B288),"일","월","화","수","목","금","토"))</f>
        <v/>
      </c>
      <c r="D288" s="45" t="n"/>
      <c r="E288" s="47">
        <f>IF($D288="","",IFERROR(INDEX(코드설정!$D$5:$D$24,MATCH($D288,코드설정!$C$5:$C$24,0)),""))</f>
        <v/>
      </c>
      <c r="F288" s="45" t="n"/>
      <c r="G288" s="45" t="n"/>
      <c r="H288" s="49" t="n"/>
      <c r="I288" s="49" t="n"/>
      <c r="J288" s="52" t="n"/>
      <c r="K288" s="45" t="n"/>
      <c r="L288" s="49" t="n"/>
    </row>
    <row r="289">
      <c r="A289" s="43">
        <f>IF($B289="","",COUNT($B$5:$B289))</f>
        <v/>
      </c>
      <c r="B289" s="44" t="n"/>
      <c r="C289" s="47">
        <f>IF($B289="","",CHOOSE(WEEKDAY($B289),"일","월","화","수","목","금","토"))</f>
        <v/>
      </c>
      <c r="D289" s="45" t="n"/>
      <c r="E289" s="47">
        <f>IF($D289="","",IFERROR(INDEX(코드설정!$D$5:$D$24,MATCH($D289,코드설정!$C$5:$C$24,0)),""))</f>
        <v/>
      </c>
      <c r="F289" s="45" t="n"/>
      <c r="G289" s="45" t="n"/>
      <c r="H289" s="49" t="n"/>
      <c r="I289" s="49" t="n"/>
      <c r="J289" s="52" t="n"/>
      <c r="K289" s="45" t="n"/>
      <c r="L289" s="49" t="n"/>
    </row>
    <row r="290">
      <c r="A290" s="43">
        <f>IF($B290="","",COUNT($B$5:$B290))</f>
        <v/>
      </c>
      <c r="B290" s="44" t="n"/>
      <c r="C290" s="47">
        <f>IF($B290="","",CHOOSE(WEEKDAY($B290),"일","월","화","수","목","금","토"))</f>
        <v/>
      </c>
      <c r="D290" s="45" t="n"/>
      <c r="E290" s="47">
        <f>IF($D290="","",IFERROR(INDEX(코드설정!$D$5:$D$24,MATCH($D290,코드설정!$C$5:$C$24,0)),""))</f>
        <v/>
      </c>
      <c r="F290" s="45" t="n"/>
      <c r="G290" s="45" t="n"/>
      <c r="H290" s="49" t="n"/>
      <c r="I290" s="49" t="n"/>
      <c r="J290" s="52" t="n"/>
      <c r="K290" s="45" t="n"/>
      <c r="L290" s="49" t="n"/>
    </row>
    <row r="291">
      <c r="A291" s="43">
        <f>IF($B291="","",COUNT($B$5:$B291))</f>
        <v/>
      </c>
      <c r="B291" s="44" t="n"/>
      <c r="C291" s="47">
        <f>IF($B291="","",CHOOSE(WEEKDAY($B291),"일","월","화","수","목","금","토"))</f>
        <v/>
      </c>
      <c r="D291" s="45" t="n"/>
      <c r="E291" s="47">
        <f>IF($D291="","",IFERROR(INDEX(코드설정!$D$5:$D$24,MATCH($D291,코드설정!$C$5:$C$24,0)),""))</f>
        <v/>
      </c>
      <c r="F291" s="45" t="n"/>
      <c r="G291" s="45" t="n"/>
      <c r="H291" s="49" t="n"/>
      <c r="I291" s="49" t="n"/>
      <c r="J291" s="52" t="n"/>
      <c r="K291" s="45" t="n"/>
      <c r="L291" s="49" t="n"/>
    </row>
    <row r="292">
      <c r="A292" s="43">
        <f>IF($B292="","",COUNT($B$5:$B292))</f>
        <v/>
      </c>
      <c r="B292" s="44" t="n"/>
      <c r="C292" s="47">
        <f>IF($B292="","",CHOOSE(WEEKDAY($B292),"일","월","화","수","목","금","토"))</f>
        <v/>
      </c>
      <c r="D292" s="45" t="n"/>
      <c r="E292" s="47">
        <f>IF($D292="","",IFERROR(INDEX(코드설정!$D$5:$D$24,MATCH($D292,코드설정!$C$5:$C$24,0)),""))</f>
        <v/>
      </c>
      <c r="F292" s="45" t="n"/>
      <c r="G292" s="45" t="n"/>
      <c r="H292" s="49" t="n"/>
      <c r="I292" s="49" t="n"/>
      <c r="J292" s="52" t="n"/>
      <c r="K292" s="45" t="n"/>
      <c r="L292" s="49" t="n"/>
    </row>
    <row r="293">
      <c r="A293" s="43">
        <f>IF($B293="","",COUNT($B$5:$B293))</f>
        <v/>
      </c>
      <c r="B293" s="44" t="n"/>
      <c r="C293" s="47">
        <f>IF($B293="","",CHOOSE(WEEKDAY($B293),"일","월","화","수","목","금","토"))</f>
        <v/>
      </c>
      <c r="D293" s="45" t="n"/>
      <c r="E293" s="47">
        <f>IF($D293="","",IFERROR(INDEX(코드설정!$D$5:$D$24,MATCH($D293,코드설정!$C$5:$C$24,0)),""))</f>
        <v/>
      </c>
      <c r="F293" s="45" t="n"/>
      <c r="G293" s="45" t="n"/>
      <c r="H293" s="49" t="n"/>
      <c r="I293" s="49" t="n"/>
      <c r="J293" s="52" t="n"/>
      <c r="K293" s="45" t="n"/>
      <c r="L293" s="49" t="n"/>
    </row>
    <row r="294">
      <c r="A294" s="43">
        <f>IF($B294="","",COUNT($B$5:$B294))</f>
        <v/>
      </c>
      <c r="B294" s="44" t="n"/>
      <c r="C294" s="47">
        <f>IF($B294="","",CHOOSE(WEEKDAY($B294),"일","월","화","수","목","금","토"))</f>
        <v/>
      </c>
      <c r="D294" s="45" t="n"/>
      <c r="E294" s="47">
        <f>IF($D294="","",IFERROR(INDEX(코드설정!$D$5:$D$24,MATCH($D294,코드설정!$C$5:$C$24,0)),""))</f>
        <v/>
      </c>
      <c r="F294" s="45" t="n"/>
      <c r="G294" s="45" t="n"/>
      <c r="H294" s="49" t="n"/>
      <c r="I294" s="49" t="n"/>
      <c r="J294" s="52" t="n"/>
      <c r="K294" s="45" t="n"/>
      <c r="L294" s="49" t="n"/>
    </row>
    <row r="295">
      <c r="A295" s="43">
        <f>IF($B295="","",COUNT($B$5:$B295))</f>
        <v/>
      </c>
      <c r="B295" s="44" t="n"/>
      <c r="C295" s="47">
        <f>IF($B295="","",CHOOSE(WEEKDAY($B295),"일","월","화","수","목","금","토"))</f>
        <v/>
      </c>
      <c r="D295" s="45" t="n"/>
      <c r="E295" s="47">
        <f>IF($D295="","",IFERROR(INDEX(코드설정!$D$5:$D$24,MATCH($D295,코드설정!$C$5:$C$24,0)),""))</f>
        <v/>
      </c>
      <c r="F295" s="45" t="n"/>
      <c r="G295" s="45" t="n"/>
      <c r="H295" s="49" t="n"/>
      <c r="I295" s="49" t="n"/>
      <c r="J295" s="52" t="n"/>
      <c r="K295" s="45" t="n"/>
      <c r="L295" s="49" t="n"/>
    </row>
    <row r="296">
      <c r="A296" s="43">
        <f>IF($B296="","",COUNT($B$5:$B296))</f>
        <v/>
      </c>
      <c r="B296" s="44" t="n"/>
      <c r="C296" s="47">
        <f>IF($B296="","",CHOOSE(WEEKDAY($B296),"일","월","화","수","목","금","토"))</f>
        <v/>
      </c>
      <c r="D296" s="45" t="n"/>
      <c r="E296" s="47">
        <f>IF($D296="","",IFERROR(INDEX(코드설정!$D$5:$D$24,MATCH($D296,코드설정!$C$5:$C$24,0)),""))</f>
        <v/>
      </c>
      <c r="F296" s="45" t="n"/>
      <c r="G296" s="45" t="n"/>
      <c r="H296" s="49" t="n"/>
      <c r="I296" s="49" t="n"/>
      <c r="J296" s="52" t="n"/>
      <c r="K296" s="45" t="n"/>
      <c r="L296" s="49" t="n"/>
    </row>
    <row r="297">
      <c r="A297" s="43">
        <f>IF($B297="","",COUNT($B$5:$B297))</f>
        <v/>
      </c>
      <c r="B297" s="44" t="n"/>
      <c r="C297" s="47">
        <f>IF($B297="","",CHOOSE(WEEKDAY($B297),"일","월","화","수","목","금","토"))</f>
        <v/>
      </c>
      <c r="D297" s="45" t="n"/>
      <c r="E297" s="47">
        <f>IF($D297="","",IFERROR(INDEX(코드설정!$D$5:$D$24,MATCH($D297,코드설정!$C$5:$C$24,0)),""))</f>
        <v/>
      </c>
      <c r="F297" s="45" t="n"/>
      <c r="G297" s="45" t="n"/>
      <c r="H297" s="49" t="n"/>
      <c r="I297" s="49" t="n"/>
      <c r="J297" s="52" t="n"/>
      <c r="K297" s="45" t="n"/>
      <c r="L297" s="49" t="n"/>
    </row>
    <row r="298">
      <c r="A298" s="43">
        <f>IF($B298="","",COUNT($B$5:$B298))</f>
        <v/>
      </c>
      <c r="B298" s="44" t="n"/>
      <c r="C298" s="47">
        <f>IF($B298="","",CHOOSE(WEEKDAY($B298),"일","월","화","수","목","금","토"))</f>
        <v/>
      </c>
      <c r="D298" s="45" t="n"/>
      <c r="E298" s="47">
        <f>IF($D298="","",IFERROR(INDEX(코드설정!$D$5:$D$24,MATCH($D298,코드설정!$C$5:$C$24,0)),""))</f>
        <v/>
      </c>
      <c r="F298" s="45" t="n"/>
      <c r="G298" s="45" t="n"/>
      <c r="H298" s="49" t="n"/>
      <c r="I298" s="49" t="n"/>
      <c r="J298" s="52" t="n"/>
      <c r="K298" s="45" t="n"/>
      <c r="L298" s="49" t="n"/>
    </row>
    <row r="299">
      <c r="A299" s="43">
        <f>IF($B299="","",COUNT($B$5:$B299))</f>
        <v/>
      </c>
      <c r="B299" s="44" t="n"/>
      <c r="C299" s="47">
        <f>IF($B299="","",CHOOSE(WEEKDAY($B299),"일","월","화","수","목","금","토"))</f>
        <v/>
      </c>
      <c r="D299" s="45" t="n"/>
      <c r="E299" s="47">
        <f>IF($D299="","",IFERROR(INDEX(코드설정!$D$5:$D$24,MATCH($D299,코드설정!$C$5:$C$24,0)),""))</f>
        <v/>
      </c>
      <c r="F299" s="45" t="n"/>
      <c r="G299" s="45" t="n"/>
      <c r="H299" s="49" t="n"/>
      <c r="I299" s="49" t="n"/>
      <c r="J299" s="52" t="n"/>
      <c r="K299" s="45" t="n"/>
      <c r="L299" s="49" t="n"/>
    </row>
    <row r="300">
      <c r="A300" s="43">
        <f>IF($B300="","",COUNT($B$5:$B300))</f>
        <v/>
      </c>
      <c r="B300" s="44" t="n"/>
      <c r="C300" s="47">
        <f>IF($B300="","",CHOOSE(WEEKDAY($B300),"일","월","화","수","목","금","토"))</f>
        <v/>
      </c>
      <c r="D300" s="45" t="n"/>
      <c r="E300" s="47">
        <f>IF($D300="","",IFERROR(INDEX(코드설정!$D$5:$D$24,MATCH($D300,코드설정!$C$5:$C$24,0)),""))</f>
        <v/>
      </c>
      <c r="F300" s="45" t="n"/>
      <c r="G300" s="45" t="n"/>
      <c r="H300" s="49" t="n"/>
      <c r="I300" s="49" t="n"/>
      <c r="J300" s="52" t="n"/>
      <c r="K300" s="45" t="n"/>
      <c r="L300" s="49" t="n"/>
    </row>
    <row r="301">
      <c r="A301" s="43">
        <f>IF($B301="","",COUNT($B$5:$B301))</f>
        <v/>
      </c>
      <c r="B301" s="44" t="n"/>
      <c r="C301" s="47">
        <f>IF($B301="","",CHOOSE(WEEKDAY($B301),"일","월","화","수","목","금","토"))</f>
        <v/>
      </c>
      <c r="D301" s="45" t="n"/>
      <c r="E301" s="47">
        <f>IF($D301="","",IFERROR(INDEX(코드설정!$D$5:$D$24,MATCH($D301,코드설정!$C$5:$C$24,0)),""))</f>
        <v/>
      </c>
      <c r="F301" s="45" t="n"/>
      <c r="G301" s="45" t="n"/>
      <c r="H301" s="49" t="n"/>
      <c r="I301" s="49" t="n"/>
      <c r="J301" s="52" t="n"/>
      <c r="K301" s="45" t="n"/>
      <c r="L301" s="49" t="n"/>
    </row>
    <row r="302">
      <c r="A302" s="43">
        <f>IF($B302="","",COUNT($B$5:$B302))</f>
        <v/>
      </c>
      <c r="B302" s="44" t="n"/>
      <c r="C302" s="47">
        <f>IF($B302="","",CHOOSE(WEEKDAY($B302),"일","월","화","수","목","금","토"))</f>
        <v/>
      </c>
      <c r="D302" s="45" t="n"/>
      <c r="E302" s="47">
        <f>IF($D302="","",IFERROR(INDEX(코드설정!$D$5:$D$24,MATCH($D302,코드설정!$C$5:$C$24,0)),""))</f>
        <v/>
      </c>
      <c r="F302" s="45" t="n"/>
      <c r="G302" s="45" t="n"/>
      <c r="H302" s="49" t="n"/>
      <c r="I302" s="49" t="n"/>
      <c r="J302" s="52" t="n"/>
      <c r="K302" s="45" t="n"/>
      <c r="L302" s="49" t="n"/>
    </row>
    <row r="303">
      <c r="A303" s="43">
        <f>IF($B303="","",COUNT($B$5:$B303))</f>
        <v/>
      </c>
      <c r="B303" s="44" t="n"/>
      <c r="C303" s="47">
        <f>IF($B303="","",CHOOSE(WEEKDAY($B303),"일","월","화","수","목","금","토"))</f>
        <v/>
      </c>
      <c r="D303" s="45" t="n"/>
      <c r="E303" s="47">
        <f>IF($D303="","",IFERROR(INDEX(코드설정!$D$5:$D$24,MATCH($D303,코드설정!$C$5:$C$24,0)),""))</f>
        <v/>
      </c>
      <c r="F303" s="45" t="n"/>
      <c r="G303" s="45" t="n"/>
      <c r="H303" s="49" t="n"/>
      <c r="I303" s="49" t="n"/>
      <c r="J303" s="52" t="n"/>
      <c r="K303" s="45" t="n"/>
      <c r="L303" s="49" t="n"/>
    </row>
    <row r="304">
      <c r="A304" s="43">
        <f>IF($B304="","",COUNT($B$5:$B304))</f>
        <v/>
      </c>
      <c r="B304" s="44" t="n"/>
      <c r="C304" s="47">
        <f>IF($B304="","",CHOOSE(WEEKDAY($B304),"일","월","화","수","목","금","토"))</f>
        <v/>
      </c>
      <c r="D304" s="45" t="n"/>
      <c r="E304" s="47">
        <f>IF($D304="","",IFERROR(INDEX(코드설정!$D$5:$D$24,MATCH($D304,코드설정!$C$5:$C$24,0)),""))</f>
        <v/>
      </c>
      <c r="F304" s="45" t="n"/>
      <c r="G304" s="45" t="n"/>
      <c r="H304" s="49" t="n"/>
      <c r="I304" s="49" t="n"/>
      <c r="J304" s="52" t="n"/>
      <c r="K304" s="45" t="n"/>
      <c r="L304" s="49" t="n"/>
    </row>
    <row r="305">
      <c r="A305" s="43">
        <f>IF($B305="","",COUNT($B$5:$B305))</f>
        <v/>
      </c>
      <c r="B305" s="44" t="n"/>
      <c r="C305" s="47">
        <f>IF($B305="","",CHOOSE(WEEKDAY($B305),"일","월","화","수","목","금","토"))</f>
        <v/>
      </c>
      <c r="D305" s="45" t="n"/>
      <c r="E305" s="47">
        <f>IF($D305="","",IFERROR(INDEX(코드설정!$D$5:$D$24,MATCH($D305,코드설정!$C$5:$C$24,0)),""))</f>
        <v/>
      </c>
      <c r="F305" s="45" t="n"/>
      <c r="G305" s="45" t="n"/>
      <c r="H305" s="49" t="n"/>
      <c r="I305" s="49" t="n"/>
      <c r="J305" s="52" t="n"/>
      <c r="K305" s="45" t="n"/>
      <c r="L305" s="49" t="n"/>
    </row>
    <row r="306">
      <c r="A306" s="43">
        <f>IF($B306="","",COUNT($B$5:$B306))</f>
        <v/>
      </c>
      <c r="B306" s="44" t="n"/>
      <c r="C306" s="47">
        <f>IF($B306="","",CHOOSE(WEEKDAY($B306),"일","월","화","수","목","금","토"))</f>
        <v/>
      </c>
      <c r="D306" s="45" t="n"/>
      <c r="E306" s="47">
        <f>IF($D306="","",IFERROR(INDEX(코드설정!$D$5:$D$24,MATCH($D306,코드설정!$C$5:$C$24,0)),""))</f>
        <v/>
      </c>
      <c r="F306" s="45" t="n"/>
      <c r="G306" s="45" t="n"/>
      <c r="H306" s="49" t="n"/>
      <c r="I306" s="49" t="n"/>
      <c r="J306" s="52" t="n"/>
      <c r="K306" s="45" t="n"/>
      <c r="L306" s="49" t="n"/>
    </row>
    <row r="307">
      <c r="A307" s="43">
        <f>IF($B307="","",COUNT($B$5:$B307))</f>
        <v/>
      </c>
      <c r="B307" s="44" t="n"/>
      <c r="C307" s="47">
        <f>IF($B307="","",CHOOSE(WEEKDAY($B307),"일","월","화","수","목","금","토"))</f>
        <v/>
      </c>
      <c r="D307" s="45" t="n"/>
      <c r="E307" s="47">
        <f>IF($D307="","",IFERROR(INDEX(코드설정!$D$5:$D$24,MATCH($D307,코드설정!$C$5:$C$24,0)),""))</f>
        <v/>
      </c>
      <c r="F307" s="45" t="n"/>
      <c r="G307" s="45" t="n"/>
      <c r="H307" s="49" t="n"/>
      <c r="I307" s="49" t="n"/>
      <c r="J307" s="52" t="n"/>
      <c r="K307" s="45" t="n"/>
      <c r="L307" s="49" t="n"/>
    </row>
    <row r="308">
      <c r="A308" s="43">
        <f>IF($B308="","",COUNT($B$5:$B308))</f>
        <v/>
      </c>
      <c r="B308" s="44" t="n"/>
      <c r="C308" s="47">
        <f>IF($B308="","",CHOOSE(WEEKDAY($B308),"일","월","화","수","목","금","토"))</f>
        <v/>
      </c>
      <c r="D308" s="45" t="n"/>
      <c r="E308" s="47">
        <f>IF($D308="","",IFERROR(INDEX(코드설정!$D$5:$D$24,MATCH($D308,코드설정!$C$5:$C$24,0)),""))</f>
        <v/>
      </c>
      <c r="F308" s="45" t="n"/>
      <c r="G308" s="45" t="n"/>
      <c r="H308" s="49" t="n"/>
      <c r="I308" s="49" t="n"/>
      <c r="J308" s="52" t="n"/>
      <c r="K308" s="45" t="n"/>
      <c r="L308" s="49" t="n"/>
    </row>
    <row r="309">
      <c r="A309" s="43">
        <f>IF($B309="","",COUNT($B$5:$B309))</f>
        <v/>
      </c>
      <c r="B309" s="44" t="n"/>
      <c r="C309" s="47">
        <f>IF($B309="","",CHOOSE(WEEKDAY($B309),"일","월","화","수","목","금","토"))</f>
        <v/>
      </c>
      <c r="D309" s="45" t="n"/>
      <c r="E309" s="47">
        <f>IF($D309="","",IFERROR(INDEX(코드설정!$D$5:$D$24,MATCH($D309,코드설정!$C$5:$C$24,0)),""))</f>
        <v/>
      </c>
      <c r="F309" s="45" t="n"/>
      <c r="G309" s="45" t="n"/>
      <c r="H309" s="49" t="n"/>
      <c r="I309" s="49" t="n"/>
      <c r="J309" s="52" t="n"/>
      <c r="K309" s="45" t="n"/>
      <c r="L309" s="49" t="n"/>
    </row>
    <row r="310">
      <c r="A310" s="43">
        <f>IF($B310="","",COUNT($B$5:$B310))</f>
        <v/>
      </c>
      <c r="B310" s="44" t="n"/>
      <c r="C310" s="47">
        <f>IF($B310="","",CHOOSE(WEEKDAY($B310),"일","월","화","수","목","금","토"))</f>
        <v/>
      </c>
      <c r="D310" s="45" t="n"/>
      <c r="E310" s="47">
        <f>IF($D310="","",IFERROR(INDEX(코드설정!$D$5:$D$24,MATCH($D310,코드설정!$C$5:$C$24,0)),""))</f>
        <v/>
      </c>
      <c r="F310" s="45" t="n"/>
      <c r="G310" s="45" t="n"/>
      <c r="H310" s="49" t="n"/>
      <c r="I310" s="49" t="n"/>
      <c r="J310" s="52" t="n"/>
      <c r="K310" s="45" t="n"/>
      <c r="L310" s="49" t="n"/>
    </row>
    <row r="311">
      <c r="A311" s="43">
        <f>IF($B311="","",COUNT($B$5:$B311))</f>
        <v/>
      </c>
      <c r="B311" s="44" t="n"/>
      <c r="C311" s="47">
        <f>IF($B311="","",CHOOSE(WEEKDAY($B311),"일","월","화","수","목","금","토"))</f>
        <v/>
      </c>
      <c r="D311" s="45" t="n"/>
      <c r="E311" s="47">
        <f>IF($D311="","",IFERROR(INDEX(코드설정!$D$5:$D$24,MATCH($D311,코드설정!$C$5:$C$24,0)),""))</f>
        <v/>
      </c>
      <c r="F311" s="45" t="n"/>
      <c r="G311" s="45" t="n"/>
      <c r="H311" s="49" t="n"/>
      <c r="I311" s="49" t="n"/>
      <c r="J311" s="52" t="n"/>
      <c r="K311" s="45" t="n"/>
      <c r="L311" s="49" t="n"/>
    </row>
    <row r="312">
      <c r="A312" s="43">
        <f>IF($B312="","",COUNT($B$5:$B312))</f>
        <v/>
      </c>
      <c r="B312" s="44" t="n"/>
      <c r="C312" s="47">
        <f>IF($B312="","",CHOOSE(WEEKDAY($B312),"일","월","화","수","목","금","토"))</f>
        <v/>
      </c>
      <c r="D312" s="45" t="n"/>
      <c r="E312" s="47">
        <f>IF($D312="","",IFERROR(INDEX(코드설정!$D$5:$D$24,MATCH($D312,코드설정!$C$5:$C$24,0)),""))</f>
        <v/>
      </c>
      <c r="F312" s="45" t="n"/>
      <c r="G312" s="45" t="n"/>
      <c r="H312" s="49" t="n"/>
      <c r="I312" s="49" t="n"/>
      <c r="J312" s="52" t="n"/>
      <c r="K312" s="45" t="n"/>
      <c r="L312" s="49" t="n"/>
    </row>
    <row r="313">
      <c r="A313" s="43">
        <f>IF($B313="","",COUNT($B$5:$B313))</f>
        <v/>
      </c>
      <c r="B313" s="44" t="n"/>
      <c r="C313" s="47">
        <f>IF($B313="","",CHOOSE(WEEKDAY($B313),"일","월","화","수","목","금","토"))</f>
        <v/>
      </c>
      <c r="D313" s="45" t="n"/>
      <c r="E313" s="47">
        <f>IF($D313="","",IFERROR(INDEX(코드설정!$D$5:$D$24,MATCH($D313,코드설정!$C$5:$C$24,0)),""))</f>
        <v/>
      </c>
      <c r="F313" s="45" t="n"/>
      <c r="G313" s="45" t="n"/>
      <c r="H313" s="49" t="n"/>
      <c r="I313" s="49" t="n"/>
      <c r="J313" s="52" t="n"/>
      <c r="K313" s="45" t="n"/>
      <c r="L313" s="49" t="n"/>
    </row>
    <row r="314">
      <c r="A314" s="43">
        <f>IF($B314="","",COUNT($B$5:$B314))</f>
        <v/>
      </c>
      <c r="B314" s="44" t="n"/>
      <c r="C314" s="47">
        <f>IF($B314="","",CHOOSE(WEEKDAY($B314),"일","월","화","수","목","금","토"))</f>
        <v/>
      </c>
      <c r="D314" s="45" t="n"/>
      <c r="E314" s="47">
        <f>IF($D314="","",IFERROR(INDEX(코드설정!$D$5:$D$24,MATCH($D314,코드설정!$C$5:$C$24,0)),""))</f>
        <v/>
      </c>
      <c r="F314" s="45" t="n"/>
      <c r="G314" s="45" t="n"/>
      <c r="H314" s="49" t="n"/>
      <c r="I314" s="49" t="n"/>
      <c r="J314" s="52" t="n"/>
      <c r="K314" s="45" t="n"/>
      <c r="L314" s="49" t="n"/>
    </row>
    <row r="315">
      <c r="A315" s="43">
        <f>IF($B315="","",COUNT($B$5:$B315))</f>
        <v/>
      </c>
      <c r="B315" s="44" t="n"/>
      <c r="C315" s="47">
        <f>IF($B315="","",CHOOSE(WEEKDAY($B315),"일","월","화","수","목","금","토"))</f>
        <v/>
      </c>
      <c r="D315" s="45" t="n"/>
      <c r="E315" s="47">
        <f>IF($D315="","",IFERROR(INDEX(코드설정!$D$5:$D$24,MATCH($D315,코드설정!$C$5:$C$24,0)),""))</f>
        <v/>
      </c>
      <c r="F315" s="45" t="n"/>
      <c r="G315" s="45" t="n"/>
      <c r="H315" s="49" t="n"/>
      <c r="I315" s="49" t="n"/>
      <c r="J315" s="52" t="n"/>
      <c r="K315" s="45" t="n"/>
      <c r="L315" s="49" t="n"/>
    </row>
    <row r="316">
      <c r="A316" s="43">
        <f>IF($B316="","",COUNT($B$5:$B316))</f>
        <v/>
      </c>
      <c r="B316" s="44" t="n"/>
      <c r="C316" s="47">
        <f>IF($B316="","",CHOOSE(WEEKDAY($B316),"일","월","화","수","목","금","토"))</f>
        <v/>
      </c>
      <c r="D316" s="45" t="n"/>
      <c r="E316" s="47">
        <f>IF($D316="","",IFERROR(INDEX(코드설정!$D$5:$D$24,MATCH($D316,코드설정!$C$5:$C$24,0)),""))</f>
        <v/>
      </c>
      <c r="F316" s="45" t="n"/>
      <c r="G316" s="45" t="n"/>
      <c r="H316" s="49" t="n"/>
      <c r="I316" s="49" t="n"/>
      <c r="J316" s="52" t="n"/>
      <c r="K316" s="45" t="n"/>
      <c r="L316" s="49" t="n"/>
    </row>
    <row r="317">
      <c r="A317" s="43">
        <f>IF($B317="","",COUNT($B$5:$B317))</f>
        <v/>
      </c>
      <c r="B317" s="44" t="n"/>
      <c r="C317" s="47">
        <f>IF($B317="","",CHOOSE(WEEKDAY($B317),"일","월","화","수","목","금","토"))</f>
        <v/>
      </c>
      <c r="D317" s="45" t="n"/>
      <c r="E317" s="47">
        <f>IF($D317="","",IFERROR(INDEX(코드설정!$D$5:$D$24,MATCH($D317,코드설정!$C$5:$C$24,0)),""))</f>
        <v/>
      </c>
      <c r="F317" s="45" t="n"/>
      <c r="G317" s="45" t="n"/>
      <c r="H317" s="49" t="n"/>
      <c r="I317" s="49" t="n"/>
      <c r="J317" s="52" t="n"/>
      <c r="K317" s="45" t="n"/>
      <c r="L317" s="49" t="n"/>
    </row>
    <row r="318">
      <c r="A318" s="43">
        <f>IF($B318="","",COUNT($B$5:$B318))</f>
        <v/>
      </c>
      <c r="B318" s="44" t="n"/>
      <c r="C318" s="47">
        <f>IF($B318="","",CHOOSE(WEEKDAY($B318),"일","월","화","수","목","금","토"))</f>
        <v/>
      </c>
      <c r="D318" s="45" t="n"/>
      <c r="E318" s="47">
        <f>IF($D318="","",IFERROR(INDEX(코드설정!$D$5:$D$24,MATCH($D318,코드설정!$C$5:$C$24,0)),""))</f>
        <v/>
      </c>
      <c r="F318" s="45" t="n"/>
      <c r="G318" s="45" t="n"/>
      <c r="H318" s="49" t="n"/>
      <c r="I318" s="49" t="n"/>
      <c r="J318" s="52" t="n"/>
      <c r="K318" s="45" t="n"/>
      <c r="L318" s="49" t="n"/>
    </row>
    <row r="319">
      <c r="A319" s="43">
        <f>IF($B319="","",COUNT($B$5:$B319))</f>
        <v/>
      </c>
      <c r="B319" s="44" t="n"/>
      <c r="C319" s="47">
        <f>IF($B319="","",CHOOSE(WEEKDAY($B319),"일","월","화","수","목","금","토"))</f>
        <v/>
      </c>
      <c r="D319" s="45" t="n"/>
      <c r="E319" s="47">
        <f>IF($D319="","",IFERROR(INDEX(코드설정!$D$5:$D$24,MATCH($D319,코드설정!$C$5:$C$24,0)),""))</f>
        <v/>
      </c>
      <c r="F319" s="45" t="n"/>
      <c r="G319" s="45" t="n"/>
      <c r="H319" s="49" t="n"/>
      <c r="I319" s="49" t="n"/>
      <c r="J319" s="52" t="n"/>
      <c r="K319" s="45" t="n"/>
      <c r="L319" s="49" t="n"/>
    </row>
    <row r="320">
      <c r="A320" s="43">
        <f>IF($B320="","",COUNT($B$5:$B320))</f>
        <v/>
      </c>
      <c r="B320" s="44" t="n"/>
      <c r="C320" s="47">
        <f>IF($B320="","",CHOOSE(WEEKDAY($B320),"일","월","화","수","목","금","토"))</f>
        <v/>
      </c>
      <c r="D320" s="45" t="n"/>
      <c r="E320" s="47">
        <f>IF($D320="","",IFERROR(INDEX(코드설정!$D$5:$D$24,MATCH($D320,코드설정!$C$5:$C$24,0)),""))</f>
        <v/>
      </c>
      <c r="F320" s="45" t="n"/>
      <c r="G320" s="45" t="n"/>
      <c r="H320" s="49" t="n"/>
      <c r="I320" s="49" t="n"/>
      <c r="J320" s="52" t="n"/>
      <c r="K320" s="45" t="n"/>
      <c r="L320" s="49" t="n"/>
    </row>
    <row r="321">
      <c r="A321" s="43">
        <f>IF($B321="","",COUNT($B$5:$B321))</f>
        <v/>
      </c>
      <c r="B321" s="44" t="n"/>
      <c r="C321" s="47">
        <f>IF($B321="","",CHOOSE(WEEKDAY($B321),"일","월","화","수","목","금","토"))</f>
        <v/>
      </c>
      <c r="D321" s="45" t="n"/>
      <c r="E321" s="47">
        <f>IF($D321="","",IFERROR(INDEX(코드설정!$D$5:$D$24,MATCH($D321,코드설정!$C$5:$C$24,0)),""))</f>
        <v/>
      </c>
      <c r="F321" s="45" t="n"/>
      <c r="G321" s="45" t="n"/>
      <c r="H321" s="49" t="n"/>
      <c r="I321" s="49" t="n"/>
      <c r="J321" s="52" t="n"/>
      <c r="K321" s="45" t="n"/>
      <c r="L321" s="49" t="n"/>
    </row>
    <row r="322">
      <c r="A322" s="43">
        <f>IF($B322="","",COUNT($B$5:$B322))</f>
        <v/>
      </c>
      <c r="B322" s="44" t="n"/>
      <c r="C322" s="47">
        <f>IF($B322="","",CHOOSE(WEEKDAY($B322),"일","월","화","수","목","금","토"))</f>
        <v/>
      </c>
      <c r="D322" s="45" t="n"/>
      <c r="E322" s="47">
        <f>IF($D322="","",IFERROR(INDEX(코드설정!$D$5:$D$24,MATCH($D322,코드설정!$C$5:$C$24,0)),""))</f>
        <v/>
      </c>
      <c r="F322" s="45" t="n"/>
      <c r="G322" s="45" t="n"/>
      <c r="H322" s="49" t="n"/>
      <c r="I322" s="49" t="n"/>
      <c r="J322" s="52" t="n"/>
      <c r="K322" s="45" t="n"/>
      <c r="L322" s="49" t="n"/>
    </row>
    <row r="323">
      <c r="A323" s="43">
        <f>IF($B323="","",COUNT($B$5:$B323))</f>
        <v/>
      </c>
      <c r="B323" s="44" t="n"/>
      <c r="C323" s="47">
        <f>IF($B323="","",CHOOSE(WEEKDAY($B323),"일","월","화","수","목","금","토"))</f>
        <v/>
      </c>
      <c r="D323" s="45" t="n"/>
      <c r="E323" s="47">
        <f>IF($D323="","",IFERROR(INDEX(코드설정!$D$5:$D$24,MATCH($D323,코드설정!$C$5:$C$24,0)),""))</f>
        <v/>
      </c>
      <c r="F323" s="45" t="n"/>
      <c r="G323" s="45" t="n"/>
      <c r="H323" s="49" t="n"/>
      <c r="I323" s="49" t="n"/>
      <c r="J323" s="52" t="n"/>
      <c r="K323" s="45" t="n"/>
      <c r="L323" s="49" t="n"/>
    </row>
    <row r="324">
      <c r="A324" s="43">
        <f>IF($B324="","",COUNT($B$5:$B324))</f>
        <v/>
      </c>
      <c r="B324" s="44" t="n"/>
      <c r="C324" s="47">
        <f>IF($B324="","",CHOOSE(WEEKDAY($B324),"일","월","화","수","목","금","토"))</f>
        <v/>
      </c>
      <c r="D324" s="45" t="n"/>
      <c r="E324" s="47">
        <f>IF($D324="","",IFERROR(INDEX(코드설정!$D$5:$D$24,MATCH($D324,코드설정!$C$5:$C$24,0)),""))</f>
        <v/>
      </c>
      <c r="F324" s="45" t="n"/>
      <c r="G324" s="45" t="n"/>
      <c r="H324" s="49" t="n"/>
      <c r="I324" s="49" t="n"/>
      <c r="J324" s="52" t="n"/>
      <c r="K324" s="45" t="n"/>
      <c r="L324" s="49" t="n"/>
    </row>
    <row r="325">
      <c r="A325" s="43">
        <f>IF($B325="","",COUNT($B$5:$B325))</f>
        <v/>
      </c>
      <c r="B325" s="44" t="n"/>
      <c r="C325" s="47">
        <f>IF($B325="","",CHOOSE(WEEKDAY($B325),"일","월","화","수","목","금","토"))</f>
        <v/>
      </c>
      <c r="D325" s="45" t="n"/>
      <c r="E325" s="47">
        <f>IF($D325="","",IFERROR(INDEX(코드설정!$D$5:$D$24,MATCH($D325,코드설정!$C$5:$C$24,0)),""))</f>
        <v/>
      </c>
      <c r="F325" s="45" t="n"/>
      <c r="G325" s="45" t="n"/>
      <c r="H325" s="49" t="n"/>
      <c r="I325" s="49" t="n"/>
      <c r="J325" s="52" t="n"/>
      <c r="K325" s="45" t="n"/>
      <c r="L325" s="49" t="n"/>
    </row>
    <row r="326">
      <c r="A326" s="43">
        <f>IF($B326="","",COUNT($B$5:$B326))</f>
        <v/>
      </c>
      <c r="B326" s="44" t="n"/>
      <c r="C326" s="47">
        <f>IF($B326="","",CHOOSE(WEEKDAY($B326),"일","월","화","수","목","금","토"))</f>
        <v/>
      </c>
      <c r="D326" s="45" t="n"/>
      <c r="E326" s="47">
        <f>IF($D326="","",IFERROR(INDEX(코드설정!$D$5:$D$24,MATCH($D326,코드설정!$C$5:$C$24,0)),""))</f>
        <v/>
      </c>
      <c r="F326" s="45" t="n"/>
      <c r="G326" s="45" t="n"/>
      <c r="H326" s="49" t="n"/>
      <c r="I326" s="49" t="n"/>
      <c r="J326" s="52" t="n"/>
      <c r="K326" s="45" t="n"/>
      <c r="L326" s="49" t="n"/>
    </row>
    <row r="327">
      <c r="A327" s="43">
        <f>IF($B327="","",COUNT($B$5:$B327))</f>
        <v/>
      </c>
      <c r="B327" s="44" t="n"/>
      <c r="C327" s="47">
        <f>IF($B327="","",CHOOSE(WEEKDAY($B327),"일","월","화","수","목","금","토"))</f>
        <v/>
      </c>
      <c r="D327" s="45" t="n"/>
      <c r="E327" s="47">
        <f>IF($D327="","",IFERROR(INDEX(코드설정!$D$5:$D$24,MATCH($D327,코드설정!$C$5:$C$24,0)),""))</f>
        <v/>
      </c>
      <c r="F327" s="45" t="n"/>
      <c r="G327" s="45" t="n"/>
      <c r="H327" s="49" t="n"/>
      <c r="I327" s="49" t="n"/>
      <c r="J327" s="52" t="n"/>
      <c r="K327" s="45" t="n"/>
      <c r="L327" s="49" t="n"/>
    </row>
    <row r="328">
      <c r="A328" s="43">
        <f>IF($B328="","",COUNT($B$5:$B328))</f>
        <v/>
      </c>
      <c r="B328" s="44" t="n"/>
      <c r="C328" s="47">
        <f>IF($B328="","",CHOOSE(WEEKDAY($B328),"일","월","화","수","목","금","토"))</f>
        <v/>
      </c>
      <c r="D328" s="45" t="n"/>
      <c r="E328" s="47">
        <f>IF($D328="","",IFERROR(INDEX(코드설정!$D$5:$D$24,MATCH($D328,코드설정!$C$5:$C$24,0)),""))</f>
        <v/>
      </c>
      <c r="F328" s="45" t="n"/>
      <c r="G328" s="45" t="n"/>
      <c r="H328" s="49" t="n"/>
      <c r="I328" s="49" t="n"/>
      <c r="J328" s="52" t="n"/>
      <c r="K328" s="45" t="n"/>
      <c r="L328" s="49" t="n"/>
    </row>
    <row r="329">
      <c r="A329" s="43">
        <f>IF($B329="","",COUNT($B$5:$B329))</f>
        <v/>
      </c>
      <c r="B329" s="44" t="n"/>
      <c r="C329" s="47">
        <f>IF($B329="","",CHOOSE(WEEKDAY($B329),"일","월","화","수","목","금","토"))</f>
        <v/>
      </c>
      <c r="D329" s="45" t="n"/>
      <c r="E329" s="47">
        <f>IF($D329="","",IFERROR(INDEX(코드설정!$D$5:$D$24,MATCH($D329,코드설정!$C$5:$C$24,0)),""))</f>
        <v/>
      </c>
      <c r="F329" s="45" t="n"/>
      <c r="G329" s="45" t="n"/>
      <c r="H329" s="49" t="n"/>
      <c r="I329" s="49" t="n"/>
      <c r="J329" s="52" t="n"/>
      <c r="K329" s="45" t="n"/>
      <c r="L329" s="49" t="n"/>
    </row>
    <row r="330">
      <c r="A330" s="43">
        <f>IF($B330="","",COUNT($B$5:$B330))</f>
        <v/>
      </c>
      <c r="B330" s="44" t="n"/>
      <c r="C330" s="47">
        <f>IF($B330="","",CHOOSE(WEEKDAY($B330),"일","월","화","수","목","금","토"))</f>
        <v/>
      </c>
      <c r="D330" s="45" t="n"/>
      <c r="E330" s="47">
        <f>IF($D330="","",IFERROR(INDEX(코드설정!$D$5:$D$24,MATCH($D330,코드설정!$C$5:$C$24,0)),""))</f>
        <v/>
      </c>
      <c r="F330" s="45" t="n"/>
      <c r="G330" s="45" t="n"/>
      <c r="H330" s="49" t="n"/>
      <c r="I330" s="49" t="n"/>
      <c r="J330" s="52" t="n"/>
      <c r="K330" s="45" t="n"/>
      <c r="L330" s="49" t="n"/>
    </row>
    <row r="331">
      <c r="A331" s="43">
        <f>IF($B331="","",COUNT($B$5:$B331))</f>
        <v/>
      </c>
      <c r="B331" s="44" t="n"/>
      <c r="C331" s="47">
        <f>IF($B331="","",CHOOSE(WEEKDAY($B331),"일","월","화","수","목","금","토"))</f>
        <v/>
      </c>
      <c r="D331" s="45" t="n"/>
      <c r="E331" s="47">
        <f>IF($D331="","",IFERROR(INDEX(코드설정!$D$5:$D$24,MATCH($D331,코드설정!$C$5:$C$24,0)),""))</f>
        <v/>
      </c>
      <c r="F331" s="45" t="n"/>
      <c r="G331" s="45" t="n"/>
      <c r="H331" s="49" t="n"/>
      <c r="I331" s="49" t="n"/>
      <c r="J331" s="52" t="n"/>
      <c r="K331" s="45" t="n"/>
      <c r="L331" s="49" t="n"/>
    </row>
    <row r="332">
      <c r="A332" s="43">
        <f>IF($B332="","",COUNT($B$5:$B332))</f>
        <v/>
      </c>
      <c r="B332" s="44" t="n"/>
      <c r="C332" s="47">
        <f>IF($B332="","",CHOOSE(WEEKDAY($B332),"일","월","화","수","목","금","토"))</f>
        <v/>
      </c>
      <c r="D332" s="45" t="n"/>
      <c r="E332" s="47">
        <f>IF($D332="","",IFERROR(INDEX(코드설정!$D$5:$D$24,MATCH($D332,코드설정!$C$5:$C$24,0)),""))</f>
        <v/>
      </c>
      <c r="F332" s="45" t="n"/>
      <c r="G332" s="45" t="n"/>
      <c r="H332" s="49" t="n"/>
      <c r="I332" s="49" t="n"/>
      <c r="J332" s="52" t="n"/>
      <c r="K332" s="45" t="n"/>
      <c r="L332" s="49" t="n"/>
    </row>
    <row r="333">
      <c r="A333" s="43">
        <f>IF($B333="","",COUNT($B$5:$B333))</f>
        <v/>
      </c>
      <c r="B333" s="44" t="n"/>
      <c r="C333" s="47">
        <f>IF($B333="","",CHOOSE(WEEKDAY($B333),"일","월","화","수","목","금","토"))</f>
        <v/>
      </c>
      <c r="D333" s="45" t="n"/>
      <c r="E333" s="47">
        <f>IF($D333="","",IFERROR(INDEX(코드설정!$D$5:$D$24,MATCH($D333,코드설정!$C$5:$C$24,0)),""))</f>
        <v/>
      </c>
      <c r="F333" s="45" t="n"/>
      <c r="G333" s="45" t="n"/>
      <c r="H333" s="49" t="n"/>
      <c r="I333" s="49" t="n"/>
      <c r="J333" s="52" t="n"/>
      <c r="K333" s="45" t="n"/>
      <c r="L333" s="49" t="n"/>
    </row>
    <row r="334">
      <c r="A334" s="43">
        <f>IF($B334="","",COUNT($B$5:$B334))</f>
        <v/>
      </c>
      <c r="B334" s="44" t="n"/>
      <c r="C334" s="47">
        <f>IF($B334="","",CHOOSE(WEEKDAY($B334),"일","월","화","수","목","금","토"))</f>
        <v/>
      </c>
      <c r="D334" s="45" t="n"/>
      <c r="E334" s="47">
        <f>IF($D334="","",IFERROR(INDEX(코드설정!$D$5:$D$24,MATCH($D334,코드설정!$C$5:$C$24,0)),""))</f>
        <v/>
      </c>
      <c r="F334" s="45" t="n"/>
      <c r="G334" s="45" t="n"/>
      <c r="H334" s="49" t="n"/>
      <c r="I334" s="49" t="n"/>
      <c r="J334" s="52" t="n"/>
      <c r="K334" s="45" t="n"/>
      <c r="L334" s="49" t="n"/>
    </row>
    <row r="335">
      <c r="A335" s="43">
        <f>IF($B335="","",COUNT($B$5:$B335))</f>
        <v/>
      </c>
      <c r="B335" s="44" t="n"/>
      <c r="C335" s="47">
        <f>IF($B335="","",CHOOSE(WEEKDAY($B335),"일","월","화","수","목","금","토"))</f>
        <v/>
      </c>
      <c r="D335" s="45" t="n"/>
      <c r="E335" s="47">
        <f>IF($D335="","",IFERROR(INDEX(코드설정!$D$5:$D$24,MATCH($D335,코드설정!$C$5:$C$24,0)),""))</f>
        <v/>
      </c>
      <c r="F335" s="45" t="n"/>
      <c r="G335" s="45" t="n"/>
      <c r="H335" s="49" t="n"/>
      <c r="I335" s="49" t="n"/>
      <c r="J335" s="52" t="n"/>
      <c r="K335" s="45" t="n"/>
      <c r="L335" s="49" t="n"/>
    </row>
    <row r="336">
      <c r="A336" s="43">
        <f>IF($B336="","",COUNT($B$5:$B336))</f>
        <v/>
      </c>
      <c r="B336" s="44" t="n"/>
      <c r="C336" s="47">
        <f>IF($B336="","",CHOOSE(WEEKDAY($B336),"일","월","화","수","목","금","토"))</f>
        <v/>
      </c>
      <c r="D336" s="45" t="n"/>
      <c r="E336" s="47">
        <f>IF($D336="","",IFERROR(INDEX(코드설정!$D$5:$D$24,MATCH($D336,코드설정!$C$5:$C$24,0)),""))</f>
        <v/>
      </c>
      <c r="F336" s="45" t="n"/>
      <c r="G336" s="45" t="n"/>
      <c r="H336" s="49" t="n"/>
      <c r="I336" s="49" t="n"/>
      <c r="J336" s="52" t="n"/>
      <c r="K336" s="45" t="n"/>
      <c r="L336" s="49" t="n"/>
    </row>
    <row r="337">
      <c r="A337" s="43">
        <f>IF($B337="","",COUNT($B$5:$B337))</f>
        <v/>
      </c>
      <c r="B337" s="44" t="n"/>
      <c r="C337" s="47">
        <f>IF($B337="","",CHOOSE(WEEKDAY($B337),"일","월","화","수","목","금","토"))</f>
        <v/>
      </c>
      <c r="D337" s="45" t="n"/>
      <c r="E337" s="47">
        <f>IF($D337="","",IFERROR(INDEX(코드설정!$D$5:$D$24,MATCH($D337,코드설정!$C$5:$C$24,0)),""))</f>
        <v/>
      </c>
      <c r="F337" s="45" t="n"/>
      <c r="G337" s="45" t="n"/>
      <c r="H337" s="49" t="n"/>
      <c r="I337" s="49" t="n"/>
      <c r="J337" s="52" t="n"/>
      <c r="K337" s="45" t="n"/>
      <c r="L337" s="49" t="n"/>
    </row>
    <row r="338">
      <c r="A338" s="43">
        <f>IF($B338="","",COUNT($B$5:$B338))</f>
        <v/>
      </c>
      <c r="B338" s="44" t="n"/>
      <c r="C338" s="47">
        <f>IF($B338="","",CHOOSE(WEEKDAY($B338),"일","월","화","수","목","금","토"))</f>
        <v/>
      </c>
      <c r="D338" s="45" t="n"/>
      <c r="E338" s="47">
        <f>IF($D338="","",IFERROR(INDEX(코드설정!$D$5:$D$24,MATCH($D338,코드설정!$C$5:$C$24,0)),""))</f>
        <v/>
      </c>
      <c r="F338" s="45" t="n"/>
      <c r="G338" s="45" t="n"/>
      <c r="H338" s="49" t="n"/>
      <c r="I338" s="49" t="n"/>
      <c r="J338" s="52" t="n"/>
      <c r="K338" s="45" t="n"/>
      <c r="L338" s="49" t="n"/>
    </row>
    <row r="339">
      <c r="A339" s="43">
        <f>IF($B339="","",COUNT($B$5:$B339))</f>
        <v/>
      </c>
      <c r="B339" s="44" t="n"/>
      <c r="C339" s="47">
        <f>IF($B339="","",CHOOSE(WEEKDAY($B339),"일","월","화","수","목","금","토"))</f>
        <v/>
      </c>
      <c r="D339" s="45" t="n"/>
      <c r="E339" s="47">
        <f>IF($D339="","",IFERROR(INDEX(코드설정!$D$5:$D$24,MATCH($D339,코드설정!$C$5:$C$24,0)),""))</f>
        <v/>
      </c>
      <c r="F339" s="45" t="n"/>
      <c r="G339" s="45" t="n"/>
      <c r="H339" s="49" t="n"/>
      <c r="I339" s="49" t="n"/>
      <c r="J339" s="52" t="n"/>
      <c r="K339" s="45" t="n"/>
      <c r="L339" s="49" t="n"/>
    </row>
    <row r="340">
      <c r="A340" s="43">
        <f>IF($B340="","",COUNT($B$5:$B340))</f>
        <v/>
      </c>
      <c r="B340" s="44" t="n"/>
      <c r="C340" s="47">
        <f>IF($B340="","",CHOOSE(WEEKDAY($B340),"일","월","화","수","목","금","토"))</f>
        <v/>
      </c>
      <c r="D340" s="45" t="n"/>
      <c r="E340" s="47">
        <f>IF($D340="","",IFERROR(INDEX(코드설정!$D$5:$D$24,MATCH($D340,코드설정!$C$5:$C$24,0)),""))</f>
        <v/>
      </c>
      <c r="F340" s="45" t="n"/>
      <c r="G340" s="45" t="n"/>
      <c r="H340" s="49" t="n"/>
      <c r="I340" s="49" t="n"/>
      <c r="J340" s="52" t="n"/>
      <c r="K340" s="45" t="n"/>
      <c r="L340" s="49" t="n"/>
    </row>
    <row r="341">
      <c r="A341" s="43">
        <f>IF($B341="","",COUNT($B$5:$B341))</f>
        <v/>
      </c>
      <c r="B341" s="44" t="n"/>
      <c r="C341" s="47">
        <f>IF($B341="","",CHOOSE(WEEKDAY($B341),"일","월","화","수","목","금","토"))</f>
        <v/>
      </c>
      <c r="D341" s="45" t="n"/>
      <c r="E341" s="47">
        <f>IF($D341="","",IFERROR(INDEX(코드설정!$D$5:$D$24,MATCH($D341,코드설정!$C$5:$C$24,0)),""))</f>
        <v/>
      </c>
      <c r="F341" s="45" t="n"/>
      <c r="G341" s="45" t="n"/>
      <c r="H341" s="49" t="n"/>
      <c r="I341" s="49" t="n"/>
      <c r="J341" s="52" t="n"/>
      <c r="K341" s="45" t="n"/>
      <c r="L341" s="49" t="n"/>
    </row>
    <row r="342">
      <c r="A342" s="43">
        <f>IF($B342="","",COUNT($B$5:$B342))</f>
        <v/>
      </c>
      <c r="B342" s="44" t="n"/>
      <c r="C342" s="47">
        <f>IF($B342="","",CHOOSE(WEEKDAY($B342),"일","월","화","수","목","금","토"))</f>
        <v/>
      </c>
      <c r="D342" s="45" t="n"/>
      <c r="E342" s="47">
        <f>IF($D342="","",IFERROR(INDEX(코드설정!$D$5:$D$24,MATCH($D342,코드설정!$C$5:$C$24,0)),""))</f>
        <v/>
      </c>
      <c r="F342" s="45" t="n"/>
      <c r="G342" s="45" t="n"/>
      <c r="H342" s="49" t="n"/>
      <c r="I342" s="49" t="n"/>
      <c r="J342" s="52" t="n"/>
      <c r="K342" s="45" t="n"/>
      <c r="L342" s="49" t="n"/>
    </row>
    <row r="343">
      <c r="A343" s="43">
        <f>IF($B343="","",COUNT($B$5:$B343))</f>
        <v/>
      </c>
      <c r="B343" s="44" t="n"/>
      <c r="C343" s="47">
        <f>IF($B343="","",CHOOSE(WEEKDAY($B343),"일","월","화","수","목","금","토"))</f>
        <v/>
      </c>
      <c r="D343" s="45" t="n"/>
      <c r="E343" s="47">
        <f>IF($D343="","",IFERROR(INDEX(코드설정!$D$5:$D$24,MATCH($D343,코드설정!$C$5:$C$24,0)),""))</f>
        <v/>
      </c>
      <c r="F343" s="45" t="n"/>
      <c r="G343" s="45" t="n"/>
      <c r="H343" s="49" t="n"/>
      <c r="I343" s="49" t="n"/>
      <c r="J343" s="52" t="n"/>
      <c r="K343" s="45" t="n"/>
      <c r="L343" s="49" t="n"/>
    </row>
    <row r="344">
      <c r="A344" s="43">
        <f>IF($B344="","",COUNT($B$5:$B344))</f>
        <v/>
      </c>
      <c r="B344" s="44" t="n"/>
      <c r="C344" s="47">
        <f>IF($B344="","",CHOOSE(WEEKDAY($B344),"일","월","화","수","목","금","토"))</f>
        <v/>
      </c>
      <c r="D344" s="45" t="n"/>
      <c r="E344" s="47">
        <f>IF($D344="","",IFERROR(INDEX(코드설정!$D$5:$D$24,MATCH($D344,코드설정!$C$5:$C$24,0)),""))</f>
        <v/>
      </c>
      <c r="F344" s="45" t="n"/>
      <c r="G344" s="45" t="n"/>
      <c r="H344" s="49" t="n"/>
      <c r="I344" s="49" t="n"/>
      <c r="J344" s="52" t="n"/>
      <c r="K344" s="45" t="n"/>
      <c r="L344" s="49" t="n"/>
    </row>
    <row r="345">
      <c r="A345" s="43">
        <f>IF($B345="","",COUNT($B$5:$B345))</f>
        <v/>
      </c>
      <c r="B345" s="44" t="n"/>
      <c r="C345" s="47">
        <f>IF($B345="","",CHOOSE(WEEKDAY($B345),"일","월","화","수","목","금","토"))</f>
        <v/>
      </c>
      <c r="D345" s="45" t="n"/>
      <c r="E345" s="47">
        <f>IF($D345="","",IFERROR(INDEX(코드설정!$D$5:$D$24,MATCH($D345,코드설정!$C$5:$C$24,0)),""))</f>
        <v/>
      </c>
      <c r="F345" s="45" t="n"/>
      <c r="G345" s="45" t="n"/>
      <c r="H345" s="49" t="n"/>
      <c r="I345" s="49" t="n"/>
      <c r="J345" s="52" t="n"/>
      <c r="K345" s="45" t="n"/>
      <c r="L345" s="49" t="n"/>
    </row>
    <row r="346">
      <c r="A346" s="43">
        <f>IF($B346="","",COUNT($B$5:$B346))</f>
        <v/>
      </c>
      <c r="B346" s="44" t="n"/>
      <c r="C346" s="47">
        <f>IF($B346="","",CHOOSE(WEEKDAY($B346),"일","월","화","수","목","금","토"))</f>
        <v/>
      </c>
      <c r="D346" s="45" t="n"/>
      <c r="E346" s="47">
        <f>IF($D346="","",IFERROR(INDEX(코드설정!$D$5:$D$24,MATCH($D346,코드설정!$C$5:$C$24,0)),""))</f>
        <v/>
      </c>
      <c r="F346" s="45" t="n"/>
      <c r="G346" s="45" t="n"/>
      <c r="H346" s="49" t="n"/>
      <c r="I346" s="49" t="n"/>
      <c r="J346" s="52" t="n"/>
      <c r="K346" s="45" t="n"/>
      <c r="L346" s="49" t="n"/>
    </row>
    <row r="347">
      <c r="A347" s="43">
        <f>IF($B347="","",COUNT($B$5:$B347))</f>
        <v/>
      </c>
      <c r="B347" s="44" t="n"/>
      <c r="C347" s="47">
        <f>IF($B347="","",CHOOSE(WEEKDAY($B347),"일","월","화","수","목","금","토"))</f>
        <v/>
      </c>
      <c r="D347" s="45" t="n"/>
      <c r="E347" s="47">
        <f>IF($D347="","",IFERROR(INDEX(코드설정!$D$5:$D$24,MATCH($D347,코드설정!$C$5:$C$24,0)),""))</f>
        <v/>
      </c>
      <c r="F347" s="45" t="n"/>
      <c r="G347" s="45" t="n"/>
      <c r="H347" s="49" t="n"/>
      <c r="I347" s="49" t="n"/>
      <c r="J347" s="52" t="n"/>
      <c r="K347" s="45" t="n"/>
      <c r="L347" s="49" t="n"/>
    </row>
    <row r="348">
      <c r="A348" s="43">
        <f>IF($B348="","",COUNT($B$5:$B348))</f>
        <v/>
      </c>
      <c r="B348" s="44" t="n"/>
      <c r="C348" s="47">
        <f>IF($B348="","",CHOOSE(WEEKDAY($B348),"일","월","화","수","목","금","토"))</f>
        <v/>
      </c>
      <c r="D348" s="45" t="n"/>
      <c r="E348" s="47">
        <f>IF($D348="","",IFERROR(INDEX(코드설정!$D$5:$D$24,MATCH($D348,코드설정!$C$5:$C$24,0)),""))</f>
        <v/>
      </c>
      <c r="F348" s="45" t="n"/>
      <c r="G348" s="45" t="n"/>
      <c r="H348" s="49" t="n"/>
      <c r="I348" s="49" t="n"/>
      <c r="J348" s="52" t="n"/>
      <c r="K348" s="45" t="n"/>
      <c r="L348" s="49" t="n"/>
    </row>
    <row r="349">
      <c r="A349" s="43">
        <f>IF($B349="","",COUNT($B$5:$B349))</f>
        <v/>
      </c>
      <c r="B349" s="44" t="n"/>
      <c r="C349" s="47">
        <f>IF($B349="","",CHOOSE(WEEKDAY($B349),"일","월","화","수","목","금","토"))</f>
        <v/>
      </c>
      <c r="D349" s="45" t="n"/>
      <c r="E349" s="47">
        <f>IF($D349="","",IFERROR(INDEX(코드설정!$D$5:$D$24,MATCH($D349,코드설정!$C$5:$C$24,0)),""))</f>
        <v/>
      </c>
      <c r="F349" s="45" t="n"/>
      <c r="G349" s="45" t="n"/>
      <c r="H349" s="49" t="n"/>
      <c r="I349" s="49" t="n"/>
      <c r="J349" s="52" t="n"/>
      <c r="K349" s="45" t="n"/>
      <c r="L349" s="49" t="n"/>
    </row>
    <row r="350">
      <c r="A350" s="43">
        <f>IF($B350="","",COUNT($B$5:$B350))</f>
        <v/>
      </c>
      <c r="B350" s="44" t="n"/>
      <c r="C350" s="47">
        <f>IF($B350="","",CHOOSE(WEEKDAY($B350),"일","월","화","수","목","금","토"))</f>
        <v/>
      </c>
      <c r="D350" s="45" t="n"/>
      <c r="E350" s="47">
        <f>IF($D350="","",IFERROR(INDEX(코드설정!$D$5:$D$24,MATCH($D350,코드설정!$C$5:$C$24,0)),""))</f>
        <v/>
      </c>
      <c r="F350" s="45" t="n"/>
      <c r="G350" s="45" t="n"/>
      <c r="H350" s="49" t="n"/>
      <c r="I350" s="49" t="n"/>
      <c r="J350" s="52" t="n"/>
      <c r="K350" s="45" t="n"/>
      <c r="L350" s="49" t="n"/>
    </row>
    <row r="351">
      <c r="A351" s="43">
        <f>IF($B351="","",COUNT($B$5:$B351))</f>
        <v/>
      </c>
      <c r="B351" s="44" t="n"/>
      <c r="C351" s="47">
        <f>IF($B351="","",CHOOSE(WEEKDAY($B351),"일","월","화","수","목","금","토"))</f>
        <v/>
      </c>
      <c r="D351" s="45" t="n"/>
      <c r="E351" s="47">
        <f>IF($D351="","",IFERROR(INDEX(코드설정!$D$5:$D$24,MATCH($D351,코드설정!$C$5:$C$24,0)),""))</f>
        <v/>
      </c>
      <c r="F351" s="45" t="n"/>
      <c r="G351" s="45" t="n"/>
      <c r="H351" s="49" t="n"/>
      <c r="I351" s="49" t="n"/>
      <c r="J351" s="52" t="n"/>
      <c r="K351" s="45" t="n"/>
      <c r="L351" s="49" t="n"/>
    </row>
    <row r="352">
      <c r="A352" s="43">
        <f>IF($B352="","",COUNT($B$5:$B352))</f>
        <v/>
      </c>
      <c r="B352" s="44" t="n"/>
      <c r="C352" s="47">
        <f>IF($B352="","",CHOOSE(WEEKDAY($B352),"일","월","화","수","목","금","토"))</f>
        <v/>
      </c>
      <c r="D352" s="45" t="n"/>
      <c r="E352" s="47">
        <f>IF($D352="","",IFERROR(INDEX(코드설정!$D$5:$D$24,MATCH($D352,코드설정!$C$5:$C$24,0)),""))</f>
        <v/>
      </c>
      <c r="F352" s="45" t="n"/>
      <c r="G352" s="45" t="n"/>
      <c r="H352" s="49" t="n"/>
      <c r="I352" s="49" t="n"/>
      <c r="J352" s="52" t="n"/>
      <c r="K352" s="45" t="n"/>
      <c r="L352" s="49" t="n"/>
    </row>
    <row r="353">
      <c r="A353" s="43">
        <f>IF($B353="","",COUNT($B$5:$B353))</f>
        <v/>
      </c>
      <c r="B353" s="44" t="n"/>
      <c r="C353" s="47">
        <f>IF($B353="","",CHOOSE(WEEKDAY($B353),"일","월","화","수","목","금","토"))</f>
        <v/>
      </c>
      <c r="D353" s="45" t="n"/>
      <c r="E353" s="47">
        <f>IF($D353="","",IFERROR(INDEX(코드설정!$D$5:$D$24,MATCH($D353,코드설정!$C$5:$C$24,0)),""))</f>
        <v/>
      </c>
      <c r="F353" s="45" t="n"/>
      <c r="G353" s="45" t="n"/>
      <c r="H353" s="49" t="n"/>
      <c r="I353" s="49" t="n"/>
      <c r="J353" s="52" t="n"/>
      <c r="K353" s="45" t="n"/>
      <c r="L353" s="49" t="n"/>
    </row>
    <row r="354">
      <c r="A354" s="43">
        <f>IF($B354="","",COUNT($B$5:$B354))</f>
        <v/>
      </c>
      <c r="B354" s="44" t="n"/>
      <c r="C354" s="47">
        <f>IF($B354="","",CHOOSE(WEEKDAY($B354),"일","월","화","수","목","금","토"))</f>
        <v/>
      </c>
      <c r="D354" s="45" t="n"/>
      <c r="E354" s="47">
        <f>IF($D354="","",IFERROR(INDEX(코드설정!$D$5:$D$24,MATCH($D354,코드설정!$C$5:$C$24,0)),""))</f>
        <v/>
      </c>
      <c r="F354" s="45" t="n"/>
      <c r="G354" s="45" t="n"/>
      <c r="H354" s="49" t="n"/>
      <c r="I354" s="49" t="n"/>
      <c r="J354" s="52" t="n"/>
      <c r="K354" s="45" t="n"/>
      <c r="L354" s="49" t="n"/>
    </row>
    <row r="355">
      <c r="A355" s="43">
        <f>IF($B355="","",COUNT($B$5:$B355))</f>
        <v/>
      </c>
      <c r="B355" s="44" t="n"/>
      <c r="C355" s="47">
        <f>IF($B355="","",CHOOSE(WEEKDAY($B355),"일","월","화","수","목","금","토"))</f>
        <v/>
      </c>
      <c r="D355" s="45" t="n"/>
      <c r="E355" s="47">
        <f>IF($D355="","",IFERROR(INDEX(코드설정!$D$5:$D$24,MATCH($D355,코드설정!$C$5:$C$24,0)),""))</f>
        <v/>
      </c>
      <c r="F355" s="45" t="n"/>
      <c r="G355" s="45" t="n"/>
      <c r="H355" s="49" t="n"/>
      <c r="I355" s="49" t="n"/>
      <c r="J355" s="52" t="n"/>
      <c r="K355" s="45" t="n"/>
      <c r="L355" s="49" t="n"/>
    </row>
    <row r="356">
      <c r="A356" s="43">
        <f>IF($B356="","",COUNT($B$5:$B356))</f>
        <v/>
      </c>
      <c r="B356" s="44" t="n"/>
      <c r="C356" s="47">
        <f>IF($B356="","",CHOOSE(WEEKDAY($B356),"일","월","화","수","목","금","토"))</f>
        <v/>
      </c>
      <c r="D356" s="45" t="n"/>
      <c r="E356" s="47">
        <f>IF($D356="","",IFERROR(INDEX(코드설정!$D$5:$D$24,MATCH($D356,코드설정!$C$5:$C$24,0)),""))</f>
        <v/>
      </c>
      <c r="F356" s="45" t="n"/>
      <c r="G356" s="45" t="n"/>
      <c r="H356" s="49" t="n"/>
      <c r="I356" s="49" t="n"/>
      <c r="J356" s="52" t="n"/>
      <c r="K356" s="45" t="n"/>
      <c r="L356" s="49" t="n"/>
    </row>
    <row r="357">
      <c r="A357" s="43">
        <f>IF($B357="","",COUNT($B$5:$B357))</f>
        <v/>
      </c>
      <c r="B357" s="44" t="n"/>
      <c r="C357" s="47">
        <f>IF($B357="","",CHOOSE(WEEKDAY($B357),"일","월","화","수","목","금","토"))</f>
        <v/>
      </c>
      <c r="D357" s="45" t="n"/>
      <c r="E357" s="47">
        <f>IF($D357="","",IFERROR(INDEX(코드설정!$D$5:$D$24,MATCH($D357,코드설정!$C$5:$C$24,0)),""))</f>
        <v/>
      </c>
      <c r="F357" s="45" t="n"/>
      <c r="G357" s="45" t="n"/>
      <c r="H357" s="49" t="n"/>
      <c r="I357" s="49" t="n"/>
      <c r="J357" s="52" t="n"/>
      <c r="K357" s="45" t="n"/>
      <c r="L357" s="49" t="n"/>
    </row>
    <row r="358">
      <c r="A358" s="43">
        <f>IF($B358="","",COUNT($B$5:$B358))</f>
        <v/>
      </c>
      <c r="B358" s="44" t="n"/>
      <c r="C358" s="47">
        <f>IF($B358="","",CHOOSE(WEEKDAY($B358),"일","월","화","수","목","금","토"))</f>
        <v/>
      </c>
      <c r="D358" s="45" t="n"/>
      <c r="E358" s="47">
        <f>IF($D358="","",IFERROR(INDEX(코드설정!$D$5:$D$24,MATCH($D358,코드설정!$C$5:$C$24,0)),""))</f>
        <v/>
      </c>
      <c r="F358" s="45" t="n"/>
      <c r="G358" s="45" t="n"/>
      <c r="H358" s="49" t="n"/>
      <c r="I358" s="49" t="n"/>
      <c r="J358" s="52" t="n"/>
      <c r="K358" s="45" t="n"/>
      <c r="L358" s="49" t="n"/>
    </row>
    <row r="359">
      <c r="A359" s="43">
        <f>IF($B359="","",COUNT($B$5:$B359))</f>
        <v/>
      </c>
      <c r="B359" s="44" t="n"/>
      <c r="C359" s="47">
        <f>IF($B359="","",CHOOSE(WEEKDAY($B359),"일","월","화","수","목","금","토"))</f>
        <v/>
      </c>
      <c r="D359" s="45" t="n"/>
      <c r="E359" s="47">
        <f>IF($D359="","",IFERROR(INDEX(코드설정!$D$5:$D$24,MATCH($D359,코드설정!$C$5:$C$24,0)),""))</f>
        <v/>
      </c>
      <c r="F359" s="45" t="n"/>
      <c r="G359" s="45" t="n"/>
      <c r="H359" s="49" t="n"/>
      <c r="I359" s="49" t="n"/>
      <c r="J359" s="52" t="n"/>
      <c r="K359" s="45" t="n"/>
      <c r="L359" s="49" t="n"/>
    </row>
    <row r="360">
      <c r="A360" s="43">
        <f>IF($B360="","",COUNT($B$5:$B360))</f>
        <v/>
      </c>
      <c r="B360" s="44" t="n"/>
      <c r="C360" s="47">
        <f>IF($B360="","",CHOOSE(WEEKDAY($B360),"일","월","화","수","목","금","토"))</f>
        <v/>
      </c>
      <c r="D360" s="45" t="n"/>
      <c r="E360" s="47">
        <f>IF($D360="","",IFERROR(INDEX(코드설정!$D$5:$D$24,MATCH($D360,코드설정!$C$5:$C$24,0)),""))</f>
        <v/>
      </c>
      <c r="F360" s="45" t="n"/>
      <c r="G360" s="45" t="n"/>
      <c r="H360" s="49" t="n"/>
      <c r="I360" s="49" t="n"/>
      <c r="J360" s="52" t="n"/>
      <c r="K360" s="45" t="n"/>
      <c r="L360" s="49" t="n"/>
    </row>
    <row r="361">
      <c r="A361" s="43">
        <f>IF($B361="","",COUNT($B$5:$B361))</f>
        <v/>
      </c>
      <c r="B361" s="44" t="n"/>
      <c r="C361" s="47">
        <f>IF($B361="","",CHOOSE(WEEKDAY($B361),"일","월","화","수","목","금","토"))</f>
        <v/>
      </c>
      <c r="D361" s="45" t="n"/>
      <c r="E361" s="47">
        <f>IF($D361="","",IFERROR(INDEX(코드설정!$D$5:$D$24,MATCH($D361,코드설정!$C$5:$C$24,0)),""))</f>
        <v/>
      </c>
      <c r="F361" s="45" t="n"/>
      <c r="G361" s="45" t="n"/>
      <c r="H361" s="49" t="n"/>
      <c r="I361" s="49" t="n"/>
      <c r="J361" s="52" t="n"/>
      <c r="K361" s="45" t="n"/>
      <c r="L361" s="49" t="n"/>
    </row>
    <row r="362">
      <c r="A362" s="43">
        <f>IF($B362="","",COUNT($B$5:$B362))</f>
        <v/>
      </c>
      <c r="B362" s="44" t="n"/>
      <c r="C362" s="47">
        <f>IF($B362="","",CHOOSE(WEEKDAY($B362),"일","월","화","수","목","금","토"))</f>
        <v/>
      </c>
      <c r="D362" s="45" t="n"/>
      <c r="E362" s="47">
        <f>IF($D362="","",IFERROR(INDEX(코드설정!$D$5:$D$24,MATCH($D362,코드설정!$C$5:$C$24,0)),""))</f>
        <v/>
      </c>
      <c r="F362" s="45" t="n"/>
      <c r="G362" s="45" t="n"/>
      <c r="H362" s="49" t="n"/>
      <c r="I362" s="49" t="n"/>
      <c r="J362" s="52" t="n"/>
      <c r="K362" s="45" t="n"/>
      <c r="L362" s="49" t="n"/>
    </row>
    <row r="363">
      <c r="A363" s="43">
        <f>IF($B363="","",COUNT($B$5:$B363))</f>
        <v/>
      </c>
      <c r="B363" s="44" t="n"/>
      <c r="C363" s="47">
        <f>IF($B363="","",CHOOSE(WEEKDAY($B363),"일","월","화","수","목","금","토"))</f>
        <v/>
      </c>
      <c r="D363" s="45" t="n"/>
      <c r="E363" s="47">
        <f>IF($D363="","",IFERROR(INDEX(코드설정!$D$5:$D$24,MATCH($D363,코드설정!$C$5:$C$24,0)),""))</f>
        <v/>
      </c>
      <c r="F363" s="45" t="n"/>
      <c r="G363" s="45" t="n"/>
      <c r="H363" s="49" t="n"/>
      <c r="I363" s="49" t="n"/>
      <c r="J363" s="52" t="n"/>
      <c r="K363" s="45" t="n"/>
      <c r="L363" s="49" t="n"/>
    </row>
    <row r="364">
      <c r="A364" s="43">
        <f>IF($B364="","",COUNT($B$5:$B364))</f>
        <v/>
      </c>
      <c r="B364" s="44" t="n"/>
      <c r="C364" s="47">
        <f>IF($B364="","",CHOOSE(WEEKDAY($B364),"일","월","화","수","목","금","토"))</f>
        <v/>
      </c>
      <c r="D364" s="45" t="n"/>
      <c r="E364" s="47">
        <f>IF($D364="","",IFERROR(INDEX(코드설정!$D$5:$D$24,MATCH($D364,코드설정!$C$5:$C$24,0)),""))</f>
        <v/>
      </c>
      <c r="F364" s="45" t="n"/>
      <c r="G364" s="45" t="n"/>
      <c r="H364" s="49" t="n"/>
      <c r="I364" s="49" t="n"/>
      <c r="J364" s="52" t="n"/>
      <c r="K364" s="45" t="n"/>
      <c r="L364" s="49" t="n"/>
    </row>
    <row r="365">
      <c r="A365" s="43">
        <f>IF($B365="","",COUNT($B$5:$B365))</f>
        <v/>
      </c>
      <c r="B365" s="44" t="n"/>
      <c r="C365" s="47">
        <f>IF($B365="","",CHOOSE(WEEKDAY($B365),"일","월","화","수","목","금","토"))</f>
        <v/>
      </c>
      <c r="D365" s="45" t="n"/>
      <c r="E365" s="47">
        <f>IF($D365="","",IFERROR(INDEX(코드설정!$D$5:$D$24,MATCH($D365,코드설정!$C$5:$C$24,0)),""))</f>
        <v/>
      </c>
      <c r="F365" s="45" t="n"/>
      <c r="G365" s="45" t="n"/>
      <c r="H365" s="49" t="n"/>
      <c r="I365" s="49" t="n"/>
      <c r="J365" s="52" t="n"/>
      <c r="K365" s="45" t="n"/>
      <c r="L365" s="49" t="n"/>
    </row>
    <row r="366">
      <c r="A366" s="43">
        <f>IF($B366="","",COUNT($B$5:$B366))</f>
        <v/>
      </c>
      <c r="B366" s="44" t="n"/>
      <c r="C366" s="47">
        <f>IF($B366="","",CHOOSE(WEEKDAY($B366),"일","월","화","수","목","금","토"))</f>
        <v/>
      </c>
      <c r="D366" s="45" t="n"/>
      <c r="E366" s="47">
        <f>IF($D366="","",IFERROR(INDEX(코드설정!$D$5:$D$24,MATCH($D366,코드설정!$C$5:$C$24,0)),""))</f>
        <v/>
      </c>
      <c r="F366" s="45" t="n"/>
      <c r="G366" s="45" t="n"/>
      <c r="H366" s="49" t="n"/>
      <c r="I366" s="49" t="n"/>
      <c r="J366" s="52" t="n"/>
      <c r="K366" s="45" t="n"/>
      <c r="L366" s="49" t="n"/>
    </row>
    <row r="367">
      <c r="A367" s="43">
        <f>IF($B367="","",COUNT($B$5:$B367))</f>
        <v/>
      </c>
      <c r="B367" s="44" t="n"/>
      <c r="C367" s="47">
        <f>IF($B367="","",CHOOSE(WEEKDAY($B367),"일","월","화","수","목","금","토"))</f>
        <v/>
      </c>
      <c r="D367" s="45" t="n"/>
      <c r="E367" s="47">
        <f>IF($D367="","",IFERROR(INDEX(코드설정!$D$5:$D$24,MATCH($D367,코드설정!$C$5:$C$24,0)),""))</f>
        <v/>
      </c>
      <c r="F367" s="45" t="n"/>
      <c r="G367" s="45" t="n"/>
      <c r="H367" s="49" t="n"/>
      <c r="I367" s="49" t="n"/>
      <c r="J367" s="52" t="n"/>
      <c r="K367" s="45" t="n"/>
      <c r="L367" s="49" t="n"/>
    </row>
    <row r="368">
      <c r="A368" s="43">
        <f>IF($B368="","",COUNT($B$5:$B368))</f>
        <v/>
      </c>
      <c r="B368" s="44" t="n"/>
      <c r="C368" s="47">
        <f>IF($B368="","",CHOOSE(WEEKDAY($B368),"일","월","화","수","목","금","토"))</f>
        <v/>
      </c>
      <c r="D368" s="45" t="n"/>
      <c r="E368" s="47">
        <f>IF($D368="","",IFERROR(INDEX(코드설정!$D$5:$D$24,MATCH($D368,코드설정!$C$5:$C$24,0)),""))</f>
        <v/>
      </c>
      <c r="F368" s="45" t="n"/>
      <c r="G368" s="45" t="n"/>
      <c r="H368" s="49" t="n"/>
      <c r="I368" s="49" t="n"/>
      <c r="J368" s="52" t="n"/>
      <c r="K368" s="45" t="n"/>
      <c r="L368" s="49" t="n"/>
    </row>
    <row r="369">
      <c r="A369" s="43">
        <f>IF($B369="","",COUNT($B$5:$B369))</f>
        <v/>
      </c>
      <c r="B369" s="44" t="n"/>
      <c r="C369" s="47">
        <f>IF($B369="","",CHOOSE(WEEKDAY($B369),"일","월","화","수","목","금","토"))</f>
        <v/>
      </c>
      <c r="D369" s="45" t="n"/>
      <c r="E369" s="47">
        <f>IF($D369="","",IFERROR(INDEX(코드설정!$D$5:$D$24,MATCH($D369,코드설정!$C$5:$C$24,0)),""))</f>
        <v/>
      </c>
      <c r="F369" s="45" t="n"/>
      <c r="G369" s="45" t="n"/>
      <c r="H369" s="49" t="n"/>
      <c r="I369" s="49" t="n"/>
      <c r="J369" s="52" t="n"/>
      <c r="K369" s="45" t="n"/>
      <c r="L369" s="49" t="n"/>
    </row>
    <row r="370">
      <c r="A370" s="43">
        <f>IF($B370="","",COUNT($B$5:$B370))</f>
        <v/>
      </c>
      <c r="B370" s="44" t="n"/>
      <c r="C370" s="47">
        <f>IF($B370="","",CHOOSE(WEEKDAY($B370),"일","월","화","수","목","금","토"))</f>
        <v/>
      </c>
      <c r="D370" s="45" t="n"/>
      <c r="E370" s="47">
        <f>IF($D370="","",IFERROR(INDEX(코드설정!$D$5:$D$24,MATCH($D370,코드설정!$C$5:$C$24,0)),""))</f>
        <v/>
      </c>
      <c r="F370" s="45" t="n"/>
      <c r="G370" s="45" t="n"/>
      <c r="H370" s="49" t="n"/>
      <c r="I370" s="49" t="n"/>
      <c r="J370" s="52" t="n"/>
      <c r="K370" s="45" t="n"/>
      <c r="L370" s="49" t="n"/>
    </row>
    <row r="371">
      <c r="A371" s="43">
        <f>IF($B371="","",COUNT($B$5:$B371))</f>
        <v/>
      </c>
      <c r="B371" s="44" t="n"/>
      <c r="C371" s="47">
        <f>IF($B371="","",CHOOSE(WEEKDAY($B371),"일","월","화","수","목","금","토"))</f>
        <v/>
      </c>
      <c r="D371" s="45" t="n"/>
      <c r="E371" s="47">
        <f>IF($D371="","",IFERROR(INDEX(코드설정!$D$5:$D$24,MATCH($D371,코드설정!$C$5:$C$24,0)),""))</f>
        <v/>
      </c>
      <c r="F371" s="45" t="n"/>
      <c r="G371" s="45" t="n"/>
      <c r="H371" s="49" t="n"/>
      <c r="I371" s="49" t="n"/>
      <c r="J371" s="52" t="n"/>
      <c r="K371" s="45" t="n"/>
      <c r="L371" s="49" t="n"/>
    </row>
    <row r="372">
      <c r="A372" s="43">
        <f>IF($B372="","",COUNT($B$5:$B372))</f>
        <v/>
      </c>
      <c r="B372" s="44" t="n"/>
      <c r="C372" s="47">
        <f>IF($B372="","",CHOOSE(WEEKDAY($B372),"일","월","화","수","목","금","토"))</f>
        <v/>
      </c>
      <c r="D372" s="45" t="n"/>
      <c r="E372" s="47">
        <f>IF($D372="","",IFERROR(INDEX(코드설정!$D$5:$D$24,MATCH($D372,코드설정!$C$5:$C$24,0)),""))</f>
        <v/>
      </c>
      <c r="F372" s="45" t="n"/>
      <c r="G372" s="45" t="n"/>
      <c r="H372" s="49" t="n"/>
      <c r="I372" s="49" t="n"/>
      <c r="J372" s="52" t="n"/>
      <c r="K372" s="45" t="n"/>
      <c r="L372" s="49" t="n"/>
    </row>
    <row r="373">
      <c r="A373" s="43">
        <f>IF($B373="","",COUNT($B$5:$B373))</f>
        <v/>
      </c>
      <c r="B373" s="44" t="n"/>
      <c r="C373" s="47">
        <f>IF($B373="","",CHOOSE(WEEKDAY($B373),"일","월","화","수","목","금","토"))</f>
        <v/>
      </c>
      <c r="D373" s="45" t="n"/>
      <c r="E373" s="47">
        <f>IF($D373="","",IFERROR(INDEX(코드설정!$D$5:$D$24,MATCH($D373,코드설정!$C$5:$C$24,0)),""))</f>
        <v/>
      </c>
      <c r="F373" s="45" t="n"/>
      <c r="G373" s="45" t="n"/>
      <c r="H373" s="49" t="n"/>
      <c r="I373" s="49" t="n"/>
      <c r="J373" s="52" t="n"/>
      <c r="K373" s="45" t="n"/>
      <c r="L373" s="49" t="n"/>
    </row>
    <row r="374">
      <c r="A374" s="43">
        <f>IF($B374="","",COUNT($B$5:$B374))</f>
        <v/>
      </c>
      <c r="B374" s="44" t="n"/>
      <c r="C374" s="47">
        <f>IF($B374="","",CHOOSE(WEEKDAY($B374),"일","월","화","수","목","금","토"))</f>
        <v/>
      </c>
      <c r="D374" s="45" t="n"/>
      <c r="E374" s="47">
        <f>IF($D374="","",IFERROR(INDEX(코드설정!$D$5:$D$24,MATCH($D374,코드설정!$C$5:$C$24,0)),""))</f>
        <v/>
      </c>
      <c r="F374" s="45" t="n"/>
      <c r="G374" s="45" t="n"/>
      <c r="H374" s="49" t="n"/>
      <c r="I374" s="49" t="n"/>
      <c r="J374" s="52" t="n"/>
      <c r="K374" s="45" t="n"/>
      <c r="L374" s="49" t="n"/>
    </row>
    <row r="375">
      <c r="A375" s="43">
        <f>IF($B375="","",COUNT($B$5:$B375))</f>
        <v/>
      </c>
      <c r="B375" s="44" t="n"/>
      <c r="C375" s="47">
        <f>IF($B375="","",CHOOSE(WEEKDAY($B375),"일","월","화","수","목","금","토"))</f>
        <v/>
      </c>
      <c r="D375" s="45" t="n"/>
      <c r="E375" s="47">
        <f>IF($D375="","",IFERROR(INDEX(코드설정!$D$5:$D$24,MATCH($D375,코드설정!$C$5:$C$24,0)),""))</f>
        <v/>
      </c>
      <c r="F375" s="45" t="n"/>
      <c r="G375" s="45" t="n"/>
      <c r="H375" s="49" t="n"/>
      <c r="I375" s="49" t="n"/>
      <c r="J375" s="52" t="n"/>
      <c r="K375" s="45" t="n"/>
      <c r="L375" s="49" t="n"/>
    </row>
    <row r="376">
      <c r="A376" s="43">
        <f>IF($B376="","",COUNT($B$5:$B376))</f>
        <v/>
      </c>
      <c r="B376" s="44" t="n"/>
      <c r="C376" s="47">
        <f>IF($B376="","",CHOOSE(WEEKDAY($B376),"일","월","화","수","목","금","토"))</f>
        <v/>
      </c>
      <c r="D376" s="45" t="n"/>
      <c r="E376" s="47">
        <f>IF($D376="","",IFERROR(INDEX(코드설정!$D$5:$D$24,MATCH($D376,코드설정!$C$5:$C$24,0)),""))</f>
        <v/>
      </c>
      <c r="F376" s="45" t="n"/>
      <c r="G376" s="45" t="n"/>
      <c r="H376" s="49" t="n"/>
      <c r="I376" s="49" t="n"/>
      <c r="J376" s="52" t="n"/>
      <c r="K376" s="45" t="n"/>
      <c r="L376" s="49" t="n"/>
    </row>
    <row r="377">
      <c r="A377" s="43">
        <f>IF($B377="","",COUNT($B$5:$B377))</f>
        <v/>
      </c>
      <c r="B377" s="44" t="n"/>
      <c r="C377" s="47">
        <f>IF($B377="","",CHOOSE(WEEKDAY($B377),"일","월","화","수","목","금","토"))</f>
        <v/>
      </c>
      <c r="D377" s="45" t="n"/>
      <c r="E377" s="47">
        <f>IF($D377="","",IFERROR(INDEX(코드설정!$D$5:$D$24,MATCH($D377,코드설정!$C$5:$C$24,0)),""))</f>
        <v/>
      </c>
      <c r="F377" s="45" t="n"/>
      <c r="G377" s="45" t="n"/>
      <c r="H377" s="49" t="n"/>
      <c r="I377" s="49" t="n"/>
      <c r="J377" s="52" t="n"/>
      <c r="K377" s="45" t="n"/>
      <c r="L377" s="49" t="n"/>
    </row>
    <row r="378">
      <c r="A378" s="43">
        <f>IF($B378="","",COUNT($B$5:$B378))</f>
        <v/>
      </c>
      <c r="B378" s="44" t="n"/>
      <c r="C378" s="47">
        <f>IF($B378="","",CHOOSE(WEEKDAY($B378),"일","월","화","수","목","금","토"))</f>
        <v/>
      </c>
      <c r="D378" s="45" t="n"/>
      <c r="E378" s="47">
        <f>IF($D378="","",IFERROR(INDEX(코드설정!$D$5:$D$24,MATCH($D378,코드설정!$C$5:$C$24,0)),""))</f>
        <v/>
      </c>
      <c r="F378" s="45" t="n"/>
      <c r="G378" s="45" t="n"/>
      <c r="H378" s="49" t="n"/>
      <c r="I378" s="49" t="n"/>
      <c r="J378" s="52" t="n"/>
      <c r="K378" s="45" t="n"/>
      <c r="L378" s="49" t="n"/>
    </row>
    <row r="379">
      <c r="A379" s="43">
        <f>IF($B379="","",COUNT($B$5:$B379))</f>
        <v/>
      </c>
      <c r="B379" s="44" t="n"/>
      <c r="C379" s="47">
        <f>IF($B379="","",CHOOSE(WEEKDAY($B379),"일","월","화","수","목","금","토"))</f>
        <v/>
      </c>
      <c r="D379" s="45" t="n"/>
      <c r="E379" s="47">
        <f>IF($D379="","",IFERROR(INDEX(코드설정!$D$5:$D$24,MATCH($D379,코드설정!$C$5:$C$24,0)),""))</f>
        <v/>
      </c>
      <c r="F379" s="45" t="n"/>
      <c r="G379" s="45" t="n"/>
      <c r="H379" s="49" t="n"/>
      <c r="I379" s="49" t="n"/>
      <c r="J379" s="52" t="n"/>
      <c r="K379" s="45" t="n"/>
      <c r="L379" s="49" t="n"/>
    </row>
    <row r="380">
      <c r="A380" s="43">
        <f>IF($B380="","",COUNT($B$5:$B380))</f>
        <v/>
      </c>
      <c r="B380" s="44" t="n"/>
      <c r="C380" s="47">
        <f>IF($B380="","",CHOOSE(WEEKDAY($B380),"일","월","화","수","목","금","토"))</f>
        <v/>
      </c>
      <c r="D380" s="45" t="n"/>
      <c r="E380" s="47">
        <f>IF($D380="","",IFERROR(INDEX(코드설정!$D$5:$D$24,MATCH($D380,코드설정!$C$5:$C$24,0)),""))</f>
        <v/>
      </c>
      <c r="F380" s="45" t="n"/>
      <c r="G380" s="45" t="n"/>
      <c r="H380" s="49" t="n"/>
      <c r="I380" s="49" t="n"/>
      <c r="J380" s="52" t="n"/>
      <c r="K380" s="45" t="n"/>
      <c r="L380" s="49" t="n"/>
    </row>
    <row r="381">
      <c r="A381" s="43">
        <f>IF($B381="","",COUNT($B$5:$B381))</f>
        <v/>
      </c>
      <c r="B381" s="44" t="n"/>
      <c r="C381" s="47">
        <f>IF($B381="","",CHOOSE(WEEKDAY($B381),"일","월","화","수","목","금","토"))</f>
        <v/>
      </c>
      <c r="D381" s="45" t="n"/>
      <c r="E381" s="47">
        <f>IF($D381="","",IFERROR(INDEX(코드설정!$D$5:$D$24,MATCH($D381,코드설정!$C$5:$C$24,0)),""))</f>
        <v/>
      </c>
      <c r="F381" s="45" t="n"/>
      <c r="G381" s="45" t="n"/>
      <c r="H381" s="49" t="n"/>
      <c r="I381" s="49" t="n"/>
      <c r="J381" s="52" t="n"/>
      <c r="K381" s="45" t="n"/>
      <c r="L381" s="49" t="n"/>
    </row>
    <row r="382">
      <c r="A382" s="43">
        <f>IF($B382="","",COUNT($B$5:$B382))</f>
        <v/>
      </c>
      <c r="B382" s="44" t="n"/>
      <c r="C382" s="47">
        <f>IF($B382="","",CHOOSE(WEEKDAY($B382),"일","월","화","수","목","금","토"))</f>
        <v/>
      </c>
      <c r="D382" s="45" t="n"/>
      <c r="E382" s="47">
        <f>IF($D382="","",IFERROR(INDEX(코드설정!$D$5:$D$24,MATCH($D382,코드설정!$C$5:$C$24,0)),""))</f>
        <v/>
      </c>
      <c r="F382" s="45" t="n"/>
      <c r="G382" s="45" t="n"/>
      <c r="H382" s="49" t="n"/>
      <c r="I382" s="49" t="n"/>
      <c r="J382" s="52" t="n"/>
      <c r="K382" s="45" t="n"/>
      <c r="L382" s="49" t="n"/>
    </row>
    <row r="383">
      <c r="A383" s="43">
        <f>IF($B383="","",COUNT($B$5:$B383))</f>
        <v/>
      </c>
      <c r="B383" s="44" t="n"/>
      <c r="C383" s="47">
        <f>IF($B383="","",CHOOSE(WEEKDAY($B383),"일","월","화","수","목","금","토"))</f>
        <v/>
      </c>
      <c r="D383" s="45" t="n"/>
      <c r="E383" s="47">
        <f>IF($D383="","",IFERROR(INDEX(코드설정!$D$5:$D$24,MATCH($D383,코드설정!$C$5:$C$24,0)),""))</f>
        <v/>
      </c>
      <c r="F383" s="45" t="n"/>
      <c r="G383" s="45" t="n"/>
      <c r="H383" s="49" t="n"/>
      <c r="I383" s="49" t="n"/>
      <c r="J383" s="52" t="n"/>
      <c r="K383" s="45" t="n"/>
      <c r="L383" s="49" t="n"/>
    </row>
    <row r="384">
      <c r="A384" s="43">
        <f>IF($B384="","",COUNT($B$5:$B384))</f>
        <v/>
      </c>
      <c r="B384" s="44" t="n"/>
      <c r="C384" s="47">
        <f>IF($B384="","",CHOOSE(WEEKDAY($B384),"일","월","화","수","목","금","토"))</f>
        <v/>
      </c>
      <c r="D384" s="45" t="n"/>
      <c r="E384" s="47">
        <f>IF($D384="","",IFERROR(INDEX(코드설정!$D$5:$D$24,MATCH($D384,코드설정!$C$5:$C$24,0)),""))</f>
        <v/>
      </c>
      <c r="F384" s="45" t="n"/>
      <c r="G384" s="45" t="n"/>
      <c r="H384" s="49" t="n"/>
      <c r="I384" s="49" t="n"/>
      <c r="J384" s="52" t="n"/>
      <c r="K384" s="45" t="n"/>
      <c r="L384" s="49" t="n"/>
    </row>
    <row r="385">
      <c r="A385" s="43">
        <f>IF($B385="","",COUNT($B$5:$B385))</f>
        <v/>
      </c>
      <c r="B385" s="44" t="n"/>
      <c r="C385" s="47">
        <f>IF($B385="","",CHOOSE(WEEKDAY($B385),"일","월","화","수","목","금","토"))</f>
        <v/>
      </c>
      <c r="D385" s="45" t="n"/>
      <c r="E385" s="47">
        <f>IF($D385="","",IFERROR(INDEX(코드설정!$D$5:$D$24,MATCH($D385,코드설정!$C$5:$C$24,0)),""))</f>
        <v/>
      </c>
      <c r="F385" s="45" t="n"/>
      <c r="G385" s="45" t="n"/>
      <c r="H385" s="49" t="n"/>
      <c r="I385" s="49" t="n"/>
      <c r="J385" s="52" t="n"/>
      <c r="K385" s="45" t="n"/>
      <c r="L385" s="49" t="n"/>
    </row>
    <row r="386">
      <c r="A386" s="43">
        <f>IF($B386="","",COUNT($B$5:$B386))</f>
        <v/>
      </c>
      <c r="B386" s="44" t="n"/>
      <c r="C386" s="47">
        <f>IF($B386="","",CHOOSE(WEEKDAY($B386),"일","월","화","수","목","금","토"))</f>
        <v/>
      </c>
      <c r="D386" s="45" t="n"/>
      <c r="E386" s="47">
        <f>IF($D386="","",IFERROR(INDEX(코드설정!$D$5:$D$24,MATCH($D386,코드설정!$C$5:$C$24,0)),""))</f>
        <v/>
      </c>
      <c r="F386" s="45" t="n"/>
      <c r="G386" s="45" t="n"/>
      <c r="H386" s="49" t="n"/>
      <c r="I386" s="49" t="n"/>
      <c r="J386" s="52" t="n"/>
      <c r="K386" s="45" t="n"/>
      <c r="L386" s="49" t="n"/>
    </row>
    <row r="387">
      <c r="A387" s="43">
        <f>IF($B387="","",COUNT($B$5:$B387))</f>
        <v/>
      </c>
      <c r="B387" s="44" t="n"/>
      <c r="C387" s="47">
        <f>IF($B387="","",CHOOSE(WEEKDAY($B387),"일","월","화","수","목","금","토"))</f>
        <v/>
      </c>
      <c r="D387" s="45" t="n"/>
      <c r="E387" s="47">
        <f>IF($D387="","",IFERROR(INDEX(코드설정!$D$5:$D$24,MATCH($D387,코드설정!$C$5:$C$24,0)),""))</f>
        <v/>
      </c>
      <c r="F387" s="45" t="n"/>
      <c r="G387" s="45" t="n"/>
      <c r="H387" s="49" t="n"/>
      <c r="I387" s="49" t="n"/>
      <c r="J387" s="52" t="n"/>
      <c r="K387" s="45" t="n"/>
      <c r="L387" s="49" t="n"/>
    </row>
    <row r="388">
      <c r="A388" s="43">
        <f>IF($B388="","",COUNT($B$5:$B388))</f>
        <v/>
      </c>
      <c r="B388" s="44" t="n"/>
      <c r="C388" s="47">
        <f>IF($B388="","",CHOOSE(WEEKDAY($B388),"일","월","화","수","목","금","토"))</f>
        <v/>
      </c>
      <c r="D388" s="45" t="n"/>
      <c r="E388" s="47">
        <f>IF($D388="","",IFERROR(INDEX(코드설정!$D$5:$D$24,MATCH($D388,코드설정!$C$5:$C$24,0)),""))</f>
        <v/>
      </c>
      <c r="F388" s="45" t="n"/>
      <c r="G388" s="45" t="n"/>
      <c r="H388" s="49" t="n"/>
      <c r="I388" s="49" t="n"/>
      <c r="J388" s="52" t="n"/>
      <c r="K388" s="45" t="n"/>
      <c r="L388" s="49" t="n"/>
    </row>
    <row r="389">
      <c r="A389" s="43">
        <f>IF($B389="","",COUNT($B$5:$B389))</f>
        <v/>
      </c>
      <c r="B389" s="44" t="n"/>
      <c r="C389" s="47">
        <f>IF($B389="","",CHOOSE(WEEKDAY($B389),"일","월","화","수","목","금","토"))</f>
        <v/>
      </c>
      <c r="D389" s="45" t="n"/>
      <c r="E389" s="47">
        <f>IF($D389="","",IFERROR(INDEX(코드설정!$D$5:$D$24,MATCH($D389,코드설정!$C$5:$C$24,0)),""))</f>
        <v/>
      </c>
      <c r="F389" s="45" t="n"/>
      <c r="G389" s="45" t="n"/>
      <c r="H389" s="49" t="n"/>
      <c r="I389" s="49" t="n"/>
      <c r="J389" s="52" t="n"/>
      <c r="K389" s="45" t="n"/>
      <c r="L389" s="49" t="n"/>
    </row>
    <row r="390">
      <c r="A390" s="43">
        <f>IF($B390="","",COUNT($B$5:$B390))</f>
        <v/>
      </c>
      <c r="B390" s="44" t="n"/>
      <c r="C390" s="47">
        <f>IF($B390="","",CHOOSE(WEEKDAY($B390),"일","월","화","수","목","금","토"))</f>
        <v/>
      </c>
      <c r="D390" s="45" t="n"/>
      <c r="E390" s="47">
        <f>IF($D390="","",IFERROR(INDEX(코드설정!$D$5:$D$24,MATCH($D390,코드설정!$C$5:$C$24,0)),""))</f>
        <v/>
      </c>
      <c r="F390" s="45" t="n"/>
      <c r="G390" s="45" t="n"/>
      <c r="H390" s="49" t="n"/>
      <c r="I390" s="49" t="n"/>
      <c r="J390" s="52" t="n"/>
      <c r="K390" s="45" t="n"/>
      <c r="L390" s="49" t="n"/>
    </row>
    <row r="391">
      <c r="A391" s="43">
        <f>IF($B391="","",COUNT($B$5:$B391))</f>
        <v/>
      </c>
      <c r="B391" s="44" t="n"/>
      <c r="C391" s="47">
        <f>IF($B391="","",CHOOSE(WEEKDAY($B391),"일","월","화","수","목","금","토"))</f>
        <v/>
      </c>
      <c r="D391" s="45" t="n"/>
      <c r="E391" s="47">
        <f>IF($D391="","",IFERROR(INDEX(코드설정!$D$5:$D$24,MATCH($D391,코드설정!$C$5:$C$24,0)),""))</f>
        <v/>
      </c>
      <c r="F391" s="45" t="n"/>
      <c r="G391" s="45" t="n"/>
      <c r="H391" s="49" t="n"/>
      <c r="I391" s="49" t="n"/>
      <c r="J391" s="52" t="n"/>
      <c r="K391" s="45" t="n"/>
      <c r="L391" s="49" t="n"/>
    </row>
    <row r="392">
      <c r="A392" s="43">
        <f>IF($B392="","",COUNT($B$5:$B392))</f>
        <v/>
      </c>
      <c r="B392" s="44" t="n"/>
      <c r="C392" s="47">
        <f>IF($B392="","",CHOOSE(WEEKDAY($B392),"일","월","화","수","목","금","토"))</f>
        <v/>
      </c>
      <c r="D392" s="45" t="n"/>
      <c r="E392" s="47">
        <f>IF($D392="","",IFERROR(INDEX(코드설정!$D$5:$D$24,MATCH($D392,코드설정!$C$5:$C$24,0)),""))</f>
        <v/>
      </c>
      <c r="F392" s="45" t="n"/>
      <c r="G392" s="45" t="n"/>
      <c r="H392" s="49" t="n"/>
      <c r="I392" s="49" t="n"/>
      <c r="J392" s="52" t="n"/>
      <c r="K392" s="45" t="n"/>
      <c r="L392" s="49" t="n"/>
    </row>
    <row r="393">
      <c r="A393" s="43">
        <f>IF($B393="","",COUNT($B$5:$B393))</f>
        <v/>
      </c>
      <c r="B393" s="44" t="n"/>
      <c r="C393" s="47">
        <f>IF($B393="","",CHOOSE(WEEKDAY($B393),"일","월","화","수","목","금","토"))</f>
        <v/>
      </c>
      <c r="D393" s="45" t="n"/>
      <c r="E393" s="47">
        <f>IF($D393="","",IFERROR(INDEX(코드설정!$D$5:$D$24,MATCH($D393,코드설정!$C$5:$C$24,0)),""))</f>
        <v/>
      </c>
      <c r="F393" s="45" t="n"/>
      <c r="G393" s="45" t="n"/>
      <c r="H393" s="49" t="n"/>
      <c r="I393" s="49" t="n"/>
      <c r="J393" s="52" t="n"/>
      <c r="K393" s="45" t="n"/>
      <c r="L393" s="49" t="n"/>
    </row>
    <row r="394">
      <c r="A394" s="43">
        <f>IF($B394="","",COUNT($B$5:$B394))</f>
        <v/>
      </c>
      <c r="B394" s="44" t="n"/>
      <c r="C394" s="47">
        <f>IF($B394="","",CHOOSE(WEEKDAY($B394),"일","월","화","수","목","금","토"))</f>
        <v/>
      </c>
      <c r="D394" s="45" t="n"/>
      <c r="E394" s="47">
        <f>IF($D394="","",IFERROR(INDEX(코드설정!$D$5:$D$24,MATCH($D394,코드설정!$C$5:$C$24,0)),""))</f>
        <v/>
      </c>
      <c r="F394" s="45" t="n"/>
      <c r="G394" s="45" t="n"/>
      <c r="H394" s="49" t="n"/>
      <c r="I394" s="49" t="n"/>
      <c r="J394" s="52" t="n"/>
      <c r="K394" s="45" t="n"/>
      <c r="L394" s="49" t="n"/>
    </row>
    <row r="395">
      <c r="A395" s="43">
        <f>IF($B395="","",COUNT($B$5:$B395))</f>
        <v/>
      </c>
      <c r="B395" s="44" t="n"/>
      <c r="C395" s="47">
        <f>IF($B395="","",CHOOSE(WEEKDAY($B395),"일","월","화","수","목","금","토"))</f>
        <v/>
      </c>
      <c r="D395" s="45" t="n"/>
      <c r="E395" s="47">
        <f>IF($D395="","",IFERROR(INDEX(코드설정!$D$5:$D$24,MATCH($D395,코드설정!$C$5:$C$24,0)),""))</f>
        <v/>
      </c>
      <c r="F395" s="45" t="n"/>
      <c r="G395" s="45" t="n"/>
      <c r="H395" s="49" t="n"/>
      <c r="I395" s="49" t="n"/>
      <c r="J395" s="52" t="n"/>
      <c r="K395" s="45" t="n"/>
      <c r="L395" s="49" t="n"/>
    </row>
    <row r="396">
      <c r="A396" s="43">
        <f>IF($B396="","",COUNT($B$5:$B396))</f>
        <v/>
      </c>
      <c r="B396" s="44" t="n"/>
      <c r="C396" s="47">
        <f>IF($B396="","",CHOOSE(WEEKDAY($B396),"일","월","화","수","목","금","토"))</f>
        <v/>
      </c>
      <c r="D396" s="45" t="n"/>
      <c r="E396" s="47">
        <f>IF($D396="","",IFERROR(INDEX(코드설정!$D$5:$D$24,MATCH($D396,코드설정!$C$5:$C$24,0)),""))</f>
        <v/>
      </c>
      <c r="F396" s="45" t="n"/>
      <c r="G396" s="45" t="n"/>
      <c r="H396" s="49" t="n"/>
      <c r="I396" s="49" t="n"/>
      <c r="J396" s="52" t="n"/>
      <c r="K396" s="45" t="n"/>
      <c r="L396" s="49" t="n"/>
    </row>
    <row r="397">
      <c r="A397" s="43">
        <f>IF($B397="","",COUNT($B$5:$B397))</f>
        <v/>
      </c>
      <c r="B397" s="44" t="n"/>
      <c r="C397" s="47">
        <f>IF($B397="","",CHOOSE(WEEKDAY($B397),"일","월","화","수","목","금","토"))</f>
        <v/>
      </c>
      <c r="D397" s="45" t="n"/>
      <c r="E397" s="47">
        <f>IF($D397="","",IFERROR(INDEX(코드설정!$D$5:$D$24,MATCH($D397,코드설정!$C$5:$C$24,0)),""))</f>
        <v/>
      </c>
      <c r="F397" s="45" t="n"/>
      <c r="G397" s="45" t="n"/>
      <c r="H397" s="49" t="n"/>
      <c r="I397" s="49" t="n"/>
      <c r="J397" s="52" t="n"/>
      <c r="K397" s="45" t="n"/>
      <c r="L397" s="49" t="n"/>
    </row>
    <row r="398">
      <c r="A398" s="43">
        <f>IF($B398="","",COUNT($B$5:$B398))</f>
        <v/>
      </c>
      <c r="B398" s="44" t="n"/>
      <c r="C398" s="47">
        <f>IF($B398="","",CHOOSE(WEEKDAY($B398),"일","월","화","수","목","금","토"))</f>
        <v/>
      </c>
      <c r="D398" s="45" t="n"/>
      <c r="E398" s="47">
        <f>IF($D398="","",IFERROR(INDEX(코드설정!$D$5:$D$24,MATCH($D398,코드설정!$C$5:$C$24,0)),""))</f>
        <v/>
      </c>
      <c r="F398" s="45" t="n"/>
      <c r="G398" s="45" t="n"/>
      <c r="H398" s="49" t="n"/>
      <c r="I398" s="49" t="n"/>
      <c r="J398" s="52" t="n"/>
      <c r="K398" s="45" t="n"/>
      <c r="L398" s="49" t="n"/>
    </row>
    <row r="399">
      <c r="A399" s="43">
        <f>IF($B399="","",COUNT($B$5:$B399))</f>
        <v/>
      </c>
      <c r="B399" s="44" t="n"/>
      <c r="C399" s="47">
        <f>IF($B399="","",CHOOSE(WEEKDAY($B399),"일","월","화","수","목","금","토"))</f>
        <v/>
      </c>
      <c r="D399" s="45" t="n"/>
      <c r="E399" s="47">
        <f>IF($D399="","",IFERROR(INDEX(코드설정!$D$5:$D$24,MATCH($D399,코드설정!$C$5:$C$24,0)),""))</f>
        <v/>
      </c>
      <c r="F399" s="45" t="n"/>
      <c r="G399" s="45" t="n"/>
      <c r="H399" s="49" t="n"/>
      <c r="I399" s="49" t="n"/>
      <c r="J399" s="52" t="n"/>
      <c r="K399" s="45" t="n"/>
      <c r="L399" s="49" t="n"/>
    </row>
    <row r="400">
      <c r="A400" s="43">
        <f>IF($B400="","",COUNT($B$5:$B400))</f>
        <v/>
      </c>
      <c r="B400" s="44" t="n"/>
      <c r="C400" s="47">
        <f>IF($B400="","",CHOOSE(WEEKDAY($B400),"일","월","화","수","목","금","토"))</f>
        <v/>
      </c>
      <c r="D400" s="45" t="n"/>
      <c r="E400" s="47">
        <f>IF($D400="","",IFERROR(INDEX(코드설정!$D$5:$D$24,MATCH($D400,코드설정!$C$5:$C$24,0)),""))</f>
        <v/>
      </c>
      <c r="F400" s="45" t="n"/>
      <c r="G400" s="45" t="n"/>
      <c r="H400" s="49" t="n"/>
      <c r="I400" s="49" t="n"/>
      <c r="J400" s="52" t="n"/>
      <c r="K400" s="45" t="n"/>
      <c r="L400" s="49" t="n"/>
    </row>
    <row r="401">
      <c r="A401" s="43">
        <f>IF($B401="","",COUNT($B$5:$B401))</f>
        <v/>
      </c>
      <c r="B401" s="44" t="n"/>
      <c r="C401" s="47">
        <f>IF($B401="","",CHOOSE(WEEKDAY($B401),"일","월","화","수","목","금","토"))</f>
        <v/>
      </c>
      <c r="D401" s="45" t="n"/>
      <c r="E401" s="47">
        <f>IF($D401="","",IFERROR(INDEX(코드설정!$D$5:$D$24,MATCH($D401,코드설정!$C$5:$C$24,0)),""))</f>
        <v/>
      </c>
      <c r="F401" s="45" t="n"/>
      <c r="G401" s="45" t="n"/>
      <c r="H401" s="49" t="n"/>
      <c r="I401" s="49" t="n"/>
      <c r="J401" s="52" t="n"/>
      <c r="K401" s="45" t="n"/>
      <c r="L401" s="49" t="n"/>
    </row>
    <row r="402">
      <c r="A402" s="43">
        <f>IF($B402="","",COUNT($B$5:$B402))</f>
        <v/>
      </c>
      <c r="B402" s="44" t="n"/>
      <c r="C402" s="47">
        <f>IF($B402="","",CHOOSE(WEEKDAY($B402),"일","월","화","수","목","금","토"))</f>
        <v/>
      </c>
      <c r="D402" s="45" t="n"/>
      <c r="E402" s="47">
        <f>IF($D402="","",IFERROR(INDEX(코드설정!$D$5:$D$24,MATCH($D402,코드설정!$C$5:$C$24,0)),""))</f>
        <v/>
      </c>
      <c r="F402" s="45" t="n"/>
      <c r="G402" s="45" t="n"/>
      <c r="H402" s="49" t="n"/>
      <c r="I402" s="49" t="n"/>
      <c r="J402" s="52" t="n"/>
      <c r="K402" s="45" t="n"/>
      <c r="L402" s="49" t="n"/>
    </row>
    <row r="403">
      <c r="A403" s="43">
        <f>IF($B403="","",COUNT($B$5:$B403))</f>
        <v/>
      </c>
      <c r="B403" s="44" t="n"/>
      <c r="C403" s="47">
        <f>IF($B403="","",CHOOSE(WEEKDAY($B403),"일","월","화","수","목","금","토"))</f>
        <v/>
      </c>
      <c r="D403" s="45" t="n"/>
      <c r="E403" s="47">
        <f>IF($D403="","",IFERROR(INDEX(코드설정!$D$5:$D$24,MATCH($D403,코드설정!$C$5:$C$24,0)),""))</f>
        <v/>
      </c>
      <c r="F403" s="45" t="n"/>
      <c r="G403" s="45" t="n"/>
      <c r="H403" s="49" t="n"/>
      <c r="I403" s="49" t="n"/>
      <c r="J403" s="52" t="n"/>
      <c r="K403" s="45" t="n"/>
      <c r="L403" s="49" t="n"/>
    </row>
    <row r="404">
      <c r="A404" s="43">
        <f>IF($B404="","",COUNT($B$5:$B404))</f>
        <v/>
      </c>
      <c r="B404" s="44" t="n"/>
      <c r="C404" s="47">
        <f>IF($B404="","",CHOOSE(WEEKDAY($B404),"일","월","화","수","목","금","토"))</f>
        <v/>
      </c>
      <c r="D404" s="45" t="n"/>
      <c r="E404" s="47">
        <f>IF($D404="","",IFERROR(INDEX(코드설정!$D$5:$D$24,MATCH($D404,코드설정!$C$5:$C$24,0)),""))</f>
        <v/>
      </c>
      <c r="F404" s="45" t="n"/>
      <c r="G404" s="45" t="n"/>
      <c r="H404" s="49" t="n"/>
      <c r="I404" s="49" t="n"/>
      <c r="J404" s="52" t="n"/>
      <c r="K404" s="45" t="n"/>
      <c r="L404" s="49" t="n"/>
    </row>
    <row r="405">
      <c r="A405" s="43">
        <f>IF($B405="","",COUNT($B$5:$B405))</f>
        <v/>
      </c>
      <c r="B405" s="44" t="n"/>
      <c r="C405" s="47">
        <f>IF($B405="","",CHOOSE(WEEKDAY($B405),"일","월","화","수","목","금","토"))</f>
        <v/>
      </c>
      <c r="D405" s="45" t="n"/>
      <c r="E405" s="47">
        <f>IF($D405="","",IFERROR(INDEX(코드설정!$D$5:$D$24,MATCH($D405,코드설정!$C$5:$C$24,0)),""))</f>
        <v/>
      </c>
      <c r="F405" s="45" t="n"/>
      <c r="G405" s="45" t="n"/>
      <c r="H405" s="49" t="n"/>
      <c r="I405" s="49" t="n"/>
      <c r="J405" s="52" t="n"/>
      <c r="K405" s="45" t="n"/>
      <c r="L405" s="49" t="n"/>
    </row>
    <row r="406">
      <c r="A406" s="43">
        <f>IF($B406="","",COUNT($B$5:$B406))</f>
        <v/>
      </c>
      <c r="B406" s="44" t="n"/>
      <c r="C406" s="47">
        <f>IF($B406="","",CHOOSE(WEEKDAY($B406),"일","월","화","수","목","금","토"))</f>
        <v/>
      </c>
      <c r="D406" s="45" t="n"/>
      <c r="E406" s="47">
        <f>IF($D406="","",IFERROR(INDEX(코드설정!$D$5:$D$24,MATCH($D406,코드설정!$C$5:$C$24,0)),""))</f>
        <v/>
      </c>
      <c r="F406" s="45" t="n"/>
      <c r="G406" s="45" t="n"/>
      <c r="H406" s="49" t="n"/>
      <c r="I406" s="49" t="n"/>
      <c r="J406" s="52" t="n"/>
      <c r="K406" s="45" t="n"/>
      <c r="L406" s="49" t="n"/>
    </row>
    <row r="407">
      <c r="A407" s="43">
        <f>IF($B407="","",COUNT($B$5:$B407))</f>
        <v/>
      </c>
      <c r="B407" s="44" t="n"/>
      <c r="C407" s="47">
        <f>IF($B407="","",CHOOSE(WEEKDAY($B407),"일","월","화","수","목","금","토"))</f>
        <v/>
      </c>
      <c r="D407" s="45" t="n"/>
      <c r="E407" s="47">
        <f>IF($D407="","",IFERROR(INDEX(코드설정!$D$5:$D$24,MATCH($D407,코드설정!$C$5:$C$24,0)),""))</f>
        <v/>
      </c>
      <c r="F407" s="45" t="n"/>
      <c r="G407" s="45" t="n"/>
      <c r="H407" s="49" t="n"/>
      <c r="I407" s="49" t="n"/>
      <c r="J407" s="52" t="n"/>
      <c r="K407" s="45" t="n"/>
      <c r="L407" s="49" t="n"/>
    </row>
    <row r="408">
      <c r="A408" s="43">
        <f>IF($B408="","",COUNT($B$5:$B408))</f>
        <v/>
      </c>
      <c r="B408" s="44" t="n"/>
      <c r="C408" s="47">
        <f>IF($B408="","",CHOOSE(WEEKDAY($B408),"일","월","화","수","목","금","토"))</f>
        <v/>
      </c>
      <c r="D408" s="45" t="n"/>
      <c r="E408" s="47">
        <f>IF($D408="","",IFERROR(INDEX(코드설정!$D$5:$D$24,MATCH($D408,코드설정!$C$5:$C$24,0)),""))</f>
        <v/>
      </c>
      <c r="F408" s="45" t="n"/>
      <c r="G408" s="45" t="n"/>
      <c r="H408" s="49" t="n"/>
      <c r="I408" s="49" t="n"/>
      <c r="J408" s="52" t="n"/>
      <c r="K408" s="45" t="n"/>
      <c r="L408" s="49" t="n"/>
    </row>
    <row r="409">
      <c r="A409" s="43">
        <f>IF($B409="","",COUNT($B$5:$B409))</f>
        <v/>
      </c>
      <c r="B409" s="44" t="n"/>
      <c r="C409" s="47">
        <f>IF($B409="","",CHOOSE(WEEKDAY($B409),"일","월","화","수","목","금","토"))</f>
        <v/>
      </c>
      <c r="D409" s="45" t="n"/>
      <c r="E409" s="47">
        <f>IF($D409="","",IFERROR(INDEX(코드설정!$D$5:$D$24,MATCH($D409,코드설정!$C$5:$C$24,0)),""))</f>
        <v/>
      </c>
      <c r="F409" s="45" t="n"/>
      <c r="G409" s="45" t="n"/>
      <c r="H409" s="49" t="n"/>
      <c r="I409" s="49" t="n"/>
      <c r="J409" s="52" t="n"/>
      <c r="K409" s="45" t="n"/>
      <c r="L409" s="49" t="n"/>
    </row>
    <row r="410">
      <c r="A410" s="43">
        <f>IF($B410="","",COUNT($B$5:$B410))</f>
        <v/>
      </c>
      <c r="B410" s="44" t="n"/>
      <c r="C410" s="47">
        <f>IF($B410="","",CHOOSE(WEEKDAY($B410),"일","월","화","수","목","금","토"))</f>
        <v/>
      </c>
      <c r="D410" s="45" t="n"/>
      <c r="E410" s="47">
        <f>IF($D410="","",IFERROR(INDEX(코드설정!$D$5:$D$24,MATCH($D410,코드설정!$C$5:$C$24,0)),""))</f>
        <v/>
      </c>
      <c r="F410" s="45" t="n"/>
      <c r="G410" s="45" t="n"/>
      <c r="H410" s="49" t="n"/>
      <c r="I410" s="49" t="n"/>
      <c r="J410" s="52" t="n"/>
      <c r="K410" s="45" t="n"/>
      <c r="L410" s="49" t="n"/>
    </row>
    <row r="411">
      <c r="A411" s="43">
        <f>IF($B411="","",COUNT($B$5:$B411))</f>
        <v/>
      </c>
      <c r="B411" s="44" t="n"/>
      <c r="C411" s="47">
        <f>IF($B411="","",CHOOSE(WEEKDAY($B411),"일","월","화","수","목","금","토"))</f>
        <v/>
      </c>
      <c r="D411" s="45" t="n"/>
      <c r="E411" s="47">
        <f>IF($D411="","",IFERROR(INDEX(코드설정!$D$5:$D$24,MATCH($D411,코드설정!$C$5:$C$24,0)),""))</f>
        <v/>
      </c>
      <c r="F411" s="45" t="n"/>
      <c r="G411" s="45" t="n"/>
      <c r="H411" s="49" t="n"/>
      <c r="I411" s="49" t="n"/>
      <c r="J411" s="52" t="n"/>
      <c r="K411" s="45" t="n"/>
      <c r="L411" s="49" t="n"/>
    </row>
    <row r="412">
      <c r="A412" s="43">
        <f>IF($B412="","",COUNT($B$5:$B412))</f>
        <v/>
      </c>
      <c r="B412" s="44" t="n"/>
      <c r="C412" s="47">
        <f>IF($B412="","",CHOOSE(WEEKDAY($B412),"일","월","화","수","목","금","토"))</f>
        <v/>
      </c>
      <c r="D412" s="45" t="n"/>
      <c r="E412" s="47">
        <f>IF($D412="","",IFERROR(INDEX(코드설정!$D$5:$D$24,MATCH($D412,코드설정!$C$5:$C$24,0)),""))</f>
        <v/>
      </c>
      <c r="F412" s="45" t="n"/>
      <c r="G412" s="45" t="n"/>
      <c r="H412" s="49" t="n"/>
      <c r="I412" s="49" t="n"/>
      <c r="J412" s="52" t="n"/>
      <c r="K412" s="45" t="n"/>
      <c r="L412" s="49" t="n"/>
    </row>
    <row r="413">
      <c r="A413" s="43">
        <f>IF($B413="","",COUNT($B$5:$B413))</f>
        <v/>
      </c>
      <c r="B413" s="44" t="n"/>
      <c r="C413" s="47">
        <f>IF($B413="","",CHOOSE(WEEKDAY($B413),"일","월","화","수","목","금","토"))</f>
        <v/>
      </c>
      <c r="D413" s="45" t="n"/>
      <c r="E413" s="47">
        <f>IF($D413="","",IFERROR(INDEX(코드설정!$D$5:$D$24,MATCH($D413,코드설정!$C$5:$C$24,0)),""))</f>
        <v/>
      </c>
      <c r="F413" s="45" t="n"/>
      <c r="G413" s="45" t="n"/>
      <c r="H413" s="49" t="n"/>
      <c r="I413" s="49" t="n"/>
      <c r="J413" s="52" t="n"/>
      <c r="K413" s="45" t="n"/>
      <c r="L413" s="49" t="n"/>
    </row>
    <row r="414">
      <c r="A414" s="43">
        <f>IF($B414="","",COUNT($B$5:$B414))</f>
        <v/>
      </c>
      <c r="B414" s="44" t="n"/>
      <c r="C414" s="47">
        <f>IF($B414="","",CHOOSE(WEEKDAY($B414),"일","월","화","수","목","금","토"))</f>
        <v/>
      </c>
      <c r="D414" s="45" t="n"/>
      <c r="E414" s="47">
        <f>IF($D414="","",IFERROR(INDEX(코드설정!$D$5:$D$24,MATCH($D414,코드설정!$C$5:$C$24,0)),""))</f>
        <v/>
      </c>
      <c r="F414" s="45" t="n"/>
      <c r="G414" s="45" t="n"/>
      <c r="H414" s="49" t="n"/>
      <c r="I414" s="49" t="n"/>
      <c r="J414" s="52" t="n"/>
      <c r="K414" s="45" t="n"/>
      <c r="L414" s="49" t="n"/>
    </row>
    <row r="415">
      <c r="A415" s="43">
        <f>IF($B415="","",COUNT($B$5:$B415))</f>
        <v/>
      </c>
      <c r="B415" s="44" t="n"/>
      <c r="C415" s="47">
        <f>IF($B415="","",CHOOSE(WEEKDAY($B415),"일","월","화","수","목","금","토"))</f>
        <v/>
      </c>
      <c r="D415" s="45" t="n"/>
      <c r="E415" s="47">
        <f>IF($D415="","",IFERROR(INDEX(코드설정!$D$5:$D$24,MATCH($D415,코드설정!$C$5:$C$24,0)),""))</f>
        <v/>
      </c>
      <c r="F415" s="45" t="n"/>
      <c r="G415" s="45" t="n"/>
      <c r="H415" s="49" t="n"/>
      <c r="I415" s="49" t="n"/>
      <c r="J415" s="52" t="n"/>
      <c r="K415" s="45" t="n"/>
      <c r="L415" s="49" t="n"/>
    </row>
    <row r="416">
      <c r="A416" s="43">
        <f>IF($B416="","",COUNT($B$5:$B416))</f>
        <v/>
      </c>
      <c r="B416" s="44" t="n"/>
      <c r="C416" s="47">
        <f>IF($B416="","",CHOOSE(WEEKDAY($B416),"일","월","화","수","목","금","토"))</f>
        <v/>
      </c>
      <c r="D416" s="45" t="n"/>
      <c r="E416" s="47">
        <f>IF($D416="","",IFERROR(INDEX(코드설정!$D$5:$D$24,MATCH($D416,코드설정!$C$5:$C$24,0)),""))</f>
        <v/>
      </c>
      <c r="F416" s="45" t="n"/>
      <c r="G416" s="45" t="n"/>
      <c r="H416" s="49" t="n"/>
      <c r="I416" s="49" t="n"/>
      <c r="J416" s="52" t="n"/>
      <c r="K416" s="45" t="n"/>
      <c r="L416" s="49" t="n"/>
    </row>
    <row r="417">
      <c r="A417" s="43">
        <f>IF($B417="","",COUNT($B$5:$B417))</f>
        <v/>
      </c>
      <c r="B417" s="44" t="n"/>
      <c r="C417" s="47">
        <f>IF($B417="","",CHOOSE(WEEKDAY($B417),"일","월","화","수","목","금","토"))</f>
        <v/>
      </c>
      <c r="D417" s="45" t="n"/>
      <c r="E417" s="47">
        <f>IF($D417="","",IFERROR(INDEX(코드설정!$D$5:$D$24,MATCH($D417,코드설정!$C$5:$C$24,0)),""))</f>
        <v/>
      </c>
      <c r="F417" s="45" t="n"/>
      <c r="G417" s="45" t="n"/>
      <c r="H417" s="49" t="n"/>
      <c r="I417" s="49" t="n"/>
      <c r="J417" s="52" t="n"/>
      <c r="K417" s="45" t="n"/>
      <c r="L417" s="49" t="n"/>
    </row>
    <row r="418">
      <c r="A418" s="43">
        <f>IF($B418="","",COUNT($B$5:$B418))</f>
        <v/>
      </c>
      <c r="B418" s="44" t="n"/>
      <c r="C418" s="47">
        <f>IF($B418="","",CHOOSE(WEEKDAY($B418),"일","월","화","수","목","금","토"))</f>
        <v/>
      </c>
      <c r="D418" s="45" t="n"/>
      <c r="E418" s="47">
        <f>IF($D418="","",IFERROR(INDEX(코드설정!$D$5:$D$24,MATCH($D418,코드설정!$C$5:$C$24,0)),""))</f>
        <v/>
      </c>
      <c r="F418" s="45" t="n"/>
      <c r="G418" s="45" t="n"/>
      <c r="H418" s="49" t="n"/>
      <c r="I418" s="49" t="n"/>
      <c r="J418" s="52" t="n"/>
      <c r="K418" s="45" t="n"/>
      <c r="L418" s="49" t="n"/>
    </row>
    <row r="419">
      <c r="A419" s="43">
        <f>IF($B419="","",COUNT($B$5:$B419))</f>
        <v/>
      </c>
      <c r="B419" s="44" t="n"/>
      <c r="C419" s="47">
        <f>IF($B419="","",CHOOSE(WEEKDAY($B419),"일","월","화","수","목","금","토"))</f>
        <v/>
      </c>
      <c r="D419" s="45" t="n"/>
      <c r="E419" s="47">
        <f>IF($D419="","",IFERROR(INDEX(코드설정!$D$5:$D$24,MATCH($D419,코드설정!$C$5:$C$24,0)),""))</f>
        <v/>
      </c>
      <c r="F419" s="45" t="n"/>
      <c r="G419" s="45" t="n"/>
      <c r="H419" s="49" t="n"/>
      <c r="I419" s="49" t="n"/>
      <c r="J419" s="52" t="n"/>
      <c r="K419" s="45" t="n"/>
      <c r="L419" s="49" t="n"/>
    </row>
    <row r="420">
      <c r="A420" s="43">
        <f>IF($B420="","",COUNT($B$5:$B420))</f>
        <v/>
      </c>
      <c r="B420" s="44" t="n"/>
      <c r="C420" s="47">
        <f>IF($B420="","",CHOOSE(WEEKDAY($B420),"일","월","화","수","목","금","토"))</f>
        <v/>
      </c>
      <c r="D420" s="45" t="n"/>
      <c r="E420" s="47">
        <f>IF($D420="","",IFERROR(INDEX(코드설정!$D$5:$D$24,MATCH($D420,코드설정!$C$5:$C$24,0)),""))</f>
        <v/>
      </c>
      <c r="F420" s="45" t="n"/>
      <c r="G420" s="45" t="n"/>
      <c r="H420" s="49" t="n"/>
      <c r="I420" s="49" t="n"/>
      <c r="J420" s="52" t="n"/>
      <c r="K420" s="45" t="n"/>
      <c r="L420" s="49" t="n"/>
    </row>
    <row r="421">
      <c r="A421" s="43">
        <f>IF($B421="","",COUNT($B$5:$B421))</f>
        <v/>
      </c>
      <c r="B421" s="44" t="n"/>
      <c r="C421" s="47">
        <f>IF($B421="","",CHOOSE(WEEKDAY($B421),"일","월","화","수","목","금","토"))</f>
        <v/>
      </c>
      <c r="D421" s="45" t="n"/>
      <c r="E421" s="47">
        <f>IF($D421="","",IFERROR(INDEX(코드설정!$D$5:$D$24,MATCH($D421,코드설정!$C$5:$C$24,0)),""))</f>
        <v/>
      </c>
      <c r="F421" s="45" t="n"/>
      <c r="G421" s="45" t="n"/>
      <c r="H421" s="49" t="n"/>
      <c r="I421" s="49" t="n"/>
      <c r="J421" s="52" t="n"/>
      <c r="K421" s="45" t="n"/>
      <c r="L421" s="49" t="n"/>
    </row>
    <row r="422">
      <c r="A422" s="43">
        <f>IF($B422="","",COUNT($B$5:$B422))</f>
        <v/>
      </c>
      <c r="B422" s="44" t="n"/>
      <c r="C422" s="47">
        <f>IF($B422="","",CHOOSE(WEEKDAY($B422),"일","월","화","수","목","금","토"))</f>
        <v/>
      </c>
      <c r="D422" s="45" t="n"/>
      <c r="E422" s="47">
        <f>IF($D422="","",IFERROR(INDEX(코드설정!$D$5:$D$24,MATCH($D422,코드설정!$C$5:$C$24,0)),""))</f>
        <v/>
      </c>
      <c r="F422" s="45" t="n"/>
      <c r="G422" s="45" t="n"/>
      <c r="H422" s="49" t="n"/>
      <c r="I422" s="49" t="n"/>
      <c r="J422" s="52" t="n"/>
      <c r="K422" s="45" t="n"/>
      <c r="L422" s="49" t="n"/>
    </row>
    <row r="423">
      <c r="A423" s="43">
        <f>IF($B423="","",COUNT($B$5:$B423))</f>
        <v/>
      </c>
      <c r="B423" s="44" t="n"/>
      <c r="C423" s="47">
        <f>IF($B423="","",CHOOSE(WEEKDAY($B423),"일","월","화","수","목","금","토"))</f>
        <v/>
      </c>
      <c r="D423" s="45" t="n"/>
      <c r="E423" s="47">
        <f>IF($D423="","",IFERROR(INDEX(코드설정!$D$5:$D$24,MATCH($D423,코드설정!$C$5:$C$24,0)),""))</f>
        <v/>
      </c>
      <c r="F423" s="45" t="n"/>
      <c r="G423" s="45" t="n"/>
      <c r="H423" s="49" t="n"/>
      <c r="I423" s="49" t="n"/>
      <c r="J423" s="52" t="n"/>
      <c r="K423" s="45" t="n"/>
      <c r="L423" s="49" t="n"/>
    </row>
    <row r="424">
      <c r="A424" s="43">
        <f>IF($B424="","",COUNT($B$5:$B424))</f>
        <v/>
      </c>
      <c r="B424" s="44" t="n"/>
      <c r="C424" s="47">
        <f>IF($B424="","",CHOOSE(WEEKDAY($B424),"일","월","화","수","목","금","토"))</f>
        <v/>
      </c>
      <c r="D424" s="45" t="n"/>
      <c r="E424" s="47">
        <f>IF($D424="","",IFERROR(INDEX(코드설정!$D$5:$D$24,MATCH($D424,코드설정!$C$5:$C$24,0)),""))</f>
        <v/>
      </c>
      <c r="F424" s="45" t="n"/>
      <c r="G424" s="45" t="n"/>
      <c r="H424" s="49" t="n"/>
      <c r="I424" s="49" t="n"/>
      <c r="J424" s="52" t="n"/>
      <c r="K424" s="45" t="n"/>
      <c r="L424" s="49" t="n"/>
    </row>
    <row r="425">
      <c r="A425" s="43">
        <f>IF($B425="","",COUNT($B$5:$B425))</f>
        <v/>
      </c>
      <c r="B425" s="44" t="n"/>
      <c r="C425" s="47">
        <f>IF($B425="","",CHOOSE(WEEKDAY($B425),"일","월","화","수","목","금","토"))</f>
        <v/>
      </c>
      <c r="D425" s="45" t="n"/>
      <c r="E425" s="47">
        <f>IF($D425="","",IFERROR(INDEX(코드설정!$D$5:$D$24,MATCH($D425,코드설정!$C$5:$C$24,0)),""))</f>
        <v/>
      </c>
      <c r="F425" s="45" t="n"/>
      <c r="G425" s="45" t="n"/>
      <c r="H425" s="49" t="n"/>
      <c r="I425" s="49" t="n"/>
      <c r="J425" s="52" t="n"/>
      <c r="K425" s="45" t="n"/>
      <c r="L425" s="49" t="n"/>
    </row>
    <row r="426">
      <c r="A426" s="43">
        <f>IF($B426="","",COUNT($B$5:$B426))</f>
        <v/>
      </c>
      <c r="B426" s="44" t="n"/>
      <c r="C426" s="47">
        <f>IF($B426="","",CHOOSE(WEEKDAY($B426),"일","월","화","수","목","금","토"))</f>
        <v/>
      </c>
      <c r="D426" s="45" t="n"/>
      <c r="E426" s="47">
        <f>IF($D426="","",IFERROR(INDEX(코드설정!$D$5:$D$24,MATCH($D426,코드설정!$C$5:$C$24,0)),""))</f>
        <v/>
      </c>
      <c r="F426" s="45" t="n"/>
      <c r="G426" s="45" t="n"/>
      <c r="H426" s="49" t="n"/>
      <c r="I426" s="49" t="n"/>
      <c r="J426" s="52" t="n"/>
      <c r="K426" s="45" t="n"/>
      <c r="L426" s="49" t="n"/>
    </row>
    <row r="427">
      <c r="A427" s="43">
        <f>IF($B427="","",COUNT($B$5:$B427))</f>
        <v/>
      </c>
      <c r="B427" s="44" t="n"/>
      <c r="C427" s="47">
        <f>IF($B427="","",CHOOSE(WEEKDAY($B427),"일","월","화","수","목","금","토"))</f>
        <v/>
      </c>
      <c r="D427" s="45" t="n"/>
      <c r="E427" s="47">
        <f>IF($D427="","",IFERROR(INDEX(코드설정!$D$5:$D$24,MATCH($D427,코드설정!$C$5:$C$24,0)),""))</f>
        <v/>
      </c>
      <c r="F427" s="45" t="n"/>
      <c r="G427" s="45" t="n"/>
      <c r="H427" s="49" t="n"/>
      <c r="I427" s="49" t="n"/>
      <c r="J427" s="52" t="n"/>
      <c r="K427" s="45" t="n"/>
      <c r="L427" s="49" t="n"/>
    </row>
    <row r="428">
      <c r="A428" s="43">
        <f>IF($B428="","",COUNT($B$5:$B428))</f>
        <v/>
      </c>
      <c r="B428" s="44" t="n"/>
      <c r="C428" s="47">
        <f>IF($B428="","",CHOOSE(WEEKDAY($B428),"일","월","화","수","목","금","토"))</f>
        <v/>
      </c>
      <c r="D428" s="45" t="n"/>
      <c r="E428" s="47">
        <f>IF($D428="","",IFERROR(INDEX(코드설정!$D$5:$D$24,MATCH($D428,코드설정!$C$5:$C$24,0)),""))</f>
        <v/>
      </c>
      <c r="F428" s="45" t="n"/>
      <c r="G428" s="45" t="n"/>
      <c r="H428" s="49" t="n"/>
      <c r="I428" s="49" t="n"/>
      <c r="J428" s="52" t="n"/>
      <c r="K428" s="45" t="n"/>
      <c r="L428" s="49" t="n"/>
    </row>
    <row r="429">
      <c r="A429" s="43">
        <f>IF($B429="","",COUNT($B$5:$B429))</f>
        <v/>
      </c>
      <c r="B429" s="44" t="n"/>
      <c r="C429" s="47">
        <f>IF($B429="","",CHOOSE(WEEKDAY($B429),"일","월","화","수","목","금","토"))</f>
        <v/>
      </c>
      <c r="D429" s="45" t="n"/>
      <c r="E429" s="47">
        <f>IF($D429="","",IFERROR(INDEX(코드설정!$D$5:$D$24,MATCH($D429,코드설정!$C$5:$C$24,0)),""))</f>
        <v/>
      </c>
      <c r="F429" s="45" t="n"/>
      <c r="G429" s="45" t="n"/>
      <c r="H429" s="49" t="n"/>
      <c r="I429" s="49" t="n"/>
      <c r="J429" s="52" t="n"/>
      <c r="K429" s="45" t="n"/>
      <c r="L429" s="49" t="n"/>
    </row>
    <row r="430">
      <c r="A430" s="43">
        <f>IF($B430="","",COUNT($B$5:$B430))</f>
        <v/>
      </c>
      <c r="B430" s="44" t="n"/>
      <c r="C430" s="47">
        <f>IF($B430="","",CHOOSE(WEEKDAY($B430),"일","월","화","수","목","금","토"))</f>
        <v/>
      </c>
      <c r="D430" s="45" t="n"/>
      <c r="E430" s="47">
        <f>IF($D430="","",IFERROR(INDEX(코드설정!$D$5:$D$24,MATCH($D430,코드설정!$C$5:$C$24,0)),""))</f>
        <v/>
      </c>
      <c r="F430" s="45" t="n"/>
      <c r="G430" s="45" t="n"/>
      <c r="H430" s="49" t="n"/>
      <c r="I430" s="49" t="n"/>
      <c r="J430" s="52" t="n"/>
      <c r="K430" s="45" t="n"/>
      <c r="L430" s="49" t="n"/>
    </row>
    <row r="431">
      <c r="A431" s="43">
        <f>IF($B431="","",COUNT($B$5:$B431))</f>
        <v/>
      </c>
      <c r="B431" s="44" t="n"/>
      <c r="C431" s="47">
        <f>IF($B431="","",CHOOSE(WEEKDAY($B431),"일","월","화","수","목","금","토"))</f>
        <v/>
      </c>
      <c r="D431" s="45" t="n"/>
      <c r="E431" s="47">
        <f>IF($D431="","",IFERROR(INDEX(코드설정!$D$5:$D$24,MATCH($D431,코드설정!$C$5:$C$24,0)),""))</f>
        <v/>
      </c>
      <c r="F431" s="45" t="n"/>
      <c r="G431" s="45" t="n"/>
      <c r="H431" s="49" t="n"/>
      <c r="I431" s="49" t="n"/>
      <c r="J431" s="52" t="n"/>
      <c r="K431" s="45" t="n"/>
      <c r="L431" s="49" t="n"/>
    </row>
    <row r="432">
      <c r="A432" s="43">
        <f>IF($B432="","",COUNT($B$5:$B432))</f>
        <v/>
      </c>
      <c r="B432" s="44" t="n"/>
      <c r="C432" s="47">
        <f>IF($B432="","",CHOOSE(WEEKDAY($B432),"일","월","화","수","목","금","토"))</f>
        <v/>
      </c>
      <c r="D432" s="45" t="n"/>
      <c r="E432" s="47">
        <f>IF($D432="","",IFERROR(INDEX(코드설정!$D$5:$D$24,MATCH($D432,코드설정!$C$5:$C$24,0)),""))</f>
        <v/>
      </c>
      <c r="F432" s="45" t="n"/>
      <c r="G432" s="45" t="n"/>
      <c r="H432" s="49" t="n"/>
      <c r="I432" s="49" t="n"/>
      <c r="J432" s="52" t="n"/>
      <c r="K432" s="45" t="n"/>
      <c r="L432" s="49" t="n"/>
    </row>
    <row r="433">
      <c r="A433" s="43">
        <f>IF($B433="","",COUNT($B$5:$B433))</f>
        <v/>
      </c>
      <c r="B433" s="44" t="n"/>
      <c r="C433" s="47">
        <f>IF($B433="","",CHOOSE(WEEKDAY($B433),"일","월","화","수","목","금","토"))</f>
        <v/>
      </c>
      <c r="D433" s="45" t="n"/>
      <c r="E433" s="47">
        <f>IF($D433="","",IFERROR(INDEX(코드설정!$D$5:$D$24,MATCH($D433,코드설정!$C$5:$C$24,0)),""))</f>
        <v/>
      </c>
      <c r="F433" s="45" t="n"/>
      <c r="G433" s="45" t="n"/>
      <c r="H433" s="49" t="n"/>
      <c r="I433" s="49" t="n"/>
      <c r="J433" s="52" t="n"/>
      <c r="K433" s="45" t="n"/>
      <c r="L433" s="49" t="n"/>
    </row>
    <row r="434">
      <c r="A434" s="43">
        <f>IF($B434="","",COUNT($B$5:$B434))</f>
        <v/>
      </c>
      <c r="B434" s="44" t="n"/>
      <c r="C434" s="47">
        <f>IF($B434="","",CHOOSE(WEEKDAY($B434),"일","월","화","수","목","금","토"))</f>
        <v/>
      </c>
      <c r="D434" s="45" t="n"/>
      <c r="E434" s="47">
        <f>IF($D434="","",IFERROR(INDEX(코드설정!$D$5:$D$24,MATCH($D434,코드설정!$C$5:$C$24,0)),""))</f>
        <v/>
      </c>
      <c r="F434" s="45" t="n"/>
      <c r="G434" s="45" t="n"/>
      <c r="H434" s="49" t="n"/>
      <c r="I434" s="49" t="n"/>
      <c r="J434" s="52" t="n"/>
      <c r="K434" s="45" t="n"/>
      <c r="L434" s="49" t="n"/>
    </row>
    <row r="435">
      <c r="A435" s="43">
        <f>IF($B435="","",COUNT($B$5:$B435))</f>
        <v/>
      </c>
      <c r="B435" s="44" t="n"/>
      <c r="C435" s="47">
        <f>IF($B435="","",CHOOSE(WEEKDAY($B435),"일","월","화","수","목","금","토"))</f>
        <v/>
      </c>
      <c r="D435" s="45" t="n"/>
      <c r="E435" s="47">
        <f>IF($D435="","",IFERROR(INDEX(코드설정!$D$5:$D$24,MATCH($D435,코드설정!$C$5:$C$24,0)),""))</f>
        <v/>
      </c>
      <c r="F435" s="45" t="n"/>
      <c r="G435" s="45" t="n"/>
      <c r="H435" s="49" t="n"/>
      <c r="I435" s="49" t="n"/>
      <c r="J435" s="52" t="n"/>
      <c r="K435" s="45" t="n"/>
      <c r="L435" s="49" t="n"/>
    </row>
    <row r="436">
      <c r="A436" s="43">
        <f>IF($B436="","",COUNT($B$5:$B436))</f>
        <v/>
      </c>
      <c r="B436" s="44" t="n"/>
      <c r="C436" s="47">
        <f>IF($B436="","",CHOOSE(WEEKDAY($B436),"일","월","화","수","목","금","토"))</f>
        <v/>
      </c>
      <c r="D436" s="45" t="n"/>
      <c r="E436" s="47">
        <f>IF($D436="","",IFERROR(INDEX(코드설정!$D$5:$D$24,MATCH($D436,코드설정!$C$5:$C$24,0)),""))</f>
        <v/>
      </c>
      <c r="F436" s="45" t="n"/>
      <c r="G436" s="45" t="n"/>
      <c r="H436" s="49" t="n"/>
      <c r="I436" s="49" t="n"/>
      <c r="J436" s="52" t="n"/>
      <c r="K436" s="45" t="n"/>
      <c r="L436" s="49" t="n"/>
    </row>
    <row r="437">
      <c r="A437" s="43">
        <f>IF($B437="","",COUNT($B$5:$B437))</f>
        <v/>
      </c>
      <c r="B437" s="44" t="n"/>
      <c r="C437" s="47">
        <f>IF($B437="","",CHOOSE(WEEKDAY($B437),"일","월","화","수","목","금","토"))</f>
        <v/>
      </c>
      <c r="D437" s="45" t="n"/>
      <c r="E437" s="47">
        <f>IF($D437="","",IFERROR(INDEX(코드설정!$D$5:$D$24,MATCH($D437,코드설정!$C$5:$C$24,0)),""))</f>
        <v/>
      </c>
      <c r="F437" s="45" t="n"/>
      <c r="G437" s="45" t="n"/>
      <c r="H437" s="49" t="n"/>
      <c r="I437" s="49" t="n"/>
      <c r="J437" s="52" t="n"/>
      <c r="K437" s="45" t="n"/>
      <c r="L437" s="49" t="n"/>
    </row>
    <row r="438">
      <c r="A438" s="43">
        <f>IF($B438="","",COUNT($B$5:$B438))</f>
        <v/>
      </c>
      <c r="B438" s="44" t="n"/>
      <c r="C438" s="47">
        <f>IF($B438="","",CHOOSE(WEEKDAY($B438),"일","월","화","수","목","금","토"))</f>
        <v/>
      </c>
      <c r="D438" s="45" t="n"/>
      <c r="E438" s="47">
        <f>IF($D438="","",IFERROR(INDEX(코드설정!$D$5:$D$24,MATCH($D438,코드설정!$C$5:$C$24,0)),""))</f>
        <v/>
      </c>
      <c r="F438" s="45" t="n"/>
      <c r="G438" s="45" t="n"/>
      <c r="H438" s="49" t="n"/>
      <c r="I438" s="49" t="n"/>
      <c r="J438" s="52" t="n"/>
      <c r="K438" s="45" t="n"/>
      <c r="L438" s="49" t="n"/>
    </row>
    <row r="439">
      <c r="A439" s="43">
        <f>IF($B439="","",COUNT($B$5:$B439))</f>
        <v/>
      </c>
      <c r="B439" s="44" t="n"/>
      <c r="C439" s="47">
        <f>IF($B439="","",CHOOSE(WEEKDAY($B439),"일","월","화","수","목","금","토"))</f>
        <v/>
      </c>
      <c r="D439" s="45" t="n"/>
      <c r="E439" s="47">
        <f>IF($D439="","",IFERROR(INDEX(코드설정!$D$5:$D$24,MATCH($D439,코드설정!$C$5:$C$24,0)),""))</f>
        <v/>
      </c>
      <c r="F439" s="45" t="n"/>
      <c r="G439" s="45" t="n"/>
      <c r="H439" s="49" t="n"/>
      <c r="I439" s="49" t="n"/>
      <c r="J439" s="52" t="n"/>
      <c r="K439" s="45" t="n"/>
      <c r="L439" s="49" t="n"/>
    </row>
    <row r="440">
      <c r="A440" s="43">
        <f>IF($B440="","",COUNT($B$5:$B440))</f>
        <v/>
      </c>
      <c r="B440" s="44" t="n"/>
      <c r="C440" s="47">
        <f>IF($B440="","",CHOOSE(WEEKDAY($B440),"일","월","화","수","목","금","토"))</f>
        <v/>
      </c>
      <c r="D440" s="45" t="n"/>
      <c r="E440" s="47">
        <f>IF($D440="","",IFERROR(INDEX(코드설정!$D$5:$D$24,MATCH($D440,코드설정!$C$5:$C$24,0)),""))</f>
        <v/>
      </c>
      <c r="F440" s="45" t="n"/>
      <c r="G440" s="45" t="n"/>
      <c r="H440" s="49" t="n"/>
      <c r="I440" s="49" t="n"/>
      <c r="J440" s="52" t="n"/>
      <c r="K440" s="45" t="n"/>
      <c r="L440" s="49" t="n"/>
    </row>
    <row r="441">
      <c r="A441" s="43">
        <f>IF($B441="","",COUNT($B$5:$B441))</f>
        <v/>
      </c>
      <c r="B441" s="44" t="n"/>
      <c r="C441" s="47">
        <f>IF($B441="","",CHOOSE(WEEKDAY($B441),"일","월","화","수","목","금","토"))</f>
        <v/>
      </c>
      <c r="D441" s="45" t="n"/>
      <c r="E441" s="47">
        <f>IF($D441="","",IFERROR(INDEX(코드설정!$D$5:$D$24,MATCH($D441,코드설정!$C$5:$C$24,0)),""))</f>
        <v/>
      </c>
      <c r="F441" s="45" t="n"/>
      <c r="G441" s="45" t="n"/>
      <c r="H441" s="49" t="n"/>
      <c r="I441" s="49" t="n"/>
      <c r="J441" s="52" t="n"/>
      <c r="K441" s="45" t="n"/>
      <c r="L441" s="49" t="n"/>
    </row>
    <row r="442">
      <c r="A442" s="43">
        <f>IF($B442="","",COUNT($B$5:$B442))</f>
        <v/>
      </c>
      <c r="B442" s="44" t="n"/>
      <c r="C442" s="47">
        <f>IF($B442="","",CHOOSE(WEEKDAY($B442),"일","월","화","수","목","금","토"))</f>
        <v/>
      </c>
      <c r="D442" s="45" t="n"/>
      <c r="E442" s="47">
        <f>IF($D442="","",IFERROR(INDEX(코드설정!$D$5:$D$24,MATCH($D442,코드설정!$C$5:$C$24,0)),""))</f>
        <v/>
      </c>
      <c r="F442" s="45" t="n"/>
      <c r="G442" s="45" t="n"/>
      <c r="H442" s="49" t="n"/>
      <c r="I442" s="49" t="n"/>
      <c r="J442" s="52" t="n"/>
      <c r="K442" s="45" t="n"/>
      <c r="L442" s="49" t="n"/>
    </row>
    <row r="443">
      <c r="A443" s="43">
        <f>IF($B443="","",COUNT($B$5:$B443))</f>
        <v/>
      </c>
      <c r="B443" s="44" t="n"/>
      <c r="C443" s="47">
        <f>IF($B443="","",CHOOSE(WEEKDAY($B443),"일","월","화","수","목","금","토"))</f>
        <v/>
      </c>
      <c r="D443" s="45" t="n"/>
      <c r="E443" s="47">
        <f>IF($D443="","",IFERROR(INDEX(코드설정!$D$5:$D$24,MATCH($D443,코드설정!$C$5:$C$24,0)),""))</f>
        <v/>
      </c>
      <c r="F443" s="45" t="n"/>
      <c r="G443" s="45" t="n"/>
      <c r="H443" s="49" t="n"/>
      <c r="I443" s="49" t="n"/>
      <c r="J443" s="52" t="n"/>
      <c r="K443" s="45" t="n"/>
      <c r="L443" s="49" t="n"/>
    </row>
    <row r="444">
      <c r="A444" s="43">
        <f>IF($B444="","",COUNT($B$5:$B444))</f>
        <v/>
      </c>
      <c r="B444" s="44" t="n"/>
      <c r="C444" s="47">
        <f>IF($B444="","",CHOOSE(WEEKDAY($B444),"일","월","화","수","목","금","토"))</f>
        <v/>
      </c>
      <c r="D444" s="45" t="n"/>
      <c r="E444" s="47">
        <f>IF($D444="","",IFERROR(INDEX(코드설정!$D$5:$D$24,MATCH($D444,코드설정!$C$5:$C$24,0)),""))</f>
        <v/>
      </c>
      <c r="F444" s="45" t="n"/>
      <c r="G444" s="45" t="n"/>
      <c r="H444" s="49" t="n"/>
      <c r="I444" s="49" t="n"/>
      <c r="J444" s="52" t="n"/>
      <c r="K444" s="45" t="n"/>
      <c r="L444" s="49" t="n"/>
    </row>
    <row r="445">
      <c r="A445" s="43">
        <f>IF($B445="","",COUNT($B$5:$B445))</f>
        <v/>
      </c>
      <c r="B445" s="44" t="n"/>
      <c r="C445" s="47">
        <f>IF($B445="","",CHOOSE(WEEKDAY($B445),"일","월","화","수","목","금","토"))</f>
        <v/>
      </c>
      <c r="D445" s="45" t="n"/>
      <c r="E445" s="47">
        <f>IF($D445="","",IFERROR(INDEX(코드설정!$D$5:$D$24,MATCH($D445,코드설정!$C$5:$C$24,0)),""))</f>
        <v/>
      </c>
      <c r="F445" s="45" t="n"/>
      <c r="G445" s="45" t="n"/>
      <c r="H445" s="49" t="n"/>
      <c r="I445" s="49" t="n"/>
      <c r="J445" s="52" t="n"/>
      <c r="K445" s="45" t="n"/>
      <c r="L445" s="49" t="n"/>
    </row>
    <row r="446">
      <c r="A446" s="43">
        <f>IF($B446="","",COUNT($B$5:$B446))</f>
        <v/>
      </c>
      <c r="B446" s="44" t="n"/>
      <c r="C446" s="47">
        <f>IF($B446="","",CHOOSE(WEEKDAY($B446),"일","월","화","수","목","금","토"))</f>
        <v/>
      </c>
      <c r="D446" s="45" t="n"/>
      <c r="E446" s="47">
        <f>IF($D446="","",IFERROR(INDEX(코드설정!$D$5:$D$24,MATCH($D446,코드설정!$C$5:$C$24,0)),""))</f>
        <v/>
      </c>
      <c r="F446" s="45" t="n"/>
      <c r="G446" s="45" t="n"/>
      <c r="H446" s="49" t="n"/>
      <c r="I446" s="49" t="n"/>
      <c r="J446" s="52" t="n"/>
      <c r="K446" s="45" t="n"/>
      <c r="L446" s="49" t="n"/>
    </row>
    <row r="447">
      <c r="A447" s="43">
        <f>IF($B447="","",COUNT($B$5:$B447))</f>
        <v/>
      </c>
      <c r="B447" s="44" t="n"/>
      <c r="C447" s="47">
        <f>IF($B447="","",CHOOSE(WEEKDAY($B447),"일","월","화","수","목","금","토"))</f>
        <v/>
      </c>
      <c r="D447" s="45" t="n"/>
      <c r="E447" s="47">
        <f>IF($D447="","",IFERROR(INDEX(코드설정!$D$5:$D$24,MATCH($D447,코드설정!$C$5:$C$24,0)),""))</f>
        <v/>
      </c>
      <c r="F447" s="45" t="n"/>
      <c r="G447" s="45" t="n"/>
      <c r="H447" s="49" t="n"/>
      <c r="I447" s="49" t="n"/>
      <c r="J447" s="52" t="n"/>
      <c r="K447" s="45" t="n"/>
      <c r="L447" s="49" t="n"/>
    </row>
    <row r="448">
      <c r="A448" s="43">
        <f>IF($B448="","",COUNT($B$5:$B448))</f>
        <v/>
      </c>
      <c r="B448" s="44" t="n"/>
      <c r="C448" s="47">
        <f>IF($B448="","",CHOOSE(WEEKDAY($B448),"일","월","화","수","목","금","토"))</f>
        <v/>
      </c>
      <c r="D448" s="45" t="n"/>
      <c r="E448" s="47">
        <f>IF($D448="","",IFERROR(INDEX(코드설정!$D$5:$D$24,MATCH($D448,코드설정!$C$5:$C$24,0)),""))</f>
        <v/>
      </c>
      <c r="F448" s="45" t="n"/>
      <c r="G448" s="45" t="n"/>
      <c r="H448" s="49" t="n"/>
      <c r="I448" s="49" t="n"/>
      <c r="J448" s="52" t="n"/>
      <c r="K448" s="45" t="n"/>
      <c r="L448" s="49" t="n"/>
    </row>
    <row r="449">
      <c r="A449" s="43">
        <f>IF($B449="","",COUNT($B$5:$B449))</f>
        <v/>
      </c>
      <c r="B449" s="44" t="n"/>
      <c r="C449" s="47">
        <f>IF($B449="","",CHOOSE(WEEKDAY($B449),"일","월","화","수","목","금","토"))</f>
        <v/>
      </c>
      <c r="D449" s="45" t="n"/>
      <c r="E449" s="47">
        <f>IF($D449="","",IFERROR(INDEX(코드설정!$D$5:$D$24,MATCH($D449,코드설정!$C$5:$C$24,0)),""))</f>
        <v/>
      </c>
      <c r="F449" s="45" t="n"/>
      <c r="G449" s="45" t="n"/>
      <c r="H449" s="49" t="n"/>
      <c r="I449" s="49" t="n"/>
      <c r="J449" s="52" t="n"/>
      <c r="K449" s="45" t="n"/>
      <c r="L449" s="49" t="n"/>
    </row>
    <row r="450">
      <c r="A450" s="43">
        <f>IF($B450="","",COUNT($B$5:$B450))</f>
        <v/>
      </c>
      <c r="B450" s="44" t="n"/>
      <c r="C450" s="47">
        <f>IF($B450="","",CHOOSE(WEEKDAY($B450),"일","월","화","수","목","금","토"))</f>
        <v/>
      </c>
      <c r="D450" s="45" t="n"/>
      <c r="E450" s="47">
        <f>IF($D450="","",IFERROR(INDEX(코드설정!$D$5:$D$24,MATCH($D450,코드설정!$C$5:$C$24,0)),""))</f>
        <v/>
      </c>
      <c r="F450" s="45" t="n"/>
      <c r="G450" s="45" t="n"/>
      <c r="H450" s="49" t="n"/>
      <c r="I450" s="49" t="n"/>
      <c r="J450" s="52" t="n"/>
      <c r="K450" s="45" t="n"/>
      <c r="L450" s="49" t="n"/>
    </row>
    <row r="451">
      <c r="A451" s="43">
        <f>IF($B451="","",COUNT($B$5:$B451))</f>
        <v/>
      </c>
      <c r="B451" s="44" t="n"/>
      <c r="C451" s="47">
        <f>IF($B451="","",CHOOSE(WEEKDAY($B451),"일","월","화","수","목","금","토"))</f>
        <v/>
      </c>
      <c r="D451" s="45" t="n"/>
      <c r="E451" s="47">
        <f>IF($D451="","",IFERROR(INDEX(코드설정!$D$5:$D$24,MATCH($D451,코드설정!$C$5:$C$24,0)),""))</f>
        <v/>
      </c>
      <c r="F451" s="45" t="n"/>
      <c r="G451" s="45" t="n"/>
      <c r="H451" s="49" t="n"/>
      <c r="I451" s="49" t="n"/>
      <c r="J451" s="52" t="n"/>
      <c r="K451" s="45" t="n"/>
      <c r="L451" s="49" t="n"/>
    </row>
    <row r="452">
      <c r="A452" s="43">
        <f>IF($B452="","",COUNT($B$5:$B452))</f>
        <v/>
      </c>
      <c r="B452" s="44" t="n"/>
      <c r="C452" s="47">
        <f>IF($B452="","",CHOOSE(WEEKDAY($B452),"일","월","화","수","목","금","토"))</f>
        <v/>
      </c>
      <c r="D452" s="45" t="n"/>
      <c r="E452" s="47">
        <f>IF($D452="","",IFERROR(INDEX(코드설정!$D$5:$D$24,MATCH($D452,코드설정!$C$5:$C$24,0)),""))</f>
        <v/>
      </c>
      <c r="F452" s="45" t="n"/>
      <c r="G452" s="45" t="n"/>
      <c r="H452" s="49" t="n"/>
      <c r="I452" s="49" t="n"/>
      <c r="J452" s="52" t="n"/>
      <c r="K452" s="45" t="n"/>
      <c r="L452" s="49" t="n"/>
    </row>
    <row r="453">
      <c r="A453" s="43">
        <f>IF($B453="","",COUNT($B$5:$B453))</f>
        <v/>
      </c>
      <c r="B453" s="44" t="n"/>
      <c r="C453" s="47">
        <f>IF($B453="","",CHOOSE(WEEKDAY($B453),"일","월","화","수","목","금","토"))</f>
        <v/>
      </c>
      <c r="D453" s="45" t="n"/>
      <c r="E453" s="47">
        <f>IF($D453="","",IFERROR(INDEX(코드설정!$D$5:$D$24,MATCH($D453,코드설정!$C$5:$C$24,0)),""))</f>
        <v/>
      </c>
      <c r="F453" s="45" t="n"/>
      <c r="G453" s="45" t="n"/>
      <c r="H453" s="49" t="n"/>
      <c r="I453" s="49" t="n"/>
      <c r="J453" s="52" t="n"/>
      <c r="K453" s="45" t="n"/>
      <c r="L453" s="49" t="n"/>
    </row>
    <row r="454">
      <c r="A454" s="43">
        <f>IF($B454="","",COUNT($B$5:$B454))</f>
        <v/>
      </c>
      <c r="B454" s="44" t="n"/>
      <c r="C454" s="47">
        <f>IF($B454="","",CHOOSE(WEEKDAY($B454),"일","월","화","수","목","금","토"))</f>
        <v/>
      </c>
      <c r="D454" s="45" t="n"/>
      <c r="E454" s="47">
        <f>IF($D454="","",IFERROR(INDEX(코드설정!$D$5:$D$24,MATCH($D454,코드설정!$C$5:$C$24,0)),""))</f>
        <v/>
      </c>
      <c r="F454" s="45" t="n"/>
      <c r="G454" s="45" t="n"/>
      <c r="H454" s="49" t="n"/>
      <c r="I454" s="49" t="n"/>
      <c r="J454" s="52" t="n"/>
      <c r="K454" s="45" t="n"/>
      <c r="L454" s="49" t="n"/>
    </row>
    <row r="455">
      <c r="A455" s="43">
        <f>IF($B455="","",COUNT($B$5:$B455))</f>
        <v/>
      </c>
      <c r="B455" s="44" t="n"/>
      <c r="C455" s="47">
        <f>IF($B455="","",CHOOSE(WEEKDAY($B455),"일","월","화","수","목","금","토"))</f>
        <v/>
      </c>
      <c r="D455" s="45" t="n"/>
      <c r="E455" s="47">
        <f>IF($D455="","",IFERROR(INDEX(코드설정!$D$5:$D$24,MATCH($D455,코드설정!$C$5:$C$24,0)),""))</f>
        <v/>
      </c>
      <c r="F455" s="45" t="n"/>
      <c r="G455" s="45" t="n"/>
      <c r="H455" s="49" t="n"/>
      <c r="I455" s="49" t="n"/>
      <c r="J455" s="52" t="n"/>
      <c r="K455" s="45" t="n"/>
      <c r="L455" s="49" t="n"/>
    </row>
    <row r="456">
      <c r="A456" s="43">
        <f>IF($B456="","",COUNT($B$5:$B456))</f>
        <v/>
      </c>
      <c r="B456" s="44" t="n"/>
      <c r="C456" s="47">
        <f>IF($B456="","",CHOOSE(WEEKDAY($B456),"일","월","화","수","목","금","토"))</f>
        <v/>
      </c>
      <c r="D456" s="45" t="n"/>
      <c r="E456" s="47">
        <f>IF($D456="","",IFERROR(INDEX(코드설정!$D$5:$D$24,MATCH($D456,코드설정!$C$5:$C$24,0)),""))</f>
        <v/>
      </c>
      <c r="F456" s="45" t="n"/>
      <c r="G456" s="45" t="n"/>
      <c r="H456" s="49" t="n"/>
      <c r="I456" s="49" t="n"/>
      <c r="J456" s="52" t="n"/>
      <c r="K456" s="45" t="n"/>
      <c r="L456" s="49" t="n"/>
    </row>
    <row r="457">
      <c r="A457" s="43">
        <f>IF($B457="","",COUNT($B$5:$B457))</f>
        <v/>
      </c>
      <c r="B457" s="44" t="n"/>
      <c r="C457" s="47">
        <f>IF($B457="","",CHOOSE(WEEKDAY($B457),"일","월","화","수","목","금","토"))</f>
        <v/>
      </c>
      <c r="D457" s="45" t="n"/>
      <c r="E457" s="47">
        <f>IF($D457="","",IFERROR(INDEX(코드설정!$D$5:$D$24,MATCH($D457,코드설정!$C$5:$C$24,0)),""))</f>
        <v/>
      </c>
      <c r="F457" s="45" t="n"/>
      <c r="G457" s="45" t="n"/>
      <c r="H457" s="49" t="n"/>
      <c r="I457" s="49" t="n"/>
      <c r="J457" s="52" t="n"/>
      <c r="K457" s="45" t="n"/>
      <c r="L457" s="49" t="n"/>
    </row>
    <row r="458">
      <c r="A458" s="43">
        <f>IF($B458="","",COUNT($B$5:$B458))</f>
        <v/>
      </c>
      <c r="B458" s="44" t="n"/>
      <c r="C458" s="47">
        <f>IF($B458="","",CHOOSE(WEEKDAY($B458),"일","월","화","수","목","금","토"))</f>
        <v/>
      </c>
      <c r="D458" s="45" t="n"/>
      <c r="E458" s="47">
        <f>IF($D458="","",IFERROR(INDEX(코드설정!$D$5:$D$24,MATCH($D458,코드설정!$C$5:$C$24,0)),""))</f>
        <v/>
      </c>
      <c r="F458" s="45" t="n"/>
      <c r="G458" s="45" t="n"/>
      <c r="H458" s="49" t="n"/>
      <c r="I458" s="49" t="n"/>
      <c r="J458" s="52" t="n"/>
      <c r="K458" s="45" t="n"/>
      <c r="L458" s="49" t="n"/>
    </row>
    <row r="459">
      <c r="A459" s="43">
        <f>IF($B459="","",COUNT($B$5:$B459))</f>
        <v/>
      </c>
      <c r="B459" s="44" t="n"/>
      <c r="C459" s="47">
        <f>IF($B459="","",CHOOSE(WEEKDAY($B459),"일","월","화","수","목","금","토"))</f>
        <v/>
      </c>
      <c r="D459" s="45" t="n"/>
      <c r="E459" s="47">
        <f>IF($D459="","",IFERROR(INDEX(코드설정!$D$5:$D$24,MATCH($D459,코드설정!$C$5:$C$24,0)),""))</f>
        <v/>
      </c>
      <c r="F459" s="45" t="n"/>
      <c r="G459" s="45" t="n"/>
      <c r="H459" s="49" t="n"/>
      <c r="I459" s="49" t="n"/>
      <c r="J459" s="52" t="n"/>
      <c r="K459" s="45" t="n"/>
      <c r="L459" s="49" t="n"/>
    </row>
    <row r="460">
      <c r="A460" s="43">
        <f>IF($B460="","",COUNT($B$5:$B460))</f>
        <v/>
      </c>
      <c r="B460" s="44" t="n"/>
      <c r="C460" s="47">
        <f>IF($B460="","",CHOOSE(WEEKDAY($B460),"일","월","화","수","목","금","토"))</f>
        <v/>
      </c>
      <c r="D460" s="45" t="n"/>
      <c r="E460" s="47">
        <f>IF($D460="","",IFERROR(INDEX(코드설정!$D$5:$D$24,MATCH($D460,코드설정!$C$5:$C$24,0)),""))</f>
        <v/>
      </c>
      <c r="F460" s="45" t="n"/>
      <c r="G460" s="45" t="n"/>
      <c r="H460" s="49" t="n"/>
      <c r="I460" s="49" t="n"/>
      <c r="J460" s="52" t="n"/>
      <c r="K460" s="45" t="n"/>
      <c r="L460" s="49" t="n"/>
    </row>
    <row r="461">
      <c r="A461" s="43">
        <f>IF($B461="","",COUNT($B$5:$B461))</f>
        <v/>
      </c>
      <c r="B461" s="44" t="n"/>
      <c r="C461" s="47">
        <f>IF($B461="","",CHOOSE(WEEKDAY($B461),"일","월","화","수","목","금","토"))</f>
        <v/>
      </c>
      <c r="D461" s="45" t="n"/>
      <c r="E461" s="47">
        <f>IF($D461="","",IFERROR(INDEX(코드설정!$D$5:$D$24,MATCH($D461,코드설정!$C$5:$C$24,0)),""))</f>
        <v/>
      </c>
      <c r="F461" s="45" t="n"/>
      <c r="G461" s="45" t="n"/>
      <c r="H461" s="49" t="n"/>
      <c r="I461" s="49" t="n"/>
      <c r="J461" s="52" t="n"/>
      <c r="K461" s="45" t="n"/>
      <c r="L461" s="49" t="n"/>
    </row>
    <row r="462">
      <c r="A462" s="43">
        <f>IF($B462="","",COUNT($B$5:$B462))</f>
        <v/>
      </c>
      <c r="B462" s="44" t="n"/>
      <c r="C462" s="47">
        <f>IF($B462="","",CHOOSE(WEEKDAY($B462),"일","월","화","수","목","금","토"))</f>
        <v/>
      </c>
      <c r="D462" s="45" t="n"/>
      <c r="E462" s="47">
        <f>IF($D462="","",IFERROR(INDEX(코드설정!$D$5:$D$24,MATCH($D462,코드설정!$C$5:$C$24,0)),""))</f>
        <v/>
      </c>
      <c r="F462" s="45" t="n"/>
      <c r="G462" s="45" t="n"/>
      <c r="H462" s="49" t="n"/>
      <c r="I462" s="49" t="n"/>
      <c r="J462" s="52" t="n"/>
      <c r="K462" s="45" t="n"/>
      <c r="L462" s="49" t="n"/>
    </row>
    <row r="463">
      <c r="A463" s="43">
        <f>IF($B463="","",COUNT($B$5:$B463))</f>
        <v/>
      </c>
      <c r="B463" s="44" t="n"/>
      <c r="C463" s="47">
        <f>IF($B463="","",CHOOSE(WEEKDAY($B463),"일","월","화","수","목","금","토"))</f>
        <v/>
      </c>
      <c r="D463" s="45" t="n"/>
      <c r="E463" s="47">
        <f>IF($D463="","",IFERROR(INDEX(코드설정!$D$5:$D$24,MATCH($D463,코드설정!$C$5:$C$24,0)),""))</f>
        <v/>
      </c>
      <c r="F463" s="45" t="n"/>
      <c r="G463" s="45" t="n"/>
      <c r="H463" s="49" t="n"/>
      <c r="I463" s="49" t="n"/>
      <c r="J463" s="52" t="n"/>
      <c r="K463" s="45" t="n"/>
      <c r="L463" s="49" t="n"/>
    </row>
    <row r="464">
      <c r="A464" s="43">
        <f>IF($B464="","",COUNT($B$5:$B464))</f>
        <v/>
      </c>
      <c r="B464" s="44" t="n"/>
      <c r="C464" s="47">
        <f>IF($B464="","",CHOOSE(WEEKDAY($B464),"일","월","화","수","목","금","토"))</f>
        <v/>
      </c>
      <c r="D464" s="45" t="n"/>
      <c r="E464" s="47">
        <f>IF($D464="","",IFERROR(INDEX(코드설정!$D$5:$D$24,MATCH($D464,코드설정!$C$5:$C$24,0)),""))</f>
        <v/>
      </c>
      <c r="F464" s="45" t="n"/>
      <c r="G464" s="45" t="n"/>
      <c r="H464" s="49" t="n"/>
      <c r="I464" s="49" t="n"/>
      <c r="J464" s="52" t="n"/>
      <c r="K464" s="45" t="n"/>
      <c r="L464" s="49" t="n"/>
    </row>
    <row r="465">
      <c r="A465" s="43">
        <f>IF($B465="","",COUNT($B$5:$B465))</f>
        <v/>
      </c>
      <c r="B465" s="44" t="n"/>
      <c r="C465" s="47">
        <f>IF($B465="","",CHOOSE(WEEKDAY($B465),"일","월","화","수","목","금","토"))</f>
        <v/>
      </c>
      <c r="D465" s="45" t="n"/>
      <c r="E465" s="47">
        <f>IF($D465="","",IFERROR(INDEX(코드설정!$D$5:$D$24,MATCH($D465,코드설정!$C$5:$C$24,0)),""))</f>
        <v/>
      </c>
      <c r="F465" s="45" t="n"/>
      <c r="G465" s="45" t="n"/>
      <c r="H465" s="49" t="n"/>
      <c r="I465" s="49" t="n"/>
      <c r="J465" s="52" t="n"/>
      <c r="K465" s="45" t="n"/>
      <c r="L465" s="49" t="n"/>
    </row>
    <row r="466">
      <c r="A466" s="43">
        <f>IF($B466="","",COUNT($B$5:$B466))</f>
        <v/>
      </c>
      <c r="B466" s="44" t="n"/>
      <c r="C466" s="47">
        <f>IF($B466="","",CHOOSE(WEEKDAY($B466),"일","월","화","수","목","금","토"))</f>
        <v/>
      </c>
      <c r="D466" s="45" t="n"/>
      <c r="E466" s="47">
        <f>IF($D466="","",IFERROR(INDEX(코드설정!$D$5:$D$24,MATCH($D466,코드설정!$C$5:$C$24,0)),""))</f>
        <v/>
      </c>
      <c r="F466" s="45" t="n"/>
      <c r="G466" s="45" t="n"/>
      <c r="H466" s="49" t="n"/>
      <c r="I466" s="49" t="n"/>
      <c r="J466" s="52" t="n"/>
      <c r="K466" s="45" t="n"/>
      <c r="L466" s="49" t="n"/>
    </row>
    <row r="467">
      <c r="A467" s="43">
        <f>IF($B467="","",COUNT($B$5:$B467))</f>
        <v/>
      </c>
      <c r="B467" s="44" t="n"/>
      <c r="C467" s="47">
        <f>IF($B467="","",CHOOSE(WEEKDAY($B467),"일","월","화","수","목","금","토"))</f>
        <v/>
      </c>
      <c r="D467" s="45" t="n"/>
      <c r="E467" s="47">
        <f>IF($D467="","",IFERROR(INDEX(코드설정!$D$5:$D$24,MATCH($D467,코드설정!$C$5:$C$24,0)),""))</f>
        <v/>
      </c>
      <c r="F467" s="45" t="n"/>
      <c r="G467" s="45" t="n"/>
      <c r="H467" s="49" t="n"/>
      <c r="I467" s="49" t="n"/>
      <c r="J467" s="52" t="n"/>
      <c r="K467" s="45" t="n"/>
      <c r="L467" s="49" t="n"/>
    </row>
    <row r="468">
      <c r="A468" s="43">
        <f>IF($B468="","",COUNT($B$5:$B468))</f>
        <v/>
      </c>
      <c r="B468" s="44" t="n"/>
      <c r="C468" s="47">
        <f>IF($B468="","",CHOOSE(WEEKDAY($B468),"일","월","화","수","목","금","토"))</f>
        <v/>
      </c>
      <c r="D468" s="45" t="n"/>
      <c r="E468" s="47">
        <f>IF($D468="","",IFERROR(INDEX(코드설정!$D$5:$D$24,MATCH($D468,코드설정!$C$5:$C$24,0)),""))</f>
        <v/>
      </c>
      <c r="F468" s="45" t="n"/>
      <c r="G468" s="45" t="n"/>
      <c r="H468" s="49" t="n"/>
      <c r="I468" s="49" t="n"/>
      <c r="J468" s="52" t="n"/>
      <c r="K468" s="45" t="n"/>
      <c r="L468" s="49" t="n"/>
    </row>
    <row r="469">
      <c r="A469" s="43">
        <f>IF($B469="","",COUNT($B$5:$B469))</f>
        <v/>
      </c>
      <c r="B469" s="44" t="n"/>
      <c r="C469" s="47">
        <f>IF($B469="","",CHOOSE(WEEKDAY($B469),"일","월","화","수","목","금","토"))</f>
        <v/>
      </c>
      <c r="D469" s="45" t="n"/>
      <c r="E469" s="47">
        <f>IF($D469="","",IFERROR(INDEX(코드설정!$D$5:$D$24,MATCH($D469,코드설정!$C$5:$C$24,0)),""))</f>
        <v/>
      </c>
      <c r="F469" s="45" t="n"/>
      <c r="G469" s="45" t="n"/>
      <c r="H469" s="49" t="n"/>
      <c r="I469" s="49" t="n"/>
      <c r="J469" s="52" t="n"/>
      <c r="K469" s="45" t="n"/>
      <c r="L469" s="49" t="n"/>
    </row>
    <row r="470">
      <c r="A470" s="43">
        <f>IF($B470="","",COUNT($B$5:$B470))</f>
        <v/>
      </c>
      <c r="B470" s="44" t="n"/>
      <c r="C470" s="47">
        <f>IF($B470="","",CHOOSE(WEEKDAY($B470),"일","월","화","수","목","금","토"))</f>
        <v/>
      </c>
      <c r="D470" s="45" t="n"/>
      <c r="E470" s="47">
        <f>IF($D470="","",IFERROR(INDEX(코드설정!$D$5:$D$24,MATCH($D470,코드설정!$C$5:$C$24,0)),""))</f>
        <v/>
      </c>
      <c r="F470" s="45" t="n"/>
      <c r="G470" s="45" t="n"/>
      <c r="H470" s="49" t="n"/>
      <c r="I470" s="49" t="n"/>
      <c r="J470" s="52" t="n"/>
      <c r="K470" s="45" t="n"/>
      <c r="L470" s="49" t="n"/>
    </row>
    <row r="471">
      <c r="A471" s="43">
        <f>IF($B471="","",COUNT($B$5:$B471))</f>
        <v/>
      </c>
      <c r="B471" s="44" t="n"/>
      <c r="C471" s="47">
        <f>IF($B471="","",CHOOSE(WEEKDAY($B471),"일","월","화","수","목","금","토"))</f>
        <v/>
      </c>
      <c r="D471" s="45" t="n"/>
      <c r="E471" s="47">
        <f>IF($D471="","",IFERROR(INDEX(코드설정!$D$5:$D$24,MATCH($D471,코드설정!$C$5:$C$24,0)),""))</f>
        <v/>
      </c>
      <c r="F471" s="45" t="n"/>
      <c r="G471" s="45" t="n"/>
      <c r="H471" s="49" t="n"/>
      <c r="I471" s="49" t="n"/>
      <c r="J471" s="52" t="n"/>
      <c r="K471" s="45" t="n"/>
      <c r="L471" s="49" t="n"/>
    </row>
    <row r="472">
      <c r="A472" s="43">
        <f>IF($B472="","",COUNT($B$5:$B472))</f>
        <v/>
      </c>
      <c r="B472" s="44" t="n"/>
      <c r="C472" s="47">
        <f>IF($B472="","",CHOOSE(WEEKDAY($B472),"일","월","화","수","목","금","토"))</f>
        <v/>
      </c>
      <c r="D472" s="45" t="n"/>
      <c r="E472" s="47">
        <f>IF($D472="","",IFERROR(INDEX(코드설정!$D$5:$D$24,MATCH($D472,코드설정!$C$5:$C$24,0)),""))</f>
        <v/>
      </c>
      <c r="F472" s="45" t="n"/>
      <c r="G472" s="45" t="n"/>
      <c r="H472" s="49" t="n"/>
      <c r="I472" s="49" t="n"/>
      <c r="J472" s="52" t="n"/>
      <c r="K472" s="45" t="n"/>
      <c r="L472" s="49" t="n"/>
    </row>
    <row r="473">
      <c r="A473" s="43">
        <f>IF($B473="","",COUNT($B$5:$B473))</f>
        <v/>
      </c>
      <c r="B473" s="44" t="n"/>
      <c r="C473" s="47">
        <f>IF($B473="","",CHOOSE(WEEKDAY($B473),"일","월","화","수","목","금","토"))</f>
        <v/>
      </c>
      <c r="D473" s="45" t="n"/>
      <c r="E473" s="47">
        <f>IF($D473="","",IFERROR(INDEX(코드설정!$D$5:$D$24,MATCH($D473,코드설정!$C$5:$C$24,0)),""))</f>
        <v/>
      </c>
      <c r="F473" s="45" t="n"/>
      <c r="G473" s="45" t="n"/>
      <c r="H473" s="49" t="n"/>
      <c r="I473" s="49" t="n"/>
      <c r="J473" s="52" t="n"/>
      <c r="K473" s="45" t="n"/>
      <c r="L473" s="49" t="n"/>
    </row>
    <row r="474">
      <c r="A474" s="43">
        <f>IF($B474="","",COUNT($B$5:$B474))</f>
        <v/>
      </c>
      <c r="B474" s="44" t="n"/>
      <c r="C474" s="47">
        <f>IF($B474="","",CHOOSE(WEEKDAY($B474),"일","월","화","수","목","금","토"))</f>
        <v/>
      </c>
      <c r="D474" s="45" t="n"/>
      <c r="E474" s="47">
        <f>IF($D474="","",IFERROR(INDEX(코드설정!$D$5:$D$24,MATCH($D474,코드설정!$C$5:$C$24,0)),""))</f>
        <v/>
      </c>
      <c r="F474" s="45" t="n"/>
      <c r="G474" s="45" t="n"/>
      <c r="H474" s="49" t="n"/>
      <c r="I474" s="49" t="n"/>
      <c r="J474" s="52" t="n"/>
      <c r="K474" s="45" t="n"/>
      <c r="L474" s="49" t="n"/>
    </row>
    <row r="475">
      <c r="A475" s="43">
        <f>IF($B475="","",COUNT($B$5:$B475))</f>
        <v/>
      </c>
      <c r="B475" s="44" t="n"/>
      <c r="C475" s="47">
        <f>IF($B475="","",CHOOSE(WEEKDAY($B475),"일","월","화","수","목","금","토"))</f>
        <v/>
      </c>
      <c r="D475" s="45" t="n"/>
      <c r="E475" s="47">
        <f>IF($D475="","",IFERROR(INDEX(코드설정!$D$5:$D$24,MATCH($D475,코드설정!$C$5:$C$24,0)),""))</f>
        <v/>
      </c>
      <c r="F475" s="45" t="n"/>
      <c r="G475" s="45" t="n"/>
      <c r="H475" s="49" t="n"/>
      <c r="I475" s="49" t="n"/>
      <c r="J475" s="52" t="n"/>
      <c r="K475" s="45" t="n"/>
      <c r="L475" s="49" t="n"/>
    </row>
    <row r="476">
      <c r="A476" s="43">
        <f>IF($B476="","",COUNT($B$5:$B476))</f>
        <v/>
      </c>
      <c r="B476" s="44" t="n"/>
      <c r="C476" s="47">
        <f>IF($B476="","",CHOOSE(WEEKDAY($B476),"일","월","화","수","목","금","토"))</f>
        <v/>
      </c>
      <c r="D476" s="45" t="n"/>
      <c r="E476" s="47">
        <f>IF($D476="","",IFERROR(INDEX(코드설정!$D$5:$D$24,MATCH($D476,코드설정!$C$5:$C$24,0)),""))</f>
        <v/>
      </c>
      <c r="F476" s="45" t="n"/>
      <c r="G476" s="45" t="n"/>
      <c r="H476" s="49" t="n"/>
      <c r="I476" s="49" t="n"/>
      <c r="J476" s="52" t="n"/>
      <c r="K476" s="45" t="n"/>
      <c r="L476" s="49" t="n"/>
    </row>
    <row r="477">
      <c r="A477" s="43">
        <f>IF($B477="","",COUNT($B$5:$B477))</f>
        <v/>
      </c>
      <c r="B477" s="44" t="n"/>
      <c r="C477" s="47">
        <f>IF($B477="","",CHOOSE(WEEKDAY($B477),"일","월","화","수","목","금","토"))</f>
        <v/>
      </c>
      <c r="D477" s="45" t="n"/>
      <c r="E477" s="47">
        <f>IF($D477="","",IFERROR(INDEX(코드설정!$D$5:$D$24,MATCH($D477,코드설정!$C$5:$C$24,0)),""))</f>
        <v/>
      </c>
      <c r="F477" s="45" t="n"/>
      <c r="G477" s="45" t="n"/>
      <c r="H477" s="49" t="n"/>
      <c r="I477" s="49" t="n"/>
      <c r="J477" s="52" t="n"/>
      <c r="K477" s="45" t="n"/>
      <c r="L477" s="49" t="n"/>
    </row>
    <row r="478">
      <c r="A478" s="43">
        <f>IF($B478="","",COUNT($B$5:$B478))</f>
        <v/>
      </c>
      <c r="B478" s="44" t="n"/>
      <c r="C478" s="47">
        <f>IF($B478="","",CHOOSE(WEEKDAY($B478),"일","월","화","수","목","금","토"))</f>
        <v/>
      </c>
      <c r="D478" s="45" t="n"/>
      <c r="E478" s="47">
        <f>IF($D478="","",IFERROR(INDEX(코드설정!$D$5:$D$24,MATCH($D478,코드설정!$C$5:$C$24,0)),""))</f>
        <v/>
      </c>
      <c r="F478" s="45" t="n"/>
      <c r="G478" s="45" t="n"/>
      <c r="H478" s="49" t="n"/>
      <c r="I478" s="49" t="n"/>
      <c r="J478" s="52" t="n"/>
      <c r="K478" s="45" t="n"/>
      <c r="L478" s="49" t="n"/>
    </row>
    <row r="479">
      <c r="A479" s="43">
        <f>IF($B479="","",COUNT($B$5:$B479))</f>
        <v/>
      </c>
      <c r="B479" s="44" t="n"/>
      <c r="C479" s="47">
        <f>IF($B479="","",CHOOSE(WEEKDAY($B479),"일","월","화","수","목","금","토"))</f>
        <v/>
      </c>
      <c r="D479" s="45" t="n"/>
      <c r="E479" s="47">
        <f>IF($D479="","",IFERROR(INDEX(코드설정!$D$5:$D$24,MATCH($D479,코드설정!$C$5:$C$24,0)),""))</f>
        <v/>
      </c>
      <c r="F479" s="45" t="n"/>
      <c r="G479" s="45" t="n"/>
      <c r="H479" s="49" t="n"/>
      <c r="I479" s="49" t="n"/>
      <c r="J479" s="52" t="n"/>
      <c r="K479" s="45" t="n"/>
      <c r="L479" s="49" t="n"/>
    </row>
    <row r="480">
      <c r="A480" s="43">
        <f>IF($B480="","",COUNT($B$5:$B480))</f>
        <v/>
      </c>
      <c r="B480" s="44" t="n"/>
      <c r="C480" s="47">
        <f>IF($B480="","",CHOOSE(WEEKDAY($B480),"일","월","화","수","목","금","토"))</f>
        <v/>
      </c>
      <c r="D480" s="45" t="n"/>
      <c r="E480" s="47">
        <f>IF($D480="","",IFERROR(INDEX(코드설정!$D$5:$D$24,MATCH($D480,코드설정!$C$5:$C$24,0)),""))</f>
        <v/>
      </c>
      <c r="F480" s="45" t="n"/>
      <c r="G480" s="45" t="n"/>
      <c r="H480" s="49" t="n"/>
      <c r="I480" s="49" t="n"/>
      <c r="J480" s="52" t="n"/>
      <c r="K480" s="45" t="n"/>
      <c r="L480" s="49" t="n"/>
    </row>
    <row r="481">
      <c r="A481" s="43">
        <f>IF($B481="","",COUNT($B$5:$B481))</f>
        <v/>
      </c>
      <c r="B481" s="44" t="n"/>
      <c r="C481" s="47">
        <f>IF($B481="","",CHOOSE(WEEKDAY($B481),"일","월","화","수","목","금","토"))</f>
        <v/>
      </c>
      <c r="D481" s="45" t="n"/>
      <c r="E481" s="47">
        <f>IF($D481="","",IFERROR(INDEX(코드설정!$D$5:$D$24,MATCH($D481,코드설정!$C$5:$C$24,0)),""))</f>
        <v/>
      </c>
      <c r="F481" s="45" t="n"/>
      <c r="G481" s="45" t="n"/>
      <c r="H481" s="49" t="n"/>
      <c r="I481" s="49" t="n"/>
      <c r="J481" s="52" t="n"/>
      <c r="K481" s="45" t="n"/>
      <c r="L481" s="49" t="n"/>
    </row>
    <row r="482">
      <c r="A482" s="43">
        <f>IF($B482="","",COUNT($B$5:$B482))</f>
        <v/>
      </c>
      <c r="B482" s="44" t="n"/>
      <c r="C482" s="47">
        <f>IF($B482="","",CHOOSE(WEEKDAY($B482),"일","월","화","수","목","금","토"))</f>
        <v/>
      </c>
      <c r="D482" s="45" t="n"/>
      <c r="E482" s="47">
        <f>IF($D482="","",IFERROR(INDEX(코드설정!$D$5:$D$24,MATCH($D482,코드설정!$C$5:$C$24,0)),""))</f>
        <v/>
      </c>
      <c r="F482" s="45" t="n"/>
      <c r="G482" s="45" t="n"/>
      <c r="H482" s="49" t="n"/>
      <c r="I482" s="49" t="n"/>
      <c r="J482" s="52" t="n"/>
      <c r="K482" s="45" t="n"/>
      <c r="L482" s="49" t="n"/>
    </row>
    <row r="483">
      <c r="A483" s="43">
        <f>IF($B483="","",COUNT($B$5:$B483))</f>
        <v/>
      </c>
      <c r="B483" s="44" t="n"/>
      <c r="C483" s="47">
        <f>IF($B483="","",CHOOSE(WEEKDAY($B483),"일","월","화","수","목","금","토"))</f>
        <v/>
      </c>
      <c r="D483" s="45" t="n"/>
      <c r="E483" s="47">
        <f>IF($D483="","",IFERROR(INDEX(코드설정!$D$5:$D$24,MATCH($D483,코드설정!$C$5:$C$24,0)),""))</f>
        <v/>
      </c>
      <c r="F483" s="45" t="n"/>
      <c r="G483" s="45" t="n"/>
      <c r="H483" s="49" t="n"/>
      <c r="I483" s="49" t="n"/>
      <c r="J483" s="52" t="n"/>
      <c r="K483" s="45" t="n"/>
      <c r="L483" s="49" t="n"/>
    </row>
    <row r="484">
      <c r="A484" s="43">
        <f>IF($B484="","",COUNT($B$5:$B484))</f>
        <v/>
      </c>
      <c r="B484" s="44" t="n"/>
      <c r="C484" s="47">
        <f>IF($B484="","",CHOOSE(WEEKDAY($B484),"일","월","화","수","목","금","토"))</f>
        <v/>
      </c>
      <c r="D484" s="45" t="n"/>
      <c r="E484" s="47">
        <f>IF($D484="","",IFERROR(INDEX(코드설정!$D$5:$D$24,MATCH($D484,코드설정!$C$5:$C$24,0)),""))</f>
        <v/>
      </c>
      <c r="F484" s="45" t="n"/>
      <c r="G484" s="45" t="n"/>
      <c r="H484" s="49" t="n"/>
      <c r="I484" s="49" t="n"/>
      <c r="J484" s="52" t="n"/>
      <c r="K484" s="45" t="n"/>
      <c r="L484" s="49" t="n"/>
    </row>
    <row r="485">
      <c r="A485" s="43">
        <f>IF($B485="","",COUNT($B$5:$B485))</f>
        <v/>
      </c>
      <c r="B485" s="44" t="n"/>
      <c r="C485" s="47">
        <f>IF($B485="","",CHOOSE(WEEKDAY($B485),"일","월","화","수","목","금","토"))</f>
        <v/>
      </c>
      <c r="D485" s="45" t="n"/>
      <c r="E485" s="47">
        <f>IF($D485="","",IFERROR(INDEX(코드설정!$D$5:$D$24,MATCH($D485,코드설정!$C$5:$C$24,0)),""))</f>
        <v/>
      </c>
      <c r="F485" s="45" t="n"/>
      <c r="G485" s="45" t="n"/>
      <c r="H485" s="49" t="n"/>
      <c r="I485" s="49" t="n"/>
      <c r="J485" s="52" t="n"/>
      <c r="K485" s="45" t="n"/>
      <c r="L485" s="49" t="n"/>
    </row>
    <row r="486">
      <c r="A486" s="43">
        <f>IF($B486="","",COUNT($B$5:$B486))</f>
        <v/>
      </c>
      <c r="B486" s="44" t="n"/>
      <c r="C486" s="47">
        <f>IF($B486="","",CHOOSE(WEEKDAY($B486),"일","월","화","수","목","금","토"))</f>
        <v/>
      </c>
      <c r="D486" s="45" t="n"/>
      <c r="E486" s="47">
        <f>IF($D486="","",IFERROR(INDEX(코드설정!$D$5:$D$24,MATCH($D486,코드설정!$C$5:$C$24,0)),""))</f>
        <v/>
      </c>
      <c r="F486" s="45" t="n"/>
      <c r="G486" s="45" t="n"/>
      <c r="H486" s="49" t="n"/>
      <c r="I486" s="49" t="n"/>
      <c r="J486" s="52" t="n"/>
      <c r="K486" s="45" t="n"/>
      <c r="L486" s="49" t="n"/>
    </row>
    <row r="487">
      <c r="A487" s="43">
        <f>IF($B487="","",COUNT($B$5:$B487))</f>
        <v/>
      </c>
      <c r="B487" s="44" t="n"/>
      <c r="C487" s="47">
        <f>IF($B487="","",CHOOSE(WEEKDAY($B487),"일","월","화","수","목","금","토"))</f>
        <v/>
      </c>
      <c r="D487" s="45" t="n"/>
      <c r="E487" s="47">
        <f>IF($D487="","",IFERROR(INDEX(코드설정!$D$5:$D$24,MATCH($D487,코드설정!$C$5:$C$24,0)),""))</f>
        <v/>
      </c>
      <c r="F487" s="45" t="n"/>
      <c r="G487" s="45" t="n"/>
      <c r="H487" s="49" t="n"/>
      <c r="I487" s="49" t="n"/>
      <c r="J487" s="52" t="n"/>
      <c r="K487" s="45" t="n"/>
      <c r="L487" s="49" t="n"/>
    </row>
    <row r="488">
      <c r="A488" s="43">
        <f>IF($B488="","",COUNT($B$5:$B488))</f>
        <v/>
      </c>
      <c r="B488" s="44" t="n"/>
      <c r="C488" s="47">
        <f>IF($B488="","",CHOOSE(WEEKDAY($B488),"일","월","화","수","목","금","토"))</f>
        <v/>
      </c>
      <c r="D488" s="45" t="n"/>
      <c r="E488" s="47">
        <f>IF($D488="","",IFERROR(INDEX(코드설정!$D$5:$D$24,MATCH($D488,코드설정!$C$5:$C$24,0)),""))</f>
        <v/>
      </c>
      <c r="F488" s="45" t="n"/>
      <c r="G488" s="45" t="n"/>
      <c r="H488" s="49" t="n"/>
      <c r="I488" s="49" t="n"/>
      <c r="J488" s="52" t="n"/>
      <c r="K488" s="45" t="n"/>
      <c r="L488" s="49" t="n"/>
    </row>
    <row r="489">
      <c r="A489" s="43">
        <f>IF($B489="","",COUNT($B$5:$B489))</f>
        <v/>
      </c>
      <c r="B489" s="44" t="n"/>
      <c r="C489" s="47">
        <f>IF($B489="","",CHOOSE(WEEKDAY($B489),"일","월","화","수","목","금","토"))</f>
        <v/>
      </c>
      <c r="D489" s="45" t="n"/>
      <c r="E489" s="47">
        <f>IF($D489="","",IFERROR(INDEX(코드설정!$D$5:$D$24,MATCH($D489,코드설정!$C$5:$C$24,0)),""))</f>
        <v/>
      </c>
      <c r="F489" s="45" t="n"/>
      <c r="G489" s="45" t="n"/>
      <c r="H489" s="49" t="n"/>
      <c r="I489" s="49" t="n"/>
      <c r="J489" s="52" t="n"/>
      <c r="K489" s="45" t="n"/>
      <c r="L489" s="49" t="n"/>
    </row>
    <row r="490">
      <c r="A490" s="43">
        <f>IF($B490="","",COUNT($B$5:$B490))</f>
        <v/>
      </c>
      <c r="B490" s="44" t="n"/>
      <c r="C490" s="47">
        <f>IF($B490="","",CHOOSE(WEEKDAY($B490),"일","월","화","수","목","금","토"))</f>
        <v/>
      </c>
      <c r="D490" s="45" t="n"/>
      <c r="E490" s="47">
        <f>IF($D490="","",IFERROR(INDEX(코드설정!$D$5:$D$24,MATCH($D490,코드설정!$C$5:$C$24,0)),""))</f>
        <v/>
      </c>
      <c r="F490" s="45" t="n"/>
      <c r="G490" s="45" t="n"/>
      <c r="H490" s="49" t="n"/>
      <c r="I490" s="49" t="n"/>
      <c r="J490" s="52" t="n"/>
      <c r="K490" s="45" t="n"/>
      <c r="L490" s="49" t="n"/>
    </row>
    <row r="491">
      <c r="A491" s="43">
        <f>IF($B491="","",COUNT($B$5:$B491))</f>
        <v/>
      </c>
      <c r="B491" s="44" t="n"/>
      <c r="C491" s="47">
        <f>IF($B491="","",CHOOSE(WEEKDAY($B491),"일","월","화","수","목","금","토"))</f>
        <v/>
      </c>
      <c r="D491" s="45" t="n"/>
      <c r="E491" s="47">
        <f>IF($D491="","",IFERROR(INDEX(코드설정!$D$5:$D$24,MATCH($D491,코드설정!$C$5:$C$24,0)),""))</f>
        <v/>
      </c>
      <c r="F491" s="45" t="n"/>
      <c r="G491" s="45" t="n"/>
      <c r="H491" s="49" t="n"/>
      <c r="I491" s="49" t="n"/>
      <c r="J491" s="52" t="n"/>
      <c r="K491" s="45" t="n"/>
      <c r="L491" s="49" t="n"/>
    </row>
    <row r="492">
      <c r="A492" s="43">
        <f>IF($B492="","",COUNT($B$5:$B492))</f>
        <v/>
      </c>
      <c r="B492" s="44" t="n"/>
      <c r="C492" s="47">
        <f>IF($B492="","",CHOOSE(WEEKDAY($B492),"일","월","화","수","목","금","토"))</f>
        <v/>
      </c>
      <c r="D492" s="45" t="n"/>
      <c r="E492" s="47">
        <f>IF($D492="","",IFERROR(INDEX(코드설정!$D$5:$D$24,MATCH($D492,코드설정!$C$5:$C$24,0)),""))</f>
        <v/>
      </c>
      <c r="F492" s="45" t="n"/>
      <c r="G492" s="45" t="n"/>
      <c r="H492" s="49" t="n"/>
      <c r="I492" s="49" t="n"/>
      <c r="J492" s="52" t="n"/>
      <c r="K492" s="45" t="n"/>
      <c r="L492" s="49" t="n"/>
    </row>
    <row r="493">
      <c r="A493" s="43">
        <f>IF($B493="","",COUNT($B$5:$B493))</f>
        <v/>
      </c>
      <c r="B493" s="44" t="n"/>
      <c r="C493" s="47">
        <f>IF($B493="","",CHOOSE(WEEKDAY($B493),"일","월","화","수","목","금","토"))</f>
        <v/>
      </c>
      <c r="D493" s="45" t="n"/>
      <c r="E493" s="47">
        <f>IF($D493="","",IFERROR(INDEX(코드설정!$D$5:$D$24,MATCH($D493,코드설정!$C$5:$C$24,0)),""))</f>
        <v/>
      </c>
      <c r="F493" s="45" t="n"/>
      <c r="G493" s="45" t="n"/>
      <c r="H493" s="49" t="n"/>
      <c r="I493" s="49" t="n"/>
      <c r="J493" s="52" t="n"/>
      <c r="K493" s="45" t="n"/>
      <c r="L493" s="49" t="n"/>
    </row>
    <row r="494">
      <c r="A494" s="43">
        <f>IF($B494="","",COUNT($B$5:$B494))</f>
        <v/>
      </c>
      <c r="B494" s="44" t="n"/>
      <c r="C494" s="47">
        <f>IF($B494="","",CHOOSE(WEEKDAY($B494),"일","월","화","수","목","금","토"))</f>
        <v/>
      </c>
      <c r="D494" s="45" t="n"/>
      <c r="E494" s="47">
        <f>IF($D494="","",IFERROR(INDEX(코드설정!$D$5:$D$24,MATCH($D494,코드설정!$C$5:$C$24,0)),""))</f>
        <v/>
      </c>
      <c r="F494" s="45" t="n"/>
      <c r="G494" s="45" t="n"/>
      <c r="H494" s="49" t="n"/>
      <c r="I494" s="49" t="n"/>
      <c r="J494" s="52" t="n"/>
      <c r="K494" s="45" t="n"/>
      <c r="L494" s="49" t="n"/>
    </row>
    <row r="495">
      <c r="A495" s="43">
        <f>IF($B495="","",COUNT($B$5:$B495))</f>
        <v/>
      </c>
      <c r="B495" s="44" t="n"/>
      <c r="C495" s="47">
        <f>IF($B495="","",CHOOSE(WEEKDAY($B495),"일","월","화","수","목","금","토"))</f>
        <v/>
      </c>
      <c r="D495" s="45" t="n"/>
      <c r="E495" s="47">
        <f>IF($D495="","",IFERROR(INDEX(코드설정!$D$5:$D$24,MATCH($D495,코드설정!$C$5:$C$24,0)),""))</f>
        <v/>
      </c>
      <c r="F495" s="45" t="n"/>
      <c r="G495" s="45" t="n"/>
      <c r="H495" s="49" t="n"/>
      <c r="I495" s="49" t="n"/>
      <c r="J495" s="52" t="n"/>
      <c r="K495" s="45" t="n"/>
      <c r="L495" s="49" t="n"/>
    </row>
    <row r="496">
      <c r="A496" s="43">
        <f>IF($B496="","",COUNT($B$5:$B496))</f>
        <v/>
      </c>
      <c r="B496" s="44" t="n"/>
      <c r="C496" s="47">
        <f>IF($B496="","",CHOOSE(WEEKDAY($B496),"일","월","화","수","목","금","토"))</f>
        <v/>
      </c>
      <c r="D496" s="45" t="n"/>
      <c r="E496" s="47">
        <f>IF($D496="","",IFERROR(INDEX(코드설정!$D$5:$D$24,MATCH($D496,코드설정!$C$5:$C$24,0)),""))</f>
        <v/>
      </c>
      <c r="F496" s="45" t="n"/>
      <c r="G496" s="45" t="n"/>
      <c r="H496" s="49" t="n"/>
      <c r="I496" s="49" t="n"/>
      <c r="J496" s="52" t="n"/>
      <c r="K496" s="45" t="n"/>
      <c r="L496" s="49" t="n"/>
    </row>
    <row r="497">
      <c r="A497" s="43">
        <f>IF($B497="","",COUNT($B$5:$B497))</f>
        <v/>
      </c>
      <c r="B497" s="44" t="n"/>
      <c r="C497" s="47">
        <f>IF($B497="","",CHOOSE(WEEKDAY($B497),"일","월","화","수","목","금","토"))</f>
        <v/>
      </c>
      <c r="D497" s="45" t="n"/>
      <c r="E497" s="47">
        <f>IF($D497="","",IFERROR(INDEX(코드설정!$D$5:$D$24,MATCH($D497,코드설정!$C$5:$C$24,0)),""))</f>
        <v/>
      </c>
      <c r="F497" s="45" t="n"/>
      <c r="G497" s="45" t="n"/>
      <c r="H497" s="49" t="n"/>
      <c r="I497" s="49" t="n"/>
      <c r="J497" s="52" t="n"/>
      <c r="K497" s="45" t="n"/>
      <c r="L497" s="49" t="n"/>
    </row>
    <row r="498">
      <c r="A498" s="43">
        <f>IF($B498="","",COUNT($B$5:$B498))</f>
        <v/>
      </c>
      <c r="B498" s="44" t="n"/>
      <c r="C498" s="47">
        <f>IF($B498="","",CHOOSE(WEEKDAY($B498),"일","월","화","수","목","금","토"))</f>
        <v/>
      </c>
      <c r="D498" s="45" t="n"/>
      <c r="E498" s="47">
        <f>IF($D498="","",IFERROR(INDEX(코드설정!$D$5:$D$24,MATCH($D498,코드설정!$C$5:$C$24,0)),""))</f>
        <v/>
      </c>
      <c r="F498" s="45" t="n"/>
      <c r="G498" s="45" t="n"/>
      <c r="H498" s="49" t="n"/>
      <c r="I498" s="49" t="n"/>
      <c r="J498" s="52" t="n"/>
      <c r="K498" s="45" t="n"/>
      <c r="L498" s="49" t="n"/>
    </row>
    <row r="499">
      <c r="A499" s="43">
        <f>IF($B499="","",COUNT($B$5:$B499))</f>
        <v/>
      </c>
      <c r="B499" s="44" t="n"/>
      <c r="C499" s="47">
        <f>IF($B499="","",CHOOSE(WEEKDAY($B499),"일","월","화","수","목","금","토"))</f>
        <v/>
      </c>
      <c r="D499" s="45" t="n"/>
      <c r="E499" s="47">
        <f>IF($D499="","",IFERROR(INDEX(코드설정!$D$5:$D$24,MATCH($D499,코드설정!$C$5:$C$24,0)),""))</f>
        <v/>
      </c>
      <c r="F499" s="45" t="n"/>
      <c r="G499" s="45" t="n"/>
      <c r="H499" s="49" t="n"/>
      <c r="I499" s="49" t="n"/>
      <c r="J499" s="52" t="n"/>
      <c r="K499" s="45" t="n"/>
      <c r="L499" s="49" t="n"/>
    </row>
    <row r="500">
      <c r="A500" s="43">
        <f>IF($B500="","",COUNT($B$5:$B500))</f>
        <v/>
      </c>
      <c r="B500" s="44" t="n"/>
      <c r="C500" s="47">
        <f>IF($B500="","",CHOOSE(WEEKDAY($B500),"일","월","화","수","목","금","토"))</f>
        <v/>
      </c>
      <c r="D500" s="45" t="n"/>
      <c r="E500" s="47">
        <f>IF($D500="","",IFERROR(INDEX(코드설정!$D$5:$D$24,MATCH($D500,코드설정!$C$5:$C$24,0)),""))</f>
        <v/>
      </c>
      <c r="F500" s="45" t="n"/>
      <c r="G500" s="45" t="n"/>
      <c r="H500" s="49" t="n"/>
      <c r="I500" s="49" t="n"/>
      <c r="J500" s="52" t="n"/>
      <c r="K500" s="45" t="n"/>
      <c r="L500" s="49" t="n"/>
    </row>
    <row r="501">
      <c r="A501" s="43">
        <f>IF($B501="","",COUNT($B$5:$B501))</f>
        <v/>
      </c>
      <c r="B501" s="44" t="n"/>
      <c r="C501" s="47">
        <f>IF($B501="","",CHOOSE(WEEKDAY($B501),"일","월","화","수","목","금","토"))</f>
        <v/>
      </c>
      <c r="D501" s="45" t="n"/>
      <c r="E501" s="47">
        <f>IF($D501="","",IFERROR(INDEX(코드설정!$D$5:$D$24,MATCH($D501,코드설정!$C$5:$C$24,0)),""))</f>
        <v/>
      </c>
      <c r="F501" s="45" t="n"/>
      <c r="G501" s="45" t="n"/>
      <c r="H501" s="49" t="n"/>
      <c r="I501" s="49" t="n"/>
      <c r="J501" s="52" t="n"/>
      <c r="K501" s="45" t="n"/>
      <c r="L501" s="49" t="n"/>
    </row>
    <row r="502">
      <c r="A502" s="43">
        <f>IF($B502="","",COUNT($B$5:$B502))</f>
        <v/>
      </c>
      <c r="B502" s="44" t="n"/>
      <c r="C502" s="47">
        <f>IF($B502="","",CHOOSE(WEEKDAY($B502),"일","월","화","수","목","금","토"))</f>
        <v/>
      </c>
      <c r="D502" s="45" t="n"/>
      <c r="E502" s="47">
        <f>IF($D502="","",IFERROR(INDEX(코드설정!$D$5:$D$24,MATCH($D502,코드설정!$C$5:$C$24,0)),""))</f>
        <v/>
      </c>
      <c r="F502" s="45" t="n"/>
      <c r="G502" s="45" t="n"/>
      <c r="H502" s="49" t="n"/>
      <c r="I502" s="49" t="n"/>
      <c r="J502" s="52" t="n"/>
      <c r="K502" s="45" t="n"/>
      <c r="L502" s="49" t="n"/>
    </row>
    <row r="503">
      <c r="A503" s="43">
        <f>IF($B503="","",COUNT($B$5:$B503))</f>
        <v/>
      </c>
      <c r="B503" s="44" t="n"/>
      <c r="C503" s="47">
        <f>IF($B503="","",CHOOSE(WEEKDAY($B503),"일","월","화","수","목","금","토"))</f>
        <v/>
      </c>
      <c r="D503" s="45" t="n"/>
      <c r="E503" s="47">
        <f>IF($D503="","",IFERROR(INDEX(코드설정!$D$5:$D$24,MATCH($D503,코드설정!$C$5:$C$24,0)),""))</f>
        <v/>
      </c>
      <c r="F503" s="45" t="n"/>
      <c r="G503" s="45" t="n"/>
      <c r="H503" s="49" t="n"/>
      <c r="I503" s="49" t="n"/>
      <c r="J503" s="52" t="n"/>
      <c r="K503" s="45" t="n"/>
      <c r="L503" s="49" t="n"/>
    </row>
    <row r="504">
      <c r="A504" s="43">
        <f>IF($B504="","",COUNT($B$5:$B504))</f>
        <v/>
      </c>
      <c r="B504" s="44" t="n"/>
      <c r="C504" s="47">
        <f>IF($B504="","",CHOOSE(WEEKDAY($B504),"일","월","화","수","목","금","토"))</f>
        <v/>
      </c>
      <c r="D504" s="45" t="n"/>
      <c r="E504" s="47">
        <f>IF($D504="","",IFERROR(INDEX(코드설정!$D$5:$D$24,MATCH($D504,코드설정!$C$5:$C$24,0)),""))</f>
        <v/>
      </c>
      <c r="F504" s="45" t="n"/>
      <c r="G504" s="45" t="n"/>
      <c r="H504" s="49" t="n"/>
      <c r="I504" s="49" t="n"/>
      <c r="J504" s="52" t="n"/>
      <c r="K504" s="45" t="n"/>
      <c r="L504" s="49" t="n"/>
    </row>
    <row r="505">
      <c r="A505" s="43">
        <f>IF($B505="","",COUNT($B$5:$B505))</f>
        <v/>
      </c>
      <c r="B505" s="44" t="n"/>
      <c r="C505" s="47">
        <f>IF($B505="","",CHOOSE(WEEKDAY($B505),"일","월","화","수","목","금","토"))</f>
        <v/>
      </c>
      <c r="D505" s="45" t="n"/>
      <c r="E505" s="47">
        <f>IF($D505="","",IFERROR(INDEX(코드설정!$D$5:$D$24,MATCH($D505,코드설정!$C$5:$C$24,0)),""))</f>
        <v/>
      </c>
      <c r="F505" s="45" t="n"/>
      <c r="G505" s="45" t="n"/>
      <c r="H505" s="49" t="n"/>
      <c r="I505" s="49" t="n"/>
      <c r="J505" s="52" t="n"/>
      <c r="K505" s="45" t="n"/>
      <c r="L505" s="49" t="n"/>
    </row>
    <row r="506">
      <c r="A506" s="43">
        <f>IF($B506="","",COUNT($B$5:$B506))</f>
        <v/>
      </c>
      <c r="B506" s="44" t="n"/>
      <c r="C506" s="47">
        <f>IF($B506="","",CHOOSE(WEEKDAY($B506),"일","월","화","수","목","금","토"))</f>
        <v/>
      </c>
      <c r="D506" s="45" t="n"/>
      <c r="E506" s="47">
        <f>IF($D506="","",IFERROR(INDEX(코드설정!$D$5:$D$24,MATCH($D506,코드설정!$C$5:$C$24,0)),""))</f>
        <v/>
      </c>
      <c r="F506" s="45" t="n"/>
      <c r="G506" s="45" t="n"/>
      <c r="H506" s="49" t="n"/>
      <c r="I506" s="49" t="n"/>
      <c r="J506" s="52" t="n"/>
      <c r="K506" s="45" t="n"/>
      <c r="L506" s="49" t="n"/>
    </row>
    <row r="507">
      <c r="A507" s="43">
        <f>IF($B507="","",COUNT($B$5:$B507))</f>
        <v/>
      </c>
      <c r="B507" s="44" t="n"/>
      <c r="C507" s="47">
        <f>IF($B507="","",CHOOSE(WEEKDAY($B507),"일","월","화","수","목","금","토"))</f>
        <v/>
      </c>
      <c r="D507" s="45" t="n"/>
      <c r="E507" s="47">
        <f>IF($D507="","",IFERROR(INDEX(코드설정!$D$5:$D$24,MATCH($D507,코드설정!$C$5:$C$24,0)),""))</f>
        <v/>
      </c>
      <c r="F507" s="45" t="n"/>
      <c r="G507" s="45" t="n"/>
      <c r="H507" s="49" t="n"/>
      <c r="I507" s="49" t="n"/>
      <c r="J507" s="52" t="n"/>
      <c r="K507" s="45" t="n"/>
      <c r="L507" s="49" t="n"/>
    </row>
    <row r="508">
      <c r="A508" s="43">
        <f>IF($B508="","",COUNT($B$5:$B508))</f>
        <v/>
      </c>
      <c r="B508" s="44" t="n"/>
      <c r="C508" s="47">
        <f>IF($B508="","",CHOOSE(WEEKDAY($B508),"일","월","화","수","목","금","토"))</f>
        <v/>
      </c>
      <c r="D508" s="45" t="n"/>
      <c r="E508" s="47">
        <f>IF($D508="","",IFERROR(INDEX(코드설정!$D$5:$D$24,MATCH($D508,코드설정!$C$5:$C$24,0)),""))</f>
        <v/>
      </c>
      <c r="F508" s="45" t="n"/>
      <c r="G508" s="45" t="n"/>
      <c r="H508" s="49" t="n"/>
      <c r="I508" s="49" t="n"/>
      <c r="J508" s="52" t="n"/>
      <c r="K508" s="45" t="n"/>
      <c r="L508" s="49" t="n"/>
    </row>
    <row r="509">
      <c r="A509" s="43">
        <f>IF($B509="","",COUNT($B$5:$B509))</f>
        <v/>
      </c>
      <c r="B509" s="44" t="n"/>
      <c r="C509" s="47">
        <f>IF($B509="","",CHOOSE(WEEKDAY($B509),"일","월","화","수","목","금","토"))</f>
        <v/>
      </c>
      <c r="D509" s="45" t="n"/>
      <c r="E509" s="47">
        <f>IF($D509="","",IFERROR(INDEX(코드설정!$D$5:$D$24,MATCH($D509,코드설정!$C$5:$C$24,0)),""))</f>
        <v/>
      </c>
      <c r="F509" s="45" t="n"/>
      <c r="G509" s="45" t="n"/>
      <c r="H509" s="49" t="n"/>
      <c r="I509" s="49" t="n"/>
      <c r="J509" s="52" t="n"/>
      <c r="K509" s="45" t="n"/>
      <c r="L509" s="49" t="n"/>
    </row>
    <row r="510">
      <c r="A510" s="43">
        <f>IF($B510="","",COUNT($B$5:$B510))</f>
        <v/>
      </c>
      <c r="B510" s="44" t="n"/>
      <c r="C510" s="47">
        <f>IF($B510="","",CHOOSE(WEEKDAY($B510),"일","월","화","수","목","금","토"))</f>
        <v/>
      </c>
      <c r="D510" s="45" t="n"/>
      <c r="E510" s="47">
        <f>IF($D510="","",IFERROR(INDEX(코드설정!$D$5:$D$24,MATCH($D510,코드설정!$C$5:$C$24,0)),""))</f>
        <v/>
      </c>
      <c r="F510" s="45" t="n"/>
      <c r="G510" s="45" t="n"/>
      <c r="H510" s="49" t="n"/>
      <c r="I510" s="49" t="n"/>
      <c r="J510" s="52" t="n"/>
      <c r="K510" s="45" t="n"/>
      <c r="L510" s="49" t="n"/>
    </row>
    <row r="511">
      <c r="A511" s="43">
        <f>IF($B511="","",COUNT($B$5:$B511))</f>
        <v/>
      </c>
      <c r="B511" s="44" t="n"/>
      <c r="C511" s="47">
        <f>IF($B511="","",CHOOSE(WEEKDAY($B511),"일","월","화","수","목","금","토"))</f>
        <v/>
      </c>
      <c r="D511" s="45" t="n"/>
      <c r="E511" s="47">
        <f>IF($D511="","",IFERROR(INDEX(코드설정!$D$5:$D$24,MATCH($D511,코드설정!$C$5:$C$24,0)),""))</f>
        <v/>
      </c>
      <c r="F511" s="45" t="n"/>
      <c r="G511" s="45" t="n"/>
      <c r="H511" s="49" t="n"/>
      <c r="I511" s="49" t="n"/>
      <c r="J511" s="52" t="n"/>
      <c r="K511" s="45" t="n"/>
      <c r="L511" s="49" t="n"/>
    </row>
    <row r="512">
      <c r="A512" s="43">
        <f>IF($B512="","",COUNT($B$5:$B512))</f>
        <v/>
      </c>
      <c r="B512" s="44" t="n"/>
      <c r="C512" s="47">
        <f>IF($B512="","",CHOOSE(WEEKDAY($B512),"일","월","화","수","목","금","토"))</f>
        <v/>
      </c>
      <c r="D512" s="45" t="n"/>
      <c r="E512" s="47">
        <f>IF($D512="","",IFERROR(INDEX(코드설정!$D$5:$D$24,MATCH($D512,코드설정!$C$5:$C$24,0)),""))</f>
        <v/>
      </c>
      <c r="F512" s="45" t="n"/>
      <c r="G512" s="45" t="n"/>
      <c r="H512" s="49" t="n"/>
      <c r="I512" s="49" t="n"/>
      <c r="J512" s="52" t="n"/>
      <c r="K512" s="45" t="n"/>
      <c r="L512" s="49" t="n"/>
    </row>
    <row r="513">
      <c r="A513" s="43">
        <f>IF($B513="","",COUNT($B$5:$B513))</f>
        <v/>
      </c>
      <c r="B513" s="44" t="n"/>
      <c r="C513" s="47">
        <f>IF($B513="","",CHOOSE(WEEKDAY($B513),"일","월","화","수","목","금","토"))</f>
        <v/>
      </c>
      <c r="D513" s="45" t="n"/>
      <c r="E513" s="47">
        <f>IF($D513="","",IFERROR(INDEX(코드설정!$D$5:$D$24,MATCH($D513,코드설정!$C$5:$C$24,0)),""))</f>
        <v/>
      </c>
      <c r="F513" s="45" t="n"/>
      <c r="G513" s="45" t="n"/>
      <c r="H513" s="49" t="n"/>
      <c r="I513" s="49" t="n"/>
      <c r="J513" s="52" t="n"/>
      <c r="K513" s="45" t="n"/>
      <c r="L513" s="49" t="n"/>
    </row>
    <row r="514">
      <c r="A514" s="43">
        <f>IF($B514="","",COUNT($B$5:$B514))</f>
        <v/>
      </c>
      <c r="B514" s="44" t="n"/>
      <c r="C514" s="47">
        <f>IF($B514="","",CHOOSE(WEEKDAY($B514),"일","월","화","수","목","금","토"))</f>
        <v/>
      </c>
      <c r="D514" s="45" t="n"/>
      <c r="E514" s="47">
        <f>IF($D514="","",IFERROR(INDEX(코드설정!$D$5:$D$24,MATCH($D514,코드설정!$C$5:$C$24,0)),""))</f>
        <v/>
      </c>
      <c r="F514" s="45" t="n"/>
      <c r="G514" s="45" t="n"/>
      <c r="H514" s="49" t="n"/>
      <c r="I514" s="49" t="n"/>
      <c r="J514" s="52" t="n"/>
      <c r="K514" s="45" t="n"/>
      <c r="L514" s="49" t="n"/>
    </row>
    <row r="515">
      <c r="A515" s="43">
        <f>IF($B515="","",COUNT($B$5:$B515))</f>
        <v/>
      </c>
      <c r="B515" s="44" t="n"/>
      <c r="C515" s="47">
        <f>IF($B515="","",CHOOSE(WEEKDAY($B515),"일","월","화","수","목","금","토"))</f>
        <v/>
      </c>
      <c r="D515" s="45" t="n"/>
      <c r="E515" s="47">
        <f>IF($D515="","",IFERROR(INDEX(코드설정!$D$5:$D$24,MATCH($D515,코드설정!$C$5:$C$24,0)),""))</f>
        <v/>
      </c>
      <c r="F515" s="45" t="n"/>
      <c r="G515" s="45" t="n"/>
      <c r="H515" s="49" t="n"/>
      <c r="I515" s="49" t="n"/>
      <c r="J515" s="52" t="n"/>
      <c r="K515" s="45" t="n"/>
      <c r="L515" s="49" t="n"/>
    </row>
    <row r="516">
      <c r="A516" s="43">
        <f>IF($B516="","",COUNT($B$5:$B516))</f>
        <v/>
      </c>
      <c r="B516" s="44" t="n"/>
      <c r="C516" s="47">
        <f>IF($B516="","",CHOOSE(WEEKDAY($B516),"일","월","화","수","목","금","토"))</f>
        <v/>
      </c>
      <c r="D516" s="45" t="n"/>
      <c r="E516" s="47">
        <f>IF($D516="","",IFERROR(INDEX(코드설정!$D$5:$D$24,MATCH($D516,코드설정!$C$5:$C$24,0)),""))</f>
        <v/>
      </c>
      <c r="F516" s="45" t="n"/>
      <c r="G516" s="45" t="n"/>
      <c r="H516" s="49" t="n"/>
      <c r="I516" s="49" t="n"/>
      <c r="J516" s="52" t="n"/>
      <c r="K516" s="45" t="n"/>
      <c r="L516" s="49" t="n"/>
    </row>
    <row r="517">
      <c r="A517" s="43">
        <f>IF($B517="","",COUNT($B$5:$B517))</f>
        <v/>
      </c>
      <c r="B517" s="44" t="n"/>
      <c r="C517" s="47">
        <f>IF($B517="","",CHOOSE(WEEKDAY($B517),"일","월","화","수","목","금","토"))</f>
        <v/>
      </c>
      <c r="D517" s="45" t="n"/>
      <c r="E517" s="47">
        <f>IF($D517="","",IFERROR(INDEX(코드설정!$D$5:$D$24,MATCH($D517,코드설정!$C$5:$C$24,0)),""))</f>
        <v/>
      </c>
      <c r="F517" s="45" t="n"/>
      <c r="G517" s="45" t="n"/>
      <c r="H517" s="49" t="n"/>
      <c r="I517" s="49" t="n"/>
      <c r="J517" s="52" t="n"/>
      <c r="K517" s="45" t="n"/>
      <c r="L517" s="49" t="n"/>
    </row>
    <row r="518">
      <c r="A518" s="43">
        <f>IF($B518="","",COUNT($B$5:$B518))</f>
        <v/>
      </c>
      <c r="B518" s="44" t="n"/>
      <c r="C518" s="47">
        <f>IF($B518="","",CHOOSE(WEEKDAY($B518),"일","월","화","수","목","금","토"))</f>
        <v/>
      </c>
      <c r="D518" s="45" t="n"/>
      <c r="E518" s="47">
        <f>IF($D518="","",IFERROR(INDEX(코드설정!$D$5:$D$24,MATCH($D518,코드설정!$C$5:$C$24,0)),""))</f>
        <v/>
      </c>
      <c r="F518" s="45" t="n"/>
      <c r="G518" s="45" t="n"/>
      <c r="H518" s="49" t="n"/>
      <c r="I518" s="49" t="n"/>
      <c r="J518" s="52" t="n"/>
      <c r="K518" s="45" t="n"/>
      <c r="L518" s="49" t="n"/>
    </row>
    <row r="519">
      <c r="A519" s="43">
        <f>IF($B519="","",COUNT($B$5:$B519))</f>
        <v/>
      </c>
      <c r="B519" s="44" t="n"/>
      <c r="C519" s="47">
        <f>IF($B519="","",CHOOSE(WEEKDAY($B519),"일","월","화","수","목","금","토"))</f>
        <v/>
      </c>
      <c r="D519" s="45" t="n"/>
      <c r="E519" s="47">
        <f>IF($D519="","",IFERROR(INDEX(코드설정!$D$5:$D$24,MATCH($D519,코드설정!$C$5:$C$24,0)),""))</f>
        <v/>
      </c>
      <c r="F519" s="45" t="n"/>
      <c r="G519" s="45" t="n"/>
      <c r="H519" s="49" t="n"/>
      <c r="I519" s="49" t="n"/>
      <c r="J519" s="52" t="n"/>
      <c r="K519" s="45" t="n"/>
      <c r="L519" s="49" t="n"/>
    </row>
    <row r="520">
      <c r="A520" s="43">
        <f>IF($B520="","",COUNT($B$5:$B520))</f>
        <v/>
      </c>
      <c r="B520" s="44" t="n"/>
      <c r="C520" s="47">
        <f>IF($B520="","",CHOOSE(WEEKDAY($B520),"일","월","화","수","목","금","토"))</f>
        <v/>
      </c>
      <c r="D520" s="45" t="n"/>
      <c r="E520" s="47">
        <f>IF($D520="","",IFERROR(INDEX(코드설정!$D$5:$D$24,MATCH($D520,코드설정!$C$5:$C$24,0)),""))</f>
        <v/>
      </c>
      <c r="F520" s="45" t="n"/>
      <c r="G520" s="45" t="n"/>
      <c r="H520" s="49" t="n"/>
      <c r="I520" s="49" t="n"/>
      <c r="J520" s="52" t="n"/>
      <c r="K520" s="45" t="n"/>
      <c r="L520" s="49" t="n"/>
    </row>
    <row r="521">
      <c r="A521" s="43">
        <f>IF($B521="","",COUNT($B$5:$B521))</f>
        <v/>
      </c>
      <c r="B521" s="44" t="n"/>
      <c r="C521" s="47">
        <f>IF($B521="","",CHOOSE(WEEKDAY($B521),"일","월","화","수","목","금","토"))</f>
        <v/>
      </c>
      <c r="D521" s="45" t="n"/>
      <c r="E521" s="47">
        <f>IF($D521="","",IFERROR(INDEX(코드설정!$D$5:$D$24,MATCH($D521,코드설정!$C$5:$C$24,0)),""))</f>
        <v/>
      </c>
      <c r="F521" s="45" t="n"/>
      <c r="G521" s="45" t="n"/>
      <c r="H521" s="49" t="n"/>
      <c r="I521" s="49" t="n"/>
      <c r="J521" s="52" t="n"/>
      <c r="K521" s="45" t="n"/>
      <c r="L521" s="49" t="n"/>
    </row>
    <row r="522">
      <c r="A522" s="43">
        <f>IF($B522="","",COUNT($B$5:$B522))</f>
        <v/>
      </c>
      <c r="B522" s="44" t="n"/>
      <c r="C522" s="47">
        <f>IF($B522="","",CHOOSE(WEEKDAY($B522),"일","월","화","수","목","금","토"))</f>
        <v/>
      </c>
      <c r="D522" s="45" t="n"/>
      <c r="E522" s="47">
        <f>IF($D522="","",IFERROR(INDEX(코드설정!$D$5:$D$24,MATCH($D522,코드설정!$C$5:$C$24,0)),""))</f>
        <v/>
      </c>
      <c r="F522" s="45" t="n"/>
      <c r="G522" s="45" t="n"/>
      <c r="H522" s="49" t="n"/>
      <c r="I522" s="49" t="n"/>
      <c r="J522" s="52" t="n"/>
      <c r="K522" s="45" t="n"/>
      <c r="L522" s="49" t="n"/>
    </row>
    <row r="523">
      <c r="A523" s="43">
        <f>IF($B523="","",COUNT($B$5:$B523))</f>
        <v/>
      </c>
      <c r="B523" s="44" t="n"/>
      <c r="C523" s="47">
        <f>IF($B523="","",CHOOSE(WEEKDAY($B523),"일","월","화","수","목","금","토"))</f>
        <v/>
      </c>
      <c r="D523" s="45" t="n"/>
      <c r="E523" s="47">
        <f>IF($D523="","",IFERROR(INDEX(코드설정!$D$5:$D$24,MATCH($D523,코드설정!$C$5:$C$24,0)),""))</f>
        <v/>
      </c>
      <c r="F523" s="45" t="n"/>
      <c r="G523" s="45" t="n"/>
      <c r="H523" s="49" t="n"/>
      <c r="I523" s="49" t="n"/>
      <c r="J523" s="52" t="n"/>
      <c r="K523" s="45" t="n"/>
      <c r="L523" s="49" t="n"/>
    </row>
    <row r="524">
      <c r="A524" s="43">
        <f>IF($B524="","",COUNT($B$5:$B524))</f>
        <v/>
      </c>
      <c r="B524" s="44" t="n"/>
      <c r="C524" s="47">
        <f>IF($B524="","",CHOOSE(WEEKDAY($B524),"일","월","화","수","목","금","토"))</f>
        <v/>
      </c>
      <c r="D524" s="45" t="n"/>
      <c r="E524" s="47">
        <f>IF($D524="","",IFERROR(INDEX(코드설정!$D$5:$D$24,MATCH($D524,코드설정!$C$5:$C$24,0)),""))</f>
        <v/>
      </c>
      <c r="F524" s="45" t="n"/>
      <c r="G524" s="45" t="n"/>
      <c r="H524" s="49" t="n"/>
      <c r="I524" s="49" t="n"/>
      <c r="J524" s="52" t="n"/>
      <c r="K524" s="45" t="n"/>
      <c r="L524" s="49" t="n"/>
    </row>
    <row r="525">
      <c r="A525" s="43">
        <f>IF($B525="","",COUNT($B$5:$B525))</f>
        <v/>
      </c>
      <c r="B525" s="44" t="n"/>
      <c r="C525" s="47">
        <f>IF($B525="","",CHOOSE(WEEKDAY($B525),"일","월","화","수","목","금","토"))</f>
        <v/>
      </c>
      <c r="D525" s="45" t="n"/>
      <c r="E525" s="47">
        <f>IF($D525="","",IFERROR(INDEX(코드설정!$D$5:$D$24,MATCH($D525,코드설정!$C$5:$C$24,0)),""))</f>
        <v/>
      </c>
      <c r="F525" s="45" t="n"/>
      <c r="G525" s="45" t="n"/>
      <c r="H525" s="49" t="n"/>
      <c r="I525" s="49" t="n"/>
      <c r="J525" s="52" t="n"/>
      <c r="K525" s="45" t="n"/>
      <c r="L525" s="49" t="n"/>
    </row>
    <row r="526">
      <c r="A526" s="43">
        <f>IF($B526="","",COUNT($B$5:$B526))</f>
        <v/>
      </c>
      <c r="B526" s="44" t="n"/>
      <c r="C526" s="47">
        <f>IF($B526="","",CHOOSE(WEEKDAY($B526),"일","월","화","수","목","금","토"))</f>
        <v/>
      </c>
      <c r="D526" s="45" t="n"/>
      <c r="E526" s="47">
        <f>IF($D526="","",IFERROR(INDEX(코드설정!$D$5:$D$24,MATCH($D526,코드설정!$C$5:$C$24,0)),""))</f>
        <v/>
      </c>
      <c r="F526" s="45" t="n"/>
      <c r="G526" s="45" t="n"/>
      <c r="H526" s="49" t="n"/>
      <c r="I526" s="49" t="n"/>
      <c r="J526" s="52" t="n"/>
      <c r="K526" s="45" t="n"/>
      <c r="L526" s="49" t="n"/>
    </row>
    <row r="527">
      <c r="A527" s="43">
        <f>IF($B527="","",COUNT($B$5:$B527))</f>
        <v/>
      </c>
      <c r="B527" s="44" t="n"/>
      <c r="C527" s="47">
        <f>IF($B527="","",CHOOSE(WEEKDAY($B527),"일","월","화","수","목","금","토"))</f>
        <v/>
      </c>
      <c r="D527" s="45" t="n"/>
      <c r="E527" s="47">
        <f>IF($D527="","",IFERROR(INDEX(코드설정!$D$5:$D$24,MATCH($D527,코드설정!$C$5:$C$24,0)),""))</f>
        <v/>
      </c>
      <c r="F527" s="45" t="n"/>
      <c r="G527" s="45" t="n"/>
      <c r="H527" s="49" t="n"/>
      <c r="I527" s="49" t="n"/>
      <c r="J527" s="52" t="n"/>
      <c r="K527" s="45" t="n"/>
      <c r="L527" s="49" t="n"/>
    </row>
    <row r="528">
      <c r="A528" s="43">
        <f>IF($B528="","",COUNT($B$5:$B528))</f>
        <v/>
      </c>
      <c r="B528" s="44" t="n"/>
      <c r="C528" s="47">
        <f>IF($B528="","",CHOOSE(WEEKDAY($B528),"일","월","화","수","목","금","토"))</f>
        <v/>
      </c>
      <c r="D528" s="45" t="n"/>
      <c r="E528" s="47">
        <f>IF($D528="","",IFERROR(INDEX(코드설정!$D$5:$D$24,MATCH($D528,코드설정!$C$5:$C$24,0)),""))</f>
        <v/>
      </c>
      <c r="F528" s="45" t="n"/>
      <c r="G528" s="45" t="n"/>
      <c r="H528" s="49" t="n"/>
      <c r="I528" s="49" t="n"/>
      <c r="J528" s="52" t="n"/>
      <c r="K528" s="45" t="n"/>
      <c r="L528" s="49" t="n"/>
    </row>
    <row r="529">
      <c r="A529" s="43">
        <f>IF($B529="","",COUNT($B$5:$B529))</f>
        <v/>
      </c>
      <c r="B529" s="44" t="n"/>
      <c r="C529" s="47">
        <f>IF($B529="","",CHOOSE(WEEKDAY($B529),"일","월","화","수","목","금","토"))</f>
        <v/>
      </c>
      <c r="D529" s="45" t="n"/>
      <c r="E529" s="47">
        <f>IF($D529="","",IFERROR(INDEX(코드설정!$D$5:$D$24,MATCH($D529,코드설정!$C$5:$C$24,0)),""))</f>
        <v/>
      </c>
      <c r="F529" s="45" t="n"/>
      <c r="G529" s="45" t="n"/>
      <c r="H529" s="49" t="n"/>
      <c r="I529" s="49" t="n"/>
      <c r="J529" s="52" t="n"/>
      <c r="K529" s="45" t="n"/>
      <c r="L529" s="49" t="n"/>
    </row>
    <row r="530">
      <c r="A530" s="43">
        <f>IF($B530="","",COUNT($B$5:$B530))</f>
        <v/>
      </c>
      <c r="B530" s="44" t="n"/>
      <c r="C530" s="47">
        <f>IF($B530="","",CHOOSE(WEEKDAY($B530),"일","월","화","수","목","금","토"))</f>
        <v/>
      </c>
      <c r="D530" s="45" t="n"/>
      <c r="E530" s="47">
        <f>IF($D530="","",IFERROR(INDEX(코드설정!$D$5:$D$24,MATCH($D530,코드설정!$C$5:$C$24,0)),""))</f>
        <v/>
      </c>
      <c r="F530" s="45" t="n"/>
      <c r="G530" s="45" t="n"/>
      <c r="H530" s="49" t="n"/>
      <c r="I530" s="49" t="n"/>
      <c r="J530" s="52" t="n"/>
      <c r="K530" s="45" t="n"/>
      <c r="L530" s="49" t="n"/>
    </row>
    <row r="531">
      <c r="A531" s="43">
        <f>IF($B531="","",COUNT($B$5:$B531))</f>
        <v/>
      </c>
      <c r="B531" s="44" t="n"/>
      <c r="C531" s="47">
        <f>IF($B531="","",CHOOSE(WEEKDAY($B531),"일","월","화","수","목","금","토"))</f>
        <v/>
      </c>
      <c r="D531" s="45" t="n"/>
      <c r="E531" s="47">
        <f>IF($D531="","",IFERROR(INDEX(코드설정!$D$5:$D$24,MATCH($D531,코드설정!$C$5:$C$24,0)),""))</f>
        <v/>
      </c>
      <c r="F531" s="45" t="n"/>
      <c r="G531" s="45" t="n"/>
      <c r="H531" s="49" t="n"/>
      <c r="I531" s="49" t="n"/>
      <c r="J531" s="52" t="n"/>
      <c r="K531" s="45" t="n"/>
      <c r="L531" s="49" t="n"/>
    </row>
    <row r="532">
      <c r="A532" s="43">
        <f>IF($B532="","",COUNT($B$5:$B532))</f>
        <v/>
      </c>
      <c r="B532" s="44" t="n"/>
      <c r="C532" s="47">
        <f>IF($B532="","",CHOOSE(WEEKDAY($B532),"일","월","화","수","목","금","토"))</f>
        <v/>
      </c>
      <c r="D532" s="45" t="n"/>
      <c r="E532" s="47">
        <f>IF($D532="","",IFERROR(INDEX(코드설정!$D$5:$D$24,MATCH($D532,코드설정!$C$5:$C$24,0)),""))</f>
        <v/>
      </c>
      <c r="F532" s="45" t="n"/>
      <c r="G532" s="45" t="n"/>
      <c r="H532" s="49" t="n"/>
      <c r="I532" s="49" t="n"/>
      <c r="J532" s="52" t="n"/>
      <c r="K532" s="45" t="n"/>
      <c r="L532" s="49" t="n"/>
    </row>
    <row r="533">
      <c r="A533" s="43">
        <f>IF($B533="","",COUNT($B$5:$B533))</f>
        <v/>
      </c>
      <c r="B533" s="44" t="n"/>
      <c r="C533" s="47">
        <f>IF($B533="","",CHOOSE(WEEKDAY($B533),"일","월","화","수","목","금","토"))</f>
        <v/>
      </c>
      <c r="D533" s="45" t="n"/>
      <c r="E533" s="47">
        <f>IF($D533="","",IFERROR(INDEX(코드설정!$D$5:$D$24,MATCH($D533,코드설정!$C$5:$C$24,0)),""))</f>
        <v/>
      </c>
      <c r="F533" s="45" t="n"/>
      <c r="G533" s="45" t="n"/>
      <c r="H533" s="49" t="n"/>
      <c r="I533" s="49" t="n"/>
      <c r="J533" s="52" t="n"/>
      <c r="K533" s="45" t="n"/>
      <c r="L533" s="49" t="n"/>
    </row>
    <row r="534">
      <c r="A534" s="43">
        <f>IF($B534="","",COUNT($B$5:$B534))</f>
        <v/>
      </c>
      <c r="B534" s="44" t="n"/>
      <c r="C534" s="47">
        <f>IF($B534="","",CHOOSE(WEEKDAY($B534),"일","월","화","수","목","금","토"))</f>
        <v/>
      </c>
      <c r="D534" s="45" t="n"/>
      <c r="E534" s="47">
        <f>IF($D534="","",IFERROR(INDEX(코드설정!$D$5:$D$24,MATCH($D534,코드설정!$C$5:$C$24,0)),""))</f>
        <v/>
      </c>
      <c r="F534" s="45" t="n"/>
      <c r="G534" s="45" t="n"/>
      <c r="H534" s="49" t="n"/>
      <c r="I534" s="49" t="n"/>
      <c r="J534" s="52" t="n"/>
      <c r="K534" s="45" t="n"/>
      <c r="L534" s="49" t="n"/>
    </row>
    <row r="535">
      <c r="A535" s="43">
        <f>IF($B535="","",COUNT($B$5:$B535))</f>
        <v/>
      </c>
      <c r="B535" s="44" t="n"/>
      <c r="C535" s="47">
        <f>IF($B535="","",CHOOSE(WEEKDAY($B535),"일","월","화","수","목","금","토"))</f>
        <v/>
      </c>
      <c r="D535" s="45" t="n"/>
      <c r="E535" s="47">
        <f>IF($D535="","",IFERROR(INDEX(코드설정!$D$5:$D$24,MATCH($D535,코드설정!$C$5:$C$24,0)),""))</f>
        <v/>
      </c>
      <c r="F535" s="45" t="n"/>
      <c r="G535" s="45" t="n"/>
      <c r="H535" s="49" t="n"/>
      <c r="I535" s="49" t="n"/>
      <c r="J535" s="52" t="n"/>
      <c r="K535" s="45" t="n"/>
      <c r="L535" s="49" t="n"/>
    </row>
    <row r="536">
      <c r="A536" s="43">
        <f>IF($B536="","",COUNT($B$5:$B536))</f>
        <v/>
      </c>
      <c r="B536" s="44" t="n"/>
      <c r="C536" s="47">
        <f>IF($B536="","",CHOOSE(WEEKDAY($B536),"일","월","화","수","목","금","토"))</f>
        <v/>
      </c>
      <c r="D536" s="45" t="n"/>
      <c r="E536" s="47">
        <f>IF($D536="","",IFERROR(INDEX(코드설정!$D$5:$D$24,MATCH($D536,코드설정!$C$5:$C$24,0)),""))</f>
        <v/>
      </c>
      <c r="F536" s="45" t="n"/>
      <c r="G536" s="45" t="n"/>
      <c r="H536" s="49" t="n"/>
      <c r="I536" s="49" t="n"/>
      <c r="J536" s="52" t="n"/>
      <c r="K536" s="45" t="n"/>
      <c r="L536" s="49" t="n"/>
    </row>
    <row r="537">
      <c r="A537" s="43">
        <f>IF($B537="","",COUNT($B$5:$B537))</f>
        <v/>
      </c>
      <c r="B537" s="44" t="n"/>
      <c r="C537" s="47">
        <f>IF($B537="","",CHOOSE(WEEKDAY($B537),"일","월","화","수","목","금","토"))</f>
        <v/>
      </c>
      <c r="D537" s="45" t="n"/>
      <c r="E537" s="47">
        <f>IF($D537="","",IFERROR(INDEX(코드설정!$D$5:$D$24,MATCH($D537,코드설정!$C$5:$C$24,0)),""))</f>
        <v/>
      </c>
      <c r="F537" s="45" t="n"/>
      <c r="G537" s="45" t="n"/>
      <c r="H537" s="49" t="n"/>
      <c r="I537" s="49" t="n"/>
      <c r="J537" s="52" t="n"/>
      <c r="K537" s="45" t="n"/>
      <c r="L537" s="49" t="n"/>
    </row>
    <row r="538">
      <c r="A538" s="43">
        <f>IF($B538="","",COUNT($B$5:$B538))</f>
        <v/>
      </c>
      <c r="B538" s="44" t="n"/>
      <c r="C538" s="47">
        <f>IF($B538="","",CHOOSE(WEEKDAY($B538),"일","월","화","수","목","금","토"))</f>
        <v/>
      </c>
      <c r="D538" s="45" t="n"/>
      <c r="E538" s="47">
        <f>IF($D538="","",IFERROR(INDEX(코드설정!$D$5:$D$24,MATCH($D538,코드설정!$C$5:$C$24,0)),""))</f>
        <v/>
      </c>
      <c r="F538" s="45" t="n"/>
      <c r="G538" s="45" t="n"/>
      <c r="H538" s="49" t="n"/>
      <c r="I538" s="49" t="n"/>
      <c r="J538" s="52" t="n"/>
      <c r="K538" s="45" t="n"/>
      <c r="L538" s="49" t="n"/>
    </row>
    <row r="539">
      <c r="A539" s="43">
        <f>IF($B539="","",COUNT($B$5:$B539))</f>
        <v/>
      </c>
      <c r="B539" s="44" t="n"/>
      <c r="C539" s="47">
        <f>IF($B539="","",CHOOSE(WEEKDAY($B539),"일","월","화","수","목","금","토"))</f>
        <v/>
      </c>
      <c r="D539" s="45" t="n"/>
      <c r="E539" s="47">
        <f>IF($D539="","",IFERROR(INDEX(코드설정!$D$5:$D$24,MATCH($D539,코드설정!$C$5:$C$24,0)),""))</f>
        <v/>
      </c>
      <c r="F539" s="45" t="n"/>
      <c r="G539" s="45" t="n"/>
      <c r="H539" s="49" t="n"/>
      <c r="I539" s="49" t="n"/>
      <c r="J539" s="52" t="n"/>
      <c r="K539" s="45" t="n"/>
      <c r="L539" s="49" t="n"/>
    </row>
    <row r="540">
      <c r="A540" s="43">
        <f>IF($B540="","",COUNT($B$5:$B540))</f>
        <v/>
      </c>
      <c r="B540" s="44" t="n"/>
      <c r="C540" s="47">
        <f>IF($B540="","",CHOOSE(WEEKDAY($B540),"일","월","화","수","목","금","토"))</f>
        <v/>
      </c>
      <c r="D540" s="45" t="n"/>
      <c r="E540" s="47">
        <f>IF($D540="","",IFERROR(INDEX(코드설정!$D$5:$D$24,MATCH($D540,코드설정!$C$5:$C$24,0)),""))</f>
        <v/>
      </c>
      <c r="F540" s="45" t="n"/>
      <c r="G540" s="45" t="n"/>
      <c r="H540" s="49" t="n"/>
      <c r="I540" s="49" t="n"/>
      <c r="J540" s="52" t="n"/>
      <c r="K540" s="45" t="n"/>
      <c r="L540" s="49" t="n"/>
    </row>
    <row r="541">
      <c r="A541" s="43">
        <f>IF($B541="","",COUNT($B$5:$B541))</f>
        <v/>
      </c>
      <c r="B541" s="44" t="n"/>
      <c r="C541" s="47">
        <f>IF($B541="","",CHOOSE(WEEKDAY($B541),"일","월","화","수","목","금","토"))</f>
        <v/>
      </c>
      <c r="D541" s="45" t="n"/>
      <c r="E541" s="47">
        <f>IF($D541="","",IFERROR(INDEX(코드설정!$D$5:$D$24,MATCH($D541,코드설정!$C$5:$C$24,0)),""))</f>
        <v/>
      </c>
      <c r="F541" s="45" t="n"/>
      <c r="G541" s="45" t="n"/>
      <c r="H541" s="49" t="n"/>
      <c r="I541" s="49" t="n"/>
      <c r="J541" s="52" t="n"/>
      <c r="K541" s="45" t="n"/>
      <c r="L541" s="49" t="n"/>
    </row>
    <row r="542">
      <c r="A542" s="43">
        <f>IF($B542="","",COUNT($B$5:$B542))</f>
        <v/>
      </c>
      <c r="B542" s="44" t="n"/>
      <c r="C542" s="47">
        <f>IF($B542="","",CHOOSE(WEEKDAY($B542),"일","월","화","수","목","금","토"))</f>
        <v/>
      </c>
      <c r="D542" s="45" t="n"/>
      <c r="E542" s="47">
        <f>IF($D542="","",IFERROR(INDEX(코드설정!$D$5:$D$24,MATCH($D542,코드설정!$C$5:$C$24,0)),""))</f>
        <v/>
      </c>
      <c r="F542" s="45" t="n"/>
      <c r="G542" s="45" t="n"/>
      <c r="H542" s="49" t="n"/>
      <c r="I542" s="49" t="n"/>
      <c r="J542" s="52" t="n"/>
      <c r="K542" s="45" t="n"/>
      <c r="L542" s="49" t="n"/>
    </row>
    <row r="543">
      <c r="A543" s="43">
        <f>IF($B543="","",COUNT($B$5:$B543))</f>
        <v/>
      </c>
      <c r="B543" s="44" t="n"/>
      <c r="C543" s="47">
        <f>IF($B543="","",CHOOSE(WEEKDAY($B543),"일","월","화","수","목","금","토"))</f>
        <v/>
      </c>
      <c r="D543" s="45" t="n"/>
      <c r="E543" s="47">
        <f>IF($D543="","",IFERROR(INDEX(코드설정!$D$5:$D$24,MATCH($D543,코드설정!$C$5:$C$24,0)),""))</f>
        <v/>
      </c>
      <c r="F543" s="45" t="n"/>
      <c r="G543" s="45" t="n"/>
      <c r="H543" s="49" t="n"/>
      <c r="I543" s="49" t="n"/>
      <c r="J543" s="52" t="n"/>
      <c r="K543" s="45" t="n"/>
      <c r="L543" s="49" t="n"/>
    </row>
    <row r="544">
      <c r="A544" s="43">
        <f>IF($B544="","",COUNT($B$5:$B544))</f>
        <v/>
      </c>
      <c r="B544" s="44" t="n"/>
      <c r="C544" s="47">
        <f>IF($B544="","",CHOOSE(WEEKDAY($B544),"일","월","화","수","목","금","토"))</f>
        <v/>
      </c>
      <c r="D544" s="45" t="n"/>
      <c r="E544" s="47">
        <f>IF($D544="","",IFERROR(INDEX(코드설정!$D$5:$D$24,MATCH($D544,코드설정!$C$5:$C$24,0)),""))</f>
        <v/>
      </c>
      <c r="F544" s="45" t="n"/>
      <c r="G544" s="45" t="n"/>
      <c r="H544" s="49" t="n"/>
      <c r="I544" s="49" t="n"/>
      <c r="J544" s="52" t="n"/>
      <c r="K544" s="45" t="n"/>
      <c r="L544" s="49" t="n"/>
    </row>
    <row r="545">
      <c r="A545" s="43">
        <f>IF($B545="","",COUNT($B$5:$B545))</f>
        <v/>
      </c>
      <c r="B545" s="44" t="n"/>
      <c r="C545" s="47">
        <f>IF($B545="","",CHOOSE(WEEKDAY($B545),"일","월","화","수","목","금","토"))</f>
        <v/>
      </c>
      <c r="D545" s="45" t="n"/>
      <c r="E545" s="47">
        <f>IF($D545="","",IFERROR(INDEX(코드설정!$D$5:$D$24,MATCH($D545,코드설정!$C$5:$C$24,0)),""))</f>
        <v/>
      </c>
      <c r="F545" s="45" t="n"/>
      <c r="G545" s="45" t="n"/>
      <c r="H545" s="49" t="n"/>
      <c r="I545" s="49" t="n"/>
      <c r="J545" s="52" t="n"/>
      <c r="K545" s="45" t="n"/>
      <c r="L545" s="49" t="n"/>
    </row>
    <row r="546">
      <c r="A546" s="43">
        <f>IF($B546="","",COUNT($B$5:$B546))</f>
        <v/>
      </c>
      <c r="B546" s="44" t="n"/>
      <c r="C546" s="47">
        <f>IF($B546="","",CHOOSE(WEEKDAY($B546),"일","월","화","수","목","금","토"))</f>
        <v/>
      </c>
      <c r="D546" s="45" t="n"/>
      <c r="E546" s="47">
        <f>IF($D546="","",IFERROR(INDEX(코드설정!$D$5:$D$24,MATCH($D546,코드설정!$C$5:$C$24,0)),""))</f>
        <v/>
      </c>
      <c r="F546" s="45" t="n"/>
      <c r="G546" s="45" t="n"/>
      <c r="H546" s="49" t="n"/>
      <c r="I546" s="49" t="n"/>
      <c r="J546" s="52" t="n"/>
      <c r="K546" s="45" t="n"/>
      <c r="L546" s="49" t="n"/>
    </row>
    <row r="547">
      <c r="A547" s="43">
        <f>IF($B547="","",COUNT($B$5:$B547))</f>
        <v/>
      </c>
      <c r="B547" s="44" t="n"/>
      <c r="C547" s="47">
        <f>IF($B547="","",CHOOSE(WEEKDAY($B547),"일","월","화","수","목","금","토"))</f>
        <v/>
      </c>
      <c r="D547" s="45" t="n"/>
      <c r="E547" s="47">
        <f>IF($D547="","",IFERROR(INDEX(코드설정!$D$5:$D$24,MATCH($D547,코드설정!$C$5:$C$24,0)),""))</f>
        <v/>
      </c>
      <c r="F547" s="45" t="n"/>
      <c r="G547" s="45" t="n"/>
      <c r="H547" s="49" t="n"/>
      <c r="I547" s="49" t="n"/>
      <c r="J547" s="52" t="n"/>
      <c r="K547" s="45" t="n"/>
      <c r="L547" s="49" t="n"/>
    </row>
    <row r="548">
      <c r="A548" s="43">
        <f>IF($B548="","",COUNT($B$5:$B548))</f>
        <v/>
      </c>
      <c r="B548" s="44" t="n"/>
      <c r="C548" s="47">
        <f>IF($B548="","",CHOOSE(WEEKDAY($B548),"일","월","화","수","목","금","토"))</f>
        <v/>
      </c>
      <c r="D548" s="45" t="n"/>
      <c r="E548" s="47">
        <f>IF($D548="","",IFERROR(INDEX(코드설정!$D$5:$D$24,MATCH($D548,코드설정!$C$5:$C$24,0)),""))</f>
        <v/>
      </c>
      <c r="F548" s="45" t="n"/>
      <c r="G548" s="45" t="n"/>
      <c r="H548" s="49" t="n"/>
      <c r="I548" s="49" t="n"/>
      <c r="J548" s="52" t="n"/>
      <c r="K548" s="45" t="n"/>
      <c r="L548" s="49" t="n"/>
    </row>
    <row r="549">
      <c r="A549" s="43">
        <f>IF($B549="","",COUNT($B$5:$B549))</f>
        <v/>
      </c>
      <c r="B549" s="44" t="n"/>
      <c r="C549" s="47">
        <f>IF($B549="","",CHOOSE(WEEKDAY($B549),"일","월","화","수","목","금","토"))</f>
        <v/>
      </c>
      <c r="D549" s="45" t="n"/>
      <c r="E549" s="47">
        <f>IF($D549="","",IFERROR(INDEX(코드설정!$D$5:$D$24,MATCH($D549,코드설정!$C$5:$C$24,0)),""))</f>
        <v/>
      </c>
      <c r="F549" s="45" t="n"/>
      <c r="G549" s="45" t="n"/>
      <c r="H549" s="49" t="n"/>
      <c r="I549" s="49" t="n"/>
      <c r="J549" s="52" t="n"/>
      <c r="K549" s="45" t="n"/>
      <c r="L549" s="49" t="n"/>
    </row>
    <row r="550">
      <c r="A550" s="43">
        <f>IF($B550="","",COUNT($B$5:$B550))</f>
        <v/>
      </c>
      <c r="B550" s="44" t="n"/>
      <c r="C550" s="47">
        <f>IF($B550="","",CHOOSE(WEEKDAY($B550),"일","월","화","수","목","금","토"))</f>
        <v/>
      </c>
      <c r="D550" s="45" t="n"/>
      <c r="E550" s="47">
        <f>IF($D550="","",IFERROR(INDEX(코드설정!$D$5:$D$24,MATCH($D550,코드설정!$C$5:$C$24,0)),""))</f>
        <v/>
      </c>
      <c r="F550" s="45" t="n"/>
      <c r="G550" s="45" t="n"/>
      <c r="H550" s="49" t="n"/>
      <c r="I550" s="49" t="n"/>
      <c r="J550" s="52" t="n"/>
      <c r="K550" s="45" t="n"/>
      <c r="L550" s="49" t="n"/>
    </row>
    <row r="551">
      <c r="A551" s="43">
        <f>IF($B551="","",COUNT($B$5:$B551))</f>
        <v/>
      </c>
      <c r="B551" s="44" t="n"/>
      <c r="C551" s="47">
        <f>IF($B551="","",CHOOSE(WEEKDAY($B551),"일","월","화","수","목","금","토"))</f>
        <v/>
      </c>
      <c r="D551" s="45" t="n"/>
      <c r="E551" s="47">
        <f>IF($D551="","",IFERROR(INDEX(코드설정!$D$5:$D$24,MATCH($D551,코드설정!$C$5:$C$24,0)),""))</f>
        <v/>
      </c>
      <c r="F551" s="45" t="n"/>
      <c r="G551" s="45" t="n"/>
      <c r="H551" s="49" t="n"/>
      <c r="I551" s="49" t="n"/>
      <c r="J551" s="52" t="n"/>
      <c r="K551" s="45" t="n"/>
      <c r="L551" s="49" t="n"/>
    </row>
    <row r="552">
      <c r="A552" s="43">
        <f>IF($B552="","",COUNT($B$5:$B552))</f>
        <v/>
      </c>
      <c r="B552" s="44" t="n"/>
      <c r="C552" s="47">
        <f>IF($B552="","",CHOOSE(WEEKDAY($B552),"일","월","화","수","목","금","토"))</f>
        <v/>
      </c>
      <c r="D552" s="45" t="n"/>
      <c r="E552" s="47">
        <f>IF($D552="","",IFERROR(INDEX(코드설정!$D$5:$D$24,MATCH($D552,코드설정!$C$5:$C$24,0)),""))</f>
        <v/>
      </c>
      <c r="F552" s="45" t="n"/>
      <c r="G552" s="45" t="n"/>
      <c r="H552" s="49" t="n"/>
      <c r="I552" s="49" t="n"/>
      <c r="J552" s="52" t="n"/>
      <c r="K552" s="45" t="n"/>
      <c r="L552" s="49" t="n"/>
    </row>
    <row r="553">
      <c r="A553" s="43">
        <f>IF($B553="","",COUNT($B$5:$B553))</f>
        <v/>
      </c>
      <c r="B553" s="44" t="n"/>
      <c r="C553" s="47">
        <f>IF($B553="","",CHOOSE(WEEKDAY($B553),"일","월","화","수","목","금","토"))</f>
        <v/>
      </c>
      <c r="D553" s="45" t="n"/>
      <c r="E553" s="47">
        <f>IF($D553="","",IFERROR(INDEX(코드설정!$D$5:$D$24,MATCH($D553,코드설정!$C$5:$C$24,0)),""))</f>
        <v/>
      </c>
      <c r="F553" s="45" t="n"/>
      <c r="G553" s="45" t="n"/>
      <c r="H553" s="49" t="n"/>
      <c r="I553" s="49" t="n"/>
      <c r="J553" s="52" t="n"/>
      <c r="K553" s="45" t="n"/>
      <c r="L553" s="49" t="n"/>
    </row>
    <row r="554">
      <c r="A554" s="43">
        <f>IF($B554="","",COUNT($B$5:$B554))</f>
        <v/>
      </c>
      <c r="B554" s="44" t="n"/>
      <c r="C554" s="47">
        <f>IF($B554="","",CHOOSE(WEEKDAY($B554),"일","월","화","수","목","금","토"))</f>
        <v/>
      </c>
      <c r="D554" s="45" t="n"/>
      <c r="E554" s="47">
        <f>IF($D554="","",IFERROR(INDEX(코드설정!$D$5:$D$24,MATCH($D554,코드설정!$C$5:$C$24,0)),""))</f>
        <v/>
      </c>
      <c r="F554" s="45" t="n"/>
      <c r="G554" s="45" t="n"/>
      <c r="H554" s="49" t="n"/>
      <c r="I554" s="49" t="n"/>
      <c r="J554" s="52" t="n"/>
      <c r="K554" s="45" t="n"/>
      <c r="L554" s="49" t="n"/>
    </row>
    <row r="555">
      <c r="A555" s="43">
        <f>IF($B555="","",COUNT($B$5:$B555))</f>
        <v/>
      </c>
      <c r="B555" s="44" t="n"/>
      <c r="C555" s="47">
        <f>IF($B555="","",CHOOSE(WEEKDAY($B555),"일","월","화","수","목","금","토"))</f>
        <v/>
      </c>
      <c r="D555" s="45" t="n"/>
      <c r="E555" s="47">
        <f>IF($D555="","",IFERROR(INDEX(코드설정!$D$5:$D$24,MATCH($D555,코드설정!$C$5:$C$24,0)),""))</f>
        <v/>
      </c>
      <c r="F555" s="45" t="n"/>
      <c r="G555" s="45" t="n"/>
      <c r="H555" s="49" t="n"/>
      <c r="I555" s="49" t="n"/>
      <c r="J555" s="52" t="n"/>
      <c r="K555" s="45" t="n"/>
      <c r="L555" s="49" t="n"/>
    </row>
    <row r="556">
      <c r="A556" s="43">
        <f>IF($B556="","",COUNT($B$5:$B556))</f>
        <v/>
      </c>
      <c r="B556" s="44" t="n"/>
      <c r="C556" s="47">
        <f>IF($B556="","",CHOOSE(WEEKDAY($B556),"일","월","화","수","목","금","토"))</f>
        <v/>
      </c>
      <c r="D556" s="45" t="n"/>
      <c r="E556" s="47">
        <f>IF($D556="","",IFERROR(INDEX(코드설정!$D$5:$D$24,MATCH($D556,코드설정!$C$5:$C$24,0)),""))</f>
        <v/>
      </c>
      <c r="F556" s="45" t="n"/>
      <c r="G556" s="45" t="n"/>
      <c r="H556" s="49" t="n"/>
      <c r="I556" s="49" t="n"/>
      <c r="J556" s="52" t="n"/>
      <c r="K556" s="45" t="n"/>
      <c r="L556" s="49" t="n"/>
    </row>
    <row r="557">
      <c r="A557" s="43">
        <f>IF($B557="","",COUNT($B$5:$B557))</f>
        <v/>
      </c>
      <c r="B557" s="44" t="n"/>
      <c r="C557" s="47">
        <f>IF($B557="","",CHOOSE(WEEKDAY($B557),"일","월","화","수","목","금","토"))</f>
        <v/>
      </c>
      <c r="D557" s="45" t="n"/>
      <c r="E557" s="47">
        <f>IF($D557="","",IFERROR(INDEX(코드설정!$D$5:$D$24,MATCH($D557,코드설정!$C$5:$C$24,0)),""))</f>
        <v/>
      </c>
      <c r="F557" s="45" t="n"/>
      <c r="G557" s="45" t="n"/>
      <c r="H557" s="49" t="n"/>
      <c r="I557" s="49" t="n"/>
      <c r="J557" s="52" t="n"/>
      <c r="K557" s="45" t="n"/>
      <c r="L557" s="49" t="n"/>
    </row>
    <row r="558">
      <c r="A558" s="43">
        <f>IF($B558="","",COUNT($B$5:$B558))</f>
        <v/>
      </c>
      <c r="B558" s="44" t="n"/>
      <c r="C558" s="47">
        <f>IF($B558="","",CHOOSE(WEEKDAY($B558),"일","월","화","수","목","금","토"))</f>
        <v/>
      </c>
      <c r="D558" s="45" t="n"/>
      <c r="E558" s="47">
        <f>IF($D558="","",IFERROR(INDEX(코드설정!$D$5:$D$24,MATCH($D558,코드설정!$C$5:$C$24,0)),""))</f>
        <v/>
      </c>
      <c r="F558" s="45" t="n"/>
      <c r="G558" s="45" t="n"/>
      <c r="H558" s="49" t="n"/>
      <c r="I558" s="49" t="n"/>
      <c r="J558" s="52" t="n"/>
      <c r="K558" s="45" t="n"/>
      <c r="L558" s="49" t="n"/>
    </row>
    <row r="559">
      <c r="A559" s="43">
        <f>IF($B559="","",COUNT($B$5:$B559))</f>
        <v/>
      </c>
      <c r="B559" s="44" t="n"/>
      <c r="C559" s="47">
        <f>IF($B559="","",CHOOSE(WEEKDAY($B559),"일","월","화","수","목","금","토"))</f>
        <v/>
      </c>
      <c r="D559" s="45" t="n"/>
      <c r="E559" s="47">
        <f>IF($D559="","",IFERROR(INDEX(코드설정!$D$5:$D$24,MATCH($D559,코드설정!$C$5:$C$24,0)),""))</f>
        <v/>
      </c>
      <c r="F559" s="45" t="n"/>
      <c r="G559" s="45" t="n"/>
      <c r="H559" s="49" t="n"/>
      <c r="I559" s="49" t="n"/>
      <c r="J559" s="52" t="n"/>
      <c r="K559" s="45" t="n"/>
      <c r="L559" s="49" t="n"/>
    </row>
    <row r="560">
      <c r="A560" s="43">
        <f>IF($B560="","",COUNT($B$5:$B560))</f>
        <v/>
      </c>
      <c r="B560" s="44" t="n"/>
      <c r="C560" s="47">
        <f>IF($B560="","",CHOOSE(WEEKDAY($B560),"일","월","화","수","목","금","토"))</f>
        <v/>
      </c>
      <c r="D560" s="45" t="n"/>
      <c r="E560" s="47">
        <f>IF($D560="","",IFERROR(INDEX(코드설정!$D$5:$D$24,MATCH($D560,코드설정!$C$5:$C$24,0)),""))</f>
        <v/>
      </c>
      <c r="F560" s="45" t="n"/>
      <c r="G560" s="45" t="n"/>
      <c r="H560" s="49" t="n"/>
      <c r="I560" s="49" t="n"/>
      <c r="J560" s="52" t="n"/>
      <c r="K560" s="45" t="n"/>
      <c r="L560" s="49" t="n"/>
    </row>
    <row r="561">
      <c r="A561" s="43">
        <f>IF($B561="","",COUNT($B$5:$B561))</f>
        <v/>
      </c>
      <c r="B561" s="44" t="n"/>
      <c r="C561" s="47">
        <f>IF($B561="","",CHOOSE(WEEKDAY($B561),"일","월","화","수","목","금","토"))</f>
        <v/>
      </c>
      <c r="D561" s="45" t="n"/>
      <c r="E561" s="47">
        <f>IF($D561="","",IFERROR(INDEX(코드설정!$D$5:$D$24,MATCH($D561,코드설정!$C$5:$C$24,0)),""))</f>
        <v/>
      </c>
      <c r="F561" s="45" t="n"/>
      <c r="G561" s="45" t="n"/>
      <c r="H561" s="49" t="n"/>
      <c r="I561" s="49" t="n"/>
      <c r="J561" s="52" t="n"/>
      <c r="K561" s="45" t="n"/>
      <c r="L561" s="49" t="n"/>
    </row>
    <row r="562">
      <c r="A562" s="43">
        <f>IF($B562="","",COUNT($B$5:$B562))</f>
        <v/>
      </c>
      <c r="B562" s="44" t="n"/>
      <c r="C562" s="47">
        <f>IF($B562="","",CHOOSE(WEEKDAY($B562),"일","월","화","수","목","금","토"))</f>
        <v/>
      </c>
      <c r="D562" s="45" t="n"/>
      <c r="E562" s="47">
        <f>IF($D562="","",IFERROR(INDEX(코드설정!$D$5:$D$24,MATCH($D562,코드설정!$C$5:$C$24,0)),""))</f>
        <v/>
      </c>
      <c r="F562" s="45" t="n"/>
      <c r="G562" s="45" t="n"/>
      <c r="H562" s="49" t="n"/>
      <c r="I562" s="49" t="n"/>
      <c r="J562" s="52" t="n"/>
      <c r="K562" s="45" t="n"/>
      <c r="L562" s="49" t="n"/>
    </row>
    <row r="563">
      <c r="A563" s="43">
        <f>IF($B563="","",COUNT($B$5:$B563))</f>
        <v/>
      </c>
      <c r="B563" s="44" t="n"/>
      <c r="C563" s="47">
        <f>IF($B563="","",CHOOSE(WEEKDAY($B563),"일","월","화","수","목","금","토"))</f>
        <v/>
      </c>
      <c r="D563" s="45" t="n"/>
      <c r="E563" s="47">
        <f>IF($D563="","",IFERROR(INDEX(코드설정!$D$5:$D$24,MATCH($D563,코드설정!$C$5:$C$24,0)),""))</f>
        <v/>
      </c>
      <c r="F563" s="45" t="n"/>
      <c r="G563" s="45" t="n"/>
      <c r="H563" s="49" t="n"/>
      <c r="I563" s="49" t="n"/>
      <c r="J563" s="52" t="n"/>
      <c r="K563" s="45" t="n"/>
      <c r="L563" s="49" t="n"/>
    </row>
    <row r="564">
      <c r="A564" s="43">
        <f>IF($B564="","",COUNT($B$5:$B564))</f>
        <v/>
      </c>
      <c r="B564" s="44" t="n"/>
      <c r="C564" s="47">
        <f>IF($B564="","",CHOOSE(WEEKDAY($B564),"일","월","화","수","목","금","토"))</f>
        <v/>
      </c>
      <c r="D564" s="45" t="n"/>
      <c r="E564" s="47">
        <f>IF($D564="","",IFERROR(INDEX(코드설정!$D$5:$D$24,MATCH($D564,코드설정!$C$5:$C$24,0)),""))</f>
        <v/>
      </c>
      <c r="F564" s="45" t="n"/>
      <c r="G564" s="45" t="n"/>
      <c r="H564" s="49" t="n"/>
      <c r="I564" s="49" t="n"/>
      <c r="J564" s="52" t="n"/>
      <c r="K564" s="45" t="n"/>
      <c r="L564" s="49" t="n"/>
    </row>
    <row r="565">
      <c r="A565" s="43">
        <f>IF($B565="","",COUNT($B$5:$B565))</f>
        <v/>
      </c>
      <c r="B565" s="44" t="n"/>
      <c r="C565" s="47">
        <f>IF($B565="","",CHOOSE(WEEKDAY($B565),"일","월","화","수","목","금","토"))</f>
        <v/>
      </c>
      <c r="D565" s="45" t="n"/>
      <c r="E565" s="47">
        <f>IF($D565="","",IFERROR(INDEX(코드설정!$D$5:$D$24,MATCH($D565,코드설정!$C$5:$C$24,0)),""))</f>
        <v/>
      </c>
      <c r="F565" s="45" t="n"/>
      <c r="G565" s="45" t="n"/>
      <c r="H565" s="49" t="n"/>
      <c r="I565" s="49" t="n"/>
      <c r="J565" s="52" t="n"/>
      <c r="K565" s="45" t="n"/>
      <c r="L565" s="49" t="n"/>
    </row>
    <row r="566">
      <c r="A566" s="43">
        <f>IF($B566="","",COUNT($B$5:$B566))</f>
        <v/>
      </c>
      <c r="B566" s="44" t="n"/>
      <c r="C566" s="47">
        <f>IF($B566="","",CHOOSE(WEEKDAY($B566),"일","월","화","수","목","금","토"))</f>
        <v/>
      </c>
      <c r="D566" s="45" t="n"/>
      <c r="E566" s="47">
        <f>IF($D566="","",IFERROR(INDEX(코드설정!$D$5:$D$24,MATCH($D566,코드설정!$C$5:$C$24,0)),""))</f>
        <v/>
      </c>
      <c r="F566" s="45" t="n"/>
      <c r="G566" s="45" t="n"/>
      <c r="H566" s="49" t="n"/>
      <c r="I566" s="49" t="n"/>
      <c r="J566" s="52" t="n"/>
      <c r="K566" s="45" t="n"/>
      <c r="L566" s="49" t="n"/>
    </row>
    <row r="567">
      <c r="A567" s="43">
        <f>IF($B567="","",COUNT($B$5:$B567))</f>
        <v/>
      </c>
      <c r="B567" s="44" t="n"/>
      <c r="C567" s="47">
        <f>IF($B567="","",CHOOSE(WEEKDAY($B567),"일","월","화","수","목","금","토"))</f>
        <v/>
      </c>
      <c r="D567" s="45" t="n"/>
      <c r="E567" s="47">
        <f>IF($D567="","",IFERROR(INDEX(코드설정!$D$5:$D$24,MATCH($D567,코드설정!$C$5:$C$24,0)),""))</f>
        <v/>
      </c>
      <c r="F567" s="45" t="n"/>
      <c r="G567" s="45" t="n"/>
      <c r="H567" s="49" t="n"/>
      <c r="I567" s="49" t="n"/>
      <c r="J567" s="52" t="n"/>
      <c r="K567" s="45" t="n"/>
      <c r="L567" s="49" t="n"/>
    </row>
    <row r="568">
      <c r="A568" s="43">
        <f>IF($B568="","",COUNT($B$5:$B568))</f>
        <v/>
      </c>
      <c r="B568" s="44" t="n"/>
      <c r="C568" s="47">
        <f>IF($B568="","",CHOOSE(WEEKDAY($B568),"일","월","화","수","목","금","토"))</f>
        <v/>
      </c>
      <c r="D568" s="45" t="n"/>
      <c r="E568" s="47">
        <f>IF($D568="","",IFERROR(INDEX(코드설정!$D$5:$D$24,MATCH($D568,코드설정!$C$5:$C$24,0)),""))</f>
        <v/>
      </c>
      <c r="F568" s="45" t="n"/>
      <c r="G568" s="45" t="n"/>
      <c r="H568" s="49" t="n"/>
      <c r="I568" s="49" t="n"/>
      <c r="J568" s="52" t="n"/>
      <c r="K568" s="45" t="n"/>
      <c r="L568" s="49" t="n"/>
    </row>
    <row r="569">
      <c r="A569" s="43">
        <f>IF($B569="","",COUNT($B$5:$B569))</f>
        <v/>
      </c>
      <c r="B569" s="44" t="n"/>
      <c r="C569" s="47">
        <f>IF($B569="","",CHOOSE(WEEKDAY($B569),"일","월","화","수","목","금","토"))</f>
        <v/>
      </c>
      <c r="D569" s="45" t="n"/>
      <c r="E569" s="47">
        <f>IF($D569="","",IFERROR(INDEX(코드설정!$D$5:$D$24,MATCH($D569,코드설정!$C$5:$C$24,0)),""))</f>
        <v/>
      </c>
      <c r="F569" s="45" t="n"/>
      <c r="G569" s="45" t="n"/>
      <c r="H569" s="49" t="n"/>
      <c r="I569" s="49" t="n"/>
      <c r="J569" s="52" t="n"/>
      <c r="K569" s="45" t="n"/>
      <c r="L569" s="49" t="n"/>
    </row>
    <row r="570">
      <c r="A570" s="43">
        <f>IF($B570="","",COUNT($B$5:$B570))</f>
        <v/>
      </c>
      <c r="B570" s="44" t="n"/>
      <c r="C570" s="47">
        <f>IF($B570="","",CHOOSE(WEEKDAY($B570),"일","월","화","수","목","금","토"))</f>
        <v/>
      </c>
      <c r="D570" s="45" t="n"/>
      <c r="E570" s="47">
        <f>IF($D570="","",IFERROR(INDEX(코드설정!$D$5:$D$24,MATCH($D570,코드설정!$C$5:$C$24,0)),""))</f>
        <v/>
      </c>
      <c r="F570" s="45" t="n"/>
      <c r="G570" s="45" t="n"/>
      <c r="H570" s="49" t="n"/>
      <c r="I570" s="49" t="n"/>
      <c r="J570" s="52" t="n"/>
      <c r="K570" s="45" t="n"/>
      <c r="L570" s="49" t="n"/>
    </row>
    <row r="571">
      <c r="A571" s="43">
        <f>IF($B571="","",COUNT($B$5:$B571))</f>
        <v/>
      </c>
      <c r="B571" s="44" t="n"/>
      <c r="C571" s="47">
        <f>IF($B571="","",CHOOSE(WEEKDAY($B571),"일","월","화","수","목","금","토"))</f>
        <v/>
      </c>
      <c r="D571" s="45" t="n"/>
      <c r="E571" s="47">
        <f>IF($D571="","",IFERROR(INDEX(코드설정!$D$5:$D$24,MATCH($D571,코드설정!$C$5:$C$24,0)),""))</f>
        <v/>
      </c>
      <c r="F571" s="45" t="n"/>
      <c r="G571" s="45" t="n"/>
      <c r="H571" s="49" t="n"/>
      <c r="I571" s="49" t="n"/>
      <c r="J571" s="52" t="n"/>
      <c r="K571" s="45" t="n"/>
      <c r="L571" s="49" t="n"/>
    </row>
    <row r="572">
      <c r="A572" s="43">
        <f>IF($B572="","",COUNT($B$5:$B572))</f>
        <v/>
      </c>
      <c r="B572" s="44" t="n"/>
      <c r="C572" s="47">
        <f>IF($B572="","",CHOOSE(WEEKDAY($B572),"일","월","화","수","목","금","토"))</f>
        <v/>
      </c>
      <c r="D572" s="45" t="n"/>
      <c r="E572" s="47">
        <f>IF($D572="","",IFERROR(INDEX(코드설정!$D$5:$D$24,MATCH($D572,코드설정!$C$5:$C$24,0)),""))</f>
        <v/>
      </c>
      <c r="F572" s="45" t="n"/>
      <c r="G572" s="45" t="n"/>
      <c r="H572" s="49" t="n"/>
      <c r="I572" s="49" t="n"/>
      <c r="J572" s="52" t="n"/>
      <c r="K572" s="45" t="n"/>
      <c r="L572" s="49" t="n"/>
    </row>
    <row r="573">
      <c r="A573" s="43">
        <f>IF($B573="","",COUNT($B$5:$B573))</f>
        <v/>
      </c>
      <c r="B573" s="44" t="n"/>
      <c r="C573" s="47">
        <f>IF($B573="","",CHOOSE(WEEKDAY($B573),"일","월","화","수","목","금","토"))</f>
        <v/>
      </c>
      <c r="D573" s="45" t="n"/>
      <c r="E573" s="47">
        <f>IF($D573="","",IFERROR(INDEX(코드설정!$D$5:$D$24,MATCH($D573,코드설정!$C$5:$C$24,0)),""))</f>
        <v/>
      </c>
      <c r="F573" s="45" t="n"/>
      <c r="G573" s="45" t="n"/>
      <c r="H573" s="49" t="n"/>
      <c r="I573" s="49" t="n"/>
      <c r="J573" s="52" t="n"/>
      <c r="K573" s="45" t="n"/>
      <c r="L573" s="49" t="n"/>
    </row>
    <row r="574">
      <c r="A574" s="43">
        <f>IF($B574="","",COUNT($B$5:$B574))</f>
        <v/>
      </c>
      <c r="B574" s="44" t="n"/>
      <c r="C574" s="47">
        <f>IF($B574="","",CHOOSE(WEEKDAY($B574),"일","월","화","수","목","금","토"))</f>
        <v/>
      </c>
      <c r="D574" s="45" t="n"/>
      <c r="E574" s="47">
        <f>IF($D574="","",IFERROR(INDEX(코드설정!$D$5:$D$24,MATCH($D574,코드설정!$C$5:$C$24,0)),""))</f>
        <v/>
      </c>
      <c r="F574" s="45" t="n"/>
      <c r="G574" s="45" t="n"/>
      <c r="H574" s="49" t="n"/>
      <c r="I574" s="49" t="n"/>
      <c r="J574" s="52" t="n"/>
      <c r="K574" s="45" t="n"/>
      <c r="L574" s="49" t="n"/>
    </row>
    <row r="575">
      <c r="A575" s="43">
        <f>IF($B575="","",COUNT($B$5:$B575))</f>
        <v/>
      </c>
      <c r="B575" s="44" t="n"/>
      <c r="C575" s="47">
        <f>IF($B575="","",CHOOSE(WEEKDAY($B575),"일","월","화","수","목","금","토"))</f>
        <v/>
      </c>
      <c r="D575" s="45" t="n"/>
      <c r="E575" s="47">
        <f>IF($D575="","",IFERROR(INDEX(코드설정!$D$5:$D$24,MATCH($D575,코드설정!$C$5:$C$24,0)),""))</f>
        <v/>
      </c>
      <c r="F575" s="45" t="n"/>
      <c r="G575" s="45" t="n"/>
      <c r="H575" s="49" t="n"/>
      <c r="I575" s="49" t="n"/>
      <c r="J575" s="52" t="n"/>
      <c r="K575" s="45" t="n"/>
      <c r="L575" s="49" t="n"/>
    </row>
    <row r="576">
      <c r="A576" s="43">
        <f>IF($B576="","",COUNT($B$5:$B576))</f>
        <v/>
      </c>
      <c r="B576" s="44" t="n"/>
      <c r="C576" s="47">
        <f>IF($B576="","",CHOOSE(WEEKDAY($B576),"일","월","화","수","목","금","토"))</f>
        <v/>
      </c>
      <c r="D576" s="45" t="n"/>
      <c r="E576" s="47">
        <f>IF($D576="","",IFERROR(INDEX(코드설정!$D$5:$D$24,MATCH($D576,코드설정!$C$5:$C$24,0)),""))</f>
        <v/>
      </c>
      <c r="F576" s="45" t="n"/>
      <c r="G576" s="45" t="n"/>
      <c r="H576" s="49" t="n"/>
      <c r="I576" s="49" t="n"/>
      <c r="J576" s="52" t="n"/>
      <c r="K576" s="45" t="n"/>
      <c r="L576" s="49" t="n"/>
    </row>
    <row r="577">
      <c r="A577" s="43">
        <f>IF($B577="","",COUNT($B$5:$B577))</f>
        <v/>
      </c>
      <c r="B577" s="44" t="n"/>
      <c r="C577" s="47">
        <f>IF($B577="","",CHOOSE(WEEKDAY($B577),"일","월","화","수","목","금","토"))</f>
        <v/>
      </c>
      <c r="D577" s="45" t="n"/>
      <c r="E577" s="47">
        <f>IF($D577="","",IFERROR(INDEX(코드설정!$D$5:$D$24,MATCH($D577,코드설정!$C$5:$C$24,0)),""))</f>
        <v/>
      </c>
      <c r="F577" s="45" t="n"/>
      <c r="G577" s="45" t="n"/>
      <c r="H577" s="49" t="n"/>
      <c r="I577" s="49" t="n"/>
      <c r="J577" s="52" t="n"/>
      <c r="K577" s="45" t="n"/>
      <c r="L577" s="49" t="n"/>
    </row>
    <row r="578">
      <c r="A578" s="43">
        <f>IF($B578="","",COUNT($B$5:$B578))</f>
        <v/>
      </c>
      <c r="B578" s="44" t="n"/>
      <c r="C578" s="47">
        <f>IF($B578="","",CHOOSE(WEEKDAY($B578),"일","월","화","수","목","금","토"))</f>
        <v/>
      </c>
      <c r="D578" s="45" t="n"/>
      <c r="E578" s="47">
        <f>IF($D578="","",IFERROR(INDEX(코드설정!$D$5:$D$24,MATCH($D578,코드설정!$C$5:$C$24,0)),""))</f>
        <v/>
      </c>
      <c r="F578" s="45" t="n"/>
      <c r="G578" s="45" t="n"/>
      <c r="H578" s="49" t="n"/>
      <c r="I578" s="49" t="n"/>
      <c r="J578" s="52" t="n"/>
      <c r="K578" s="45" t="n"/>
      <c r="L578" s="49" t="n"/>
    </row>
    <row r="579">
      <c r="A579" s="43">
        <f>IF($B579="","",COUNT($B$5:$B579))</f>
        <v/>
      </c>
      <c r="B579" s="44" t="n"/>
      <c r="C579" s="47">
        <f>IF($B579="","",CHOOSE(WEEKDAY($B579),"일","월","화","수","목","금","토"))</f>
        <v/>
      </c>
      <c r="D579" s="45" t="n"/>
      <c r="E579" s="47">
        <f>IF($D579="","",IFERROR(INDEX(코드설정!$D$5:$D$24,MATCH($D579,코드설정!$C$5:$C$24,0)),""))</f>
        <v/>
      </c>
      <c r="F579" s="45" t="n"/>
      <c r="G579" s="45" t="n"/>
      <c r="H579" s="49" t="n"/>
      <c r="I579" s="49" t="n"/>
      <c r="J579" s="52" t="n"/>
      <c r="K579" s="45" t="n"/>
      <c r="L579" s="49" t="n"/>
    </row>
    <row r="580">
      <c r="A580" s="43">
        <f>IF($B580="","",COUNT($B$5:$B580))</f>
        <v/>
      </c>
      <c r="B580" s="44" t="n"/>
      <c r="C580" s="47">
        <f>IF($B580="","",CHOOSE(WEEKDAY($B580),"일","월","화","수","목","금","토"))</f>
        <v/>
      </c>
      <c r="D580" s="45" t="n"/>
      <c r="E580" s="47">
        <f>IF($D580="","",IFERROR(INDEX(코드설정!$D$5:$D$24,MATCH($D580,코드설정!$C$5:$C$24,0)),""))</f>
        <v/>
      </c>
      <c r="F580" s="45" t="n"/>
      <c r="G580" s="45" t="n"/>
      <c r="H580" s="49" t="n"/>
      <c r="I580" s="49" t="n"/>
      <c r="J580" s="52" t="n"/>
      <c r="K580" s="45" t="n"/>
      <c r="L580" s="49" t="n"/>
    </row>
    <row r="581">
      <c r="A581" s="43">
        <f>IF($B581="","",COUNT($B$5:$B581))</f>
        <v/>
      </c>
      <c r="B581" s="44" t="n"/>
      <c r="C581" s="47">
        <f>IF($B581="","",CHOOSE(WEEKDAY($B581),"일","월","화","수","목","금","토"))</f>
        <v/>
      </c>
      <c r="D581" s="45" t="n"/>
      <c r="E581" s="47">
        <f>IF($D581="","",IFERROR(INDEX(코드설정!$D$5:$D$24,MATCH($D581,코드설정!$C$5:$C$24,0)),""))</f>
        <v/>
      </c>
      <c r="F581" s="45" t="n"/>
      <c r="G581" s="45" t="n"/>
      <c r="H581" s="49" t="n"/>
      <c r="I581" s="49" t="n"/>
      <c r="J581" s="52" t="n"/>
      <c r="K581" s="45" t="n"/>
      <c r="L581" s="49" t="n"/>
    </row>
    <row r="582">
      <c r="A582" s="43">
        <f>IF($B582="","",COUNT($B$5:$B582))</f>
        <v/>
      </c>
      <c r="B582" s="44" t="n"/>
      <c r="C582" s="47">
        <f>IF($B582="","",CHOOSE(WEEKDAY($B582),"일","월","화","수","목","금","토"))</f>
        <v/>
      </c>
      <c r="D582" s="45" t="n"/>
      <c r="E582" s="47">
        <f>IF($D582="","",IFERROR(INDEX(코드설정!$D$5:$D$24,MATCH($D582,코드설정!$C$5:$C$24,0)),""))</f>
        <v/>
      </c>
      <c r="F582" s="45" t="n"/>
      <c r="G582" s="45" t="n"/>
      <c r="H582" s="49" t="n"/>
      <c r="I582" s="49" t="n"/>
      <c r="J582" s="52" t="n"/>
      <c r="K582" s="45" t="n"/>
      <c r="L582" s="49" t="n"/>
    </row>
    <row r="583">
      <c r="A583" s="43">
        <f>IF($B583="","",COUNT($B$5:$B583))</f>
        <v/>
      </c>
      <c r="B583" s="44" t="n"/>
      <c r="C583" s="47">
        <f>IF($B583="","",CHOOSE(WEEKDAY($B583),"일","월","화","수","목","금","토"))</f>
        <v/>
      </c>
      <c r="D583" s="45" t="n"/>
      <c r="E583" s="47">
        <f>IF($D583="","",IFERROR(INDEX(코드설정!$D$5:$D$24,MATCH($D583,코드설정!$C$5:$C$24,0)),""))</f>
        <v/>
      </c>
      <c r="F583" s="45" t="n"/>
      <c r="G583" s="45" t="n"/>
      <c r="H583" s="49" t="n"/>
      <c r="I583" s="49" t="n"/>
      <c r="J583" s="52" t="n"/>
      <c r="K583" s="45" t="n"/>
      <c r="L583" s="49" t="n"/>
    </row>
    <row r="584">
      <c r="A584" s="43">
        <f>IF($B584="","",COUNT($B$5:$B584))</f>
        <v/>
      </c>
      <c r="B584" s="44" t="n"/>
      <c r="C584" s="47">
        <f>IF($B584="","",CHOOSE(WEEKDAY($B584),"일","월","화","수","목","금","토"))</f>
        <v/>
      </c>
      <c r="D584" s="45" t="n"/>
      <c r="E584" s="47">
        <f>IF($D584="","",IFERROR(INDEX(코드설정!$D$5:$D$24,MATCH($D584,코드설정!$C$5:$C$24,0)),""))</f>
        <v/>
      </c>
      <c r="F584" s="45" t="n"/>
      <c r="G584" s="45" t="n"/>
      <c r="H584" s="49" t="n"/>
      <c r="I584" s="49" t="n"/>
      <c r="J584" s="52" t="n"/>
      <c r="K584" s="45" t="n"/>
      <c r="L584" s="49" t="n"/>
    </row>
    <row r="585">
      <c r="A585" s="43">
        <f>IF($B585="","",COUNT($B$5:$B585))</f>
        <v/>
      </c>
      <c r="B585" s="44" t="n"/>
      <c r="C585" s="47">
        <f>IF($B585="","",CHOOSE(WEEKDAY($B585),"일","월","화","수","목","금","토"))</f>
        <v/>
      </c>
      <c r="D585" s="45" t="n"/>
      <c r="E585" s="47">
        <f>IF($D585="","",IFERROR(INDEX(코드설정!$D$5:$D$24,MATCH($D585,코드설정!$C$5:$C$24,0)),""))</f>
        <v/>
      </c>
      <c r="F585" s="45" t="n"/>
      <c r="G585" s="45" t="n"/>
      <c r="H585" s="49" t="n"/>
      <c r="I585" s="49" t="n"/>
      <c r="J585" s="52" t="n"/>
      <c r="K585" s="45" t="n"/>
      <c r="L585" s="49" t="n"/>
    </row>
    <row r="586">
      <c r="A586" s="43">
        <f>IF($B586="","",COUNT($B$5:$B586))</f>
        <v/>
      </c>
      <c r="B586" s="44" t="n"/>
      <c r="C586" s="47">
        <f>IF($B586="","",CHOOSE(WEEKDAY($B586),"일","월","화","수","목","금","토"))</f>
        <v/>
      </c>
      <c r="D586" s="45" t="n"/>
      <c r="E586" s="47">
        <f>IF($D586="","",IFERROR(INDEX(코드설정!$D$5:$D$24,MATCH($D586,코드설정!$C$5:$C$24,0)),""))</f>
        <v/>
      </c>
      <c r="F586" s="45" t="n"/>
      <c r="G586" s="45" t="n"/>
      <c r="H586" s="49" t="n"/>
      <c r="I586" s="49" t="n"/>
      <c r="J586" s="52" t="n"/>
      <c r="K586" s="45" t="n"/>
      <c r="L586" s="49" t="n"/>
    </row>
    <row r="587">
      <c r="A587" s="43">
        <f>IF($B587="","",COUNT($B$5:$B587))</f>
        <v/>
      </c>
      <c r="B587" s="44" t="n"/>
      <c r="C587" s="47">
        <f>IF($B587="","",CHOOSE(WEEKDAY($B587),"일","월","화","수","목","금","토"))</f>
        <v/>
      </c>
      <c r="D587" s="45" t="n"/>
      <c r="E587" s="47">
        <f>IF($D587="","",IFERROR(INDEX(코드설정!$D$5:$D$24,MATCH($D587,코드설정!$C$5:$C$24,0)),""))</f>
        <v/>
      </c>
      <c r="F587" s="45" t="n"/>
      <c r="G587" s="45" t="n"/>
      <c r="H587" s="49" t="n"/>
      <c r="I587" s="49" t="n"/>
      <c r="J587" s="52" t="n"/>
      <c r="K587" s="45" t="n"/>
      <c r="L587" s="49" t="n"/>
    </row>
    <row r="588">
      <c r="A588" s="43">
        <f>IF($B588="","",COUNT($B$5:$B588))</f>
        <v/>
      </c>
      <c r="B588" s="44" t="n"/>
      <c r="C588" s="47">
        <f>IF($B588="","",CHOOSE(WEEKDAY($B588),"일","월","화","수","목","금","토"))</f>
        <v/>
      </c>
      <c r="D588" s="45" t="n"/>
      <c r="E588" s="47">
        <f>IF($D588="","",IFERROR(INDEX(코드설정!$D$5:$D$24,MATCH($D588,코드설정!$C$5:$C$24,0)),""))</f>
        <v/>
      </c>
      <c r="F588" s="45" t="n"/>
      <c r="G588" s="45" t="n"/>
      <c r="H588" s="49" t="n"/>
      <c r="I588" s="49" t="n"/>
      <c r="J588" s="52" t="n"/>
      <c r="K588" s="45" t="n"/>
      <c r="L588" s="49" t="n"/>
    </row>
    <row r="589">
      <c r="A589" s="43">
        <f>IF($B589="","",COUNT($B$5:$B589))</f>
        <v/>
      </c>
      <c r="B589" s="44" t="n"/>
      <c r="C589" s="47">
        <f>IF($B589="","",CHOOSE(WEEKDAY($B589),"일","월","화","수","목","금","토"))</f>
        <v/>
      </c>
      <c r="D589" s="45" t="n"/>
      <c r="E589" s="47">
        <f>IF($D589="","",IFERROR(INDEX(코드설정!$D$5:$D$24,MATCH($D589,코드설정!$C$5:$C$24,0)),""))</f>
        <v/>
      </c>
      <c r="F589" s="45" t="n"/>
      <c r="G589" s="45" t="n"/>
      <c r="H589" s="49" t="n"/>
      <c r="I589" s="49" t="n"/>
      <c r="J589" s="52" t="n"/>
      <c r="K589" s="45" t="n"/>
      <c r="L589" s="49" t="n"/>
    </row>
    <row r="590">
      <c r="A590" s="43">
        <f>IF($B590="","",COUNT($B$5:$B590))</f>
        <v/>
      </c>
      <c r="B590" s="44" t="n"/>
      <c r="C590" s="47">
        <f>IF($B590="","",CHOOSE(WEEKDAY($B590),"일","월","화","수","목","금","토"))</f>
        <v/>
      </c>
      <c r="D590" s="45" t="n"/>
      <c r="E590" s="47">
        <f>IF($D590="","",IFERROR(INDEX(코드설정!$D$5:$D$24,MATCH($D590,코드설정!$C$5:$C$24,0)),""))</f>
        <v/>
      </c>
      <c r="F590" s="45" t="n"/>
      <c r="G590" s="45" t="n"/>
      <c r="H590" s="49" t="n"/>
      <c r="I590" s="49" t="n"/>
      <c r="J590" s="52" t="n"/>
      <c r="K590" s="45" t="n"/>
      <c r="L590" s="49" t="n"/>
    </row>
    <row r="591">
      <c r="A591" s="43">
        <f>IF($B591="","",COUNT($B$5:$B591))</f>
        <v/>
      </c>
      <c r="B591" s="44" t="n"/>
      <c r="C591" s="47">
        <f>IF($B591="","",CHOOSE(WEEKDAY($B591),"일","월","화","수","목","금","토"))</f>
        <v/>
      </c>
      <c r="D591" s="45" t="n"/>
      <c r="E591" s="47">
        <f>IF($D591="","",IFERROR(INDEX(코드설정!$D$5:$D$24,MATCH($D591,코드설정!$C$5:$C$24,0)),""))</f>
        <v/>
      </c>
      <c r="F591" s="45" t="n"/>
      <c r="G591" s="45" t="n"/>
      <c r="H591" s="49" t="n"/>
      <c r="I591" s="49" t="n"/>
      <c r="J591" s="52" t="n"/>
      <c r="K591" s="45" t="n"/>
      <c r="L591" s="49" t="n"/>
    </row>
    <row r="592">
      <c r="A592" s="43">
        <f>IF($B592="","",COUNT($B$5:$B592))</f>
        <v/>
      </c>
      <c r="B592" s="44" t="n"/>
      <c r="C592" s="47">
        <f>IF($B592="","",CHOOSE(WEEKDAY($B592),"일","월","화","수","목","금","토"))</f>
        <v/>
      </c>
      <c r="D592" s="45" t="n"/>
      <c r="E592" s="47">
        <f>IF($D592="","",IFERROR(INDEX(코드설정!$D$5:$D$24,MATCH($D592,코드설정!$C$5:$C$24,0)),""))</f>
        <v/>
      </c>
      <c r="F592" s="45" t="n"/>
      <c r="G592" s="45" t="n"/>
      <c r="H592" s="49" t="n"/>
      <c r="I592" s="49" t="n"/>
      <c r="J592" s="52" t="n"/>
      <c r="K592" s="45" t="n"/>
      <c r="L592" s="49" t="n"/>
    </row>
    <row r="593">
      <c r="A593" s="43">
        <f>IF($B593="","",COUNT($B$5:$B593))</f>
        <v/>
      </c>
      <c r="B593" s="44" t="n"/>
      <c r="C593" s="47">
        <f>IF($B593="","",CHOOSE(WEEKDAY($B593),"일","월","화","수","목","금","토"))</f>
        <v/>
      </c>
      <c r="D593" s="45" t="n"/>
      <c r="E593" s="47">
        <f>IF($D593="","",IFERROR(INDEX(코드설정!$D$5:$D$24,MATCH($D593,코드설정!$C$5:$C$24,0)),""))</f>
        <v/>
      </c>
      <c r="F593" s="45" t="n"/>
      <c r="G593" s="45" t="n"/>
      <c r="H593" s="49" t="n"/>
      <c r="I593" s="49" t="n"/>
      <c r="J593" s="52" t="n"/>
      <c r="K593" s="45" t="n"/>
      <c r="L593" s="49" t="n"/>
    </row>
    <row r="594">
      <c r="A594" s="43">
        <f>IF($B594="","",COUNT($B$5:$B594))</f>
        <v/>
      </c>
      <c r="B594" s="44" t="n"/>
      <c r="C594" s="47">
        <f>IF($B594="","",CHOOSE(WEEKDAY($B594),"일","월","화","수","목","금","토"))</f>
        <v/>
      </c>
      <c r="D594" s="45" t="n"/>
      <c r="E594" s="47">
        <f>IF($D594="","",IFERROR(INDEX(코드설정!$D$5:$D$24,MATCH($D594,코드설정!$C$5:$C$24,0)),""))</f>
        <v/>
      </c>
      <c r="F594" s="45" t="n"/>
      <c r="G594" s="45" t="n"/>
      <c r="H594" s="49" t="n"/>
      <c r="I594" s="49" t="n"/>
      <c r="J594" s="52" t="n"/>
      <c r="K594" s="45" t="n"/>
      <c r="L594" s="49" t="n"/>
    </row>
    <row r="595">
      <c r="A595" s="43">
        <f>IF($B595="","",COUNT($B$5:$B595))</f>
        <v/>
      </c>
      <c r="B595" s="44" t="n"/>
      <c r="C595" s="47">
        <f>IF($B595="","",CHOOSE(WEEKDAY($B595),"일","월","화","수","목","금","토"))</f>
        <v/>
      </c>
      <c r="D595" s="45" t="n"/>
      <c r="E595" s="47">
        <f>IF($D595="","",IFERROR(INDEX(코드설정!$D$5:$D$24,MATCH($D595,코드설정!$C$5:$C$24,0)),""))</f>
        <v/>
      </c>
      <c r="F595" s="45" t="n"/>
      <c r="G595" s="45" t="n"/>
      <c r="H595" s="49" t="n"/>
      <c r="I595" s="49" t="n"/>
      <c r="J595" s="52" t="n"/>
      <c r="K595" s="45" t="n"/>
      <c r="L595" s="49" t="n"/>
    </row>
    <row r="596">
      <c r="A596" s="43">
        <f>IF($B596="","",COUNT($B$5:$B596))</f>
        <v/>
      </c>
      <c r="B596" s="44" t="n"/>
      <c r="C596" s="47">
        <f>IF($B596="","",CHOOSE(WEEKDAY($B596),"일","월","화","수","목","금","토"))</f>
        <v/>
      </c>
      <c r="D596" s="45" t="n"/>
      <c r="E596" s="47">
        <f>IF($D596="","",IFERROR(INDEX(코드설정!$D$5:$D$24,MATCH($D596,코드설정!$C$5:$C$24,0)),""))</f>
        <v/>
      </c>
      <c r="F596" s="45" t="n"/>
      <c r="G596" s="45" t="n"/>
      <c r="H596" s="49" t="n"/>
      <c r="I596" s="49" t="n"/>
      <c r="J596" s="52" t="n"/>
      <c r="K596" s="45" t="n"/>
      <c r="L596" s="49" t="n"/>
    </row>
    <row r="597">
      <c r="A597" s="43">
        <f>IF($B597="","",COUNT($B$5:$B597))</f>
        <v/>
      </c>
      <c r="B597" s="44" t="n"/>
      <c r="C597" s="47">
        <f>IF($B597="","",CHOOSE(WEEKDAY($B597),"일","월","화","수","목","금","토"))</f>
        <v/>
      </c>
      <c r="D597" s="45" t="n"/>
      <c r="E597" s="47">
        <f>IF($D597="","",IFERROR(INDEX(코드설정!$D$5:$D$24,MATCH($D597,코드설정!$C$5:$C$24,0)),""))</f>
        <v/>
      </c>
      <c r="F597" s="45" t="n"/>
      <c r="G597" s="45" t="n"/>
      <c r="H597" s="49" t="n"/>
      <c r="I597" s="49" t="n"/>
      <c r="J597" s="52" t="n"/>
      <c r="K597" s="45" t="n"/>
      <c r="L597" s="49" t="n"/>
    </row>
    <row r="598">
      <c r="A598" s="43">
        <f>IF($B598="","",COUNT($B$5:$B598))</f>
        <v/>
      </c>
      <c r="B598" s="44" t="n"/>
      <c r="C598" s="47">
        <f>IF($B598="","",CHOOSE(WEEKDAY($B598),"일","월","화","수","목","금","토"))</f>
        <v/>
      </c>
      <c r="D598" s="45" t="n"/>
      <c r="E598" s="47">
        <f>IF($D598="","",IFERROR(INDEX(코드설정!$D$5:$D$24,MATCH($D598,코드설정!$C$5:$C$24,0)),""))</f>
        <v/>
      </c>
      <c r="F598" s="45" t="n"/>
      <c r="G598" s="45" t="n"/>
      <c r="H598" s="49" t="n"/>
      <c r="I598" s="49" t="n"/>
      <c r="J598" s="52" t="n"/>
      <c r="K598" s="45" t="n"/>
      <c r="L598" s="49" t="n"/>
    </row>
    <row r="599">
      <c r="A599" s="43">
        <f>IF($B599="","",COUNT($B$5:$B599))</f>
        <v/>
      </c>
      <c r="B599" s="44" t="n"/>
      <c r="C599" s="47">
        <f>IF($B599="","",CHOOSE(WEEKDAY($B599),"일","월","화","수","목","금","토"))</f>
        <v/>
      </c>
      <c r="D599" s="45" t="n"/>
      <c r="E599" s="47">
        <f>IF($D599="","",IFERROR(INDEX(코드설정!$D$5:$D$24,MATCH($D599,코드설정!$C$5:$C$24,0)),""))</f>
        <v/>
      </c>
      <c r="F599" s="45" t="n"/>
      <c r="G599" s="45" t="n"/>
      <c r="H599" s="49" t="n"/>
      <c r="I599" s="49" t="n"/>
      <c r="J599" s="52" t="n"/>
      <c r="K599" s="45" t="n"/>
      <c r="L599" s="49" t="n"/>
    </row>
    <row r="600">
      <c r="A600" s="43">
        <f>IF($B600="","",COUNT($B$5:$B600))</f>
        <v/>
      </c>
      <c r="B600" s="44" t="n"/>
      <c r="C600" s="47">
        <f>IF($B600="","",CHOOSE(WEEKDAY($B600),"일","월","화","수","목","금","토"))</f>
        <v/>
      </c>
      <c r="D600" s="45" t="n"/>
      <c r="E600" s="47">
        <f>IF($D600="","",IFERROR(INDEX(코드설정!$D$5:$D$24,MATCH($D600,코드설정!$C$5:$C$24,0)),""))</f>
        <v/>
      </c>
      <c r="F600" s="45" t="n"/>
      <c r="G600" s="45" t="n"/>
      <c r="H600" s="49" t="n"/>
      <c r="I600" s="49" t="n"/>
      <c r="J600" s="52" t="n"/>
      <c r="K600" s="45" t="n"/>
      <c r="L600" s="49" t="n"/>
    </row>
    <row r="601">
      <c r="A601" s="43">
        <f>IF($B601="","",COUNT($B$5:$B601))</f>
        <v/>
      </c>
      <c r="B601" s="44" t="n"/>
      <c r="C601" s="47">
        <f>IF($B601="","",CHOOSE(WEEKDAY($B601),"일","월","화","수","목","금","토"))</f>
        <v/>
      </c>
      <c r="D601" s="45" t="n"/>
      <c r="E601" s="47">
        <f>IF($D601="","",IFERROR(INDEX(코드설정!$D$5:$D$24,MATCH($D601,코드설정!$C$5:$C$24,0)),""))</f>
        <v/>
      </c>
      <c r="F601" s="45" t="n"/>
      <c r="G601" s="45" t="n"/>
      <c r="H601" s="49" t="n"/>
      <c r="I601" s="49" t="n"/>
      <c r="J601" s="52" t="n"/>
      <c r="K601" s="45" t="n"/>
      <c r="L601" s="49" t="n"/>
    </row>
    <row r="602">
      <c r="A602" s="43">
        <f>IF($B602="","",COUNT($B$5:$B602))</f>
        <v/>
      </c>
      <c r="B602" s="44" t="n"/>
      <c r="C602" s="47">
        <f>IF($B602="","",CHOOSE(WEEKDAY($B602),"일","월","화","수","목","금","토"))</f>
        <v/>
      </c>
      <c r="D602" s="45" t="n"/>
      <c r="E602" s="47">
        <f>IF($D602="","",IFERROR(INDEX(코드설정!$D$5:$D$24,MATCH($D602,코드설정!$C$5:$C$24,0)),""))</f>
        <v/>
      </c>
      <c r="F602" s="45" t="n"/>
      <c r="G602" s="45" t="n"/>
      <c r="H602" s="49" t="n"/>
      <c r="I602" s="49" t="n"/>
      <c r="J602" s="52" t="n"/>
      <c r="K602" s="45" t="n"/>
      <c r="L602" s="49" t="n"/>
    </row>
    <row r="603">
      <c r="A603" s="43">
        <f>IF($B603="","",COUNT($B$5:$B603))</f>
        <v/>
      </c>
      <c r="B603" s="44" t="n"/>
      <c r="C603" s="47">
        <f>IF($B603="","",CHOOSE(WEEKDAY($B603),"일","월","화","수","목","금","토"))</f>
        <v/>
      </c>
      <c r="D603" s="45" t="n"/>
      <c r="E603" s="47">
        <f>IF($D603="","",IFERROR(INDEX(코드설정!$D$5:$D$24,MATCH($D603,코드설정!$C$5:$C$24,0)),""))</f>
        <v/>
      </c>
      <c r="F603" s="45" t="n"/>
      <c r="G603" s="45" t="n"/>
      <c r="H603" s="49" t="n"/>
      <c r="I603" s="49" t="n"/>
      <c r="J603" s="52" t="n"/>
      <c r="K603" s="45" t="n"/>
      <c r="L603" s="49" t="n"/>
    </row>
    <row r="604">
      <c r="A604" s="43">
        <f>IF($B604="","",COUNT($B$5:$B604))</f>
        <v/>
      </c>
      <c r="B604" s="44" t="n"/>
      <c r="C604" s="47">
        <f>IF($B604="","",CHOOSE(WEEKDAY($B604),"일","월","화","수","목","금","토"))</f>
        <v/>
      </c>
      <c r="D604" s="45" t="n"/>
      <c r="E604" s="47">
        <f>IF($D604="","",IFERROR(INDEX(코드설정!$D$5:$D$24,MATCH($D604,코드설정!$C$5:$C$24,0)),""))</f>
        <v/>
      </c>
      <c r="F604" s="45" t="n"/>
      <c r="G604" s="45" t="n"/>
      <c r="H604" s="49" t="n"/>
      <c r="I604" s="49" t="n"/>
      <c r="J604" s="52" t="n"/>
      <c r="K604" s="45" t="n"/>
      <c r="L604" s="49" t="n"/>
    </row>
    <row r="605">
      <c r="A605" s="43">
        <f>IF($B605="","",COUNT($B$5:$B605))</f>
        <v/>
      </c>
      <c r="B605" s="44" t="n"/>
      <c r="C605" s="47">
        <f>IF($B605="","",CHOOSE(WEEKDAY($B605),"일","월","화","수","목","금","토"))</f>
        <v/>
      </c>
      <c r="D605" s="45" t="n"/>
      <c r="E605" s="47">
        <f>IF($D605="","",IFERROR(INDEX(코드설정!$D$5:$D$24,MATCH($D605,코드설정!$C$5:$C$24,0)),""))</f>
        <v/>
      </c>
      <c r="F605" s="45" t="n"/>
      <c r="G605" s="45" t="n"/>
      <c r="H605" s="49" t="n"/>
      <c r="I605" s="49" t="n"/>
      <c r="J605" s="52" t="n"/>
      <c r="K605" s="45" t="n"/>
      <c r="L605" s="49" t="n"/>
    </row>
    <row r="606">
      <c r="A606" s="43">
        <f>IF($B606="","",COUNT($B$5:$B606))</f>
        <v/>
      </c>
      <c r="B606" s="44" t="n"/>
      <c r="C606" s="47">
        <f>IF($B606="","",CHOOSE(WEEKDAY($B606),"일","월","화","수","목","금","토"))</f>
        <v/>
      </c>
      <c r="D606" s="45" t="n"/>
      <c r="E606" s="47">
        <f>IF($D606="","",IFERROR(INDEX(코드설정!$D$5:$D$24,MATCH($D606,코드설정!$C$5:$C$24,0)),""))</f>
        <v/>
      </c>
      <c r="F606" s="45" t="n"/>
      <c r="G606" s="45" t="n"/>
      <c r="H606" s="49" t="n"/>
      <c r="I606" s="49" t="n"/>
      <c r="J606" s="52" t="n"/>
      <c r="K606" s="45" t="n"/>
      <c r="L606" s="49" t="n"/>
    </row>
    <row r="607">
      <c r="A607" s="43">
        <f>IF($B607="","",COUNT($B$5:$B607))</f>
        <v/>
      </c>
      <c r="B607" s="44" t="n"/>
      <c r="C607" s="47">
        <f>IF($B607="","",CHOOSE(WEEKDAY($B607),"일","월","화","수","목","금","토"))</f>
        <v/>
      </c>
      <c r="D607" s="45" t="n"/>
      <c r="E607" s="47">
        <f>IF($D607="","",IFERROR(INDEX(코드설정!$D$5:$D$24,MATCH($D607,코드설정!$C$5:$C$24,0)),""))</f>
        <v/>
      </c>
      <c r="F607" s="45" t="n"/>
      <c r="G607" s="45" t="n"/>
      <c r="H607" s="49" t="n"/>
      <c r="I607" s="49" t="n"/>
      <c r="J607" s="52" t="n"/>
      <c r="K607" s="45" t="n"/>
      <c r="L607" s="49" t="n"/>
    </row>
    <row r="608">
      <c r="A608" s="43">
        <f>IF($B608="","",COUNT($B$5:$B608))</f>
        <v/>
      </c>
      <c r="B608" s="44" t="n"/>
      <c r="C608" s="47">
        <f>IF($B608="","",CHOOSE(WEEKDAY($B608),"일","월","화","수","목","금","토"))</f>
        <v/>
      </c>
      <c r="D608" s="45" t="n"/>
      <c r="E608" s="47">
        <f>IF($D608="","",IFERROR(INDEX(코드설정!$D$5:$D$24,MATCH($D608,코드설정!$C$5:$C$24,0)),""))</f>
        <v/>
      </c>
      <c r="F608" s="45" t="n"/>
      <c r="G608" s="45" t="n"/>
      <c r="H608" s="49" t="n"/>
      <c r="I608" s="49" t="n"/>
      <c r="J608" s="52" t="n"/>
      <c r="K608" s="45" t="n"/>
      <c r="L608" s="49" t="n"/>
    </row>
    <row r="609">
      <c r="A609" s="43">
        <f>IF($B609="","",COUNT($B$5:$B609))</f>
        <v/>
      </c>
      <c r="B609" s="44" t="n"/>
      <c r="C609" s="47">
        <f>IF($B609="","",CHOOSE(WEEKDAY($B609),"일","월","화","수","목","금","토"))</f>
        <v/>
      </c>
      <c r="D609" s="45" t="n"/>
      <c r="E609" s="47">
        <f>IF($D609="","",IFERROR(INDEX(코드설정!$D$5:$D$24,MATCH($D609,코드설정!$C$5:$C$24,0)),""))</f>
        <v/>
      </c>
      <c r="F609" s="45" t="n"/>
      <c r="G609" s="45" t="n"/>
      <c r="H609" s="49" t="n"/>
      <c r="I609" s="49" t="n"/>
      <c r="J609" s="52" t="n"/>
      <c r="K609" s="45" t="n"/>
      <c r="L609" s="49" t="n"/>
    </row>
    <row r="610">
      <c r="A610" s="43">
        <f>IF($B610="","",COUNT($B$5:$B610))</f>
        <v/>
      </c>
      <c r="B610" s="44" t="n"/>
      <c r="C610" s="47">
        <f>IF($B610="","",CHOOSE(WEEKDAY($B610),"일","월","화","수","목","금","토"))</f>
        <v/>
      </c>
      <c r="D610" s="45" t="n"/>
      <c r="E610" s="47">
        <f>IF($D610="","",IFERROR(INDEX(코드설정!$D$5:$D$24,MATCH($D610,코드설정!$C$5:$C$24,0)),""))</f>
        <v/>
      </c>
      <c r="F610" s="45" t="n"/>
      <c r="G610" s="45" t="n"/>
      <c r="H610" s="49" t="n"/>
      <c r="I610" s="49" t="n"/>
      <c r="J610" s="52" t="n"/>
      <c r="K610" s="45" t="n"/>
      <c r="L610" s="49" t="n"/>
    </row>
    <row r="611">
      <c r="A611" s="43">
        <f>IF($B611="","",COUNT($B$5:$B611))</f>
        <v/>
      </c>
      <c r="B611" s="44" t="n"/>
      <c r="C611" s="47">
        <f>IF($B611="","",CHOOSE(WEEKDAY($B611),"일","월","화","수","목","금","토"))</f>
        <v/>
      </c>
      <c r="D611" s="45" t="n"/>
      <c r="E611" s="47">
        <f>IF($D611="","",IFERROR(INDEX(코드설정!$D$5:$D$24,MATCH($D611,코드설정!$C$5:$C$24,0)),""))</f>
        <v/>
      </c>
      <c r="F611" s="45" t="n"/>
      <c r="G611" s="45" t="n"/>
      <c r="H611" s="49" t="n"/>
      <c r="I611" s="49" t="n"/>
      <c r="J611" s="52" t="n"/>
      <c r="K611" s="45" t="n"/>
      <c r="L611" s="49" t="n"/>
    </row>
    <row r="612">
      <c r="A612" s="43">
        <f>IF($B612="","",COUNT($B$5:$B612))</f>
        <v/>
      </c>
      <c r="B612" s="44" t="n"/>
      <c r="C612" s="47">
        <f>IF($B612="","",CHOOSE(WEEKDAY($B612),"일","월","화","수","목","금","토"))</f>
        <v/>
      </c>
      <c r="D612" s="45" t="n"/>
      <c r="E612" s="47">
        <f>IF($D612="","",IFERROR(INDEX(코드설정!$D$5:$D$24,MATCH($D612,코드설정!$C$5:$C$24,0)),""))</f>
        <v/>
      </c>
      <c r="F612" s="45" t="n"/>
      <c r="G612" s="45" t="n"/>
      <c r="H612" s="49" t="n"/>
      <c r="I612" s="49" t="n"/>
      <c r="J612" s="52" t="n"/>
      <c r="K612" s="45" t="n"/>
      <c r="L612" s="49" t="n"/>
    </row>
    <row r="613">
      <c r="A613" s="43">
        <f>IF($B613="","",COUNT($B$5:$B613))</f>
        <v/>
      </c>
      <c r="B613" s="44" t="n"/>
      <c r="C613" s="47">
        <f>IF($B613="","",CHOOSE(WEEKDAY($B613),"일","월","화","수","목","금","토"))</f>
        <v/>
      </c>
      <c r="D613" s="45" t="n"/>
      <c r="E613" s="47">
        <f>IF($D613="","",IFERROR(INDEX(코드설정!$D$5:$D$24,MATCH($D613,코드설정!$C$5:$C$24,0)),""))</f>
        <v/>
      </c>
      <c r="F613" s="45" t="n"/>
      <c r="G613" s="45" t="n"/>
      <c r="H613" s="49" t="n"/>
      <c r="I613" s="49" t="n"/>
      <c r="J613" s="52" t="n"/>
      <c r="K613" s="45" t="n"/>
      <c r="L613" s="49" t="n"/>
    </row>
    <row r="614">
      <c r="A614" s="43">
        <f>IF($B614="","",COUNT($B$5:$B614))</f>
        <v/>
      </c>
      <c r="B614" s="44" t="n"/>
      <c r="C614" s="47">
        <f>IF($B614="","",CHOOSE(WEEKDAY($B614),"일","월","화","수","목","금","토"))</f>
        <v/>
      </c>
      <c r="D614" s="45" t="n"/>
      <c r="E614" s="47">
        <f>IF($D614="","",IFERROR(INDEX(코드설정!$D$5:$D$24,MATCH($D614,코드설정!$C$5:$C$24,0)),""))</f>
        <v/>
      </c>
      <c r="F614" s="45" t="n"/>
      <c r="G614" s="45" t="n"/>
      <c r="H614" s="49" t="n"/>
      <c r="I614" s="49" t="n"/>
      <c r="J614" s="52" t="n"/>
      <c r="K614" s="45" t="n"/>
      <c r="L614" s="49" t="n"/>
    </row>
    <row r="615">
      <c r="A615" s="43">
        <f>IF($B615="","",COUNT($B$5:$B615))</f>
        <v/>
      </c>
      <c r="B615" s="44" t="n"/>
      <c r="C615" s="47">
        <f>IF($B615="","",CHOOSE(WEEKDAY($B615),"일","월","화","수","목","금","토"))</f>
        <v/>
      </c>
      <c r="D615" s="45" t="n"/>
      <c r="E615" s="47">
        <f>IF($D615="","",IFERROR(INDEX(코드설정!$D$5:$D$24,MATCH($D615,코드설정!$C$5:$C$24,0)),""))</f>
        <v/>
      </c>
      <c r="F615" s="45" t="n"/>
      <c r="G615" s="45" t="n"/>
      <c r="H615" s="49" t="n"/>
      <c r="I615" s="49" t="n"/>
      <c r="J615" s="52" t="n"/>
      <c r="K615" s="45" t="n"/>
      <c r="L615" s="49" t="n"/>
    </row>
    <row r="616">
      <c r="A616" s="43">
        <f>IF($B616="","",COUNT($B$5:$B616))</f>
        <v/>
      </c>
      <c r="B616" s="44" t="n"/>
      <c r="C616" s="47">
        <f>IF($B616="","",CHOOSE(WEEKDAY($B616),"일","월","화","수","목","금","토"))</f>
        <v/>
      </c>
      <c r="D616" s="45" t="n"/>
      <c r="E616" s="47">
        <f>IF($D616="","",IFERROR(INDEX(코드설정!$D$5:$D$24,MATCH($D616,코드설정!$C$5:$C$24,0)),""))</f>
        <v/>
      </c>
      <c r="F616" s="45" t="n"/>
      <c r="G616" s="45" t="n"/>
      <c r="H616" s="49" t="n"/>
      <c r="I616" s="49" t="n"/>
      <c r="J616" s="52" t="n"/>
      <c r="K616" s="45" t="n"/>
      <c r="L616" s="49" t="n"/>
    </row>
    <row r="617">
      <c r="A617" s="43">
        <f>IF($B617="","",COUNT($B$5:$B617))</f>
        <v/>
      </c>
      <c r="B617" s="44" t="n"/>
      <c r="C617" s="47">
        <f>IF($B617="","",CHOOSE(WEEKDAY($B617),"일","월","화","수","목","금","토"))</f>
        <v/>
      </c>
      <c r="D617" s="45" t="n"/>
      <c r="E617" s="47">
        <f>IF($D617="","",IFERROR(INDEX(코드설정!$D$5:$D$24,MATCH($D617,코드설정!$C$5:$C$24,0)),""))</f>
        <v/>
      </c>
      <c r="F617" s="45" t="n"/>
      <c r="G617" s="45" t="n"/>
      <c r="H617" s="49" t="n"/>
      <c r="I617" s="49" t="n"/>
      <c r="J617" s="52" t="n"/>
      <c r="K617" s="45" t="n"/>
      <c r="L617" s="49" t="n"/>
    </row>
    <row r="618">
      <c r="A618" s="43">
        <f>IF($B618="","",COUNT($B$5:$B618))</f>
        <v/>
      </c>
      <c r="B618" s="44" t="n"/>
      <c r="C618" s="47">
        <f>IF($B618="","",CHOOSE(WEEKDAY($B618),"일","월","화","수","목","금","토"))</f>
        <v/>
      </c>
      <c r="D618" s="45" t="n"/>
      <c r="E618" s="47">
        <f>IF($D618="","",IFERROR(INDEX(코드설정!$D$5:$D$24,MATCH($D618,코드설정!$C$5:$C$24,0)),""))</f>
        <v/>
      </c>
      <c r="F618" s="45" t="n"/>
      <c r="G618" s="45" t="n"/>
      <c r="H618" s="49" t="n"/>
      <c r="I618" s="49" t="n"/>
      <c r="J618" s="52" t="n"/>
      <c r="K618" s="45" t="n"/>
      <c r="L618" s="49" t="n"/>
    </row>
    <row r="619">
      <c r="A619" s="43">
        <f>IF($B619="","",COUNT($B$5:$B619))</f>
        <v/>
      </c>
      <c r="B619" s="44" t="n"/>
      <c r="C619" s="47">
        <f>IF($B619="","",CHOOSE(WEEKDAY($B619),"일","월","화","수","목","금","토"))</f>
        <v/>
      </c>
      <c r="D619" s="45" t="n"/>
      <c r="E619" s="47">
        <f>IF($D619="","",IFERROR(INDEX(코드설정!$D$5:$D$24,MATCH($D619,코드설정!$C$5:$C$24,0)),""))</f>
        <v/>
      </c>
      <c r="F619" s="45" t="n"/>
      <c r="G619" s="45" t="n"/>
      <c r="H619" s="49" t="n"/>
      <c r="I619" s="49" t="n"/>
      <c r="J619" s="52" t="n"/>
      <c r="K619" s="45" t="n"/>
      <c r="L619" s="49" t="n"/>
    </row>
    <row r="620">
      <c r="A620" s="43">
        <f>IF($B620="","",COUNT($B$5:$B620))</f>
        <v/>
      </c>
      <c r="B620" s="44" t="n"/>
      <c r="C620" s="47">
        <f>IF($B620="","",CHOOSE(WEEKDAY($B620),"일","월","화","수","목","금","토"))</f>
        <v/>
      </c>
      <c r="D620" s="45" t="n"/>
      <c r="E620" s="47">
        <f>IF($D620="","",IFERROR(INDEX(코드설정!$D$5:$D$24,MATCH($D620,코드설정!$C$5:$C$24,0)),""))</f>
        <v/>
      </c>
      <c r="F620" s="45" t="n"/>
      <c r="G620" s="45" t="n"/>
      <c r="H620" s="49" t="n"/>
      <c r="I620" s="49" t="n"/>
      <c r="J620" s="52" t="n"/>
      <c r="K620" s="45" t="n"/>
      <c r="L620" s="49" t="n"/>
    </row>
    <row r="621">
      <c r="A621" s="43">
        <f>IF($B621="","",COUNT($B$5:$B621))</f>
        <v/>
      </c>
      <c r="B621" s="44" t="n"/>
      <c r="C621" s="47">
        <f>IF($B621="","",CHOOSE(WEEKDAY($B621),"일","월","화","수","목","금","토"))</f>
        <v/>
      </c>
      <c r="D621" s="45" t="n"/>
      <c r="E621" s="47">
        <f>IF($D621="","",IFERROR(INDEX(코드설정!$D$5:$D$24,MATCH($D621,코드설정!$C$5:$C$24,0)),""))</f>
        <v/>
      </c>
      <c r="F621" s="45" t="n"/>
      <c r="G621" s="45" t="n"/>
      <c r="H621" s="49" t="n"/>
      <c r="I621" s="49" t="n"/>
      <c r="J621" s="52" t="n"/>
      <c r="K621" s="45" t="n"/>
      <c r="L621" s="49" t="n"/>
    </row>
    <row r="622">
      <c r="A622" s="43">
        <f>IF($B622="","",COUNT($B$5:$B622))</f>
        <v/>
      </c>
      <c r="B622" s="44" t="n"/>
      <c r="C622" s="47">
        <f>IF($B622="","",CHOOSE(WEEKDAY($B622),"일","월","화","수","목","금","토"))</f>
        <v/>
      </c>
      <c r="D622" s="45" t="n"/>
      <c r="E622" s="47">
        <f>IF($D622="","",IFERROR(INDEX(코드설정!$D$5:$D$24,MATCH($D622,코드설정!$C$5:$C$24,0)),""))</f>
        <v/>
      </c>
      <c r="F622" s="45" t="n"/>
      <c r="G622" s="45" t="n"/>
      <c r="H622" s="49" t="n"/>
      <c r="I622" s="49" t="n"/>
      <c r="J622" s="52" t="n"/>
      <c r="K622" s="45" t="n"/>
      <c r="L622" s="49" t="n"/>
    </row>
    <row r="623">
      <c r="A623" s="43">
        <f>IF($B623="","",COUNT($B$5:$B623))</f>
        <v/>
      </c>
      <c r="B623" s="44" t="n"/>
      <c r="C623" s="47">
        <f>IF($B623="","",CHOOSE(WEEKDAY($B623),"일","월","화","수","목","금","토"))</f>
        <v/>
      </c>
      <c r="D623" s="45" t="n"/>
      <c r="E623" s="47">
        <f>IF($D623="","",IFERROR(INDEX(코드설정!$D$5:$D$24,MATCH($D623,코드설정!$C$5:$C$24,0)),""))</f>
        <v/>
      </c>
      <c r="F623" s="45" t="n"/>
      <c r="G623" s="45" t="n"/>
      <c r="H623" s="49" t="n"/>
      <c r="I623" s="49" t="n"/>
      <c r="J623" s="52" t="n"/>
      <c r="K623" s="45" t="n"/>
      <c r="L623" s="49" t="n"/>
    </row>
    <row r="624">
      <c r="A624" s="43">
        <f>IF($B624="","",COUNT($B$5:$B624))</f>
        <v/>
      </c>
      <c r="B624" s="44" t="n"/>
      <c r="C624" s="47">
        <f>IF($B624="","",CHOOSE(WEEKDAY($B624),"일","월","화","수","목","금","토"))</f>
        <v/>
      </c>
      <c r="D624" s="45" t="n"/>
      <c r="E624" s="47">
        <f>IF($D624="","",IFERROR(INDEX(코드설정!$D$5:$D$24,MATCH($D624,코드설정!$C$5:$C$24,0)),""))</f>
        <v/>
      </c>
      <c r="F624" s="45" t="n"/>
      <c r="G624" s="45" t="n"/>
      <c r="H624" s="49" t="n"/>
      <c r="I624" s="49" t="n"/>
      <c r="J624" s="52" t="n"/>
      <c r="K624" s="45" t="n"/>
      <c r="L624" s="49" t="n"/>
    </row>
    <row r="625">
      <c r="A625" s="43">
        <f>IF($B625="","",COUNT($B$5:$B625))</f>
        <v/>
      </c>
      <c r="B625" s="44" t="n"/>
      <c r="C625" s="47">
        <f>IF($B625="","",CHOOSE(WEEKDAY($B625),"일","월","화","수","목","금","토"))</f>
        <v/>
      </c>
      <c r="D625" s="45" t="n"/>
      <c r="E625" s="47">
        <f>IF($D625="","",IFERROR(INDEX(코드설정!$D$5:$D$24,MATCH($D625,코드설정!$C$5:$C$24,0)),""))</f>
        <v/>
      </c>
      <c r="F625" s="45" t="n"/>
      <c r="G625" s="45" t="n"/>
      <c r="H625" s="49" t="n"/>
      <c r="I625" s="49" t="n"/>
      <c r="J625" s="52" t="n"/>
      <c r="K625" s="45" t="n"/>
      <c r="L625" s="49" t="n"/>
    </row>
    <row r="626">
      <c r="A626" s="43">
        <f>IF($B626="","",COUNT($B$5:$B626))</f>
        <v/>
      </c>
      <c r="B626" s="44" t="n"/>
      <c r="C626" s="47">
        <f>IF($B626="","",CHOOSE(WEEKDAY($B626),"일","월","화","수","목","금","토"))</f>
        <v/>
      </c>
      <c r="D626" s="45" t="n"/>
      <c r="E626" s="47">
        <f>IF($D626="","",IFERROR(INDEX(코드설정!$D$5:$D$24,MATCH($D626,코드설정!$C$5:$C$24,0)),""))</f>
        <v/>
      </c>
      <c r="F626" s="45" t="n"/>
      <c r="G626" s="45" t="n"/>
      <c r="H626" s="49" t="n"/>
      <c r="I626" s="49" t="n"/>
      <c r="J626" s="52" t="n"/>
      <c r="K626" s="45" t="n"/>
      <c r="L626" s="49" t="n"/>
    </row>
    <row r="627">
      <c r="A627" s="43">
        <f>IF($B627="","",COUNT($B$5:$B627))</f>
        <v/>
      </c>
      <c r="B627" s="44" t="n"/>
      <c r="C627" s="47">
        <f>IF($B627="","",CHOOSE(WEEKDAY($B627),"일","월","화","수","목","금","토"))</f>
        <v/>
      </c>
      <c r="D627" s="45" t="n"/>
      <c r="E627" s="47">
        <f>IF($D627="","",IFERROR(INDEX(코드설정!$D$5:$D$24,MATCH($D627,코드설정!$C$5:$C$24,0)),""))</f>
        <v/>
      </c>
      <c r="F627" s="45" t="n"/>
      <c r="G627" s="45" t="n"/>
      <c r="H627" s="49" t="n"/>
      <c r="I627" s="49" t="n"/>
      <c r="J627" s="52" t="n"/>
      <c r="K627" s="45" t="n"/>
      <c r="L627" s="49" t="n"/>
    </row>
    <row r="628">
      <c r="A628" s="43">
        <f>IF($B628="","",COUNT($B$5:$B628))</f>
        <v/>
      </c>
      <c r="B628" s="44" t="n"/>
      <c r="C628" s="47">
        <f>IF($B628="","",CHOOSE(WEEKDAY($B628),"일","월","화","수","목","금","토"))</f>
        <v/>
      </c>
      <c r="D628" s="45" t="n"/>
      <c r="E628" s="47">
        <f>IF($D628="","",IFERROR(INDEX(코드설정!$D$5:$D$24,MATCH($D628,코드설정!$C$5:$C$24,0)),""))</f>
        <v/>
      </c>
      <c r="F628" s="45" t="n"/>
      <c r="G628" s="45" t="n"/>
      <c r="H628" s="49" t="n"/>
      <c r="I628" s="49" t="n"/>
      <c r="J628" s="52" t="n"/>
      <c r="K628" s="45" t="n"/>
      <c r="L628" s="49" t="n"/>
    </row>
    <row r="629">
      <c r="A629" s="43">
        <f>IF($B629="","",COUNT($B$5:$B629))</f>
        <v/>
      </c>
      <c r="B629" s="44" t="n"/>
      <c r="C629" s="47">
        <f>IF($B629="","",CHOOSE(WEEKDAY($B629),"일","월","화","수","목","금","토"))</f>
        <v/>
      </c>
      <c r="D629" s="45" t="n"/>
      <c r="E629" s="47">
        <f>IF($D629="","",IFERROR(INDEX(코드설정!$D$5:$D$24,MATCH($D629,코드설정!$C$5:$C$24,0)),""))</f>
        <v/>
      </c>
      <c r="F629" s="45" t="n"/>
      <c r="G629" s="45" t="n"/>
      <c r="H629" s="49" t="n"/>
      <c r="I629" s="49" t="n"/>
      <c r="J629" s="52" t="n"/>
      <c r="K629" s="45" t="n"/>
      <c r="L629" s="49" t="n"/>
    </row>
    <row r="630">
      <c r="A630" s="43">
        <f>IF($B630="","",COUNT($B$5:$B630))</f>
        <v/>
      </c>
      <c r="B630" s="44" t="n"/>
      <c r="C630" s="47">
        <f>IF($B630="","",CHOOSE(WEEKDAY($B630),"일","월","화","수","목","금","토"))</f>
        <v/>
      </c>
      <c r="D630" s="45" t="n"/>
      <c r="E630" s="47">
        <f>IF($D630="","",IFERROR(INDEX(코드설정!$D$5:$D$24,MATCH($D630,코드설정!$C$5:$C$24,0)),""))</f>
        <v/>
      </c>
      <c r="F630" s="45" t="n"/>
      <c r="G630" s="45" t="n"/>
      <c r="H630" s="49" t="n"/>
      <c r="I630" s="49" t="n"/>
      <c r="J630" s="52" t="n"/>
      <c r="K630" s="45" t="n"/>
      <c r="L630" s="49" t="n"/>
    </row>
    <row r="631">
      <c r="A631" s="43">
        <f>IF($B631="","",COUNT($B$5:$B631))</f>
        <v/>
      </c>
      <c r="B631" s="44" t="n"/>
      <c r="C631" s="47">
        <f>IF($B631="","",CHOOSE(WEEKDAY($B631),"일","월","화","수","목","금","토"))</f>
        <v/>
      </c>
      <c r="D631" s="45" t="n"/>
      <c r="E631" s="47">
        <f>IF($D631="","",IFERROR(INDEX(코드설정!$D$5:$D$24,MATCH($D631,코드설정!$C$5:$C$24,0)),""))</f>
        <v/>
      </c>
      <c r="F631" s="45" t="n"/>
      <c r="G631" s="45" t="n"/>
      <c r="H631" s="49" t="n"/>
      <c r="I631" s="49" t="n"/>
      <c r="J631" s="52" t="n"/>
      <c r="K631" s="45" t="n"/>
      <c r="L631" s="49" t="n"/>
    </row>
    <row r="632">
      <c r="A632" s="43">
        <f>IF($B632="","",COUNT($B$5:$B632))</f>
        <v/>
      </c>
      <c r="B632" s="44" t="n"/>
      <c r="C632" s="47">
        <f>IF($B632="","",CHOOSE(WEEKDAY($B632),"일","월","화","수","목","금","토"))</f>
        <v/>
      </c>
      <c r="D632" s="45" t="n"/>
      <c r="E632" s="47">
        <f>IF($D632="","",IFERROR(INDEX(코드설정!$D$5:$D$24,MATCH($D632,코드설정!$C$5:$C$24,0)),""))</f>
        <v/>
      </c>
      <c r="F632" s="45" t="n"/>
      <c r="G632" s="45" t="n"/>
      <c r="H632" s="49" t="n"/>
      <c r="I632" s="49" t="n"/>
      <c r="J632" s="52" t="n"/>
      <c r="K632" s="45" t="n"/>
      <c r="L632" s="49" t="n"/>
    </row>
    <row r="633">
      <c r="A633" s="43">
        <f>IF($B633="","",COUNT($B$5:$B633))</f>
        <v/>
      </c>
      <c r="B633" s="44" t="n"/>
      <c r="C633" s="47">
        <f>IF($B633="","",CHOOSE(WEEKDAY($B633),"일","월","화","수","목","금","토"))</f>
        <v/>
      </c>
      <c r="D633" s="45" t="n"/>
      <c r="E633" s="47">
        <f>IF($D633="","",IFERROR(INDEX(코드설정!$D$5:$D$24,MATCH($D633,코드설정!$C$5:$C$24,0)),""))</f>
        <v/>
      </c>
      <c r="F633" s="45" t="n"/>
      <c r="G633" s="45" t="n"/>
      <c r="H633" s="49" t="n"/>
      <c r="I633" s="49" t="n"/>
      <c r="J633" s="52" t="n"/>
      <c r="K633" s="45" t="n"/>
      <c r="L633" s="49" t="n"/>
    </row>
    <row r="634">
      <c r="A634" s="43">
        <f>IF($B634="","",COUNT($B$5:$B634))</f>
        <v/>
      </c>
      <c r="B634" s="44" t="n"/>
      <c r="C634" s="47">
        <f>IF($B634="","",CHOOSE(WEEKDAY($B634),"일","월","화","수","목","금","토"))</f>
        <v/>
      </c>
      <c r="D634" s="45" t="n"/>
      <c r="E634" s="47">
        <f>IF($D634="","",IFERROR(INDEX(코드설정!$D$5:$D$24,MATCH($D634,코드설정!$C$5:$C$24,0)),""))</f>
        <v/>
      </c>
      <c r="F634" s="45" t="n"/>
      <c r="G634" s="45" t="n"/>
      <c r="H634" s="49" t="n"/>
      <c r="I634" s="49" t="n"/>
      <c r="J634" s="52" t="n"/>
      <c r="K634" s="45" t="n"/>
      <c r="L634" s="49" t="n"/>
    </row>
    <row r="635">
      <c r="A635" s="43">
        <f>IF($B635="","",COUNT($B$5:$B635))</f>
        <v/>
      </c>
      <c r="B635" s="44" t="n"/>
      <c r="C635" s="47">
        <f>IF($B635="","",CHOOSE(WEEKDAY($B635),"일","월","화","수","목","금","토"))</f>
        <v/>
      </c>
      <c r="D635" s="45" t="n"/>
      <c r="E635" s="47">
        <f>IF($D635="","",IFERROR(INDEX(코드설정!$D$5:$D$24,MATCH($D635,코드설정!$C$5:$C$24,0)),""))</f>
        <v/>
      </c>
      <c r="F635" s="45" t="n"/>
      <c r="G635" s="45" t="n"/>
      <c r="H635" s="49" t="n"/>
      <c r="I635" s="49" t="n"/>
      <c r="J635" s="52" t="n"/>
      <c r="K635" s="45" t="n"/>
      <c r="L635" s="49" t="n"/>
    </row>
    <row r="636">
      <c r="A636" s="43">
        <f>IF($B636="","",COUNT($B$5:$B636))</f>
        <v/>
      </c>
      <c r="B636" s="44" t="n"/>
      <c r="C636" s="47">
        <f>IF($B636="","",CHOOSE(WEEKDAY($B636),"일","월","화","수","목","금","토"))</f>
        <v/>
      </c>
      <c r="D636" s="45" t="n"/>
      <c r="E636" s="47">
        <f>IF($D636="","",IFERROR(INDEX(코드설정!$D$5:$D$24,MATCH($D636,코드설정!$C$5:$C$24,0)),""))</f>
        <v/>
      </c>
      <c r="F636" s="45" t="n"/>
      <c r="G636" s="45" t="n"/>
      <c r="H636" s="49" t="n"/>
      <c r="I636" s="49" t="n"/>
      <c r="J636" s="52" t="n"/>
      <c r="K636" s="45" t="n"/>
      <c r="L636" s="49" t="n"/>
    </row>
    <row r="637">
      <c r="A637" s="43">
        <f>IF($B637="","",COUNT($B$5:$B637))</f>
        <v/>
      </c>
      <c r="B637" s="44" t="n"/>
      <c r="C637" s="47">
        <f>IF($B637="","",CHOOSE(WEEKDAY($B637),"일","월","화","수","목","금","토"))</f>
        <v/>
      </c>
      <c r="D637" s="45" t="n"/>
      <c r="E637" s="47">
        <f>IF($D637="","",IFERROR(INDEX(코드설정!$D$5:$D$24,MATCH($D637,코드설정!$C$5:$C$24,0)),""))</f>
        <v/>
      </c>
      <c r="F637" s="45" t="n"/>
      <c r="G637" s="45" t="n"/>
      <c r="H637" s="49" t="n"/>
      <c r="I637" s="49" t="n"/>
      <c r="J637" s="52" t="n"/>
      <c r="K637" s="45" t="n"/>
      <c r="L637" s="49" t="n"/>
    </row>
    <row r="638">
      <c r="A638" s="43">
        <f>IF($B638="","",COUNT($B$5:$B638))</f>
        <v/>
      </c>
      <c r="B638" s="44" t="n"/>
      <c r="C638" s="47">
        <f>IF($B638="","",CHOOSE(WEEKDAY($B638),"일","월","화","수","목","금","토"))</f>
        <v/>
      </c>
      <c r="D638" s="45" t="n"/>
      <c r="E638" s="47">
        <f>IF($D638="","",IFERROR(INDEX(코드설정!$D$5:$D$24,MATCH($D638,코드설정!$C$5:$C$24,0)),""))</f>
        <v/>
      </c>
      <c r="F638" s="45" t="n"/>
      <c r="G638" s="45" t="n"/>
      <c r="H638" s="49" t="n"/>
      <c r="I638" s="49" t="n"/>
      <c r="J638" s="52" t="n"/>
      <c r="K638" s="45" t="n"/>
      <c r="L638" s="49" t="n"/>
    </row>
    <row r="639">
      <c r="A639" s="43">
        <f>IF($B639="","",COUNT($B$5:$B639))</f>
        <v/>
      </c>
      <c r="B639" s="44" t="n"/>
      <c r="C639" s="47">
        <f>IF($B639="","",CHOOSE(WEEKDAY($B639),"일","월","화","수","목","금","토"))</f>
        <v/>
      </c>
      <c r="D639" s="45" t="n"/>
      <c r="E639" s="47">
        <f>IF($D639="","",IFERROR(INDEX(코드설정!$D$5:$D$24,MATCH($D639,코드설정!$C$5:$C$24,0)),""))</f>
        <v/>
      </c>
      <c r="F639" s="45" t="n"/>
      <c r="G639" s="45" t="n"/>
      <c r="H639" s="49" t="n"/>
      <c r="I639" s="49" t="n"/>
      <c r="J639" s="52" t="n"/>
      <c r="K639" s="45" t="n"/>
      <c r="L639" s="49" t="n"/>
    </row>
    <row r="640">
      <c r="A640" s="43">
        <f>IF($B640="","",COUNT($B$5:$B640))</f>
        <v/>
      </c>
      <c r="B640" s="44" t="n"/>
      <c r="C640" s="47">
        <f>IF($B640="","",CHOOSE(WEEKDAY($B640),"일","월","화","수","목","금","토"))</f>
        <v/>
      </c>
      <c r="D640" s="45" t="n"/>
      <c r="E640" s="47">
        <f>IF($D640="","",IFERROR(INDEX(코드설정!$D$5:$D$24,MATCH($D640,코드설정!$C$5:$C$24,0)),""))</f>
        <v/>
      </c>
      <c r="F640" s="45" t="n"/>
      <c r="G640" s="45" t="n"/>
      <c r="H640" s="49" t="n"/>
      <c r="I640" s="49" t="n"/>
      <c r="J640" s="52" t="n"/>
      <c r="K640" s="45" t="n"/>
      <c r="L640" s="49" t="n"/>
    </row>
    <row r="641">
      <c r="A641" s="43">
        <f>IF($B641="","",COUNT($B$5:$B641))</f>
        <v/>
      </c>
      <c r="B641" s="44" t="n"/>
      <c r="C641" s="47">
        <f>IF($B641="","",CHOOSE(WEEKDAY($B641),"일","월","화","수","목","금","토"))</f>
        <v/>
      </c>
      <c r="D641" s="45" t="n"/>
      <c r="E641" s="47">
        <f>IF($D641="","",IFERROR(INDEX(코드설정!$D$5:$D$24,MATCH($D641,코드설정!$C$5:$C$24,0)),""))</f>
        <v/>
      </c>
      <c r="F641" s="45" t="n"/>
      <c r="G641" s="45" t="n"/>
      <c r="H641" s="49" t="n"/>
      <c r="I641" s="49" t="n"/>
      <c r="J641" s="52" t="n"/>
      <c r="K641" s="45" t="n"/>
      <c r="L641" s="49" t="n"/>
    </row>
    <row r="642">
      <c r="A642" s="43">
        <f>IF($B642="","",COUNT($B$5:$B642))</f>
        <v/>
      </c>
      <c r="B642" s="44" t="n"/>
      <c r="C642" s="47">
        <f>IF($B642="","",CHOOSE(WEEKDAY($B642),"일","월","화","수","목","금","토"))</f>
        <v/>
      </c>
      <c r="D642" s="45" t="n"/>
      <c r="E642" s="47">
        <f>IF($D642="","",IFERROR(INDEX(코드설정!$D$5:$D$24,MATCH($D642,코드설정!$C$5:$C$24,0)),""))</f>
        <v/>
      </c>
      <c r="F642" s="45" t="n"/>
      <c r="G642" s="45" t="n"/>
      <c r="H642" s="49" t="n"/>
      <c r="I642" s="49" t="n"/>
      <c r="J642" s="52" t="n"/>
      <c r="K642" s="45" t="n"/>
      <c r="L642" s="49" t="n"/>
    </row>
    <row r="643">
      <c r="A643" s="43">
        <f>IF($B643="","",COUNT($B$5:$B643))</f>
        <v/>
      </c>
      <c r="B643" s="44" t="n"/>
      <c r="C643" s="47">
        <f>IF($B643="","",CHOOSE(WEEKDAY($B643),"일","월","화","수","목","금","토"))</f>
        <v/>
      </c>
      <c r="D643" s="45" t="n"/>
      <c r="E643" s="47">
        <f>IF($D643="","",IFERROR(INDEX(코드설정!$D$5:$D$24,MATCH($D643,코드설정!$C$5:$C$24,0)),""))</f>
        <v/>
      </c>
      <c r="F643" s="45" t="n"/>
      <c r="G643" s="45" t="n"/>
      <c r="H643" s="49" t="n"/>
      <c r="I643" s="49" t="n"/>
      <c r="J643" s="52" t="n"/>
      <c r="K643" s="45" t="n"/>
      <c r="L643" s="49" t="n"/>
    </row>
    <row r="644">
      <c r="A644" s="43">
        <f>IF($B644="","",COUNT($B$5:$B644))</f>
        <v/>
      </c>
      <c r="B644" s="44" t="n"/>
      <c r="C644" s="47">
        <f>IF($B644="","",CHOOSE(WEEKDAY($B644),"일","월","화","수","목","금","토"))</f>
        <v/>
      </c>
      <c r="D644" s="45" t="n"/>
      <c r="E644" s="47">
        <f>IF($D644="","",IFERROR(INDEX(코드설정!$D$5:$D$24,MATCH($D644,코드설정!$C$5:$C$24,0)),""))</f>
        <v/>
      </c>
      <c r="F644" s="45" t="n"/>
      <c r="G644" s="45" t="n"/>
      <c r="H644" s="49" t="n"/>
      <c r="I644" s="49" t="n"/>
      <c r="J644" s="52" t="n"/>
      <c r="K644" s="45" t="n"/>
      <c r="L644" s="49" t="n"/>
    </row>
    <row r="645">
      <c r="A645" s="43">
        <f>IF($B645="","",COUNT($B$5:$B645))</f>
        <v/>
      </c>
      <c r="B645" s="44" t="n"/>
      <c r="C645" s="47">
        <f>IF($B645="","",CHOOSE(WEEKDAY($B645),"일","월","화","수","목","금","토"))</f>
        <v/>
      </c>
      <c r="D645" s="45" t="n"/>
      <c r="E645" s="47">
        <f>IF($D645="","",IFERROR(INDEX(코드설정!$D$5:$D$24,MATCH($D645,코드설정!$C$5:$C$24,0)),""))</f>
        <v/>
      </c>
      <c r="F645" s="45" t="n"/>
      <c r="G645" s="45" t="n"/>
      <c r="H645" s="49" t="n"/>
      <c r="I645" s="49" t="n"/>
      <c r="J645" s="52" t="n"/>
      <c r="K645" s="45" t="n"/>
      <c r="L645" s="49" t="n"/>
    </row>
    <row r="646">
      <c r="A646" s="43">
        <f>IF($B646="","",COUNT($B$5:$B646))</f>
        <v/>
      </c>
      <c r="B646" s="44" t="n"/>
      <c r="C646" s="47">
        <f>IF($B646="","",CHOOSE(WEEKDAY($B646),"일","월","화","수","목","금","토"))</f>
        <v/>
      </c>
      <c r="D646" s="45" t="n"/>
      <c r="E646" s="47">
        <f>IF($D646="","",IFERROR(INDEX(코드설정!$D$5:$D$24,MATCH($D646,코드설정!$C$5:$C$24,0)),""))</f>
        <v/>
      </c>
      <c r="F646" s="45" t="n"/>
      <c r="G646" s="45" t="n"/>
      <c r="H646" s="49" t="n"/>
      <c r="I646" s="49" t="n"/>
      <c r="J646" s="52" t="n"/>
      <c r="K646" s="45" t="n"/>
      <c r="L646" s="49" t="n"/>
    </row>
    <row r="647">
      <c r="A647" s="43">
        <f>IF($B647="","",COUNT($B$5:$B647))</f>
        <v/>
      </c>
      <c r="B647" s="44" t="n"/>
      <c r="C647" s="47">
        <f>IF($B647="","",CHOOSE(WEEKDAY($B647),"일","월","화","수","목","금","토"))</f>
        <v/>
      </c>
      <c r="D647" s="45" t="n"/>
      <c r="E647" s="47">
        <f>IF($D647="","",IFERROR(INDEX(코드설정!$D$5:$D$24,MATCH($D647,코드설정!$C$5:$C$24,0)),""))</f>
        <v/>
      </c>
      <c r="F647" s="45" t="n"/>
      <c r="G647" s="45" t="n"/>
      <c r="H647" s="49" t="n"/>
      <c r="I647" s="49" t="n"/>
      <c r="J647" s="52" t="n"/>
      <c r="K647" s="45" t="n"/>
      <c r="L647" s="49" t="n"/>
    </row>
    <row r="648">
      <c r="A648" s="43">
        <f>IF($B648="","",COUNT($B$5:$B648))</f>
        <v/>
      </c>
      <c r="B648" s="44" t="n"/>
      <c r="C648" s="47">
        <f>IF($B648="","",CHOOSE(WEEKDAY($B648),"일","월","화","수","목","금","토"))</f>
        <v/>
      </c>
      <c r="D648" s="45" t="n"/>
      <c r="E648" s="47">
        <f>IF($D648="","",IFERROR(INDEX(코드설정!$D$5:$D$24,MATCH($D648,코드설정!$C$5:$C$24,0)),""))</f>
        <v/>
      </c>
      <c r="F648" s="45" t="n"/>
      <c r="G648" s="45" t="n"/>
      <c r="H648" s="49" t="n"/>
      <c r="I648" s="49" t="n"/>
      <c r="J648" s="52" t="n"/>
      <c r="K648" s="45" t="n"/>
      <c r="L648" s="49" t="n"/>
    </row>
    <row r="649">
      <c r="A649" s="43">
        <f>IF($B649="","",COUNT($B$5:$B649))</f>
        <v/>
      </c>
      <c r="B649" s="44" t="n"/>
      <c r="C649" s="47">
        <f>IF($B649="","",CHOOSE(WEEKDAY($B649),"일","월","화","수","목","금","토"))</f>
        <v/>
      </c>
      <c r="D649" s="45" t="n"/>
      <c r="E649" s="47">
        <f>IF($D649="","",IFERROR(INDEX(코드설정!$D$5:$D$24,MATCH($D649,코드설정!$C$5:$C$24,0)),""))</f>
        <v/>
      </c>
      <c r="F649" s="45" t="n"/>
      <c r="G649" s="45" t="n"/>
      <c r="H649" s="49" t="n"/>
      <c r="I649" s="49" t="n"/>
      <c r="J649" s="52" t="n"/>
      <c r="K649" s="45" t="n"/>
      <c r="L649" s="49" t="n"/>
    </row>
    <row r="650">
      <c r="A650" s="43">
        <f>IF($B650="","",COUNT($B$5:$B650))</f>
        <v/>
      </c>
      <c r="B650" s="44" t="n"/>
      <c r="C650" s="47">
        <f>IF($B650="","",CHOOSE(WEEKDAY($B650),"일","월","화","수","목","금","토"))</f>
        <v/>
      </c>
      <c r="D650" s="45" t="n"/>
      <c r="E650" s="47">
        <f>IF($D650="","",IFERROR(INDEX(코드설정!$D$5:$D$24,MATCH($D650,코드설정!$C$5:$C$24,0)),""))</f>
        <v/>
      </c>
      <c r="F650" s="45" t="n"/>
      <c r="G650" s="45" t="n"/>
      <c r="H650" s="49" t="n"/>
      <c r="I650" s="49" t="n"/>
      <c r="J650" s="52" t="n"/>
      <c r="K650" s="45" t="n"/>
      <c r="L650" s="49" t="n"/>
    </row>
    <row r="651">
      <c r="A651" s="43">
        <f>IF($B651="","",COUNT($B$5:$B651))</f>
        <v/>
      </c>
      <c r="B651" s="44" t="n"/>
      <c r="C651" s="47">
        <f>IF($B651="","",CHOOSE(WEEKDAY($B651),"일","월","화","수","목","금","토"))</f>
        <v/>
      </c>
      <c r="D651" s="45" t="n"/>
      <c r="E651" s="47">
        <f>IF($D651="","",IFERROR(INDEX(코드설정!$D$5:$D$24,MATCH($D651,코드설정!$C$5:$C$24,0)),""))</f>
        <v/>
      </c>
      <c r="F651" s="45" t="n"/>
      <c r="G651" s="45" t="n"/>
      <c r="H651" s="49" t="n"/>
      <c r="I651" s="49" t="n"/>
      <c r="J651" s="52" t="n"/>
      <c r="K651" s="45" t="n"/>
      <c r="L651" s="49" t="n"/>
    </row>
    <row r="652">
      <c r="A652" s="43">
        <f>IF($B652="","",COUNT($B$5:$B652))</f>
        <v/>
      </c>
      <c r="B652" s="44" t="n"/>
      <c r="C652" s="47">
        <f>IF($B652="","",CHOOSE(WEEKDAY($B652),"일","월","화","수","목","금","토"))</f>
        <v/>
      </c>
      <c r="D652" s="45" t="n"/>
      <c r="E652" s="47">
        <f>IF($D652="","",IFERROR(INDEX(코드설정!$D$5:$D$24,MATCH($D652,코드설정!$C$5:$C$24,0)),""))</f>
        <v/>
      </c>
      <c r="F652" s="45" t="n"/>
      <c r="G652" s="45" t="n"/>
      <c r="H652" s="49" t="n"/>
      <c r="I652" s="49" t="n"/>
      <c r="J652" s="52" t="n"/>
      <c r="K652" s="45" t="n"/>
      <c r="L652" s="49" t="n"/>
    </row>
    <row r="653">
      <c r="A653" s="43">
        <f>IF($B653="","",COUNT($B$5:$B653))</f>
        <v/>
      </c>
      <c r="B653" s="44" t="n"/>
      <c r="C653" s="47">
        <f>IF($B653="","",CHOOSE(WEEKDAY($B653),"일","월","화","수","목","금","토"))</f>
        <v/>
      </c>
      <c r="D653" s="45" t="n"/>
      <c r="E653" s="47">
        <f>IF($D653="","",IFERROR(INDEX(코드설정!$D$5:$D$24,MATCH($D653,코드설정!$C$5:$C$24,0)),""))</f>
        <v/>
      </c>
      <c r="F653" s="45" t="n"/>
      <c r="G653" s="45" t="n"/>
      <c r="H653" s="49" t="n"/>
      <c r="I653" s="49" t="n"/>
      <c r="J653" s="52" t="n"/>
      <c r="K653" s="45" t="n"/>
      <c r="L653" s="49" t="n"/>
    </row>
    <row r="654">
      <c r="A654" s="43">
        <f>IF($B654="","",COUNT($B$5:$B654))</f>
        <v/>
      </c>
      <c r="B654" s="44" t="n"/>
      <c r="C654" s="47">
        <f>IF($B654="","",CHOOSE(WEEKDAY($B654),"일","월","화","수","목","금","토"))</f>
        <v/>
      </c>
      <c r="D654" s="45" t="n"/>
      <c r="E654" s="47">
        <f>IF($D654="","",IFERROR(INDEX(코드설정!$D$5:$D$24,MATCH($D654,코드설정!$C$5:$C$24,0)),""))</f>
        <v/>
      </c>
      <c r="F654" s="45" t="n"/>
      <c r="G654" s="45" t="n"/>
      <c r="H654" s="49" t="n"/>
      <c r="I654" s="49" t="n"/>
      <c r="J654" s="52" t="n"/>
      <c r="K654" s="45" t="n"/>
      <c r="L654" s="49" t="n"/>
    </row>
    <row r="655">
      <c r="A655" s="43">
        <f>IF($B655="","",COUNT($B$5:$B655))</f>
        <v/>
      </c>
      <c r="B655" s="44" t="n"/>
      <c r="C655" s="47">
        <f>IF($B655="","",CHOOSE(WEEKDAY($B655),"일","월","화","수","목","금","토"))</f>
        <v/>
      </c>
      <c r="D655" s="45" t="n"/>
      <c r="E655" s="47">
        <f>IF($D655="","",IFERROR(INDEX(코드설정!$D$5:$D$24,MATCH($D655,코드설정!$C$5:$C$24,0)),""))</f>
        <v/>
      </c>
      <c r="F655" s="45" t="n"/>
      <c r="G655" s="45" t="n"/>
      <c r="H655" s="49" t="n"/>
      <c r="I655" s="49" t="n"/>
      <c r="J655" s="52" t="n"/>
      <c r="K655" s="45" t="n"/>
      <c r="L655" s="49" t="n"/>
    </row>
    <row r="656">
      <c r="A656" s="43">
        <f>IF($B656="","",COUNT($B$5:$B656))</f>
        <v/>
      </c>
      <c r="B656" s="44" t="n"/>
      <c r="C656" s="47">
        <f>IF($B656="","",CHOOSE(WEEKDAY($B656),"일","월","화","수","목","금","토"))</f>
        <v/>
      </c>
      <c r="D656" s="45" t="n"/>
      <c r="E656" s="47">
        <f>IF($D656="","",IFERROR(INDEX(코드설정!$D$5:$D$24,MATCH($D656,코드설정!$C$5:$C$24,0)),""))</f>
        <v/>
      </c>
      <c r="F656" s="45" t="n"/>
      <c r="G656" s="45" t="n"/>
      <c r="H656" s="49" t="n"/>
      <c r="I656" s="49" t="n"/>
      <c r="J656" s="52" t="n"/>
      <c r="K656" s="45" t="n"/>
      <c r="L656" s="49" t="n"/>
    </row>
    <row r="657">
      <c r="A657" s="43">
        <f>IF($B657="","",COUNT($B$5:$B657))</f>
        <v/>
      </c>
      <c r="B657" s="44" t="n"/>
      <c r="C657" s="47">
        <f>IF($B657="","",CHOOSE(WEEKDAY($B657),"일","월","화","수","목","금","토"))</f>
        <v/>
      </c>
      <c r="D657" s="45" t="n"/>
      <c r="E657" s="47">
        <f>IF($D657="","",IFERROR(INDEX(코드설정!$D$5:$D$24,MATCH($D657,코드설정!$C$5:$C$24,0)),""))</f>
        <v/>
      </c>
      <c r="F657" s="45" t="n"/>
      <c r="G657" s="45" t="n"/>
      <c r="H657" s="49" t="n"/>
      <c r="I657" s="49" t="n"/>
      <c r="J657" s="52" t="n"/>
      <c r="K657" s="45" t="n"/>
      <c r="L657" s="49" t="n"/>
    </row>
    <row r="658">
      <c r="A658" s="43">
        <f>IF($B658="","",COUNT($B$5:$B658))</f>
        <v/>
      </c>
      <c r="B658" s="44" t="n"/>
      <c r="C658" s="47">
        <f>IF($B658="","",CHOOSE(WEEKDAY($B658),"일","월","화","수","목","금","토"))</f>
        <v/>
      </c>
      <c r="D658" s="45" t="n"/>
      <c r="E658" s="47">
        <f>IF($D658="","",IFERROR(INDEX(코드설정!$D$5:$D$24,MATCH($D658,코드설정!$C$5:$C$24,0)),""))</f>
        <v/>
      </c>
      <c r="F658" s="45" t="n"/>
      <c r="G658" s="45" t="n"/>
      <c r="H658" s="49" t="n"/>
      <c r="I658" s="49" t="n"/>
      <c r="J658" s="52" t="n"/>
      <c r="K658" s="45" t="n"/>
      <c r="L658" s="49" t="n"/>
    </row>
    <row r="659">
      <c r="A659" s="43">
        <f>IF($B659="","",COUNT($B$5:$B659))</f>
        <v/>
      </c>
      <c r="B659" s="44" t="n"/>
      <c r="C659" s="47">
        <f>IF($B659="","",CHOOSE(WEEKDAY($B659),"일","월","화","수","목","금","토"))</f>
        <v/>
      </c>
      <c r="D659" s="45" t="n"/>
      <c r="E659" s="47">
        <f>IF($D659="","",IFERROR(INDEX(코드설정!$D$5:$D$24,MATCH($D659,코드설정!$C$5:$C$24,0)),""))</f>
        <v/>
      </c>
      <c r="F659" s="45" t="n"/>
      <c r="G659" s="45" t="n"/>
      <c r="H659" s="49" t="n"/>
      <c r="I659" s="49" t="n"/>
      <c r="J659" s="52" t="n"/>
      <c r="K659" s="45" t="n"/>
      <c r="L659" s="49" t="n"/>
    </row>
    <row r="660">
      <c r="A660" s="43">
        <f>IF($B660="","",COUNT($B$5:$B660))</f>
        <v/>
      </c>
      <c r="B660" s="44" t="n"/>
      <c r="C660" s="47">
        <f>IF($B660="","",CHOOSE(WEEKDAY($B660),"일","월","화","수","목","금","토"))</f>
        <v/>
      </c>
      <c r="D660" s="45" t="n"/>
      <c r="E660" s="47">
        <f>IF($D660="","",IFERROR(INDEX(코드설정!$D$5:$D$24,MATCH($D660,코드설정!$C$5:$C$24,0)),""))</f>
        <v/>
      </c>
      <c r="F660" s="45" t="n"/>
      <c r="G660" s="45" t="n"/>
      <c r="H660" s="49" t="n"/>
      <c r="I660" s="49" t="n"/>
      <c r="J660" s="52" t="n"/>
      <c r="K660" s="45" t="n"/>
      <c r="L660" s="49" t="n"/>
    </row>
    <row r="661">
      <c r="A661" s="43">
        <f>IF($B661="","",COUNT($B$5:$B661))</f>
        <v/>
      </c>
      <c r="B661" s="44" t="n"/>
      <c r="C661" s="47">
        <f>IF($B661="","",CHOOSE(WEEKDAY($B661),"일","월","화","수","목","금","토"))</f>
        <v/>
      </c>
      <c r="D661" s="45" t="n"/>
      <c r="E661" s="47">
        <f>IF($D661="","",IFERROR(INDEX(코드설정!$D$5:$D$24,MATCH($D661,코드설정!$C$5:$C$24,0)),""))</f>
        <v/>
      </c>
      <c r="F661" s="45" t="n"/>
      <c r="G661" s="45" t="n"/>
      <c r="H661" s="49" t="n"/>
      <c r="I661" s="49" t="n"/>
      <c r="J661" s="52" t="n"/>
      <c r="K661" s="45" t="n"/>
      <c r="L661" s="49" t="n"/>
    </row>
    <row r="662">
      <c r="A662" s="43">
        <f>IF($B662="","",COUNT($B$5:$B662))</f>
        <v/>
      </c>
      <c r="B662" s="44" t="n"/>
      <c r="C662" s="47">
        <f>IF($B662="","",CHOOSE(WEEKDAY($B662),"일","월","화","수","목","금","토"))</f>
        <v/>
      </c>
      <c r="D662" s="45" t="n"/>
      <c r="E662" s="47">
        <f>IF($D662="","",IFERROR(INDEX(코드설정!$D$5:$D$24,MATCH($D662,코드설정!$C$5:$C$24,0)),""))</f>
        <v/>
      </c>
      <c r="F662" s="45" t="n"/>
      <c r="G662" s="45" t="n"/>
      <c r="H662" s="49" t="n"/>
      <c r="I662" s="49" t="n"/>
      <c r="J662" s="52" t="n"/>
      <c r="K662" s="45" t="n"/>
      <c r="L662" s="49" t="n"/>
    </row>
    <row r="663">
      <c r="A663" s="43">
        <f>IF($B663="","",COUNT($B$5:$B663))</f>
        <v/>
      </c>
      <c r="B663" s="44" t="n"/>
      <c r="C663" s="47">
        <f>IF($B663="","",CHOOSE(WEEKDAY($B663),"일","월","화","수","목","금","토"))</f>
        <v/>
      </c>
      <c r="D663" s="45" t="n"/>
      <c r="E663" s="47">
        <f>IF($D663="","",IFERROR(INDEX(코드설정!$D$5:$D$24,MATCH($D663,코드설정!$C$5:$C$24,0)),""))</f>
        <v/>
      </c>
      <c r="F663" s="45" t="n"/>
      <c r="G663" s="45" t="n"/>
      <c r="H663" s="49" t="n"/>
      <c r="I663" s="49" t="n"/>
      <c r="J663" s="52" t="n"/>
      <c r="K663" s="45" t="n"/>
      <c r="L663" s="49" t="n"/>
    </row>
    <row r="664">
      <c r="A664" s="43">
        <f>IF($B664="","",COUNT($B$5:$B664))</f>
        <v/>
      </c>
      <c r="B664" s="44" t="n"/>
      <c r="C664" s="47">
        <f>IF($B664="","",CHOOSE(WEEKDAY($B664),"일","월","화","수","목","금","토"))</f>
        <v/>
      </c>
      <c r="D664" s="45" t="n"/>
      <c r="E664" s="47">
        <f>IF($D664="","",IFERROR(INDEX(코드설정!$D$5:$D$24,MATCH($D664,코드설정!$C$5:$C$24,0)),""))</f>
        <v/>
      </c>
      <c r="F664" s="45" t="n"/>
      <c r="G664" s="45" t="n"/>
      <c r="H664" s="49" t="n"/>
      <c r="I664" s="49" t="n"/>
      <c r="J664" s="52" t="n"/>
      <c r="K664" s="45" t="n"/>
      <c r="L664" s="49" t="n"/>
    </row>
    <row r="665">
      <c r="A665" s="43">
        <f>IF($B665="","",COUNT($B$5:$B665))</f>
        <v/>
      </c>
      <c r="B665" s="44" t="n"/>
      <c r="C665" s="47">
        <f>IF($B665="","",CHOOSE(WEEKDAY($B665),"일","월","화","수","목","금","토"))</f>
        <v/>
      </c>
      <c r="D665" s="45" t="n"/>
      <c r="E665" s="47">
        <f>IF($D665="","",IFERROR(INDEX(코드설정!$D$5:$D$24,MATCH($D665,코드설정!$C$5:$C$24,0)),""))</f>
        <v/>
      </c>
      <c r="F665" s="45" t="n"/>
      <c r="G665" s="45" t="n"/>
      <c r="H665" s="49" t="n"/>
      <c r="I665" s="49" t="n"/>
      <c r="J665" s="52" t="n"/>
      <c r="K665" s="45" t="n"/>
      <c r="L665" s="49" t="n"/>
    </row>
    <row r="666">
      <c r="A666" s="43">
        <f>IF($B666="","",COUNT($B$5:$B666))</f>
        <v/>
      </c>
      <c r="B666" s="44" t="n"/>
      <c r="C666" s="47">
        <f>IF($B666="","",CHOOSE(WEEKDAY($B666),"일","월","화","수","목","금","토"))</f>
        <v/>
      </c>
      <c r="D666" s="45" t="n"/>
      <c r="E666" s="47">
        <f>IF($D666="","",IFERROR(INDEX(코드설정!$D$5:$D$24,MATCH($D666,코드설정!$C$5:$C$24,0)),""))</f>
        <v/>
      </c>
      <c r="F666" s="45" t="n"/>
      <c r="G666" s="45" t="n"/>
      <c r="H666" s="49" t="n"/>
      <c r="I666" s="49" t="n"/>
      <c r="J666" s="52" t="n"/>
      <c r="K666" s="45" t="n"/>
      <c r="L666" s="49" t="n"/>
    </row>
    <row r="667">
      <c r="A667" s="43">
        <f>IF($B667="","",COUNT($B$5:$B667))</f>
        <v/>
      </c>
      <c r="B667" s="44" t="n"/>
      <c r="C667" s="47">
        <f>IF($B667="","",CHOOSE(WEEKDAY($B667),"일","월","화","수","목","금","토"))</f>
        <v/>
      </c>
      <c r="D667" s="45" t="n"/>
      <c r="E667" s="47">
        <f>IF($D667="","",IFERROR(INDEX(코드설정!$D$5:$D$24,MATCH($D667,코드설정!$C$5:$C$24,0)),""))</f>
        <v/>
      </c>
      <c r="F667" s="45" t="n"/>
      <c r="G667" s="45" t="n"/>
      <c r="H667" s="49" t="n"/>
      <c r="I667" s="49" t="n"/>
      <c r="J667" s="52" t="n"/>
      <c r="K667" s="45" t="n"/>
      <c r="L667" s="49" t="n"/>
    </row>
    <row r="668">
      <c r="A668" s="43">
        <f>IF($B668="","",COUNT($B$5:$B668))</f>
        <v/>
      </c>
      <c r="B668" s="44" t="n"/>
      <c r="C668" s="47">
        <f>IF($B668="","",CHOOSE(WEEKDAY($B668),"일","월","화","수","목","금","토"))</f>
        <v/>
      </c>
      <c r="D668" s="45" t="n"/>
      <c r="E668" s="47">
        <f>IF($D668="","",IFERROR(INDEX(코드설정!$D$5:$D$24,MATCH($D668,코드설정!$C$5:$C$24,0)),""))</f>
        <v/>
      </c>
      <c r="F668" s="45" t="n"/>
      <c r="G668" s="45" t="n"/>
      <c r="H668" s="49" t="n"/>
      <c r="I668" s="49" t="n"/>
      <c r="J668" s="52" t="n"/>
      <c r="K668" s="45" t="n"/>
      <c r="L668" s="49" t="n"/>
    </row>
    <row r="669">
      <c r="A669" s="43">
        <f>IF($B669="","",COUNT($B$5:$B669))</f>
        <v/>
      </c>
      <c r="B669" s="44" t="n"/>
      <c r="C669" s="47">
        <f>IF($B669="","",CHOOSE(WEEKDAY($B669),"일","월","화","수","목","금","토"))</f>
        <v/>
      </c>
      <c r="D669" s="45" t="n"/>
      <c r="E669" s="47">
        <f>IF($D669="","",IFERROR(INDEX(코드설정!$D$5:$D$24,MATCH($D669,코드설정!$C$5:$C$24,0)),""))</f>
        <v/>
      </c>
      <c r="F669" s="45" t="n"/>
      <c r="G669" s="45" t="n"/>
      <c r="H669" s="49" t="n"/>
      <c r="I669" s="49" t="n"/>
      <c r="J669" s="52" t="n"/>
      <c r="K669" s="45" t="n"/>
      <c r="L669" s="49" t="n"/>
    </row>
    <row r="670">
      <c r="A670" s="43">
        <f>IF($B670="","",COUNT($B$5:$B670))</f>
        <v/>
      </c>
      <c r="B670" s="44" t="n"/>
      <c r="C670" s="47">
        <f>IF($B670="","",CHOOSE(WEEKDAY($B670),"일","월","화","수","목","금","토"))</f>
        <v/>
      </c>
      <c r="D670" s="45" t="n"/>
      <c r="E670" s="47">
        <f>IF($D670="","",IFERROR(INDEX(코드설정!$D$5:$D$24,MATCH($D670,코드설정!$C$5:$C$24,0)),""))</f>
        <v/>
      </c>
      <c r="F670" s="45" t="n"/>
      <c r="G670" s="45" t="n"/>
      <c r="H670" s="49" t="n"/>
      <c r="I670" s="49" t="n"/>
      <c r="J670" s="52" t="n"/>
      <c r="K670" s="45" t="n"/>
      <c r="L670" s="49" t="n"/>
    </row>
    <row r="671">
      <c r="A671" s="43">
        <f>IF($B671="","",COUNT($B$5:$B671))</f>
        <v/>
      </c>
      <c r="B671" s="44" t="n"/>
      <c r="C671" s="47">
        <f>IF($B671="","",CHOOSE(WEEKDAY($B671),"일","월","화","수","목","금","토"))</f>
        <v/>
      </c>
      <c r="D671" s="45" t="n"/>
      <c r="E671" s="47">
        <f>IF($D671="","",IFERROR(INDEX(코드설정!$D$5:$D$24,MATCH($D671,코드설정!$C$5:$C$24,0)),""))</f>
        <v/>
      </c>
      <c r="F671" s="45" t="n"/>
      <c r="G671" s="45" t="n"/>
      <c r="H671" s="49" t="n"/>
      <c r="I671" s="49" t="n"/>
      <c r="J671" s="52" t="n"/>
      <c r="K671" s="45" t="n"/>
      <c r="L671" s="49" t="n"/>
    </row>
    <row r="672">
      <c r="A672" s="43">
        <f>IF($B672="","",COUNT($B$5:$B672))</f>
        <v/>
      </c>
      <c r="B672" s="44" t="n"/>
      <c r="C672" s="47">
        <f>IF($B672="","",CHOOSE(WEEKDAY($B672),"일","월","화","수","목","금","토"))</f>
        <v/>
      </c>
      <c r="D672" s="45" t="n"/>
      <c r="E672" s="47">
        <f>IF($D672="","",IFERROR(INDEX(코드설정!$D$5:$D$24,MATCH($D672,코드설정!$C$5:$C$24,0)),""))</f>
        <v/>
      </c>
      <c r="F672" s="45" t="n"/>
      <c r="G672" s="45" t="n"/>
      <c r="H672" s="49" t="n"/>
      <c r="I672" s="49" t="n"/>
      <c r="J672" s="52" t="n"/>
      <c r="K672" s="45" t="n"/>
      <c r="L672" s="49" t="n"/>
    </row>
    <row r="673">
      <c r="A673" s="43">
        <f>IF($B673="","",COUNT($B$5:$B673))</f>
        <v/>
      </c>
      <c r="B673" s="44" t="n"/>
      <c r="C673" s="47">
        <f>IF($B673="","",CHOOSE(WEEKDAY($B673),"일","월","화","수","목","금","토"))</f>
        <v/>
      </c>
      <c r="D673" s="45" t="n"/>
      <c r="E673" s="47">
        <f>IF($D673="","",IFERROR(INDEX(코드설정!$D$5:$D$24,MATCH($D673,코드설정!$C$5:$C$24,0)),""))</f>
        <v/>
      </c>
      <c r="F673" s="45" t="n"/>
      <c r="G673" s="45" t="n"/>
      <c r="H673" s="49" t="n"/>
      <c r="I673" s="49" t="n"/>
      <c r="J673" s="52" t="n"/>
      <c r="K673" s="45" t="n"/>
      <c r="L673" s="49" t="n"/>
    </row>
    <row r="674">
      <c r="A674" s="43">
        <f>IF($B674="","",COUNT($B$5:$B674))</f>
        <v/>
      </c>
      <c r="B674" s="44" t="n"/>
      <c r="C674" s="47">
        <f>IF($B674="","",CHOOSE(WEEKDAY($B674),"일","월","화","수","목","금","토"))</f>
        <v/>
      </c>
      <c r="D674" s="45" t="n"/>
      <c r="E674" s="47">
        <f>IF($D674="","",IFERROR(INDEX(코드설정!$D$5:$D$24,MATCH($D674,코드설정!$C$5:$C$24,0)),""))</f>
        <v/>
      </c>
      <c r="F674" s="45" t="n"/>
      <c r="G674" s="45" t="n"/>
      <c r="H674" s="49" t="n"/>
      <c r="I674" s="49" t="n"/>
      <c r="J674" s="52" t="n"/>
      <c r="K674" s="45" t="n"/>
      <c r="L674" s="49" t="n"/>
    </row>
    <row r="675">
      <c r="A675" s="43">
        <f>IF($B675="","",COUNT($B$5:$B675))</f>
        <v/>
      </c>
      <c r="B675" s="44" t="n"/>
      <c r="C675" s="47">
        <f>IF($B675="","",CHOOSE(WEEKDAY($B675),"일","월","화","수","목","금","토"))</f>
        <v/>
      </c>
      <c r="D675" s="45" t="n"/>
      <c r="E675" s="47">
        <f>IF($D675="","",IFERROR(INDEX(코드설정!$D$5:$D$24,MATCH($D675,코드설정!$C$5:$C$24,0)),""))</f>
        <v/>
      </c>
      <c r="F675" s="45" t="n"/>
      <c r="G675" s="45" t="n"/>
      <c r="H675" s="49" t="n"/>
      <c r="I675" s="49" t="n"/>
      <c r="J675" s="52" t="n"/>
      <c r="K675" s="45" t="n"/>
      <c r="L675" s="49" t="n"/>
    </row>
    <row r="676">
      <c r="A676" s="43">
        <f>IF($B676="","",COUNT($B$5:$B676))</f>
        <v/>
      </c>
      <c r="B676" s="44" t="n"/>
      <c r="C676" s="47">
        <f>IF($B676="","",CHOOSE(WEEKDAY($B676),"일","월","화","수","목","금","토"))</f>
        <v/>
      </c>
      <c r="D676" s="45" t="n"/>
      <c r="E676" s="47">
        <f>IF($D676="","",IFERROR(INDEX(코드설정!$D$5:$D$24,MATCH($D676,코드설정!$C$5:$C$24,0)),""))</f>
        <v/>
      </c>
      <c r="F676" s="45" t="n"/>
      <c r="G676" s="45" t="n"/>
      <c r="H676" s="49" t="n"/>
      <c r="I676" s="49" t="n"/>
      <c r="J676" s="52" t="n"/>
      <c r="K676" s="45" t="n"/>
      <c r="L676" s="49" t="n"/>
    </row>
    <row r="677">
      <c r="A677" s="43">
        <f>IF($B677="","",COUNT($B$5:$B677))</f>
        <v/>
      </c>
      <c r="B677" s="44" t="n"/>
      <c r="C677" s="47">
        <f>IF($B677="","",CHOOSE(WEEKDAY($B677),"일","월","화","수","목","금","토"))</f>
        <v/>
      </c>
      <c r="D677" s="45" t="n"/>
      <c r="E677" s="47">
        <f>IF($D677="","",IFERROR(INDEX(코드설정!$D$5:$D$24,MATCH($D677,코드설정!$C$5:$C$24,0)),""))</f>
        <v/>
      </c>
      <c r="F677" s="45" t="n"/>
      <c r="G677" s="45" t="n"/>
      <c r="H677" s="49" t="n"/>
      <c r="I677" s="49" t="n"/>
      <c r="J677" s="52" t="n"/>
      <c r="K677" s="45" t="n"/>
      <c r="L677" s="49" t="n"/>
    </row>
    <row r="678">
      <c r="A678" s="43">
        <f>IF($B678="","",COUNT($B$5:$B678))</f>
        <v/>
      </c>
      <c r="B678" s="44" t="n"/>
      <c r="C678" s="47">
        <f>IF($B678="","",CHOOSE(WEEKDAY($B678),"일","월","화","수","목","금","토"))</f>
        <v/>
      </c>
      <c r="D678" s="45" t="n"/>
      <c r="E678" s="47">
        <f>IF($D678="","",IFERROR(INDEX(코드설정!$D$5:$D$24,MATCH($D678,코드설정!$C$5:$C$24,0)),""))</f>
        <v/>
      </c>
      <c r="F678" s="45" t="n"/>
      <c r="G678" s="45" t="n"/>
      <c r="H678" s="49" t="n"/>
      <c r="I678" s="49" t="n"/>
      <c r="J678" s="52" t="n"/>
      <c r="K678" s="45" t="n"/>
      <c r="L678" s="49" t="n"/>
    </row>
    <row r="679">
      <c r="A679" s="43">
        <f>IF($B679="","",COUNT($B$5:$B679))</f>
        <v/>
      </c>
      <c r="B679" s="44" t="n"/>
      <c r="C679" s="47">
        <f>IF($B679="","",CHOOSE(WEEKDAY($B679),"일","월","화","수","목","금","토"))</f>
        <v/>
      </c>
      <c r="D679" s="45" t="n"/>
      <c r="E679" s="47">
        <f>IF($D679="","",IFERROR(INDEX(코드설정!$D$5:$D$24,MATCH($D679,코드설정!$C$5:$C$24,0)),""))</f>
        <v/>
      </c>
      <c r="F679" s="45" t="n"/>
      <c r="G679" s="45" t="n"/>
      <c r="H679" s="49" t="n"/>
      <c r="I679" s="49" t="n"/>
      <c r="J679" s="52" t="n"/>
      <c r="K679" s="45" t="n"/>
      <c r="L679" s="49" t="n"/>
    </row>
    <row r="680">
      <c r="A680" s="43">
        <f>IF($B680="","",COUNT($B$5:$B680))</f>
        <v/>
      </c>
      <c r="B680" s="44" t="n"/>
      <c r="C680" s="47">
        <f>IF($B680="","",CHOOSE(WEEKDAY($B680),"일","월","화","수","목","금","토"))</f>
        <v/>
      </c>
      <c r="D680" s="45" t="n"/>
      <c r="E680" s="47">
        <f>IF($D680="","",IFERROR(INDEX(코드설정!$D$5:$D$24,MATCH($D680,코드설정!$C$5:$C$24,0)),""))</f>
        <v/>
      </c>
      <c r="F680" s="45" t="n"/>
      <c r="G680" s="45" t="n"/>
      <c r="H680" s="49" t="n"/>
      <c r="I680" s="49" t="n"/>
      <c r="J680" s="52" t="n"/>
      <c r="K680" s="45" t="n"/>
      <c r="L680" s="49" t="n"/>
    </row>
    <row r="681">
      <c r="A681" s="43">
        <f>IF($B681="","",COUNT($B$5:$B681))</f>
        <v/>
      </c>
      <c r="B681" s="44" t="n"/>
      <c r="C681" s="47">
        <f>IF($B681="","",CHOOSE(WEEKDAY($B681),"일","월","화","수","목","금","토"))</f>
        <v/>
      </c>
      <c r="D681" s="45" t="n"/>
      <c r="E681" s="47">
        <f>IF($D681="","",IFERROR(INDEX(코드설정!$D$5:$D$24,MATCH($D681,코드설정!$C$5:$C$24,0)),""))</f>
        <v/>
      </c>
      <c r="F681" s="45" t="n"/>
      <c r="G681" s="45" t="n"/>
      <c r="H681" s="49" t="n"/>
      <c r="I681" s="49" t="n"/>
      <c r="J681" s="52" t="n"/>
      <c r="K681" s="45" t="n"/>
      <c r="L681" s="49" t="n"/>
    </row>
    <row r="682">
      <c r="A682" s="43">
        <f>IF($B682="","",COUNT($B$5:$B682))</f>
        <v/>
      </c>
      <c r="B682" s="44" t="n"/>
      <c r="C682" s="47">
        <f>IF($B682="","",CHOOSE(WEEKDAY($B682),"일","월","화","수","목","금","토"))</f>
        <v/>
      </c>
      <c r="D682" s="45" t="n"/>
      <c r="E682" s="47">
        <f>IF($D682="","",IFERROR(INDEX(코드설정!$D$5:$D$24,MATCH($D682,코드설정!$C$5:$C$24,0)),""))</f>
        <v/>
      </c>
      <c r="F682" s="45" t="n"/>
      <c r="G682" s="45" t="n"/>
      <c r="H682" s="49" t="n"/>
      <c r="I682" s="49" t="n"/>
      <c r="J682" s="52" t="n"/>
      <c r="K682" s="45" t="n"/>
      <c r="L682" s="49" t="n"/>
    </row>
    <row r="683">
      <c r="A683" s="43">
        <f>IF($B683="","",COUNT($B$5:$B683))</f>
        <v/>
      </c>
      <c r="B683" s="44" t="n"/>
      <c r="C683" s="47">
        <f>IF($B683="","",CHOOSE(WEEKDAY($B683),"일","월","화","수","목","금","토"))</f>
        <v/>
      </c>
      <c r="D683" s="45" t="n"/>
      <c r="E683" s="47">
        <f>IF($D683="","",IFERROR(INDEX(코드설정!$D$5:$D$24,MATCH($D683,코드설정!$C$5:$C$24,0)),""))</f>
        <v/>
      </c>
      <c r="F683" s="45" t="n"/>
      <c r="G683" s="45" t="n"/>
      <c r="H683" s="49" t="n"/>
      <c r="I683" s="49" t="n"/>
      <c r="J683" s="52" t="n"/>
      <c r="K683" s="45" t="n"/>
      <c r="L683" s="49" t="n"/>
    </row>
    <row r="684">
      <c r="A684" s="43">
        <f>IF($B684="","",COUNT($B$5:$B684))</f>
        <v/>
      </c>
      <c r="B684" s="44" t="n"/>
      <c r="C684" s="47">
        <f>IF($B684="","",CHOOSE(WEEKDAY($B684),"일","월","화","수","목","금","토"))</f>
        <v/>
      </c>
      <c r="D684" s="45" t="n"/>
      <c r="E684" s="47">
        <f>IF($D684="","",IFERROR(INDEX(코드설정!$D$5:$D$24,MATCH($D684,코드설정!$C$5:$C$24,0)),""))</f>
        <v/>
      </c>
      <c r="F684" s="45" t="n"/>
      <c r="G684" s="45" t="n"/>
      <c r="H684" s="49" t="n"/>
      <c r="I684" s="49" t="n"/>
      <c r="J684" s="52" t="n"/>
      <c r="K684" s="45" t="n"/>
      <c r="L684" s="49" t="n"/>
    </row>
    <row r="685">
      <c r="A685" s="43">
        <f>IF($B685="","",COUNT($B$5:$B685))</f>
        <v/>
      </c>
      <c r="B685" s="44" t="n"/>
      <c r="C685" s="47">
        <f>IF($B685="","",CHOOSE(WEEKDAY($B685),"일","월","화","수","목","금","토"))</f>
        <v/>
      </c>
      <c r="D685" s="45" t="n"/>
      <c r="E685" s="47">
        <f>IF($D685="","",IFERROR(INDEX(코드설정!$D$5:$D$24,MATCH($D685,코드설정!$C$5:$C$24,0)),""))</f>
        <v/>
      </c>
      <c r="F685" s="45" t="n"/>
      <c r="G685" s="45" t="n"/>
      <c r="H685" s="49" t="n"/>
      <c r="I685" s="49" t="n"/>
      <c r="J685" s="52" t="n"/>
      <c r="K685" s="45" t="n"/>
      <c r="L685" s="49" t="n"/>
    </row>
    <row r="686">
      <c r="A686" s="43">
        <f>IF($B686="","",COUNT($B$5:$B686))</f>
        <v/>
      </c>
      <c r="B686" s="44" t="n"/>
      <c r="C686" s="47">
        <f>IF($B686="","",CHOOSE(WEEKDAY($B686),"일","월","화","수","목","금","토"))</f>
        <v/>
      </c>
      <c r="D686" s="45" t="n"/>
      <c r="E686" s="47">
        <f>IF($D686="","",IFERROR(INDEX(코드설정!$D$5:$D$24,MATCH($D686,코드설정!$C$5:$C$24,0)),""))</f>
        <v/>
      </c>
      <c r="F686" s="45" t="n"/>
      <c r="G686" s="45" t="n"/>
      <c r="H686" s="49" t="n"/>
      <c r="I686" s="49" t="n"/>
      <c r="J686" s="52" t="n"/>
      <c r="K686" s="45" t="n"/>
      <c r="L686" s="49" t="n"/>
    </row>
    <row r="687">
      <c r="A687" s="43">
        <f>IF($B687="","",COUNT($B$5:$B687))</f>
        <v/>
      </c>
      <c r="B687" s="44" t="n"/>
      <c r="C687" s="47">
        <f>IF($B687="","",CHOOSE(WEEKDAY($B687),"일","월","화","수","목","금","토"))</f>
        <v/>
      </c>
      <c r="D687" s="45" t="n"/>
      <c r="E687" s="47">
        <f>IF($D687="","",IFERROR(INDEX(코드설정!$D$5:$D$24,MATCH($D687,코드설정!$C$5:$C$24,0)),""))</f>
        <v/>
      </c>
      <c r="F687" s="45" t="n"/>
      <c r="G687" s="45" t="n"/>
      <c r="H687" s="49" t="n"/>
      <c r="I687" s="49" t="n"/>
      <c r="J687" s="52" t="n"/>
      <c r="K687" s="45" t="n"/>
      <c r="L687" s="49" t="n"/>
    </row>
    <row r="688">
      <c r="A688" s="43">
        <f>IF($B688="","",COUNT($B$5:$B688))</f>
        <v/>
      </c>
      <c r="B688" s="44" t="n"/>
      <c r="C688" s="47">
        <f>IF($B688="","",CHOOSE(WEEKDAY($B688),"일","월","화","수","목","금","토"))</f>
        <v/>
      </c>
      <c r="D688" s="45" t="n"/>
      <c r="E688" s="47">
        <f>IF($D688="","",IFERROR(INDEX(코드설정!$D$5:$D$24,MATCH($D688,코드설정!$C$5:$C$24,0)),""))</f>
        <v/>
      </c>
      <c r="F688" s="45" t="n"/>
      <c r="G688" s="45" t="n"/>
      <c r="H688" s="49" t="n"/>
      <c r="I688" s="49" t="n"/>
      <c r="J688" s="52" t="n"/>
      <c r="K688" s="45" t="n"/>
      <c r="L688" s="49" t="n"/>
    </row>
    <row r="689">
      <c r="A689" s="43">
        <f>IF($B689="","",COUNT($B$5:$B689))</f>
        <v/>
      </c>
      <c r="B689" s="44" t="n"/>
      <c r="C689" s="47">
        <f>IF($B689="","",CHOOSE(WEEKDAY($B689),"일","월","화","수","목","금","토"))</f>
        <v/>
      </c>
      <c r="D689" s="45" t="n"/>
      <c r="E689" s="47">
        <f>IF($D689="","",IFERROR(INDEX(코드설정!$D$5:$D$24,MATCH($D689,코드설정!$C$5:$C$24,0)),""))</f>
        <v/>
      </c>
      <c r="F689" s="45" t="n"/>
      <c r="G689" s="45" t="n"/>
      <c r="H689" s="49" t="n"/>
      <c r="I689" s="49" t="n"/>
      <c r="J689" s="52" t="n"/>
      <c r="K689" s="45" t="n"/>
      <c r="L689" s="49" t="n"/>
    </row>
    <row r="690">
      <c r="A690" s="43">
        <f>IF($B690="","",COUNT($B$5:$B690))</f>
        <v/>
      </c>
      <c r="B690" s="44" t="n"/>
      <c r="C690" s="47">
        <f>IF($B690="","",CHOOSE(WEEKDAY($B690),"일","월","화","수","목","금","토"))</f>
        <v/>
      </c>
      <c r="D690" s="45" t="n"/>
      <c r="E690" s="47">
        <f>IF($D690="","",IFERROR(INDEX(코드설정!$D$5:$D$24,MATCH($D690,코드설정!$C$5:$C$24,0)),""))</f>
        <v/>
      </c>
      <c r="F690" s="45" t="n"/>
      <c r="G690" s="45" t="n"/>
      <c r="H690" s="49" t="n"/>
      <c r="I690" s="49" t="n"/>
      <c r="J690" s="52" t="n"/>
      <c r="K690" s="45" t="n"/>
      <c r="L690" s="49" t="n"/>
    </row>
    <row r="691">
      <c r="A691" s="43">
        <f>IF($B691="","",COUNT($B$5:$B691))</f>
        <v/>
      </c>
      <c r="B691" s="44" t="n"/>
      <c r="C691" s="47">
        <f>IF($B691="","",CHOOSE(WEEKDAY($B691),"일","월","화","수","목","금","토"))</f>
        <v/>
      </c>
      <c r="D691" s="45" t="n"/>
      <c r="E691" s="47">
        <f>IF($D691="","",IFERROR(INDEX(코드설정!$D$5:$D$24,MATCH($D691,코드설정!$C$5:$C$24,0)),""))</f>
        <v/>
      </c>
      <c r="F691" s="45" t="n"/>
      <c r="G691" s="45" t="n"/>
      <c r="H691" s="49" t="n"/>
      <c r="I691" s="49" t="n"/>
      <c r="J691" s="52" t="n"/>
      <c r="K691" s="45" t="n"/>
      <c r="L691" s="49" t="n"/>
    </row>
    <row r="692">
      <c r="A692" s="43">
        <f>IF($B692="","",COUNT($B$5:$B692))</f>
        <v/>
      </c>
      <c r="B692" s="44" t="n"/>
      <c r="C692" s="47">
        <f>IF($B692="","",CHOOSE(WEEKDAY($B692),"일","월","화","수","목","금","토"))</f>
        <v/>
      </c>
      <c r="D692" s="45" t="n"/>
      <c r="E692" s="47">
        <f>IF($D692="","",IFERROR(INDEX(코드설정!$D$5:$D$24,MATCH($D692,코드설정!$C$5:$C$24,0)),""))</f>
        <v/>
      </c>
      <c r="F692" s="45" t="n"/>
      <c r="G692" s="45" t="n"/>
      <c r="H692" s="49" t="n"/>
      <c r="I692" s="49" t="n"/>
      <c r="J692" s="52" t="n"/>
      <c r="K692" s="45" t="n"/>
      <c r="L692" s="49" t="n"/>
    </row>
    <row r="693">
      <c r="A693" s="43">
        <f>IF($B693="","",COUNT($B$5:$B693))</f>
        <v/>
      </c>
      <c r="B693" s="44" t="n"/>
      <c r="C693" s="47">
        <f>IF($B693="","",CHOOSE(WEEKDAY($B693),"일","월","화","수","목","금","토"))</f>
        <v/>
      </c>
      <c r="D693" s="45" t="n"/>
      <c r="E693" s="47">
        <f>IF($D693="","",IFERROR(INDEX(코드설정!$D$5:$D$24,MATCH($D693,코드설정!$C$5:$C$24,0)),""))</f>
        <v/>
      </c>
      <c r="F693" s="45" t="n"/>
      <c r="G693" s="45" t="n"/>
      <c r="H693" s="49" t="n"/>
      <c r="I693" s="49" t="n"/>
      <c r="J693" s="52" t="n"/>
      <c r="K693" s="45" t="n"/>
      <c r="L693" s="49" t="n"/>
    </row>
    <row r="694">
      <c r="A694" s="43">
        <f>IF($B694="","",COUNT($B$5:$B694))</f>
        <v/>
      </c>
      <c r="B694" s="44" t="n"/>
      <c r="C694" s="47">
        <f>IF($B694="","",CHOOSE(WEEKDAY($B694),"일","월","화","수","목","금","토"))</f>
        <v/>
      </c>
      <c r="D694" s="45" t="n"/>
      <c r="E694" s="47">
        <f>IF($D694="","",IFERROR(INDEX(코드설정!$D$5:$D$24,MATCH($D694,코드설정!$C$5:$C$24,0)),""))</f>
        <v/>
      </c>
      <c r="F694" s="45" t="n"/>
      <c r="G694" s="45" t="n"/>
      <c r="H694" s="49" t="n"/>
      <c r="I694" s="49" t="n"/>
      <c r="J694" s="52" t="n"/>
      <c r="K694" s="45" t="n"/>
      <c r="L694" s="49" t="n"/>
    </row>
    <row r="695">
      <c r="A695" s="43">
        <f>IF($B695="","",COUNT($B$5:$B695))</f>
        <v/>
      </c>
      <c r="B695" s="44" t="n"/>
      <c r="C695" s="47">
        <f>IF($B695="","",CHOOSE(WEEKDAY($B695),"일","월","화","수","목","금","토"))</f>
        <v/>
      </c>
      <c r="D695" s="45" t="n"/>
      <c r="E695" s="47">
        <f>IF($D695="","",IFERROR(INDEX(코드설정!$D$5:$D$24,MATCH($D695,코드설정!$C$5:$C$24,0)),""))</f>
        <v/>
      </c>
      <c r="F695" s="45" t="n"/>
      <c r="G695" s="45" t="n"/>
      <c r="H695" s="49" t="n"/>
      <c r="I695" s="49" t="n"/>
      <c r="J695" s="52" t="n"/>
      <c r="K695" s="45" t="n"/>
      <c r="L695" s="49" t="n"/>
    </row>
    <row r="696">
      <c r="A696" s="43">
        <f>IF($B696="","",COUNT($B$5:$B696))</f>
        <v/>
      </c>
      <c r="B696" s="44" t="n"/>
      <c r="C696" s="47">
        <f>IF($B696="","",CHOOSE(WEEKDAY($B696),"일","월","화","수","목","금","토"))</f>
        <v/>
      </c>
      <c r="D696" s="45" t="n"/>
      <c r="E696" s="47">
        <f>IF($D696="","",IFERROR(INDEX(코드설정!$D$5:$D$24,MATCH($D696,코드설정!$C$5:$C$24,0)),""))</f>
        <v/>
      </c>
      <c r="F696" s="45" t="n"/>
      <c r="G696" s="45" t="n"/>
      <c r="H696" s="49" t="n"/>
      <c r="I696" s="49" t="n"/>
      <c r="J696" s="52" t="n"/>
      <c r="K696" s="45" t="n"/>
      <c r="L696" s="49" t="n"/>
    </row>
    <row r="697">
      <c r="A697" s="43">
        <f>IF($B697="","",COUNT($B$5:$B697))</f>
        <v/>
      </c>
      <c r="B697" s="44" t="n"/>
      <c r="C697" s="47">
        <f>IF($B697="","",CHOOSE(WEEKDAY($B697),"일","월","화","수","목","금","토"))</f>
        <v/>
      </c>
      <c r="D697" s="45" t="n"/>
      <c r="E697" s="47">
        <f>IF($D697="","",IFERROR(INDEX(코드설정!$D$5:$D$24,MATCH($D697,코드설정!$C$5:$C$24,0)),""))</f>
        <v/>
      </c>
      <c r="F697" s="45" t="n"/>
      <c r="G697" s="45" t="n"/>
      <c r="H697" s="49" t="n"/>
      <c r="I697" s="49" t="n"/>
      <c r="J697" s="52" t="n"/>
      <c r="K697" s="45" t="n"/>
      <c r="L697" s="49" t="n"/>
    </row>
    <row r="698">
      <c r="A698" s="43">
        <f>IF($B698="","",COUNT($B$5:$B698))</f>
        <v/>
      </c>
      <c r="B698" s="44" t="n"/>
      <c r="C698" s="47">
        <f>IF($B698="","",CHOOSE(WEEKDAY($B698),"일","월","화","수","목","금","토"))</f>
        <v/>
      </c>
      <c r="D698" s="45" t="n"/>
      <c r="E698" s="47">
        <f>IF($D698="","",IFERROR(INDEX(코드설정!$D$5:$D$24,MATCH($D698,코드설정!$C$5:$C$24,0)),""))</f>
        <v/>
      </c>
      <c r="F698" s="45" t="n"/>
      <c r="G698" s="45" t="n"/>
      <c r="H698" s="49" t="n"/>
      <c r="I698" s="49" t="n"/>
      <c r="J698" s="52" t="n"/>
      <c r="K698" s="45" t="n"/>
      <c r="L698" s="49" t="n"/>
    </row>
    <row r="699">
      <c r="A699" s="43">
        <f>IF($B699="","",COUNT($B$5:$B699))</f>
        <v/>
      </c>
      <c r="B699" s="44" t="n"/>
      <c r="C699" s="47">
        <f>IF($B699="","",CHOOSE(WEEKDAY($B699),"일","월","화","수","목","금","토"))</f>
        <v/>
      </c>
      <c r="D699" s="45" t="n"/>
      <c r="E699" s="47">
        <f>IF($D699="","",IFERROR(INDEX(코드설정!$D$5:$D$24,MATCH($D699,코드설정!$C$5:$C$24,0)),""))</f>
        <v/>
      </c>
      <c r="F699" s="45" t="n"/>
      <c r="G699" s="45" t="n"/>
      <c r="H699" s="49" t="n"/>
      <c r="I699" s="49" t="n"/>
      <c r="J699" s="52" t="n"/>
      <c r="K699" s="45" t="n"/>
      <c r="L699" s="49" t="n"/>
    </row>
    <row r="700">
      <c r="A700" s="43">
        <f>IF($B700="","",COUNT($B$5:$B700))</f>
        <v/>
      </c>
      <c r="B700" s="44" t="n"/>
      <c r="C700" s="47">
        <f>IF($B700="","",CHOOSE(WEEKDAY($B700),"일","월","화","수","목","금","토"))</f>
        <v/>
      </c>
      <c r="D700" s="45" t="n"/>
      <c r="E700" s="47">
        <f>IF($D700="","",IFERROR(INDEX(코드설정!$D$5:$D$24,MATCH($D700,코드설정!$C$5:$C$24,0)),""))</f>
        <v/>
      </c>
      <c r="F700" s="45" t="n"/>
      <c r="G700" s="45" t="n"/>
      <c r="H700" s="49" t="n"/>
      <c r="I700" s="49" t="n"/>
      <c r="J700" s="52" t="n"/>
      <c r="K700" s="45" t="n"/>
      <c r="L700" s="49" t="n"/>
    </row>
    <row r="701">
      <c r="A701" s="43">
        <f>IF($B701="","",COUNT($B$5:$B701))</f>
        <v/>
      </c>
      <c r="B701" s="44" t="n"/>
      <c r="C701" s="47">
        <f>IF($B701="","",CHOOSE(WEEKDAY($B701),"일","월","화","수","목","금","토"))</f>
        <v/>
      </c>
      <c r="D701" s="45" t="n"/>
      <c r="E701" s="47">
        <f>IF($D701="","",IFERROR(INDEX(코드설정!$D$5:$D$24,MATCH($D701,코드설정!$C$5:$C$24,0)),""))</f>
        <v/>
      </c>
      <c r="F701" s="45" t="n"/>
      <c r="G701" s="45" t="n"/>
      <c r="H701" s="49" t="n"/>
      <c r="I701" s="49" t="n"/>
      <c r="J701" s="52" t="n"/>
      <c r="K701" s="45" t="n"/>
      <c r="L701" s="49" t="n"/>
    </row>
    <row r="702">
      <c r="A702" s="43">
        <f>IF($B702="","",COUNT($B$5:$B702))</f>
        <v/>
      </c>
      <c r="B702" s="44" t="n"/>
      <c r="C702" s="47">
        <f>IF($B702="","",CHOOSE(WEEKDAY($B702),"일","월","화","수","목","금","토"))</f>
        <v/>
      </c>
      <c r="D702" s="45" t="n"/>
      <c r="E702" s="47">
        <f>IF($D702="","",IFERROR(INDEX(코드설정!$D$5:$D$24,MATCH($D702,코드설정!$C$5:$C$24,0)),""))</f>
        <v/>
      </c>
      <c r="F702" s="45" t="n"/>
      <c r="G702" s="45" t="n"/>
      <c r="H702" s="49" t="n"/>
      <c r="I702" s="49" t="n"/>
      <c r="J702" s="52" t="n"/>
      <c r="K702" s="45" t="n"/>
      <c r="L702" s="49" t="n"/>
    </row>
    <row r="703">
      <c r="A703" s="43">
        <f>IF($B703="","",COUNT($B$5:$B703))</f>
        <v/>
      </c>
      <c r="B703" s="44" t="n"/>
      <c r="C703" s="47">
        <f>IF($B703="","",CHOOSE(WEEKDAY($B703),"일","월","화","수","목","금","토"))</f>
        <v/>
      </c>
      <c r="D703" s="45" t="n"/>
      <c r="E703" s="47">
        <f>IF($D703="","",IFERROR(INDEX(코드설정!$D$5:$D$24,MATCH($D703,코드설정!$C$5:$C$24,0)),""))</f>
        <v/>
      </c>
      <c r="F703" s="45" t="n"/>
      <c r="G703" s="45" t="n"/>
      <c r="H703" s="49" t="n"/>
      <c r="I703" s="49" t="n"/>
      <c r="J703" s="52" t="n"/>
      <c r="K703" s="45" t="n"/>
      <c r="L703" s="49" t="n"/>
    </row>
    <row r="704">
      <c r="A704" s="43">
        <f>IF($B704="","",COUNT($B$5:$B704))</f>
        <v/>
      </c>
      <c r="B704" s="44" t="n"/>
      <c r="C704" s="47">
        <f>IF($B704="","",CHOOSE(WEEKDAY($B704),"일","월","화","수","목","금","토"))</f>
        <v/>
      </c>
      <c r="D704" s="45" t="n"/>
      <c r="E704" s="47">
        <f>IF($D704="","",IFERROR(INDEX(코드설정!$D$5:$D$24,MATCH($D704,코드설정!$C$5:$C$24,0)),""))</f>
        <v/>
      </c>
      <c r="F704" s="45" t="n"/>
      <c r="G704" s="45" t="n"/>
      <c r="H704" s="49" t="n"/>
      <c r="I704" s="49" t="n"/>
      <c r="J704" s="52" t="n"/>
      <c r="K704" s="45" t="n"/>
      <c r="L704" s="49" t="n"/>
    </row>
    <row r="705">
      <c r="A705" s="43">
        <f>IF($B705="","",COUNT($B$5:$B705))</f>
        <v/>
      </c>
      <c r="B705" s="44" t="n"/>
      <c r="C705" s="47">
        <f>IF($B705="","",CHOOSE(WEEKDAY($B705),"일","월","화","수","목","금","토"))</f>
        <v/>
      </c>
      <c r="D705" s="45" t="n"/>
      <c r="E705" s="47">
        <f>IF($D705="","",IFERROR(INDEX(코드설정!$D$5:$D$24,MATCH($D705,코드설정!$C$5:$C$24,0)),""))</f>
        <v/>
      </c>
      <c r="F705" s="45" t="n"/>
      <c r="G705" s="45" t="n"/>
      <c r="H705" s="49" t="n"/>
      <c r="I705" s="49" t="n"/>
      <c r="J705" s="52" t="n"/>
      <c r="K705" s="45" t="n"/>
      <c r="L705" s="49" t="n"/>
    </row>
    <row r="706">
      <c r="A706" s="43">
        <f>IF($B706="","",COUNT($B$5:$B706))</f>
        <v/>
      </c>
      <c r="B706" s="44" t="n"/>
      <c r="C706" s="47">
        <f>IF($B706="","",CHOOSE(WEEKDAY($B706),"일","월","화","수","목","금","토"))</f>
        <v/>
      </c>
      <c r="D706" s="45" t="n"/>
      <c r="E706" s="47">
        <f>IF($D706="","",IFERROR(INDEX(코드설정!$D$5:$D$24,MATCH($D706,코드설정!$C$5:$C$24,0)),""))</f>
        <v/>
      </c>
      <c r="F706" s="45" t="n"/>
      <c r="G706" s="45" t="n"/>
      <c r="H706" s="49" t="n"/>
      <c r="I706" s="49" t="n"/>
      <c r="J706" s="52" t="n"/>
      <c r="K706" s="45" t="n"/>
      <c r="L706" s="49" t="n"/>
    </row>
    <row r="707">
      <c r="A707" s="43">
        <f>IF($B707="","",COUNT($B$5:$B707))</f>
        <v/>
      </c>
      <c r="B707" s="44" t="n"/>
      <c r="C707" s="47">
        <f>IF($B707="","",CHOOSE(WEEKDAY($B707),"일","월","화","수","목","금","토"))</f>
        <v/>
      </c>
      <c r="D707" s="45" t="n"/>
      <c r="E707" s="47">
        <f>IF($D707="","",IFERROR(INDEX(코드설정!$D$5:$D$24,MATCH($D707,코드설정!$C$5:$C$24,0)),""))</f>
        <v/>
      </c>
      <c r="F707" s="45" t="n"/>
      <c r="G707" s="45" t="n"/>
      <c r="H707" s="49" t="n"/>
      <c r="I707" s="49" t="n"/>
      <c r="J707" s="52" t="n"/>
      <c r="K707" s="45" t="n"/>
      <c r="L707" s="49" t="n"/>
    </row>
    <row r="708">
      <c r="A708" s="43">
        <f>IF($B708="","",COUNT($B$5:$B708))</f>
        <v/>
      </c>
      <c r="B708" s="44" t="n"/>
      <c r="C708" s="47">
        <f>IF($B708="","",CHOOSE(WEEKDAY($B708),"일","월","화","수","목","금","토"))</f>
        <v/>
      </c>
      <c r="D708" s="45" t="n"/>
      <c r="E708" s="47">
        <f>IF($D708="","",IFERROR(INDEX(코드설정!$D$5:$D$24,MATCH($D708,코드설정!$C$5:$C$24,0)),""))</f>
        <v/>
      </c>
      <c r="F708" s="45" t="n"/>
      <c r="G708" s="45" t="n"/>
      <c r="H708" s="49" t="n"/>
      <c r="I708" s="49" t="n"/>
      <c r="J708" s="52" t="n"/>
      <c r="K708" s="45" t="n"/>
      <c r="L708" s="49" t="n"/>
    </row>
    <row r="709">
      <c r="A709" s="43">
        <f>IF($B709="","",COUNT($B$5:$B709))</f>
        <v/>
      </c>
      <c r="B709" s="44" t="n"/>
      <c r="C709" s="47">
        <f>IF($B709="","",CHOOSE(WEEKDAY($B709),"일","월","화","수","목","금","토"))</f>
        <v/>
      </c>
      <c r="D709" s="45" t="n"/>
      <c r="E709" s="47">
        <f>IF($D709="","",IFERROR(INDEX(코드설정!$D$5:$D$24,MATCH($D709,코드설정!$C$5:$C$24,0)),""))</f>
        <v/>
      </c>
      <c r="F709" s="45" t="n"/>
      <c r="G709" s="45" t="n"/>
      <c r="H709" s="49" t="n"/>
      <c r="I709" s="49" t="n"/>
      <c r="J709" s="52" t="n"/>
      <c r="K709" s="45" t="n"/>
      <c r="L709" s="49" t="n"/>
    </row>
    <row r="710">
      <c r="A710" s="43">
        <f>IF($B710="","",COUNT($B$5:$B710))</f>
        <v/>
      </c>
      <c r="B710" s="44" t="n"/>
      <c r="C710" s="47">
        <f>IF($B710="","",CHOOSE(WEEKDAY($B710),"일","월","화","수","목","금","토"))</f>
        <v/>
      </c>
      <c r="D710" s="45" t="n"/>
      <c r="E710" s="47">
        <f>IF($D710="","",IFERROR(INDEX(코드설정!$D$5:$D$24,MATCH($D710,코드설정!$C$5:$C$24,0)),""))</f>
        <v/>
      </c>
      <c r="F710" s="45" t="n"/>
      <c r="G710" s="45" t="n"/>
      <c r="H710" s="49" t="n"/>
      <c r="I710" s="49" t="n"/>
      <c r="J710" s="52" t="n"/>
      <c r="K710" s="45" t="n"/>
      <c r="L710" s="49" t="n"/>
    </row>
    <row r="711">
      <c r="A711" s="43">
        <f>IF($B711="","",COUNT($B$5:$B711))</f>
        <v/>
      </c>
      <c r="B711" s="44" t="n"/>
      <c r="C711" s="47">
        <f>IF($B711="","",CHOOSE(WEEKDAY($B711),"일","월","화","수","목","금","토"))</f>
        <v/>
      </c>
      <c r="D711" s="45" t="n"/>
      <c r="E711" s="47">
        <f>IF($D711="","",IFERROR(INDEX(코드설정!$D$5:$D$24,MATCH($D711,코드설정!$C$5:$C$24,0)),""))</f>
        <v/>
      </c>
      <c r="F711" s="45" t="n"/>
      <c r="G711" s="45" t="n"/>
      <c r="H711" s="49" t="n"/>
      <c r="I711" s="49" t="n"/>
      <c r="J711" s="52" t="n"/>
      <c r="K711" s="45" t="n"/>
      <c r="L711" s="49" t="n"/>
    </row>
    <row r="712">
      <c r="A712" s="43">
        <f>IF($B712="","",COUNT($B$5:$B712))</f>
        <v/>
      </c>
      <c r="B712" s="44" t="n"/>
      <c r="C712" s="47">
        <f>IF($B712="","",CHOOSE(WEEKDAY($B712),"일","월","화","수","목","금","토"))</f>
        <v/>
      </c>
      <c r="D712" s="45" t="n"/>
      <c r="E712" s="47">
        <f>IF($D712="","",IFERROR(INDEX(코드설정!$D$5:$D$24,MATCH($D712,코드설정!$C$5:$C$24,0)),""))</f>
        <v/>
      </c>
      <c r="F712" s="45" t="n"/>
      <c r="G712" s="45" t="n"/>
      <c r="H712" s="49" t="n"/>
      <c r="I712" s="49" t="n"/>
      <c r="J712" s="52" t="n"/>
      <c r="K712" s="45" t="n"/>
      <c r="L712" s="49" t="n"/>
    </row>
    <row r="713">
      <c r="A713" s="43">
        <f>IF($B713="","",COUNT($B$5:$B713))</f>
        <v/>
      </c>
      <c r="B713" s="44" t="n"/>
      <c r="C713" s="47">
        <f>IF($B713="","",CHOOSE(WEEKDAY($B713),"일","월","화","수","목","금","토"))</f>
        <v/>
      </c>
      <c r="D713" s="45" t="n"/>
      <c r="E713" s="47">
        <f>IF($D713="","",IFERROR(INDEX(코드설정!$D$5:$D$24,MATCH($D713,코드설정!$C$5:$C$24,0)),""))</f>
        <v/>
      </c>
      <c r="F713" s="45" t="n"/>
      <c r="G713" s="45" t="n"/>
      <c r="H713" s="49" t="n"/>
      <c r="I713" s="49" t="n"/>
      <c r="J713" s="52" t="n"/>
      <c r="K713" s="45" t="n"/>
      <c r="L713" s="49" t="n"/>
    </row>
    <row r="714">
      <c r="A714" s="43">
        <f>IF($B714="","",COUNT($B$5:$B714))</f>
        <v/>
      </c>
      <c r="B714" s="44" t="n"/>
      <c r="C714" s="47">
        <f>IF($B714="","",CHOOSE(WEEKDAY($B714),"일","월","화","수","목","금","토"))</f>
        <v/>
      </c>
      <c r="D714" s="45" t="n"/>
      <c r="E714" s="47">
        <f>IF($D714="","",IFERROR(INDEX(코드설정!$D$5:$D$24,MATCH($D714,코드설정!$C$5:$C$24,0)),""))</f>
        <v/>
      </c>
      <c r="F714" s="45" t="n"/>
      <c r="G714" s="45" t="n"/>
      <c r="H714" s="49" t="n"/>
      <c r="I714" s="49" t="n"/>
      <c r="J714" s="52" t="n"/>
      <c r="K714" s="45" t="n"/>
      <c r="L714" s="49" t="n"/>
    </row>
    <row r="715">
      <c r="A715" s="43">
        <f>IF($B715="","",COUNT($B$5:$B715))</f>
        <v/>
      </c>
      <c r="B715" s="44" t="n"/>
      <c r="C715" s="47">
        <f>IF($B715="","",CHOOSE(WEEKDAY($B715),"일","월","화","수","목","금","토"))</f>
        <v/>
      </c>
      <c r="D715" s="45" t="n"/>
      <c r="E715" s="47">
        <f>IF($D715="","",IFERROR(INDEX(코드설정!$D$5:$D$24,MATCH($D715,코드설정!$C$5:$C$24,0)),""))</f>
        <v/>
      </c>
      <c r="F715" s="45" t="n"/>
      <c r="G715" s="45" t="n"/>
      <c r="H715" s="49" t="n"/>
      <c r="I715" s="49" t="n"/>
      <c r="J715" s="52" t="n"/>
      <c r="K715" s="45" t="n"/>
      <c r="L715" s="49" t="n"/>
    </row>
    <row r="716">
      <c r="A716" s="43">
        <f>IF($B716="","",COUNT($B$5:$B716))</f>
        <v/>
      </c>
      <c r="B716" s="44" t="n"/>
      <c r="C716" s="47">
        <f>IF($B716="","",CHOOSE(WEEKDAY($B716),"일","월","화","수","목","금","토"))</f>
        <v/>
      </c>
      <c r="D716" s="45" t="n"/>
      <c r="E716" s="47">
        <f>IF($D716="","",IFERROR(INDEX(코드설정!$D$5:$D$24,MATCH($D716,코드설정!$C$5:$C$24,0)),""))</f>
        <v/>
      </c>
      <c r="F716" s="45" t="n"/>
      <c r="G716" s="45" t="n"/>
      <c r="H716" s="49" t="n"/>
      <c r="I716" s="49" t="n"/>
      <c r="J716" s="52" t="n"/>
      <c r="K716" s="45" t="n"/>
      <c r="L716" s="49" t="n"/>
    </row>
    <row r="717">
      <c r="A717" s="43">
        <f>IF($B717="","",COUNT($B$5:$B717))</f>
        <v/>
      </c>
      <c r="B717" s="44" t="n"/>
      <c r="C717" s="47">
        <f>IF($B717="","",CHOOSE(WEEKDAY($B717),"일","월","화","수","목","금","토"))</f>
        <v/>
      </c>
      <c r="D717" s="45" t="n"/>
      <c r="E717" s="47">
        <f>IF($D717="","",IFERROR(INDEX(코드설정!$D$5:$D$24,MATCH($D717,코드설정!$C$5:$C$24,0)),""))</f>
        <v/>
      </c>
      <c r="F717" s="45" t="n"/>
      <c r="G717" s="45" t="n"/>
      <c r="H717" s="49" t="n"/>
      <c r="I717" s="49" t="n"/>
      <c r="J717" s="52" t="n"/>
      <c r="K717" s="45" t="n"/>
      <c r="L717" s="49" t="n"/>
    </row>
    <row r="718">
      <c r="A718" s="43">
        <f>IF($B718="","",COUNT($B$5:$B718))</f>
        <v/>
      </c>
      <c r="B718" s="44" t="n"/>
      <c r="C718" s="47">
        <f>IF($B718="","",CHOOSE(WEEKDAY($B718),"일","월","화","수","목","금","토"))</f>
        <v/>
      </c>
      <c r="D718" s="45" t="n"/>
      <c r="E718" s="47">
        <f>IF($D718="","",IFERROR(INDEX(코드설정!$D$5:$D$24,MATCH($D718,코드설정!$C$5:$C$24,0)),""))</f>
        <v/>
      </c>
      <c r="F718" s="45" t="n"/>
      <c r="G718" s="45" t="n"/>
      <c r="H718" s="49" t="n"/>
      <c r="I718" s="49" t="n"/>
      <c r="J718" s="52" t="n"/>
      <c r="K718" s="45" t="n"/>
      <c r="L718" s="49" t="n"/>
    </row>
    <row r="719">
      <c r="A719" s="43">
        <f>IF($B719="","",COUNT($B$5:$B719))</f>
        <v/>
      </c>
      <c r="B719" s="44" t="n"/>
      <c r="C719" s="47">
        <f>IF($B719="","",CHOOSE(WEEKDAY($B719),"일","월","화","수","목","금","토"))</f>
        <v/>
      </c>
      <c r="D719" s="45" t="n"/>
      <c r="E719" s="47">
        <f>IF($D719="","",IFERROR(INDEX(코드설정!$D$5:$D$24,MATCH($D719,코드설정!$C$5:$C$24,0)),""))</f>
        <v/>
      </c>
      <c r="F719" s="45" t="n"/>
      <c r="G719" s="45" t="n"/>
      <c r="H719" s="49" t="n"/>
      <c r="I719" s="49" t="n"/>
      <c r="J719" s="52" t="n"/>
      <c r="K719" s="45" t="n"/>
      <c r="L719" s="49" t="n"/>
    </row>
    <row r="720">
      <c r="A720" s="43">
        <f>IF($B720="","",COUNT($B$5:$B720))</f>
        <v/>
      </c>
      <c r="B720" s="44" t="n"/>
      <c r="C720" s="47">
        <f>IF($B720="","",CHOOSE(WEEKDAY($B720),"일","월","화","수","목","금","토"))</f>
        <v/>
      </c>
      <c r="D720" s="45" t="n"/>
      <c r="E720" s="47">
        <f>IF($D720="","",IFERROR(INDEX(코드설정!$D$5:$D$24,MATCH($D720,코드설정!$C$5:$C$24,0)),""))</f>
        <v/>
      </c>
      <c r="F720" s="45" t="n"/>
      <c r="G720" s="45" t="n"/>
      <c r="H720" s="49" t="n"/>
      <c r="I720" s="49" t="n"/>
      <c r="J720" s="52" t="n"/>
      <c r="K720" s="45" t="n"/>
      <c r="L720" s="49" t="n"/>
    </row>
    <row r="721">
      <c r="A721" s="43">
        <f>IF($B721="","",COUNT($B$5:$B721))</f>
        <v/>
      </c>
      <c r="B721" s="44" t="n"/>
      <c r="C721" s="47">
        <f>IF($B721="","",CHOOSE(WEEKDAY($B721),"일","월","화","수","목","금","토"))</f>
        <v/>
      </c>
      <c r="D721" s="45" t="n"/>
      <c r="E721" s="47">
        <f>IF($D721="","",IFERROR(INDEX(코드설정!$D$5:$D$24,MATCH($D721,코드설정!$C$5:$C$24,0)),""))</f>
        <v/>
      </c>
      <c r="F721" s="45" t="n"/>
      <c r="G721" s="45" t="n"/>
      <c r="H721" s="49" t="n"/>
      <c r="I721" s="49" t="n"/>
      <c r="J721" s="52" t="n"/>
      <c r="K721" s="45" t="n"/>
      <c r="L721" s="49" t="n"/>
    </row>
    <row r="722">
      <c r="A722" s="43">
        <f>IF($B722="","",COUNT($B$5:$B722))</f>
        <v/>
      </c>
      <c r="B722" s="44" t="n"/>
      <c r="C722" s="47">
        <f>IF($B722="","",CHOOSE(WEEKDAY($B722),"일","월","화","수","목","금","토"))</f>
        <v/>
      </c>
      <c r="D722" s="45" t="n"/>
      <c r="E722" s="47">
        <f>IF($D722="","",IFERROR(INDEX(코드설정!$D$5:$D$24,MATCH($D722,코드설정!$C$5:$C$24,0)),""))</f>
        <v/>
      </c>
      <c r="F722" s="45" t="n"/>
      <c r="G722" s="45" t="n"/>
      <c r="H722" s="49" t="n"/>
      <c r="I722" s="49" t="n"/>
      <c r="J722" s="52" t="n"/>
      <c r="K722" s="45" t="n"/>
      <c r="L722" s="49" t="n"/>
    </row>
    <row r="723">
      <c r="A723" s="43">
        <f>IF($B723="","",COUNT($B$5:$B723))</f>
        <v/>
      </c>
      <c r="B723" s="44" t="n"/>
      <c r="C723" s="47">
        <f>IF($B723="","",CHOOSE(WEEKDAY($B723),"일","월","화","수","목","금","토"))</f>
        <v/>
      </c>
      <c r="D723" s="45" t="n"/>
      <c r="E723" s="47">
        <f>IF($D723="","",IFERROR(INDEX(코드설정!$D$5:$D$24,MATCH($D723,코드설정!$C$5:$C$24,0)),""))</f>
        <v/>
      </c>
      <c r="F723" s="45" t="n"/>
      <c r="G723" s="45" t="n"/>
      <c r="H723" s="49" t="n"/>
      <c r="I723" s="49" t="n"/>
      <c r="J723" s="52" t="n"/>
      <c r="K723" s="45" t="n"/>
      <c r="L723" s="49" t="n"/>
    </row>
    <row r="724">
      <c r="A724" s="43">
        <f>IF($B724="","",COUNT($B$5:$B724))</f>
        <v/>
      </c>
      <c r="B724" s="44" t="n"/>
      <c r="C724" s="47">
        <f>IF($B724="","",CHOOSE(WEEKDAY($B724),"일","월","화","수","목","금","토"))</f>
        <v/>
      </c>
      <c r="D724" s="45" t="n"/>
      <c r="E724" s="47">
        <f>IF($D724="","",IFERROR(INDEX(코드설정!$D$5:$D$24,MATCH($D724,코드설정!$C$5:$C$24,0)),""))</f>
        <v/>
      </c>
      <c r="F724" s="45" t="n"/>
      <c r="G724" s="45" t="n"/>
      <c r="H724" s="49" t="n"/>
      <c r="I724" s="49" t="n"/>
      <c r="J724" s="52" t="n"/>
      <c r="K724" s="45" t="n"/>
      <c r="L724" s="49" t="n"/>
    </row>
    <row r="725">
      <c r="A725" s="43">
        <f>IF($B725="","",COUNT($B$5:$B725))</f>
        <v/>
      </c>
      <c r="B725" s="44" t="n"/>
      <c r="C725" s="47">
        <f>IF($B725="","",CHOOSE(WEEKDAY($B725),"일","월","화","수","목","금","토"))</f>
        <v/>
      </c>
      <c r="D725" s="45" t="n"/>
      <c r="E725" s="47">
        <f>IF($D725="","",IFERROR(INDEX(코드설정!$D$5:$D$24,MATCH($D725,코드설정!$C$5:$C$24,0)),""))</f>
        <v/>
      </c>
      <c r="F725" s="45" t="n"/>
      <c r="G725" s="45" t="n"/>
      <c r="H725" s="49" t="n"/>
      <c r="I725" s="49" t="n"/>
      <c r="J725" s="52" t="n"/>
      <c r="K725" s="45" t="n"/>
      <c r="L725" s="49" t="n"/>
    </row>
    <row r="726">
      <c r="A726" s="43">
        <f>IF($B726="","",COUNT($B$5:$B726))</f>
        <v/>
      </c>
      <c r="B726" s="44" t="n"/>
      <c r="C726" s="47">
        <f>IF($B726="","",CHOOSE(WEEKDAY($B726),"일","월","화","수","목","금","토"))</f>
        <v/>
      </c>
      <c r="D726" s="45" t="n"/>
      <c r="E726" s="47">
        <f>IF($D726="","",IFERROR(INDEX(코드설정!$D$5:$D$24,MATCH($D726,코드설정!$C$5:$C$24,0)),""))</f>
        <v/>
      </c>
      <c r="F726" s="45" t="n"/>
      <c r="G726" s="45" t="n"/>
      <c r="H726" s="49" t="n"/>
      <c r="I726" s="49" t="n"/>
      <c r="J726" s="52" t="n"/>
      <c r="K726" s="45" t="n"/>
      <c r="L726" s="49" t="n"/>
    </row>
    <row r="727">
      <c r="A727" s="43">
        <f>IF($B727="","",COUNT($B$5:$B727))</f>
        <v/>
      </c>
      <c r="B727" s="44" t="n"/>
      <c r="C727" s="47">
        <f>IF($B727="","",CHOOSE(WEEKDAY($B727),"일","월","화","수","목","금","토"))</f>
        <v/>
      </c>
      <c r="D727" s="45" t="n"/>
      <c r="E727" s="47">
        <f>IF($D727="","",IFERROR(INDEX(코드설정!$D$5:$D$24,MATCH($D727,코드설정!$C$5:$C$24,0)),""))</f>
        <v/>
      </c>
      <c r="F727" s="45" t="n"/>
      <c r="G727" s="45" t="n"/>
      <c r="H727" s="49" t="n"/>
      <c r="I727" s="49" t="n"/>
      <c r="J727" s="52" t="n"/>
      <c r="K727" s="45" t="n"/>
      <c r="L727" s="49" t="n"/>
    </row>
    <row r="728">
      <c r="A728" s="43">
        <f>IF($B728="","",COUNT($B$5:$B728))</f>
        <v/>
      </c>
      <c r="B728" s="44" t="n"/>
      <c r="C728" s="47">
        <f>IF($B728="","",CHOOSE(WEEKDAY($B728),"일","월","화","수","목","금","토"))</f>
        <v/>
      </c>
      <c r="D728" s="45" t="n"/>
      <c r="E728" s="47">
        <f>IF($D728="","",IFERROR(INDEX(코드설정!$D$5:$D$24,MATCH($D728,코드설정!$C$5:$C$24,0)),""))</f>
        <v/>
      </c>
      <c r="F728" s="45" t="n"/>
      <c r="G728" s="45" t="n"/>
      <c r="H728" s="49" t="n"/>
      <c r="I728" s="49" t="n"/>
      <c r="J728" s="52" t="n"/>
      <c r="K728" s="45" t="n"/>
      <c r="L728" s="49" t="n"/>
    </row>
    <row r="729">
      <c r="A729" s="43">
        <f>IF($B729="","",COUNT($B$5:$B729))</f>
        <v/>
      </c>
      <c r="B729" s="44" t="n"/>
      <c r="C729" s="47">
        <f>IF($B729="","",CHOOSE(WEEKDAY($B729),"일","월","화","수","목","금","토"))</f>
        <v/>
      </c>
      <c r="D729" s="45" t="n"/>
      <c r="E729" s="47">
        <f>IF($D729="","",IFERROR(INDEX(코드설정!$D$5:$D$24,MATCH($D729,코드설정!$C$5:$C$24,0)),""))</f>
        <v/>
      </c>
      <c r="F729" s="45" t="n"/>
      <c r="G729" s="45" t="n"/>
      <c r="H729" s="49" t="n"/>
      <c r="I729" s="49" t="n"/>
      <c r="J729" s="52" t="n"/>
      <c r="K729" s="45" t="n"/>
      <c r="L729" s="49" t="n"/>
    </row>
    <row r="730">
      <c r="A730" s="43">
        <f>IF($B730="","",COUNT($B$5:$B730))</f>
        <v/>
      </c>
      <c r="B730" s="44" t="n"/>
      <c r="C730" s="47">
        <f>IF($B730="","",CHOOSE(WEEKDAY($B730),"일","월","화","수","목","금","토"))</f>
        <v/>
      </c>
      <c r="D730" s="45" t="n"/>
      <c r="E730" s="47">
        <f>IF($D730="","",IFERROR(INDEX(코드설정!$D$5:$D$24,MATCH($D730,코드설정!$C$5:$C$24,0)),""))</f>
        <v/>
      </c>
      <c r="F730" s="45" t="n"/>
      <c r="G730" s="45" t="n"/>
      <c r="H730" s="49" t="n"/>
      <c r="I730" s="49" t="n"/>
      <c r="J730" s="52" t="n"/>
      <c r="K730" s="45" t="n"/>
      <c r="L730" s="49" t="n"/>
    </row>
    <row r="731">
      <c r="A731" s="43">
        <f>IF($B731="","",COUNT($B$5:$B731))</f>
        <v/>
      </c>
      <c r="B731" s="44" t="n"/>
      <c r="C731" s="47">
        <f>IF($B731="","",CHOOSE(WEEKDAY($B731),"일","월","화","수","목","금","토"))</f>
        <v/>
      </c>
      <c r="D731" s="45" t="n"/>
      <c r="E731" s="47">
        <f>IF($D731="","",IFERROR(INDEX(코드설정!$D$5:$D$24,MATCH($D731,코드설정!$C$5:$C$24,0)),""))</f>
        <v/>
      </c>
      <c r="F731" s="45" t="n"/>
      <c r="G731" s="45" t="n"/>
      <c r="H731" s="49" t="n"/>
      <c r="I731" s="49" t="n"/>
      <c r="J731" s="52" t="n"/>
      <c r="K731" s="45" t="n"/>
      <c r="L731" s="49" t="n"/>
    </row>
    <row r="732">
      <c r="A732" s="43">
        <f>IF($B732="","",COUNT($B$5:$B732))</f>
        <v/>
      </c>
      <c r="B732" s="44" t="n"/>
      <c r="C732" s="47">
        <f>IF($B732="","",CHOOSE(WEEKDAY($B732),"일","월","화","수","목","금","토"))</f>
        <v/>
      </c>
      <c r="D732" s="45" t="n"/>
      <c r="E732" s="47">
        <f>IF($D732="","",IFERROR(INDEX(코드설정!$D$5:$D$24,MATCH($D732,코드설정!$C$5:$C$24,0)),""))</f>
        <v/>
      </c>
      <c r="F732" s="45" t="n"/>
      <c r="G732" s="45" t="n"/>
      <c r="H732" s="49" t="n"/>
      <c r="I732" s="49" t="n"/>
      <c r="J732" s="52" t="n"/>
      <c r="K732" s="45" t="n"/>
      <c r="L732" s="49" t="n"/>
    </row>
    <row r="733">
      <c r="A733" s="43">
        <f>IF($B733="","",COUNT($B$5:$B733))</f>
        <v/>
      </c>
      <c r="B733" s="44" t="n"/>
      <c r="C733" s="47">
        <f>IF($B733="","",CHOOSE(WEEKDAY($B733),"일","월","화","수","목","금","토"))</f>
        <v/>
      </c>
      <c r="D733" s="45" t="n"/>
      <c r="E733" s="47">
        <f>IF($D733="","",IFERROR(INDEX(코드설정!$D$5:$D$24,MATCH($D733,코드설정!$C$5:$C$24,0)),""))</f>
        <v/>
      </c>
      <c r="F733" s="45" t="n"/>
      <c r="G733" s="45" t="n"/>
      <c r="H733" s="49" t="n"/>
      <c r="I733" s="49" t="n"/>
      <c r="J733" s="52" t="n"/>
      <c r="K733" s="45" t="n"/>
      <c r="L733" s="49" t="n"/>
    </row>
    <row r="734">
      <c r="A734" s="43">
        <f>IF($B734="","",COUNT($B$5:$B734))</f>
        <v/>
      </c>
      <c r="B734" s="44" t="n"/>
      <c r="C734" s="47">
        <f>IF($B734="","",CHOOSE(WEEKDAY($B734),"일","월","화","수","목","금","토"))</f>
        <v/>
      </c>
      <c r="D734" s="45" t="n"/>
      <c r="E734" s="47">
        <f>IF($D734="","",IFERROR(INDEX(코드설정!$D$5:$D$24,MATCH($D734,코드설정!$C$5:$C$24,0)),""))</f>
        <v/>
      </c>
      <c r="F734" s="45" t="n"/>
      <c r="G734" s="45" t="n"/>
      <c r="H734" s="49" t="n"/>
      <c r="I734" s="49" t="n"/>
      <c r="J734" s="52" t="n"/>
      <c r="K734" s="45" t="n"/>
      <c r="L734" s="49" t="n"/>
    </row>
    <row r="735">
      <c r="A735" s="43">
        <f>IF($B735="","",COUNT($B$5:$B735))</f>
        <v/>
      </c>
      <c r="B735" s="44" t="n"/>
      <c r="C735" s="47">
        <f>IF($B735="","",CHOOSE(WEEKDAY($B735),"일","월","화","수","목","금","토"))</f>
        <v/>
      </c>
      <c r="D735" s="45" t="n"/>
      <c r="E735" s="47">
        <f>IF($D735="","",IFERROR(INDEX(코드설정!$D$5:$D$24,MATCH($D735,코드설정!$C$5:$C$24,0)),""))</f>
        <v/>
      </c>
      <c r="F735" s="45" t="n"/>
      <c r="G735" s="45" t="n"/>
      <c r="H735" s="49" t="n"/>
      <c r="I735" s="49" t="n"/>
      <c r="J735" s="52" t="n"/>
      <c r="K735" s="45" t="n"/>
      <c r="L735" s="49" t="n"/>
    </row>
    <row r="736">
      <c r="A736" s="43">
        <f>IF($B736="","",COUNT($B$5:$B736))</f>
        <v/>
      </c>
      <c r="B736" s="44" t="n"/>
      <c r="C736" s="47">
        <f>IF($B736="","",CHOOSE(WEEKDAY($B736),"일","월","화","수","목","금","토"))</f>
        <v/>
      </c>
      <c r="D736" s="45" t="n"/>
      <c r="E736" s="47">
        <f>IF($D736="","",IFERROR(INDEX(코드설정!$D$5:$D$24,MATCH($D736,코드설정!$C$5:$C$24,0)),""))</f>
        <v/>
      </c>
      <c r="F736" s="45" t="n"/>
      <c r="G736" s="45" t="n"/>
      <c r="H736" s="49" t="n"/>
      <c r="I736" s="49" t="n"/>
      <c r="J736" s="52" t="n"/>
      <c r="K736" s="45" t="n"/>
      <c r="L736" s="49" t="n"/>
    </row>
    <row r="737">
      <c r="A737" s="43">
        <f>IF($B737="","",COUNT($B$5:$B737))</f>
        <v/>
      </c>
      <c r="B737" s="44" t="n"/>
      <c r="C737" s="47">
        <f>IF($B737="","",CHOOSE(WEEKDAY($B737),"일","월","화","수","목","금","토"))</f>
        <v/>
      </c>
      <c r="D737" s="45" t="n"/>
      <c r="E737" s="47">
        <f>IF($D737="","",IFERROR(INDEX(코드설정!$D$5:$D$24,MATCH($D737,코드설정!$C$5:$C$24,0)),""))</f>
        <v/>
      </c>
      <c r="F737" s="45" t="n"/>
      <c r="G737" s="45" t="n"/>
      <c r="H737" s="49" t="n"/>
      <c r="I737" s="49" t="n"/>
      <c r="J737" s="52" t="n"/>
      <c r="K737" s="45" t="n"/>
      <c r="L737" s="49" t="n"/>
    </row>
    <row r="738">
      <c r="A738" s="43">
        <f>IF($B738="","",COUNT($B$5:$B738))</f>
        <v/>
      </c>
      <c r="B738" s="44" t="n"/>
      <c r="C738" s="47">
        <f>IF($B738="","",CHOOSE(WEEKDAY($B738),"일","월","화","수","목","금","토"))</f>
        <v/>
      </c>
      <c r="D738" s="45" t="n"/>
      <c r="E738" s="47">
        <f>IF($D738="","",IFERROR(INDEX(코드설정!$D$5:$D$24,MATCH($D738,코드설정!$C$5:$C$24,0)),""))</f>
        <v/>
      </c>
      <c r="F738" s="45" t="n"/>
      <c r="G738" s="45" t="n"/>
      <c r="H738" s="49" t="n"/>
      <c r="I738" s="49" t="n"/>
      <c r="J738" s="52" t="n"/>
      <c r="K738" s="45" t="n"/>
      <c r="L738" s="49" t="n"/>
    </row>
    <row r="739">
      <c r="A739" s="43">
        <f>IF($B739="","",COUNT($B$5:$B739))</f>
        <v/>
      </c>
      <c r="B739" s="44" t="n"/>
      <c r="C739" s="47">
        <f>IF($B739="","",CHOOSE(WEEKDAY($B739),"일","월","화","수","목","금","토"))</f>
        <v/>
      </c>
      <c r="D739" s="45" t="n"/>
      <c r="E739" s="47">
        <f>IF($D739="","",IFERROR(INDEX(코드설정!$D$5:$D$24,MATCH($D739,코드설정!$C$5:$C$24,0)),""))</f>
        <v/>
      </c>
      <c r="F739" s="45" t="n"/>
      <c r="G739" s="45" t="n"/>
      <c r="H739" s="49" t="n"/>
      <c r="I739" s="49" t="n"/>
      <c r="J739" s="52" t="n"/>
      <c r="K739" s="45" t="n"/>
      <c r="L739" s="49" t="n"/>
    </row>
    <row r="740">
      <c r="A740" s="43">
        <f>IF($B740="","",COUNT($B$5:$B740))</f>
        <v/>
      </c>
      <c r="B740" s="44" t="n"/>
      <c r="C740" s="47">
        <f>IF($B740="","",CHOOSE(WEEKDAY($B740),"일","월","화","수","목","금","토"))</f>
        <v/>
      </c>
      <c r="D740" s="45" t="n"/>
      <c r="E740" s="47">
        <f>IF($D740="","",IFERROR(INDEX(코드설정!$D$5:$D$24,MATCH($D740,코드설정!$C$5:$C$24,0)),""))</f>
        <v/>
      </c>
      <c r="F740" s="45" t="n"/>
      <c r="G740" s="45" t="n"/>
      <c r="H740" s="49" t="n"/>
      <c r="I740" s="49" t="n"/>
      <c r="J740" s="52" t="n"/>
      <c r="K740" s="45" t="n"/>
      <c r="L740" s="49" t="n"/>
    </row>
    <row r="741">
      <c r="A741" s="43">
        <f>IF($B741="","",COUNT($B$5:$B741))</f>
        <v/>
      </c>
      <c r="B741" s="44" t="n"/>
      <c r="C741" s="47">
        <f>IF($B741="","",CHOOSE(WEEKDAY($B741),"일","월","화","수","목","금","토"))</f>
        <v/>
      </c>
      <c r="D741" s="45" t="n"/>
      <c r="E741" s="47">
        <f>IF($D741="","",IFERROR(INDEX(코드설정!$D$5:$D$24,MATCH($D741,코드설정!$C$5:$C$24,0)),""))</f>
        <v/>
      </c>
      <c r="F741" s="45" t="n"/>
      <c r="G741" s="45" t="n"/>
      <c r="H741" s="49" t="n"/>
      <c r="I741" s="49" t="n"/>
      <c r="J741" s="52" t="n"/>
      <c r="K741" s="45" t="n"/>
      <c r="L741" s="49" t="n"/>
    </row>
    <row r="742">
      <c r="A742" s="43">
        <f>IF($B742="","",COUNT($B$5:$B742))</f>
        <v/>
      </c>
      <c r="B742" s="44" t="n"/>
      <c r="C742" s="47">
        <f>IF($B742="","",CHOOSE(WEEKDAY($B742),"일","월","화","수","목","금","토"))</f>
        <v/>
      </c>
      <c r="D742" s="45" t="n"/>
      <c r="E742" s="47">
        <f>IF($D742="","",IFERROR(INDEX(코드설정!$D$5:$D$24,MATCH($D742,코드설정!$C$5:$C$24,0)),""))</f>
        <v/>
      </c>
      <c r="F742" s="45" t="n"/>
      <c r="G742" s="45" t="n"/>
      <c r="H742" s="49" t="n"/>
      <c r="I742" s="49" t="n"/>
      <c r="J742" s="52" t="n"/>
      <c r="K742" s="45" t="n"/>
      <c r="L742" s="49" t="n"/>
    </row>
    <row r="743">
      <c r="A743" s="43">
        <f>IF($B743="","",COUNT($B$5:$B743))</f>
        <v/>
      </c>
      <c r="B743" s="44" t="n"/>
      <c r="C743" s="47">
        <f>IF($B743="","",CHOOSE(WEEKDAY($B743),"일","월","화","수","목","금","토"))</f>
        <v/>
      </c>
      <c r="D743" s="45" t="n"/>
      <c r="E743" s="47">
        <f>IF($D743="","",IFERROR(INDEX(코드설정!$D$5:$D$24,MATCH($D743,코드설정!$C$5:$C$24,0)),""))</f>
        <v/>
      </c>
      <c r="F743" s="45" t="n"/>
      <c r="G743" s="45" t="n"/>
      <c r="H743" s="49" t="n"/>
      <c r="I743" s="49" t="n"/>
      <c r="J743" s="52" t="n"/>
      <c r="K743" s="45" t="n"/>
      <c r="L743" s="49" t="n"/>
    </row>
    <row r="744">
      <c r="A744" s="43">
        <f>IF($B744="","",COUNT($B$5:$B744))</f>
        <v/>
      </c>
      <c r="B744" s="44" t="n"/>
      <c r="C744" s="47">
        <f>IF($B744="","",CHOOSE(WEEKDAY($B744),"일","월","화","수","목","금","토"))</f>
        <v/>
      </c>
      <c r="D744" s="45" t="n"/>
      <c r="E744" s="47">
        <f>IF($D744="","",IFERROR(INDEX(코드설정!$D$5:$D$24,MATCH($D744,코드설정!$C$5:$C$24,0)),""))</f>
        <v/>
      </c>
      <c r="F744" s="45" t="n"/>
      <c r="G744" s="45" t="n"/>
      <c r="H744" s="49" t="n"/>
      <c r="I744" s="49" t="n"/>
      <c r="J744" s="52" t="n"/>
      <c r="K744" s="45" t="n"/>
      <c r="L744" s="49" t="n"/>
    </row>
    <row r="745">
      <c r="A745" s="43">
        <f>IF($B745="","",COUNT($B$5:$B745))</f>
        <v/>
      </c>
      <c r="B745" s="44" t="n"/>
      <c r="C745" s="47">
        <f>IF($B745="","",CHOOSE(WEEKDAY($B745),"일","월","화","수","목","금","토"))</f>
        <v/>
      </c>
      <c r="D745" s="45" t="n"/>
      <c r="E745" s="47">
        <f>IF($D745="","",IFERROR(INDEX(코드설정!$D$5:$D$24,MATCH($D745,코드설정!$C$5:$C$24,0)),""))</f>
        <v/>
      </c>
      <c r="F745" s="45" t="n"/>
      <c r="G745" s="45" t="n"/>
      <c r="H745" s="49" t="n"/>
      <c r="I745" s="49" t="n"/>
      <c r="J745" s="52" t="n"/>
      <c r="K745" s="45" t="n"/>
      <c r="L745" s="49" t="n"/>
    </row>
    <row r="746">
      <c r="A746" s="43">
        <f>IF($B746="","",COUNT($B$5:$B746))</f>
        <v/>
      </c>
      <c r="B746" s="44" t="n"/>
      <c r="C746" s="47">
        <f>IF($B746="","",CHOOSE(WEEKDAY($B746),"일","월","화","수","목","금","토"))</f>
        <v/>
      </c>
      <c r="D746" s="45" t="n"/>
      <c r="E746" s="47">
        <f>IF($D746="","",IFERROR(INDEX(코드설정!$D$5:$D$24,MATCH($D746,코드설정!$C$5:$C$24,0)),""))</f>
        <v/>
      </c>
      <c r="F746" s="45" t="n"/>
      <c r="G746" s="45" t="n"/>
      <c r="H746" s="49" t="n"/>
      <c r="I746" s="49" t="n"/>
      <c r="J746" s="52" t="n"/>
      <c r="K746" s="45" t="n"/>
      <c r="L746" s="49" t="n"/>
    </row>
    <row r="747">
      <c r="A747" s="43">
        <f>IF($B747="","",COUNT($B$5:$B747))</f>
        <v/>
      </c>
      <c r="B747" s="44" t="n"/>
      <c r="C747" s="47">
        <f>IF($B747="","",CHOOSE(WEEKDAY($B747),"일","월","화","수","목","금","토"))</f>
        <v/>
      </c>
      <c r="D747" s="45" t="n"/>
      <c r="E747" s="47">
        <f>IF($D747="","",IFERROR(INDEX(코드설정!$D$5:$D$24,MATCH($D747,코드설정!$C$5:$C$24,0)),""))</f>
        <v/>
      </c>
      <c r="F747" s="45" t="n"/>
      <c r="G747" s="45" t="n"/>
      <c r="H747" s="49" t="n"/>
      <c r="I747" s="49" t="n"/>
      <c r="J747" s="52" t="n"/>
      <c r="K747" s="45" t="n"/>
      <c r="L747" s="49" t="n"/>
    </row>
    <row r="748">
      <c r="A748" s="43">
        <f>IF($B748="","",COUNT($B$5:$B748))</f>
        <v/>
      </c>
      <c r="B748" s="44" t="n"/>
      <c r="C748" s="47">
        <f>IF($B748="","",CHOOSE(WEEKDAY($B748),"일","월","화","수","목","금","토"))</f>
        <v/>
      </c>
      <c r="D748" s="45" t="n"/>
      <c r="E748" s="47">
        <f>IF($D748="","",IFERROR(INDEX(코드설정!$D$5:$D$24,MATCH($D748,코드설정!$C$5:$C$24,0)),""))</f>
        <v/>
      </c>
      <c r="F748" s="45" t="n"/>
      <c r="G748" s="45" t="n"/>
      <c r="H748" s="49" t="n"/>
      <c r="I748" s="49" t="n"/>
      <c r="J748" s="52" t="n"/>
      <c r="K748" s="45" t="n"/>
      <c r="L748" s="49" t="n"/>
    </row>
    <row r="749">
      <c r="A749" s="43">
        <f>IF($B749="","",COUNT($B$5:$B749))</f>
        <v/>
      </c>
      <c r="B749" s="44" t="n"/>
      <c r="C749" s="47">
        <f>IF($B749="","",CHOOSE(WEEKDAY($B749),"일","월","화","수","목","금","토"))</f>
        <v/>
      </c>
      <c r="D749" s="45" t="n"/>
      <c r="E749" s="47">
        <f>IF($D749="","",IFERROR(INDEX(코드설정!$D$5:$D$24,MATCH($D749,코드설정!$C$5:$C$24,0)),""))</f>
        <v/>
      </c>
      <c r="F749" s="45" t="n"/>
      <c r="G749" s="45" t="n"/>
      <c r="H749" s="49" t="n"/>
      <c r="I749" s="49" t="n"/>
      <c r="J749" s="52" t="n"/>
      <c r="K749" s="45" t="n"/>
      <c r="L749" s="49" t="n"/>
    </row>
    <row r="750">
      <c r="A750" s="43">
        <f>IF($B750="","",COUNT($B$5:$B750))</f>
        <v/>
      </c>
      <c r="B750" s="44" t="n"/>
      <c r="C750" s="47">
        <f>IF($B750="","",CHOOSE(WEEKDAY($B750),"일","월","화","수","목","금","토"))</f>
        <v/>
      </c>
      <c r="D750" s="45" t="n"/>
      <c r="E750" s="47">
        <f>IF($D750="","",IFERROR(INDEX(코드설정!$D$5:$D$24,MATCH($D750,코드설정!$C$5:$C$24,0)),""))</f>
        <v/>
      </c>
      <c r="F750" s="45" t="n"/>
      <c r="G750" s="45" t="n"/>
      <c r="H750" s="49" t="n"/>
      <c r="I750" s="49" t="n"/>
      <c r="J750" s="52" t="n"/>
      <c r="K750" s="45" t="n"/>
      <c r="L750" s="49" t="n"/>
    </row>
    <row r="751">
      <c r="A751" s="43">
        <f>IF($B751="","",COUNT($B$5:$B751))</f>
        <v/>
      </c>
      <c r="B751" s="44" t="n"/>
      <c r="C751" s="47">
        <f>IF($B751="","",CHOOSE(WEEKDAY($B751),"일","월","화","수","목","금","토"))</f>
        <v/>
      </c>
      <c r="D751" s="45" t="n"/>
      <c r="E751" s="47">
        <f>IF($D751="","",IFERROR(INDEX(코드설정!$D$5:$D$24,MATCH($D751,코드설정!$C$5:$C$24,0)),""))</f>
        <v/>
      </c>
      <c r="F751" s="45" t="n"/>
      <c r="G751" s="45" t="n"/>
      <c r="H751" s="49" t="n"/>
      <c r="I751" s="49" t="n"/>
      <c r="J751" s="52" t="n"/>
      <c r="K751" s="45" t="n"/>
      <c r="L751" s="49" t="n"/>
    </row>
    <row r="752">
      <c r="A752" s="43">
        <f>IF($B752="","",COUNT($B$5:$B752))</f>
        <v/>
      </c>
      <c r="B752" s="44" t="n"/>
      <c r="C752" s="47">
        <f>IF($B752="","",CHOOSE(WEEKDAY($B752),"일","월","화","수","목","금","토"))</f>
        <v/>
      </c>
      <c r="D752" s="45" t="n"/>
      <c r="E752" s="47">
        <f>IF($D752="","",IFERROR(INDEX(코드설정!$D$5:$D$24,MATCH($D752,코드설정!$C$5:$C$24,0)),""))</f>
        <v/>
      </c>
      <c r="F752" s="45" t="n"/>
      <c r="G752" s="45" t="n"/>
      <c r="H752" s="49" t="n"/>
      <c r="I752" s="49" t="n"/>
      <c r="J752" s="52" t="n"/>
      <c r="K752" s="45" t="n"/>
      <c r="L752" s="49" t="n"/>
    </row>
    <row r="753">
      <c r="A753" s="43">
        <f>IF($B753="","",COUNT($B$5:$B753))</f>
        <v/>
      </c>
      <c r="B753" s="44" t="n"/>
      <c r="C753" s="47">
        <f>IF($B753="","",CHOOSE(WEEKDAY($B753),"일","월","화","수","목","금","토"))</f>
        <v/>
      </c>
      <c r="D753" s="45" t="n"/>
      <c r="E753" s="47">
        <f>IF($D753="","",IFERROR(INDEX(코드설정!$D$5:$D$24,MATCH($D753,코드설정!$C$5:$C$24,0)),""))</f>
        <v/>
      </c>
      <c r="F753" s="45" t="n"/>
      <c r="G753" s="45" t="n"/>
      <c r="H753" s="49" t="n"/>
      <c r="I753" s="49" t="n"/>
      <c r="J753" s="52" t="n"/>
      <c r="K753" s="45" t="n"/>
      <c r="L753" s="49" t="n"/>
    </row>
    <row r="754">
      <c r="A754" s="43">
        <f>IF($B754="","",COUNT($B$5:$B754))</f>
        <v/>
      </c>
      <c r="B754" s="44" t="n"/>
      <c r="C754" s="47">
        <f>IF($B754="","",CHOOSE(WEEKDAY($B754),"일","월","화","수","목","금","토"))</f>
        <v/>
      </c>
      <c r="D754" s="45" t="n"/>
      <c r="E754" s="47">
        <f>IF($D754="","",IFERROR(INDEX(코드설정!$D$5:$D$24,MATCH($D754,코드설정!$C$5:$C$24,0)),""))</f>
        <v/>
      </c>
      <c r="F754" s="45" t="n"/>
      <c r="G754" s="45" t="n"/>
      <c r="H754" s="49" t="n"/>
      <c r="I754" s="49" t="n"/>
      <c r="J754" s="52" t="n"/>
      <c r="K754" s="45" t="n"/>
      <c r="L754" s="49" t="n"/>
    </row>
    <row r="755">
      <c r="A755" s="43">
        <f>IF($B755="","",COUNT($B$5:$B755))</f>
        <v/>
      </c>
      <c r="B755" s="44" t="n"/>
      <c r="C755" s="47">
        <f>IF($B755="","",CHOOSE(WEEKDAY($B755),"일","월","화","수","목","금","토"))</f>
        <v/>
      </c>
      <c r="D755" s="45" t="n"/>
      <c r="E755" s="47">
        <f>IF($D755="","",IFERROR(INDEX(코드설정!$D$5:$D$24,MATCH($D755,코드설정!$C$5:$C$24,0)),""))</f>
        <v/>
      </c>
      <c r="F755" s="45" t="n"/>
      <c r="G755" s="45" t="n"/>
      <c r="H755" s="49" t="n"/>
      <c r="I755" s="49" t="n"/>
      <c r="J755" s="52" t="n"/>
      <c r="K755" s="45" t="n"/>
      <c r="L755" s="49" t="n"/>
    </row>
    <row r="756">
      <c r="A756" s="43">
        <f>IF($B756="","",COUNT($B$5:$B756))</f>
        <v/>
      </c>
      <c r="B756" s="44" t="n"/>
      <c r="C756" s="47">
        <f>IF($B756="","",CHOOSE(WEEKDAY($B756),"일","월","화","수","목","금","토"))</f>
        <v/>
      </c>
      <c r="D756" s="45" t="n"/>
      <c r="E756" s="47">
        <f>IF($D756="","",IFERROR(INDEX(코드설정!$D$5:$D$24,MATCH($D756,코드설정!$C$5:$C$24,0)),""))</f>
        <v/>
      </c>
      <c r="F756" s="45" t="n"/>
      <c r="G756" s="45" t="n"/>
      <c r="H756" s="49" t="n"/>
      <c r="I756" s="49" t="n"/>
      <c r="J756" s="52" t="n"/>
      <c r="K756" s="45" t="n"/>
      <c r="L756" s="49" t="n"/>
    </row>
    <row r="757">
      <c r="A757" s="43">
        <f>IF($B757="","",COUNT($B$5:$B757))</f>
        <v/>
      </c>
      <c r="B757" s="44" t="n"/>
      <c r="C757" s="47">
        <f>IF($B757="","",CHOOSE(WEEKDAY($B757),"일","월","화","수","목","금","토"))</f>
        <v/>
      </c>
      <c r="D757" s="45" t="n"/>
      <c r="E757" s="47">
        <f>IF($D757="","",IFERROR(INDEX(코드설정!$D$5:$D$24,MATCH($D757,코드설정!$C$5:$C$24,0)),""))</f>
        <v/>
      </c>
      <c r="F757" s="45" t="n"/>
      <c r="G757" s="45" t="n"/>
      <c r="H757" s="49" t="n"/>
      <c r="I757" s="49" t="n"/>
      <c r="J757" s="52" t="n"/>
      <c r="K757" s="45" t="n"/>
      <c r="L757" s="49" t="n"/>
    </row>
    <row r="758">
      <c r="A758" s="43">
        <f>IF($B758="","",COUNT($B$5:$B758))</f>
        <v/>
      </c>
      <c r="B758" s="44" t="n"/>
      <c r="C758" s="47">
        <f>IF($B758="","",CHOOSE(WEEKDAY($B758),"일","월","화","수","목","금","토"))</f>
        <v/>
      </c>
      <c r="D758" s="45" t="n"/>
      <c r="E758" s="47">
        <f>IF($D758="","",IFERROR(INDEX(코드설정!$D$5:$D$24,MATCH($D758,코드설정!$C$5:$C$24,0)),""))</f>
        <v/>
      </c>
      <c r="F758" s="45" t="n"/>
      <c r="G758" s="45" t="n"/>
      <c r="H758" s="49" t="n"/>
      <c r="I758" s="49" t="n"/>
      <c r="J758" s="52" t="n"/>
      <c r="K758" s="45" t="n"/>
      <c r="L758" s="49" t="n"/>
    </row>
    <row r="759">
      <c r="A759" s="43">
        <f>IF($B759="","",COUNT($B$5:$B759))</f>
        <v/>
      </c>
      <c r="B759" s="44" t="n"/>
      <c r="C759" s="47">
        <f>IF($B759="","",CHOOSE(WEEKDAY($B759),"일","월","화","수","목","금","토"))</f>
        <v/>
      </c>
      <c r="D759" s="45" t="n"/>
      <c r="E759" s="47">
        <f>IF($D759="","",IFERROR(INDEX(코드설정!$D$5:$D$24,MATCH($D759,코드설정!$C$5:$C$24,0)),""))</f>
        <v/>
      </c>
      <c r="F759" s="45" t="n"/>
      <c r="G759" s="45" t="n"/>
      <c r="H759" s="49" t="n"/>
      <c r="I759" s="49" t="n"/>
      <c r="J759" s="52" t="n"/>
      <c r="K759" s="45" t="n"/>
      <c r="L759" s="49" t="n"/>
    </row>
    <row r="760">
      <c r="A760" s="43">
        <f>IF($B760="","",COUNT($B$5:$B760))</f>
        <v/>
      </c>
      <c r="B760" s="44" t="n"/>
      <c r="C760" s="47">
        <f>IF($B760="","",CHOOSE(WEEKDAY($B760),"일","월","화","수","목","금","토"))</f>
        <v/>
      </c>
      <c r="D760" s="45" t="n"/>
      <c r="E760" s="47">
        <f>IF($D760="","",IFERROR(INDEX(코드설정!$D$5:$D$24,MATCH($D760,코드설정!$C$5:$C$24,0)),""))</f>
        <v/>
      </c>
      <c r="F760" s="45" t="n"/>
      <c r="G760" s="45" t="n"/>
      <c r="H760" s="49" t="n"/>
      <c r="I760" s="49" t="n"/>
      <c r="J760" s="52" t="n"/>
      <c r="K760" s="45" t="n"/>
      <c r="L760" s="49" t="n"/>
    </row>
    <row r="761">
      <c r="A761" s="43">
        <f>IF($B761="","",COUNT($B$5:$B761))</f>
        <v/>
      </c>
      <c r="B761" s="44" t="n"/>
      <c r="C761" s="47">
        <f>IF($B761="","",CHOOSE(WEEKDAY($B761),"일","월","화","수","목","금","토"))</f>
        <v/>
      </c>
      <c r="D761" s="45" t="n"/>
      <c r="E761" s="47">
        <f>IF($D761="","",IFERROR(INDEX(코드설정!$D$5:$D$24,MATCH($D761,코드설정!$C$5:$C$24,0)),""))</f>
        <v/>
      </c>
      <c r="F761" s="45" t="n"/>
      <c r="G761" s="45" t="n"/>
      <c r="H761" s="49" t="n"/>
      <c r="I761" s="49" t="n"/>
      <c r="J761" s="52" t="n"/>
      <c r="K761" s="45" t="n"/>
      <c r="L761" s="49" t="n"/>
    </row>
    <row r="762">
      <c r="A762" s="43">
        <f>IF($B762="","",COUNT($B$5:$B762))</f>
        <v/>
      </c>
      <c r="B762" s="44" t="n"/>
      <c r="C762" s="47">
        <f>IF($B762="","",CHOOSE(WEEKDAY($B762),"일","월","화","수","목","금","토"))</f>
        <v/>
      </c>
      <c r="D762" s="45" t="n"/>
      <c r="E762" s="47">
        <f>IF($D762="","",IFERROR(INDEX(코드설정!$D$5:$D$24,MATCH($D762,코드설정!$C$5:$C$24,0)),""))</f>
        <v/>
      </c>
      <c r="F762" s="45" t="n"/>
      <c r="G762" s="45" t="n"/>
      <c r="H762" s="49" t="n"/>
      <c r="I762" s="49" t="n"/>
      <c r="J762" s="52" t="n"/>
      <c r="K762" s="45" t="n"/>
      <c r="L762" s="49" t="n"/>
    </row>
    <row r="763">
      <c r="A763" s="43">
        <f>IF($B763="","",COUNT($B$5:$B763))</f>
        <v/>
      </c>
      <c r="B763" s="44" t="n"/>
      <c r="C763" s="47">
        <f>IF($B763="","",CHOOSE(WEEKDAY($B763),"일","월","화","수","목","금","토"))</f>
        <v/>
      </c>
      <c r="D763" s="45" t="n"/>
      <c r="E763" s="47">
        <f>IF($D763="","",IFERROR(INDEX(코드설정!$D$5:$D$24,MATCH($D763,코드설정!$C$5:$C$24,0)),""))</f>
        <v/>
      </c>
      <c r="F763" s="45" t="n"/>
      <c r="G763" s="45" t="n"/>
      <c r="H763" s="49" t="n"/>
      <c r="I763" s="49" t="n"/>
      <c r="J763" s="52" t="n"/>
      <c r="K763" s="45" t="n"/>
      <c r="L763" s="49" t="n"/>
    </row>
    <row r="764">
      <c r="A764" s="43">
        <f>IF($B764="","",COUNT($B$5:$B764))</f>
        <v/>
      </c>
      <c r="B764" s="44" t="n"/>
      <c r="C764" s="47">
        <f>IF($B764="","",CHOOSE(WEEKDAY($B764),"일","월","화","수","목","금","토"))</f>
        <v/>
      </c>
      <c r="D764" s="45" t="n"/>
      <c r="E764" s="47">
        <f>IF($D764="","",IFERROR(INDEX(코드설정!$D$5:$D$24,MATCH($D764,코드설정!$C$5:$C$24,0)),""))</f>
        <v/>
      </c>
      <c r="F764" s="45" t="n"/>
      <c r="G764" s="45" t="n"/>
      <c r="H764" s="49" t="n"/>
      <c r="I764" s="49" t="n"/>
      <c r="J764" s="52" t="n"/>
      <c r="K764" s="45" t="n"/>
      <c r="L764" s="49" t="n"/>
    </row>
    <row r="765">
      <c r="A765" s="43">
        <f>IF($B765="","",COUNT($B$5:$B765))</f>
        <v/>
      </c>
      <c r="B765" s="44" t="n"/>
      <c r="C765" s="47">
        <f>IF($B765="","",CHOOSE(WEEKDAY($B765),"일","월","화","수","목","금","토"))</f>
        <v/>
      </c>
      <c r="D765" s="45" t="n"/>
      <c r="E765" s="47">
        <f>IF($D765="","",IFERROR(INDEX(코드설정!$D$5:$D$24,MATCH($D765,코드설정!$C$5:$C$24,0)),""))</f>
        <v/>
      </c>
      <c r="F765" s="45" t="n"/>
      <c r="G765" s="45" t="n"/>
      <c r="H765" s="49" t="n"/>
      <c r="I765" s="49" t="n"/>
      <c r="J765" s="52" t="n"/>
      <c r="K765" s="45" t="n"/>
      <c r="L765" s="49" t="n"/>
    </row>
    <row r="766">
      <c r="A766" s="43">
        <f>IF($B766="","",COUNT($B$5:$B766))</f>
        <v/>
      </c>
      <c r="B766" s="44" t="n"/>
      <c r="C766" s="47">
        <f>IF($B766="","",CHOOSE(WEEKDAY($B766),"일","월","화","수","목","금","토"))</f>
        <v/>
      </c>
      <c r="D766" s="45" t="n"/>
      <c r="E766" s="47">
        <f>IF($D766="","",IFERROR(INDEX(코드설정!$D$5:$D$24,MATCH($D766,코드설정!$C$5:$C$24,0)),""))</f>
        <v/>
      </c>
      <c r="F766" s="45" t="n"/>
      <c r="G766" s="45" t="n"/>
      <c r="H766" s="49" t="n"/>
      <c r="I766" s="49" t="n"/>
      <c r="J766" s="52" t="n"/>
      <c r="K766" s="45" t="n"/>
      <c r="L766" s="49" t="n"/>
    </row>
    <row r="767">
      <c r="A767" s="43">
        <f>IF($B767="","",COUNT($B$5:$B767))</f>
        <v/>
      </c>
      <c r="B767" s="44" t="n"/>
      <c r="C767" s="47">
        <f>IF($B767="","",CHOOSE(WEEKDAY($B767),"일","월","화","수","목","금","토"))</f>
        <v/>
      </c>
      <c r="D767" s="45" t="n"/>
      <c r="E767" s="47">
        <f>IF($D767="","",IFERROR(INDEX(코드설정!$D$5:$D$24,MATCH($D767,코드설정!$C$5:$C$24,0)),""))</f>
        <v/>
      </c>
      <c r="F767" s="45" t="n"/>
      <c r="G767" s="45" t="n"/>
      <c r="H767" s="49" t="n"/>
      <c r="I767" s="49" t="n"/>
      <c r="J767" s="52" t="n"/>
      <c r="K767" s="45" t="n"/>
      <c r="L767" s="49" t="n"/>
    </row>
    <row r="768">
      <c r="A768" s="43">
        <f>IF($B768="","",COUNT($B$5:$B768))</f>
        <v/>
      </c>
      <c r="B768" s="44" t="n"/>
      <c r="C768" s="47">
        <f>IF($B768="","",CHOOSE(WEEKDAY($B768),"일","월","화","수","목","금","토"))</f>
        <v/>
      </c>
      <c r="D768" s="45" t="n"/>
      <c r="E768" s="47">
        <f>IF($D768="","",IFERROR(INDEX(코드설정!$D$5:$D$24,MATCH($D768,코드설정!$C$5:$C$24,0)),""))</f>
        <v/>
      </c>
      <c r="F768" s="45" t="n"/>
      <c r="G768" s="45" t="n"/>
      <c r="H768" s="49" t="n"/>
      <c r="I768" s="49" t="n"/>
      <c r="J768" s="52" t="n"/>
      <c r="K768" s="45" t="n"/>
      <c r="L768" s="49" t="n"/>
    </row>
    <row r="769">
      <c r="A769" s="43">
        <f>IF($B769="","",COUNT($B$5:$B769))</f>
        <v/>
      </c>
      <c r="B769" s="44" t="n"/>
      <c r="C769" s="47">
        <f>IF($B769="","",CHOOSE(WEEKDAY($B769),"일","월","화","수","목","금","토"))</f>
        <v/>
      </c>
      <c r="D769" s="45" t="n"/>
      <c r="E769" s="47">
        <f>IF($D769="","",IFERROR(INDEX(코드설정!$D$5:$D$24,MATCH($D769,코드설정!$C$5:$C$24,0)),""))</f>
        <v/>
      </c>
      <c r="F769" s="45" t="n"/>
      <c r="G769" s="45" t="n"/>
      <c r="H769" s="49" t="n"/>
      <c r="I769" s="49" t="n"/>
      <c r="J769" s="52" t="n"/>
      <c r="K769" s="45" t="n"/>
      <c r="L769" s="49" t="n"/>
    </row>
    <row r="770">
      <c r="A770" s="43">
        <f>IF($B770="","",COUNT($B$5:$B770))</f>
        <v/>
      </c>
      <c r="B770" s="44" t="n"/>
      <c r="C770" s="47">
        <f>IF($B770="","",CHOOSE(WEEKDAY($B770),"일","월","화","수","목","금","토"))</f>
        <v/>
      </c>
      <c r="D770" s="45" t="n"/>
      <c r="E770" s="47">
        <f>IF($D770="","",IFERROR(INDEX(코드설정!$D$5:$D$24,MATCH($D770,코드설정!$C$5:$C$24,0)),""))</f>
        <v/>
      </c>
      <c r="F770" s="45" t="n"/>
      <c r="G770" s="45" t="n"/>
      <c r="H770" s="49" t="n"/>
      <c r="I770" s="49" t="n"/>
      <c r="J770" s="52" t="n"/>
      <c r="K770" s="45" t="n"/>
      <c r="L770" s="49" t="n"/>
    </row>
    <row r="771">
      <c r="A771" s="43">
        <f>IF($B771="","",COUNT($B$5:$B771))</f>
        <v/>
      </c>
      <c r="B771" s="44" t="n"/>
      <c r="C771" s="47">
        <f>IF($B771="","",CHOOSE(WEEKDAY($B771),"일","월","화","수","목","금","토"))</f>
        <v/>
      </c>
      <c r="D771" s="45" t="n"/>
      <c r="E771" s="47">
        <f>IF($D771="","",IFERROR(INDEX(코드설정!$D$5:$D$24,MATCH($D771,코드설정!$C$5:$C$24,0)),""))</f>
        <v/>
      </c>
      <c r="F771" s="45" t="n"/>
      <c r="G771" s="45" t="n"/>
      <c r="H771" s="49" t="n"/>
      <c r="I771" s="49" t="n"/>
      <c r="J771" s="52" t="n"/>
      <c r="K771" s="45" t="n"/>
      <c r="L771" s="49" t="n"/>
    </row>
    <row r="772">
      <c r="A772" s="43">
        <f>IF($B772="","",COUNT($B$5:$B772))</f>
        <v/>
      </c>
      <c r="B772" s="44" t="n"/>
      <c r="C772" s="47">
        <f>IF($B772="","",CHOOSE(WEEKDAY($B772),"일","월","화","수","목","금","토"))</f>
        <v/>
      </c>
      <c r="D772" s="45" t="n"/>
      <c r="E772" s="47">
        <f>IF($D772="","",IFERROR(INDEX(코드설정!$D$5:$D$24,MATCH($D772,코드설정!$C$5:$C$24,0)),""))</f>
        <v/>
      </c>
      <c r="F772" s="45" t="n"/>
      <c r="G772" s="45" t="n"/>
      <c r="H772" s="49" t="n"/>
      <c r="I772" s="49" t="n"/>
      <c r="J772" s="52" t="n"/>
      <c r="K772" s="45" t="n"/>
      <c r="L772" s="49" t="n"/>
    </row>
    <row r="773">
      <c r="A773" s="43">
        <f>IF($B773="","",COUNT($B$5:$B773))</f>
        <v/>
      </c>
      <c r="B773" s="44" t="n"/>
      <c r="C773" s="47">
        <f>IF($B773="","",CHOOSE(WEEKDAY($B773),"일","월","화","수","목","금","토"))</f>
        <v/>
      </c>
      <c r="D773" s="45" t="n"/>
      <c r="E773" s="47">
        <f>IF($D773="","",IFERROR(INDEX(코드설정!$D$5:$D$24,MATCH($D773,코드설정!$C$5:$C$24,0)),""))</f>
        <v/>
      </c>
      <c r="F773" s="45" t="n"/>
      <c r="G773" s="45" t="n"/>
      <c r="H773" s="49" t="n"/>
      <c r="I773" s="49" t="n"/>
      <c r="J773" s="52" t="n"/>
      <c r="K773" s="45" t="n"/>
      <c r="L773" s="49" t="n"/>
    </row>
    <row r="774">
      <c r="A774" s="43">
        <f>IF($B774="","",COUNT($B$5:$B774))</f>
        <v/>
      </c>
      <c r="B774" s="44" t="n"/>
      <c r="C774" s="47">
        <f>IF($B774="","",CHOOSE(WEEKDAY($B774),"일","월","화","수","목","금","토"))</f>
        <v/>
      </c>
      <c r="D774" s="45" t="n"/>
      <c r="E774" s="47">
        <f>IF($D774="","",IFERROR(INDEX(코드설정!$D$5:$D$24,MATCH($D774,코드설정!$C$5:$C$24,0)),""))</f>
        <v/>
      </c>
      <c r="F774" s="45" t="n"/>
      <c r="G774" s="45" t="n"/>
      <c r="H774" s="49" t="n"/>
      <c r="I774" s="49" t="n"/>
      <c r="J774" s="52" t="n"/>
      <c r="K774" s="45" t="n"/>
      <c r="L774" s="49" t="n"/>
    </row>
    <row r="775">
      <c r="A775" s="43">
        <f>IF($B775="","",COUNT($B$5:$B775))</f>
        <v/>
      </c>
      <c r="B775" s="44" t="n"/>
      <c r="C775" s="47">
        <f>IF($B775="","",CHOOSE(WEEKDAY($B775),"일","월","화","수","목","금","토"))</f>
        <v/>
      </c>
      <c r="D775" s="45" t="n"/>
      <c r="E775" s="47">
        <f>IF($D775="","",IFERROR(INDEX(코드설정!$D$5:$D$24,MATCH($D775,코드설정!$C$5:$C$24,0)),""))</f>
        <v/>
      </c>
      <c r="F775" s="45" t="n"/>
      <c r="G775" s="45" t="n"/>
      <c r="H775" s="49" t="n"/>
      <c r="I775" s="49" t="n"/>
      <c r="J775" s="52" t="n"/>
      <c r="K775" s="45" t="n"/>
      <c r="L775" s="49" t="n"/>
    </row>
    <row r="776">
      <c r="A776" s="43">
        <f>IF($B776="","",COUNT($B$5:$B776))</f>
        <v/>
      </c>
      <c r="B776" s="44" t="n"/>
      <c r="C776" s="47">
        <f>IF($B776="","",CHOOSE(WEEKDAY($B776),"일","월","화","수","목","금","토"))</f>
        <v/>
      </c>
      <c r="D776" s="45" t="n"/>
      <c r="E776" s="47">
        <f>IF($D776="","",IFERROR(INDEX(코드설정!$D$5:$D$24,MATCH($D776,코드설정!$C$5:$C$24,0)),""))</f>
        <v/>
      </c>
      <c r="F776" s="45" t="n"/>
      <c r="G776" s="45" t="n"/>
      <c r="H776" s="49" t="n"/>
      <c r="I776" s="49" t="n"/>
      <c r="J776" s="52" t="n"/>
      <c r="K776" s="45" t="n"/>
      <c r="L776" s="49" t="n"/>
    </row>
    <row r="777">
      <c r="A777" s="43">
        <f>IF($B777="","",COUNT($B$5:$B777))</f>
        <v/>
      </c>
      <c r="B777" s="44" t="n"/>
      <c r="C777" s="47">
        <f>IF($B777="","",CHOOSE(WEEKDAY($B777),"일","월","화","수","목","금","토"))</f>
        <v/>
      </c>
      <c r="D777" s="45" t="n"/>
      <c r="E777" s="47">
        <f>IF($D777="","",IFERROR(INDEX(코드설정!$D$5:$D$24,MATCH($D777,코드설정!$C$5:$C$24,0)),""))</f>
        <v/>
      </c>
      <c r="F777" s="45" t="n"/>
      <c r="G777" s="45" t="n"/>
      <c r="H777" s="49" t="n"/>
      <c r="I777" s="49" t="n"/>
      <c r="J777" s="52" t="n"/>
      <c r="K777" s="45" t="n"/>
      <c r="L777" s="49" t="n"/>
    </row>
    <row r="778">
      <c r="A778" s="43">
        <f>IF($B778="","",COUNT($B$5:$B778))</f>
        <v/>
      </c>
      <c r="B778" s="44" t="n"/>
      <c r="C778" s="47">
        <f>IF($B778="","",CHOOSE(WEEKDAY($B778),"일","월","화","수","목","금","토"))</f>
        <v/>
      </c>
      <c r="D778" s="45" t="n"/>
      <c r="E778" s="47">
        <f>IF($D778="","",IFERROR(INDEX(코드설정!$D$5:$D$24,MATCH($D778,코드설정!$C$5:$C$24,0)),""))</f>
        <v/>
      </c>
      <c r="F778" s="45" t="n"/>
      <c r="G778" s="45" t="n"/>
      <c r="H778" s="49" t="n"/>
      <c r="I778" s="49" t="n"/>
      <c r="J778" s="52" t="n"/>
      <c r="K778" s="45" t="n"/>
      <c r="L778" s="49" t="n"/>
    </row>
    <row r="779">
      <c r="A779" s="43">
        <f>IF($B779="","",COUNT($B$5:$B779))</f>
        <v/>
      </c>
      <c r="B779" s="44" t="n"/>
      <c r="C779" s="47">
        <f>IF($B779="","",CHOOSE(WEEKDAY($B779),"일","월","화","수","목","금","토"))</f>
        <v/>
      </c>
      <c r="D779" s="45" t="n"/>
      <c r="E779" s="47">
        <f>IF($D779="","",IFERROR(INDEX(코드설정!$D$5:$D$24,MATCH($D779,코드설정!$C$5:$C$24,0)),""))</f>
        <v/>
      </c>
      <c r="F779" s="45" t="n"/>
      <c r="G779" s="45" t="n"/>
      <c r="H779" s="49" t="n"/>
      <c r="I779" s="49" t="n"/>
      <c r="J779" s="52" t="n"/>
      <c r="K779" s="45" t="n"/>
      <c r="L779" s="49" t="n"/>
    </row>
    <row r="780">
      <c r="A780" s="43">
        <f>IF($B780="","",COUNT($B$5:$B780))</f>
        <v/>
      </c>
      <c r="B780" s="44" t="n"/>
      <c r="C780" s="47">
        <f>IF($B780="","",CHOOSE(WEEKDAY($B780),"일","월","화","수","목","금","토"))</f>
        <v/>
      </c>
      <c r="D780" s="45" t="n"/>
      <c r="E780" s="47">
        <f>IF($D780="","",IFERROR(INDEX(코드설정!$D$5:$D$24,MATCH($D780,코드설정!$C$5:$C$24,0)),""))</f>
        <v/>
      </c>
      <c r="F780" s="45" t="n"/>
      <c r="G780" s="45" t="n"/>
      <c r="H780" s="49" t="n"/>
      <c r="I780" s="49" t="n"/>
      <c r="J780" s="52" t="n"/>
      <c r="K780" s="45" t="n"/>
      <c r="L780" s="49" t="n"/>
    </row>
    <row r="781">
      <c r="A781" s="43">
        <f>IF($B781="","",COUNT($B$5:$B781))</f>
        <v/>
      </c>
      <c r="B781" s="44" t="n"/>
      <c r="C781" s="47">
        <f>IF($B781="","",CHOOSE(WEEKDAY($B781),"일","월","화","수","목","금","토"))</f>
        <v/>
      </c>
      <c r="D781" s="45" t="n"/>
      <c r="E781" s="47">
        <f>IF($D781="","",IFERROR(INDEX(코드설정!$D$5:$D$24,MATCH($D781,코드설정!$C$5:$C$24,0)),""))</f>
        <v/>
      </c>
      <c r="F781" s="45" t="n"/>
      <c r="G781" s="45" t="n"/>
      <c r="H781" s="49" t="n"/>
      <c r="I781" s="49" t="n"/>
      <c r="J781" s="52" t="n"/>
      <c r="K781" s="45" t="n"/>
      <c r="L781" s="49" t="n"/>
    </row>
    <row r="782">
      <c r="A782" s="43">
        <f>IF($B782="","",COUNT($B$5:$B782))</f>
        <v/>
      </c>
      <c r="B782" s="44" t="n"/>
      <c r="C782" s="47">
        <f>IF($B782="","",CHOOSE(WEEKDAY($B782),"일","월","화","수","목","금","토"))</f>
        <v/>
      </c>
      <c r="D782" s="45" t="n"/>
      <c r="E782" s="47">
        <f>IF($D782="","",IFERROR(INDEX(코드설정!$D$5:$D$24,MATCH($D782,코드설정!$C$5:$C$24,0)),""))</f>
        <v/>
      </c>
      <c r="F782" s="45" t="n"/>
      <c r="G782" s="45" t="n"/>
      <c r="H782" s="49" t="n"/>
      <c r="I782" s="49" t="n"/>
      <c r="J782" s="52" t="n"/>
      <c r="K782" s="45" t="n"/>
      <c r="L782" s="49" t="n"/>
    </row>
    <row r="783">
      <c r="A783" s="43">
        <f>IF($B783="","",COUNT($B$5:$B783))</f>
        <v/>
      </c>
      <c r="B783" s="44" t="n"/>
      <c r="C783" s="47">
        <f>IF($B783="","",CHOOSE(WEEKDAY($B783),"일","월","화","수","목","금","토"))</f>
        <v/>
      </c>
      <c r="D783" s="45" t="n"/>
      <c r="E783" s="47">
        <f>IF($D783="","",IFERROR(INDEX(코드설정!$D$5:$D$24,MATCH($D783,코드설정!$C$5:$C$24,0)),""))</f>
        <v/>
      </c>
      <c r="F783" s="45" t="n"/>
      <c r="G783" s="45" t="n"/>
      <c r="H783" s="49" t="n"/>
      <c r="I783" s="49" t="n"/>
      <c r="J783" s="52" t="n"/>
      <c r="K783" s="45" t="n"/>
      <c r="L783" s="49" t="n"/>
    </row>
    <row r="784">
      <c r="A784" s="43">
        <f>IF($B784="","",COUNT($B$5:$B784))</f>
        <v/>
      </c>
      <c r="B784" s="44" t="n"/>
      <c r="C784" s="47">
        <f>IF($B784="","",CHOOSE(WEEKDAY($B784),"일","월","화","수","목","금","토"))</f>
        <v/>
      </c>
      <c r="D784" s="45" t="n"/>
      <c r="E784" s="47">
        <f>IF($D784="","",IFERROR(INDEX(코드설정!$D$5:$D$24,MATCH($D784,코드설정!$C$5:$C$24,0)),""))</f>
        <v/>
      </c>
      <c r="F784" s="45" t="n"/>
      <c r="G784" s="45" t="n"/>
      <c r="H784" s="49" t="n"/>
      <c r="I784" s="49" t="n"/>
      <c r="J784" s="52" t="n"/>
      <c r="K784" s="45" t="n"/>
      <c r="L784" s="49" t="n"/>
    </row>
    <row r="785">
      <c r="A785" s="43">
        <f>IF($B785="","",COUNT($B$5:$B785))</f>
        <v/>
      </c>
      <c r="B785" s="44" t="n"/>
      <c r="C785" s="47">
        <f>IF($B785="","",CHOOSE(WEEKDAY($B785),"일","월","화","수","목","금","토"))</f>
        <v/>
      </c>
      <c r="D785" s="45" t="n"/>
      <c r="E785" s="47">
        <f>IF($D785="","",IFERROR(INDEX(코드설정!$D$5:$D$24,MATCH($D785,코드설정!$C$5:$C$24,0)),""))</f>
        <v/>
      </c>
      <c r="F785" s="45" t="n"/>
      <c r="G785" s="45" t="n"/>
      <c r="H785" s="49" t="n"/>
      <c r="I785" s="49" t="n"/>
      <c r="J785" s="52" t="n"/>
      <c r="K785" s="45" t="n"/>
      <c r="L785" s="49" t="n"/>
    </row>
    <row r="786">
      <c r="A786" s="43">
        <f>IF($B786="","",COUNT($B$5:$B786))</f>
        <v/>
      </c>
      <c r="B786" s="44" t="n"/>
      <c r="C786" s="47">
        <f>IF($B786="","",CHOOSE(WEEKDAY($B786),"일","월","화","수","목","금","토"))</f>
        <v/>
      </c>
      <c r="D786" s="45" t="n"/>
      <c r="E786" s="47">
        <f>IF($D786="","",IFERROR(INDEX(코드설정!$D$5:$D$24,MATCH($D786,코드설정!$C$5:$C$24,0)),""))</f>
        <v/>
      </c>
      <c r="F786" s="45" t="n"/>
      <c r="G786" s="45" t="n"/>
      <c r="H786" s="49" t="n"/>
      <c r="I786" s="49" t="n"/>
      <c r="J786" s="52" t="n"/>
      <c r="K786" s="45" t="n"/>
      <c r="L786" s="49" t="n"/>
    </row>
    <row r="787">
      <c r="A787" s="43">
        <f>IF($B787="","",COUNT($B$5:$B787))</f>
        <v/>
      </c>
      <c r="B787" s="44" t="n"/>
      <c r="C787" s="47">
        <f>IF($B787="","",CHOOSE(WEEKDAY($B787),"일","월","화","수","목","금","토"))</f>
        <v/>
      </c>
      <c r="D787" s="45" t="n"/>
      <c r="E787" s="47">
        <f>IF($D787="","",IFERROR(INDEX(코드설정!$D$5:$D$24,MATCH($D787,코드설정!$C$5:$C$24,0)),""))</f>
        <v/>
      </c>
      <c r="F787" s="45" t="n"/>
      <c r="G787" s="45" t="n"/>
      <c r="H787" s="49" t="n"/>
      <c r="I787" s="49" t="n"/>
      <c r="J787" s="52" t="n"/>
      <c r="K787" s="45" t="n"/>
      <c r="L787" s="49" t="n"/>
    </row>
    <row r="788">
      <c r="A788" s="43">
        <f>IF($B788="","",COUNT($B$5:$B788))</f>
        <v/>
      </c>
      <c r="B788" s="44" t="n"/>
      <c r="C788" s="47">
        <f>IF($B788="","",CHOOSE(WEEKDAY($B788),"일","월","화","수","목","금","토"))</f>
        <v/>
      </c>
      <c r="D788" s="45" t="n"/>
      <c r="E788" s="47">
        <f>IF($D788="","",IFERROR(INDEX(코드설정!$D$5:$D$24,MATCH($D788,코드설정!$C$5:$C$24,0)),""))</f>
        <v/>
      </c>
      <c r="F788" s="45" t="n"/>
      <c r="G788" s="45" t="n"/>
      <c r="H788" s="49" t="n"/>
      <c r="I788" s="49" t="n"/>
      <c r="J788" s="52" t="n"/>
      <c r="K788" s="45" t="n"/>
      <c r="L788" s="49" t="n"/>
    </row>
    <row r="789">
      <c r="A789" s="43">
        <f>IF($B789="","",COUNT($B$5:$B789))</f>
        <v/>
      </c>
      <c r="B789" s="44" t="n"/>
      <c r="C789" s="47">
        <f>IF($B789="","",CHOOSE(WEEKDAY($B789),"일","월","화","수","목","금","토"))</f>
        <v/>
      </c>
      <c r="D789" s="45" t="n"/>
      <c r="E789" s="47">
        <f>IF($D789="","",IFERROR(INDEX(코드설정!$D$5:$D$24,MATCH($D789,코드설정!$C$5:$C$24,0)),""))</f>
        <v/>
      </c>
      <c r="F789" s="45" t="n"/>
      <c r="G789" s="45" t="n"/>
      <c r="H789" s="49" t="n"/>
      <c r="I789" s="49" t="n"/>
      <c r="J789" s="52" t="n"/>
      <c r="K789" s="45" t="n"/>
      <c r="L789" s="49" t="n"/>
    </row>
    <row r="790">
      <c r="A790" s="43">
        <f>IF($B790="","",COUNT($B$5:$B790))</f>
        <v/>
      </c>
      <c r="B790" s="44" t="n"/>
      <c r="C790" s="47">
        <f>IF($B790="","",CHOOSE(WEEKDAY($B790),"일","월","화","수","목","금","토"))</f>
        <v/>
      </c>
      <c r="D790" s="45" t="n"/>
      <c r="E790" s="47">
        <f>IF($D790="","",IFERROR(INDEX(코드설정!$D$5:$D$24,MATCH($D790,코드설정!$C$5:$C$24,0)),""))</f>
        <v/>
      </c>
      <c r="F790" s="45" t="n"/>
      <c r="G790" s="45" t="n"/>
      <c r="H790" s="49" t="n"/>
      <c r="I790" s="49" t="n"/>
      <c r="J790" s="52" t="n"/>
      <c r="K790" s="45" t="n"/>
      <c r="L790" s="49" t="n"/>
    </row>
    <row r="791">
      <c r="A791" s="43">
        <f>IF($B791="","",COUNT($B$5:$B791))</f>
        <v/>
      </c>
      <c r="B791" s="44" t="n"/>
      <c r="C791" s="47">
        <f>IF($B791="","",CHOOSE(WEEKDAY($B791),"일","월","화","수","목","금","토"))</f>
        <v/>
      </c>
      <c r="D791" s="45" t="n"/>
      <c r="E791" s="47">
        <f>IF($D791="","",IFERROR(INDEX(코드설정!$D$5:$D$24,MATCH($D791,코드설정!$C$5:$C$24,0)),""))</f>
        <v/>
      </c>
      <c r="F791" s="45" t="n"/>
      <c r="G791" s="45" t="n"/>
      <c r="H791" s="49" t="n"/>
      <c r="I791" s="49" t="n"/>
      <c r="J791" s="52" t="n"/>
      <c r="K791" s="45" t="n"/>
      <c r="L791" s="49" t="n"/>
    </row>
    <row r="792">
      <c r="A792" s="43">
        <f>IF($B792="","",COUNT($B$5:$B792))</f>
        <v/>
      </c>
      <c r="B792" s="44" t="n"/>
      <c r="C792" s="47">
        <f>IF($B792="","",CHOOSE(WEEKDAY($B792),"일","월","화","수","목","금","토"))</f>
        <v/>
      </c>
      <c r="D792" s="45" t="n"/>
      <c r="E792" s="47">
        <f>IF($D792="","",IFERROR(INDEX(코드설정!$D$5:$D$24,MATCH($D792,코드설정!$C$5:$C$24,0)),""))</f>
        <v/>
      </c>
      <c r="F792" s="45" t="n"/>
      <c r="G792" s="45" t="n"/>
      <c r="H792" s="49" t="n"/>
      <c r="I792" s="49" t="n"/>
      <c r="J792" s="52" t="n"/>
      <c r="K792" s="45" t="n"/>
      <c r="L792" s="49" t="n"/>
    </row>
    <row r="793">
      <c r="A793" s="43">
        <f>IF($B793="","",COUNT($B$5:$B793))</f>
        <v/>
      </c>
      <c r="B793" s="44" t="n"/>
      <c r="C793" s="47">
        <f>IF($B793="","",CHOOSE(WEEKDAY($B793),"일","월","화","수","목","금","토"))</f>
        <v/>
      </c>
      <c r="D793" s="45" t="n"/>
      <c r="E793" s="47">
        <f>IF($D793="","",IFERROR(INDEX(코드설정!$D$5:$D$24,MATCH($D793,코드설정!$C$5:$C$24,0)),""))</f>
        <v/>
      </c>
      <c r="F793" s="45" t="n"/>
      <c r="G793" s="45" t="n"/>
      <c r="H793" s="49" t="n"/>
      <c r="I793" s="49" t="n"/>
      <c r="J793" s="52" t="n"/>
      <c r="K793" s="45" t="n"/>
      <c r="L793" s="49" t="n"/>
    </row>
    <row r="794">
      <c r="A794" s="43">
        <f>IF($B794="","",COUNT($B$5:$B794))</f>
        <v/>
      </c>
      <c r="B794" s="44" t="n"/>
      <c r="C794" s="47">
        <f>IF($B794="","",CHOOSE(WEEKDAY($B794),"일","월","화","수","목","금","토"))</f>
        <v/>
      </c>
      <c r="D794" s="45" t="n"/>
      <c r="E794" s="47">
        <f>IF($D794="","",IFERROR(INDEX(코드설정!$D$5:$D$24,MATCH($D794,코드설정!$C$5:$C$24,0)),""))</f>
        <v/>
      </c>
      <c r="F794" s="45" t="n"/>
      <c r="G794" s="45" t="n"/>
      <c r="H794" s="49" t="n"/>
      <c r="I794" s="49" t="n"/>
      <c r="J794" s="52" t="n"/>
      <c r="K794" s="45" t="n"/>
      <c r="L794" s="49" t="n"/>
    </row>
    <row r="795">
      <c r="A795" s="43">
        <f>IF($B795="","",COUNT($B$5:$B795))</f>
        <v/>
      </c>
      <c r="B795" s="44" t="n"/>
      <c r="C795" s="47">
        <f>IF($B795="","",CHOOSE(WEEKDAY($B795),"일","월","화","수","목","금","토"))</f>
        <v/>
      </c>
      <c r="D795" s="45" t="n"/>
      <c r="E795" s="47">
        <f>IF($D795="","",IFERROR(INDEX(코드설정!$D$5:$D$24,MATCH($D795,코드설정!$C$5:$C$24,0)),""))</f>
        <v/>
      </c>
      <c r="F795" s="45" t="n"/>
      <c r="G795" s="45" t="n"/>
      <c r="H795" s="49" t="n"/>
      <c r="I795" s="49" t="n"/>
      <c r="J795" s="52" t="n"/>
      <c r="K795" s="45" t="n"/>
      <c r="L795" s="49" t="n"/>
    </row>
    <row r="796">
      <c r="A796" s="43">
        <f>IF($B796="","",COUNT($B$5:$B796))</f>
        <v/>
      </c>
      <c r="B796" s="44" t="n"/>
      <c r="C796" s="47">
        <f>IF($B796="","",CHOOSE(WEEKDAY($B796),"일","월","화","수","목","금","토"))</f>
        <v/>
      </c>
      <c r="D796" s="45" t="n"/>
      <c r="E796" s="47">
        <f>IF($D796="","",IFERROR(INDEX(코드설정!$D$5:$D$24,MATCH($D796,코드설정!$C$5:$C$24,0)),""))</f>
        <v/>
      </c>
      <c r="F796" s="45" t="n"/>
      <c r="G796" s="45" t="n"/>
      <c r="H796" s="49" t="n"/>
      <c r="I796" s="49" t="n"/>
      <c r="J796" s="52" t="n"/>
      <c r="K796" s="45" t="n"/>
      <c r="L796" s="49" t="n"/>
    </row>
    <row r="797">
      <c r="A797" s="43">
        <f>IF($B797="","",COUNT($B$5:$B797))</f>
        <v/>
      </c>
      <c r="B797" s="44" t="n"/>
      <c r="C797" s="47">
        <f>IF($B797="","",CHOOSE(WEEKDAY($B797),"일","월","화","수","목","금","토"))</f>
        <v/>
      </c>
      <c r="D797" s="45" t="n"/>
      <c r="E797" s="47">
        <f>IF($D797="","",IFERROR(INDEX(코드설정!$D$5:$D$24,MATCH($D797,코드설정!$C$5:$C$24,0)),""))</f>
        <v/>
      </c>
      <c r="F797" s="45" t="n"/>
      <c r="G797" s="45" t="n"/>
      <c r="H797" s="49" t="n"/>
      <c r="I797" s="49" t="n"/>
      <c r="J797" s="52" t="n"/>
      <c r="K797" s="45" t="n"/>
      <c r="L797" s="49" t="n"/>
    </row>
    <row r="798">
      <c r="A798" s="43">
        <f>IF($B798="","",COUNT($B$5:$B798))</f>
        <v/>
      </c>
      <c r="B798" s="44" t="n"/>
      <c r="C798" s="47">
        <f>IF($B798="","",CHOOSE(WEEKDAY($B798),"일","월","화","수","목","금","토"))</f>
        <v/>
      </c>
      <c r="D798" s="45" t="n"/>
      <c r="E798" s="47">
        <f>IF($D798="","",IFERROR(INDEX(코드설정!$D$5:$D$24,MATCH($D798,코드설정!$C$5:$C$24,0)),""))</f>
        <v/>
      </c>
      <c r="F798" s="45" t="n"/>
      <c r="G798" s="45" t="n"/>
      <c r="H798" s="49" t="n"/>
      <c r="I798" s="49" t="n"/>
      <c r="J798" s="52" t="n"/>
      <c r="K798" s="45" t="n"/>
      <c r="L798" s="49" t="n"/>
    </row>
    <row r="799">
      <c r="A799" s="43">
        <f>IF($B799="","",COUNT($B$5:$B799))</f>
        <v/>
      </c>
      <c r="B799" s="44" t="n"/>
      <c r="C799" s="47">
        <f>IF($B799="","",CHOOSE(WEEKDAY($B799),"일","월","화","수","목","금","토"))</f>
        <v/>
      </c>
      <c r="D799" s="45" t="n"/>
      <c r="E799" s="47">
        <f>IF($D799="","",IFERROR(INDEX(코드설정!$D$5:$D$24,MATCH($D799,코드설정!$C$5:$C$24,0)),""))</f>
        <v/>
      </c>
      <c r="F799" s="45" t="n"/>
      <c r="G799" s="45" t="n"/>
      <c r="H799" s="49" t="n"/>
      <c r="I799" s="49" t="n"/>
      <c r="J799" s="52" t="n"/>
      <c r="K799" s="45" t="n"/>
      <c r="L799" s="49" t="n"/>
    </row>
    <row r="800">
      <c r="A800" s="43">
        <f>IF($B800="","",COUNT($B$5:$B800))</f>
        <v/>
      </c>
      <c r="B800" s="44" t="n"/>
      <c r="C800" s="47">
        <f>IF($B800="","",CHOOSE(WEEKDAY($B800),"일","월","화","수","목","금","토"))</f>
        <v/>
      </c>
      <c r="D800" s="45" t="n"/>
      <c r="E800" s="47">
        <f>IF($D800="","",IFERROR(INDEX(코드설정!$D$5:$D$24,MATCH($D800,코드설정!$C$5:$C$24,0)),""))</f>
        <v/>
      </c>
      <c r="F800" s="45" t="n"/>
      <c r="G800" s="45" t="n"/>
      <c r="H800" s="49" t="n"/>
      <c r="I800" s="49" t="n"/>
      <c r="J800" s="52" t="n"/>
      <c r="K800" s="45" t="n"/>
      <c r="L800" s="49" t="n"/>
    </row>
    <row r="801">
      <c r="A801" s="43">
        <f>IF($B801="","",COUNT($B$5:$B801))</f>
        <v/>
      </c>
      <c r="B801" s="44" t="n"/>
      <c r="C801" s="47">
        <f>IF($B801="","",CHOOSE(WEEKDAY($B801),"일","월","화","수","목","금","토"))</f>
        <v/>
      </c>
      <c r="D801" s="45" t="n"/>
      <c r="E801" s="47">
        <f>IF($D801="","",IFERROR(INDEX(코드설정!$D$5:$D$24,MATCH($D801,코드설정!$C$5:$C$24,0)),""))</f>
        <v/>
      </c>
      <c r="F801" s="45" t="n"/>
      <c r="G801" s="45" t="n"/>
      <c r="H801" s="49" t="n"/>
      <c r="I801" s="49" t="n"/>
      <c r="J801" s="52" t="n"/>
      <c r="K801" s="45" t="n"/>
      <c r="L801" s="49" t="n"/>
    </row>
    <row r="802">
      <c r="A802" s="43">
        <f>IF($B802="","",COUNT($B$5:$B802))</f>
        <v/>
      </c>
      <c r="B802" s="44" t="n"/>
      <c r="C802" s="47">
        <f>IF($B802="","",CHOOSE(WEEKDAY($B802),"일","월","화","수","목","금","토"))</f>
        <v/>
      </c>
      <c r="D802" s="45" t="n"/>
      <c r="E802" s="47">
        <f>IF($D802="","",IFERROR(INDEX(코드설정!$D$5:$D$24,MATCH($D802,코드설정!$C$5:$C$24,0)),""))</f>
        <v/>
      </c>
      <c r="F802" s="45" t="n"/>
      <c r="G802" s="45" t="n"/>
      <c r="H802" s="49" t="n"/>
      <c r="I802" s="49" t="n"/>
      <c r="J802" s="52" t="n"/>
      <c r="K802" s="45" t="n"/>
      <c r="L802" s="49" t="n"/>
    </row>
    <row r="803">
      <c r="A803" s="43">
        <f>IF($B803="","",COUNT($B$5:$B803))</f>
        <v/>
      </c>
      <c r="B803" s="44" t="n"/>
      <c r="C803" s="47">
        <f>IF($B803="","",CHOOSE(WEEKDAY($B803),"일","월","화","수","목","금","토"))</f>
        <v/>
      </c>
      <c r="D803" s="45" t="n"/>
      <c r="E803" s="47">
        <f>IF($D803="","",IFERROR(INDEX(코드설정!$D$5:$D$24,MATCH($D803,코드설정!$C$5:$C$24,0)),""))</f>
        <v/>
      </c>
      <c r="F803" s="45" t="n"/>
      <c r="G803" s="45" t="n"/>
      <c r="H803" s="49" t="n"/>
      <c r="I803" s="49" t="n"/>
      <c r="J803" s="52" t="n"/>
      <c r="K803" s="45" t="n"/>
      <c r="L803" s="49" t="n"/>
    </row>
    <row r="804">
      <c r="A804" s="43">
        <f>IF($B804="","",COUNT($B$5:$B804))</f>
        <v/>
      </c>
      <c r="B804" s="44" t="n"/>
      <c r="C804" s="47">
        <f>IF($B804="","",CHOOSE(WEEKDAY($B804),"일","월","화","수","목","금","토"))</f>
        <v/>
      </c>
      <c r="D804" s="45" t="n"/>
      <c r="E804" s="47">
        <f>IF($D804="","",IFERROR(INDEX(코드설정!$D$5:$D$24,MATCH($D804,코드설정!$C$5:$C$24,0)),""))</f>
        <v/>
      </c>
      <c r="F804" s="45" t="n"/>
      <c r="G804" s="45" t="n"/>
      <c r="H804" s="49" t="n"/>
      <c r="I804" s="49" t="n"/>
      <c r="J804" s="52" t="n"/>
      <c r="K804" s="45" t="n"/>
      <c r="L804" s="49" t="n"/>
    </row>
    <row r="805">
      <c r="A805" s="43">
        <f>IF($B805="","",COUNT($B$5:$B805))</f>
        <v/>
      </c>
      <c r="B805" s="44" t="n"/>
      <c r="C805" s="47">
        <f>IF($B805="","",CHOOSE(WEEKDAY($B805),"일","월","화","수","목","금","토"))</f>
        <v/>
      </c>
      <c r="D805" s="45" t="n"/>
      <c r="E805" s="47">
        <f>IF($D805="","",IFERROR(INDEX(코드설정!$D$5:$D$24,MATCH($D805,코드설정!$C$5:$C$24,0)),""))</f>
        <v/>
      </c>
      <c r="F805" s="45" t="n"/>
      <c r="G805" s="45" t="n"/>
      <c r="H805" s="49" t="n"/>
      <c r="I805" s="49" t="n"/>
      <c r="J805" s="52" t="n"/>
      <c r="K805" s="45" t="n"/>
      <c r="L805" s="49" t="n"/>
    </row>
    <row r="806">
      <c r="A806" s="43">
        <f>IF($B806="","",COUNT($B$5:$B806))</f>
        <v/>
      </c>
      <c r="B806" s="44" t="n"/>
      <c r="C806" s="47">
        <f>IF($B806="","",CHOOSE(WEEKDAY($B806),"일","월","화","수","목","금","토"))</f>
        <v/>
      </c>
      <c r="D806" s="45" t="n"/>
      <c r="E806" s="47">
        <f>IF($D806="","",IFERROR(INDEX(코드설정!$D$5:$D$24,MATCH($D806,코드설정!$C$5:$C$24,0)),""))</f>
        <v/>
      </c>
      <c r="F806" s="45" t="n"/>
      <c r="G806" s="45" t="n"/>
      <c r="H806" s="49" t="n"/>
      <c r="I806" s="49" t="n"/>
      <c r="J806" s="52" t="n"/>
      <c r="K806" s="45" t="n"/>
      <c r="L806" s="49" t="n"/>
    </row>
    <row r="807">
      <c r="A807" s="43">
        <f>IF($B807="","",COUNT($B$5:$B807))</f>
        <v/>
      </c>
      <c r="B807" s="44" t="n"/>
      <c r="C807" s="47">
        <f>IF($B807="","",CHOOSE(WEEKDAY($B807),"일","월","화","수","목","금","토"))</f>
        <v/>
      </c>
      <c r="D807" s="45" t="n"/>
      <c r="E807" s="47">
        <f>IF($D807="","",IFERROR(INDEX(코드설정!$D$5:$D$24,MATCH($D807,코드설정!$C$5:$C$24,0)),""))</f>
        <v/>
      </c>
      <c r="F807" s="45" t="n"/>
      <c r="G807" s="45" t="n"/>
      <c r="H807" s="49" t="n"/>
      <c r="I807" s="49" t="n"/>
      <c r="J807" s="52" t="n"/>
      <c r="K807" s="45" t="n"/>
      <c r="L807" s="49" t="n"/>
    </row>
    <row r="808">
      <c r="A808" s="43">
        <f>IF($B808="","",COUNT($B$5:$B808))</f>
        <v/>
      </c>
      <c r="B808" s="44" t="n"/>
      <c r="C808" s="47">
        <f>IF($B808="","",CHOOSE(WEEKDAY($B808),"일","월","화","수","목","금","토"))</f>
        <v/>
      </c>
      <c r="D808" s="45" t="n"/>
      <c r="E808" s="47">
        <f>IF($D808="","",IFERROR(INDEX(코드설정!$D$5:$D$24,MATCH($D808,코드설정!$C$5:$C$24,0)),""))</f>
        <v/>
      </c>
      <c r="F808" s="45" t="n"/>
      <c r="G808" s="45" t="n"/>
      <c r="H808" s="49" t="n"/>
      <c r="I808" s="49" t="n"/>
      <c r="J808" s="52" t="n"/>
      <c r="K808" s="45" t="n"/>
      <c r="L808" s="49" t="n"/>
    </row>
    <row r="809">
      <c r="A809" s="43">
        <f>IF($B809="","",COUNT($B$5:$B809))</f>
        <v/>
      </c>
      <c r="B809" s="44" t="n"/>
      <c r="C809" s="47">
        <f>IF($B809="","",CHOOSE(WEEKDAY($B809),"일","월","화","수","목","금","토"))</f>
        <v/>
      </c>
      <c r="D809" s="45" t="n"/>
      <c r="E809" s="47">
        <f>IF($D809="","",IFERROR(INDEX(코드설정!$D$5:$D$24,MATCH($D809,코드설정!$C$5:$C$24,0)),""))</f>
        <v/>
      </c>
      <c r="F809" s="45" t="n"/>
      <c r="G809" s="45" t="n"/>
      <c r="H809" s="49" t="n"/>
      <c r="I809" s="49" t="n"/>
      <c r="J809" s="52" t="n"/>
      <c r="K809" s="45" t="n"/>
      <c r="L809" s="49" t="n"/>
    </row>
    <row r="810">
      <c r="A810" s="43">
        <f>IF($B810="","",COUNT($B$5:$B810))</f>
        <v/>
      </c>
      <c r="B810" s="44" t="n"/>
      <c r="C810" s="47">
        <f>IF($B810="","",CHOOSE(WEEKDAY($B810),"일","월","화","수","목","금","토"))</f>
        <v/>
      </c>
      <c r="D810" s="45" t="n"/>
      <c r="E810" s="47">
        <f>IF($D810="","",IFERROR(INDEX(코드설정!$D$5:$D$24,MATCH($D810,코드설정!$C$5:$C$24,0)),""))</f>
        <v/>
      </c>
      <c r="F810" s="45" t="n"/>
      <c r="G810" s="45" t="n"/>
      <c r="H810" s="49" t="n"/>
      <c r="I810" s="49" t="n"/>
      <c r="J810" s="52" t="n"/>
      <c r="K810" s="45" t="n"/>
      <c r="L810" s="49" t="n"/>
    </row>
    <row r="811">
      <c r="A811" s="43">
        <f>IF($B811="","",COUNT($B$5:$B811))</f>
        <v/>
      </c>
      <c r="B811" s="44" t="n"/>
      <c r="C811" s="47">
        <f>IF($B811="","",CHOOSE(WEEKDAY($B811),"일","월","화","수","목","금","토"))</f>
        <v/>
      </c>
      <c r="D811" s="45" t="n"/>
      <c r="E811" s="47">
        <f>IF($D811="","",IFERROR(INDEX(코드설정!$D$5:$D$24,MATCH($D811,코드설정!$C$5:$C$24,0)),""))</f>
        <v/>
      </c>
      <c r="F811" s="45" t="n"/>
      <c r="G811" s="45" t="n"/>
      <c r="H811" s="49" t="n"/>
      <c r="I811" s="49" t="n"/>
      <c r="J811" s="52" t="n"/>
      <c r="K811" s="45" t="n"/>
      <c r="L811" s="49" t="n"/>
    </row>
    <row r="812">
      <c r="A812" s="43">
        <f>IF($B812="","",COUNT($B$5:$B812))</f>
        <v/>
      </c>
      <c r="B812" s="44" t="n"/>
      <c r="C812" s="47">
        <f>IF($B812="","",CHOOSE(WEEKDAY($B812),"일","월","화","수","목","금","토"))</f>
        <v/>
      </c>
      <c r="D812" s="45" t="n"/>
      <c r="E812" s="47">
        <f>IF($D812="","",IFERROR(INDEX(코드설정!$D$5:$D$24,MATCH($D812,코드설정!$C$5:$C$24,0)),""))</f>
        <v/>
      </c>
      <c r="F812" s="45" t="n"/>
      <c r="G812" s="45" t="n"/>
      <c r="H812" s="49" t="n"/>
      <c r="I812" s="49" t="n"/>
      <c r="J812" s="52" t="n"/>
      <c r="K812" s="45" t="n"/>
      <c r="L812" s="49" t="n"/>
    </row>
    <row r="813">
      <c r="A813" s="43">
        <f>IF($B813="","",COUNT($B$5:$B813))</f>
        <v/>
      </c>
      <c r="B813" s="44" t="n"/>
      <c r="C813" s="47">
        <f>IF($B813="","",CHOOSE(WEEKDAY($B813),"일","월","화","수","목","금","토"))</f>
        <v/>
      </c>
      <c r="D813" s="45" t="n"/>
      <c r="E813" s="47">
        <f>IF($D813="","",IFERROR(INDEX(코드설정!$D$5:$D$24,MATCH($D813,코드설정!$C$5:$C$24,0)),""))</f>
        <v/>
      </c>
      <c r="F813" s="45" t="n"/>
      <c r="G813" s="45" t="n"/>
      <c r="H813" s="49" t="n"/>
      <c r="I813" s="49" t="n"/>
      <c r="J813" s="52" t="n"/>
      <c r="K813" s="45" t="n"/>
      <c r="L813" s="49" t="n"/>
    </row>
    <row r="814">
      <c r="A814" s="43">
        <f>IF($B814="","",COUNT($B$5:$B814))</f>
        <v/>
      </c>
      <c r="B814" s="44" t="n"/>
      <c r="C814" s="47">
        <f>IF($B814="","",CHOOSE(WEEKDAY($B814),"일","월","화","수","목","금","토"))</f>
        <v/>
      </c>
      <c r="D814" s="45" t="n"/>
      <c r="E814" s="47">
        <f>IF($D814="","",IFERROR(INDEX(코드설정!$D$5:$D$24,MATCH($D814,코드설정!$C$5:$C$24,0)),""))</f>
        <v/>
      </c>
      <c r="F814" s="45" t="n"/>
      <c r="G814" s="45" t="n"/>
      <c r="H814" s="49" t="n"/>
      <c r="I814" s="49" t="n"/>
      <c r="J814" s="52" t="n"/>
      <c r="K814" s="45" t="n"/>
      <c r="L814" s="49" t="n"/>
    </row>
    <row r="815">
      <c r="A815" s="43">
        <f>IF($B815="","",COUNT($B$5:$B815))</f>
        <v/>
      </c>
      <c r="B815" s="44" t="n"/>
      <c r="C815" s="47">
        <f>IF($B815="","",CHOOSE(WEEKDAY($B815),"일","월","화","수","목","금","토"))</f>
        <v/>
      </c>
      <c r="D815" s="45" t="n"/>
      <c r="E815" s="47">
        <f>IF($D815="","",IFERROR(INDEX(코드설정!$D$5:$D$24,MATCH($D815,코드설정!$C$5:$C$24,0)),""))</f>
        <v/>
      </c>
      <c r="F815" s="45" t="n"/>
      <c r="G815" s="45" t="n"/>
      <c r="H815" s="49" t="n"/>
      <c r="I815" s="49" t="n"/>
      <c r="J815" s="52" t="n"/>
      <c r="K815" s="45" t="n"/>
      <c r="L815" s="49" t="n"/>
    </row>
    <row r="816">
      <c r="A816" s="43">
        <f>IF($B816="","",COUNT($B$5:$B816))</f>
        <v/>
      </c>
      <c r="B816" s="44" t="n"/>
      <c r="C816" s="47">
        <f>IF($B816="","",CHOOSE(WEEKDAY($B816),"일","월","화","수","목","금","토"))</f>
        <v/>
      </c>
      <c r="D816" s="45" t="n"/>
      <c r="E816" s="47">
        <f>IF($D816="","",IFERROR(INDEX(코드설정!$D$5:$D$24,MATCH($D816,코드설정!$C$5:$C$24,0)),""))</f>
        <v/>
      </c>
      <c r="F816" s="45" t="n"/>
      <c r="G816" s="45" t="n"/>
      <c r="H816" s="49" t="n"/>
      <c r="I816" s="49" t="n"/>
      <c r="J816" s="52" t="n"/>
      <c r="K816" s="45" t="n"/>
      <c r="L816" s="49" t="n"/>
    </row>
    <row r="817">
      <c r="A817" s="43">
        <f>IF($B817="","",COUNT($B$5:$B817))</f>
        <v/>
      </c>
      <c r="B817" s="44" t="n"/>
      <c r="C817" s="47">
        <f>IF($B817="","",CHOOSE(WEEKDAY($B817),"일","월","화","수","목","금","토"))</f>
        <v/>
      </c>
      <c r="D817" s="45" t="n"/>
      <c r="E817" s="47">
        <f>IF($D817="","",IFERROR(INDEX(코드설정!$D$5:$D$24,MATCH($D817,코드설정!$C$5:$C$24,0)),""))</f>
        <v/>
      </c>
      <c r="F817" s="45" t="n"/>
      <c r="G817" s="45" t="n"/>
      <c r="H817" s="49" t="n"/>
      <c r="I817" s="49" t="n"/>
      <c r="J817" s="52" t="n"/>
      <c r="K817" s="45" t="n"/>
      <c r="L817" s="49" t="n"/>
    </row>
    <row r="818">
      <c r="A818" s="43">
        <f>IF($B818="","",COUNT($B$5:$B818))</f>
        <v/>
      </c>
      <c r="B818" s="44" t="n"/>
      <c r="C818" s="47">
        <f>IF($B818="","",CHOOSE(WEEKDAY($B818),"일","월","화","수","목","금","토"))</f>
        <v/>
      </c>
      <c r="D818" s="45" t="n"/>
      <c r="E818" s="47">
        <f>IF($D818="","",IFERROR(INDEX(코드설정!$D$5:$D$24,MATCH($D818,코드설정!$C$5:$C$24,0)),""))</f>
        <v/>
      </c>
      <c r="F818" s="45" t="n"/>
      <c r="G818" s="45" t="n"/>
      <c r="H818" s="49" t="n"/>
      <c r="I818" s="49" t="n"/>
      <c r="J818" s="52" t="n"/>
      <c r="K818" s="45" t="n"/>
      <c r="L818" s="49" t="n"/>
    </row>
    <row r="819">
      <c r="A819" s="43">
        <f>IF($B819="","",COUNT($B$5:$B819))</f>
        <v/>
      </c>
      <c r="B819" s="44" t="n"/>
      <c r="C819" s="47">
        <f>IF($B819="","",CHOOSE(WEEKDAY($B819),"일","월","화","수","목","금","토"))</f>
        <v/>
      </c>
      <c r="D819" s="45" t="n"/>
      <c r="E819" s="47">
        <f>IF($D819="","",IFERROR(INDEX(코드설정!$D$5:$D$24,MATCH($D819,코드설정!$C$5:$C$24,0)),""))</f>
        <v/>
      </c>
      <c r="F819" s="45" t="n"/>
      <c r="G819" s="45" t="n"/>
      <c r="H819" s="49" t="n"/>
      <c r="I819" s="49" t="n"/>
      <c r="J819" s="52" t="n"/>
      <c r="K819" s="45" t="n"/>
      <c r="L819" s="49" t="n"/>
    </row>
    <row r="820">
      <c r="A820" s="43">
        <f>IF($B820="","",COUNT($B$5:$B820))</f>
        <v/>
      </c>
      <c r="B820" s="44" t="n"/>
      <c r="C820" s="47">
        <f>IF($B820="","",CHOOSE(WEEKDAY($B820),"일","월","화","수","목","금","토"))</f>
        <v/>
      </c>
      <c r="D820" s="45" t="n"/>
      <c r="E820" s="47">
        <f>IF($D820="","",IFERROR(INDEX(코드설정!$D$5:$D$24,MATCH($D820,코드설정!$C$5:$C$24,0)),""))</f>
        <v/>
      </c>
      <c r="F820" s="45" t="n"/>
      <c r="G820" s="45" t="n"/>
      <c r="H820" s="49" t="n"/>
      <c r="I820" s="49" t="n"/>
      <c r="J820" s="52" t="n"/>
      <c r="K820" s="45" t="n"/>
      <c r="L820" s="49" t="n"/>
    </row>
    <row r="821">
      <c r="A821" s="43">
        <f>IF($B821="","",COUNT($B$5:$B821))</f>
        <v/>
      </c>
      <c r="B821" s="44" t="n"/>
      <c r="C821" s="47">
        <f>IF($B821="","",CHOOSE(WEEKDAY($B821),"일","월","화","수","목","금","토"))</f>
        <v/>
      </c>
      <c r="D821" s="45" t="n"/>
      <c r="E821" s="47">
        <f>IF($D821="","",IFERROR(INDEX(코드설정!$D$5:$D$24,MATCH($D821,코드설정!$C$5:$C$24,0)),""))</f>
        <v/>
      </c>
      <c r="F821" s="45" t="n"/>
      <c r="G821" s="45" t="n"/>
      <c r="H821" s="49" t="n"/>
      <c r="I821" s="49" t="n"/>
      <c r="J821" s="52" t="n"/>
      <c r="K821" s="45" t="n"/>
      <c r="L821" s="49" t="n"/>
    </row>
    <row r="822">
      <c r="A822" s="43">
        <f>IF($B822="","",COUNT($B$5:$B822))</f>
        <v/>
      </c>
      <c r="B822" s="44" t="n"/>
      <c r="C822" s="47">
        <f>IF($B822="","",CHOOSE(WEEKDAY($B822),"일","월","화","수","목","금","토"))</f>
        <v/>
      </c>
      <c r="D822" s="45" t="n"/>
      <c r="E822" s="47">
        <f>IF($D822="","",IFERROR(INDEX(코드설정!$D$5:$D$24,MATCH($D822,코드설정!$C$5:$C$24,0)),""))</f>
        <v/>
      </c>
      <c r="F822" s="45" t="n"/>
      <c r="G822" s="45" t="n"/>
      <c r="H822" s="49" t="n"/>
      <c r="I822" s="49" t="n"/>
      <c r="J822" s="52" t="n"/>
      <c r="K822" s="45" t="n"/>
      <c r="L822" s="49" t="n"/>
    </row>
    <row r="823">
      <c r="A823" s="43">
        <f>IF($B823="","",COUNT($B$5:$B823))</f>
        <v/>
      </c>
      <c r="B823" s="44" t="n"/>
      <c r="C823" s="47">
        <f>IF($B823="","",CHOOSE(WEEKDAY($B823),"일","월","화","수","목","금","토"))</f>
        <v/>
      </c>
      <c r="D823" s="45" t="n"/>
      <c r="E823" s="47">
        <f>IF($D823="","",IFERROR(INDEX(코드설정!$D$5:$D$24,MATCH($D823,코드설정!$C$5:$C$24,0)),""))</f>
        <v/>
      </c>
      <c r="F823" s="45" t="n"/>
      <c r="G823" s="45" t="n"/>
      <c r="H823" s="49" t="n"/>
      <c r="I823" s="49" t="n"/>
      <c r="J823" s="52" t="n"/>
      <c r="K823" s="45" t="n"/>
      <c r="L823" s="49" t="n"/>
    </row>
    <row r="824">
      <c r="A824" s="43">
        <f>IF($B824="","",COUNT($B$5:$B824))</f>
        <v/>
      </c>
      <c r="B824" s="44" t="n"/>
      <c r="C824" s="47">
        <f>IF($B824="","",CHOOSE(WEEKDAY($B824),"일","월","화","수","목","금","토"))</f>
        <v/>
      </c>
      <c r="D824" s="45" t="n"/>
      <c r="E824" s="47">
        <f>IF($D824="","",IFERROR(INDEX(코드설정!$D$5:$D$24,MATCH($D824,코드설정!$C$5:$C$24,0)),""))</f>
        <v/>
      </c>
      <c r="F824" s="45" t="n"/>
      <c r="G824" s="45" t="n"/>
      <c r="H824" s="49" t="n"/>
      <c r="I824" s="49" t="n"/>
      <c r="J824" s="52" t="n"/>
      <c r="K824" s="45" t="n"/>
      <c r="L824" s="49" t="n"/>
    </row>
    <row r="825">
      <c r="A825" s="43">
        <f>IF($B825="","",COUNT($B$5:$B825))</f>
        <v/>
      </c>
      <c r="B825" s="44" t="n"/>
      <c r="C825" s="47">
        <f>IF($B825="","",CHOOSE(WEEKDAY($B825),"일","월","화","수","목","금","토"))</f>
        <v/>
      </c>
      <c r="D825" s="45" t="n"/>
      <c r="E825" s="47">
        <f>IF($D825="","",IFERROR(INDEX(코드설정!$D$5:$D$24,MATCH($D825,코드설정!$C$5:$C$24,0)),""))</f>
        <v/>
      </c>
      <c r="F825" s="45" t="n"/>
      <c r="G825" s="45" t="n"/>
      <c r="H825" s="49" t="n"/>
      <c r="I825" s="49" t="n"/>
      <c r="J825" s="52" t="n"/>
      <c r="K825" s="45" t="n"/>
      <c r="L825" s="49" t="n"/>
    </row>
    <row r="826">
      <c r="A826" s="43">
        <f>IF($B826="","",COUNT($B$5:$B826))</f>
        <v/>
      </c>
      <c r="B826" s="44" t="n"/>
      <c r="C826" s="47">
        <f>IF($B826="","",CHOOSE(WEEKDAY($B826),"일","월","화","수","목","금","토"))</f>
        <v/>
      </c>
      <c r="D826" s="45" t="n"/>
      <c r="E826" s="47">
        <f>IF($D826="","",IFERROR(INDEX(코드설정!$D$5:$D$24,MATCH($D826,코드설정!$C$5:$C$24,0)),""))</f>
        <v/>
      </c>
      <c r="F826" s="45" t="n"/>
      <c r="G826" s="45" t="n"/>
      <c r="H826" s="49" t="n"/>
      <c r="I826" s="49" t="n"/>
      <c r="J826" s="52" t="n"/>
      <c r="K826" s="45" t="n"/>
      <c r="L826" s="49" t="n"/>
    </row>
    <row r="827">
      <c r="A827" s="43">
        <f>IF($B827="","",COUNT($B$5:$B827))</f>
        <v/>
      </c>
      <c r="B827" s="44" t="n"/>
      <c r="C827" s="47">
        <f>IF($B827="","",CHOOSE(WEEKDAY($B827),"일","월","화","수","목","금","토"))</f>
        <v/>
      </c>
      <c r="D827" s="45" t="n"/>
      <c r="E827" s="47">
        <f>IF($D827="","",IFERROR(INDEX(코드설정!$D$5:$D$24,MATCH($D827,코드설정!$C$5:$C$24,0)),""))</f>
        <v/>
      </c>
      <c r="F827" s="45" t="n"/>
      <c r="G827" s="45" t="n"/>
      <c r="H827" s="49" t="n"/>
      <c r="I827" s="49" t="n"/>
      <c r="J827" s="52" t="n"/>
      <c r="K827" s="45" t="n"/>
      <c r="L827" s="49" t="n"/>
    </row>
    <row r="828">
      <c r="A828" s="43">
        <f>IF($B828="","",COUNT($B$5:$B828))</f>
        <v/>
      </c>
      <c r="B828" s="44" t="n"/>
      <c r="C828" s="47">
        <f>IF($B828="","",CHOOSE(WEEKDAY($B828),"일","월","화","수","목","금","토"))</f>
        <v/>
      </c>
      <c r="D828" s="45" t="n"/>
      <c r="E828" s="47">
        <f>IF($D828="","",IFERROR(INDEX(코드설정!$D$5:$D$24,MATCH($D828,코드설정!$C$5:$C$24,0)),""))</f>
        <v/>
      </c>
      <c r="F828" s="45" t="n"/>
      <c r="G828" s="45" t="n"/>
      <c r="H828" s="49" t="n"/>
      <c r="I828" s="49" t="n"/>
      <c r="J828" s="52" t="n"/>
      <c r="K828" s="45" t="n"/>
      <c r="L828" s="49" t="n"/>
    </row>
    <row r="829">
      <c r="A829" s="43">
        <f>IF($B829="","",COUNT($B$5:$B829))</f>
        <v/>
      </c>
      <c r="B829" s="44" t="n"/>
      <c r="C829" s="47">
        <f>IF($B829="","",CHOOSE(WEEKDAY($B829),"일","월","화","수","목","금","토"))</f>
        <v/>
      </c>
      <c r="D829" s="45" t="n"/>
      <c r="E829" s="47">
        <f>IF($D829="","",IFERROR(INDEX(코드설정!$D$5:$D$24,MATCH($D829,코드설정!$C$5:$C$24,0)),""))</f>
        <v/>
      </c>
      <c r="F829" s="45" t="n"/>
      <c r="G829" s="45" t="n"/>
      <c r="H829" s="49" t="n"/>
      <c r="I829" s="49" t="n"/>
      <c r="J829" s="52" t="n"/>
      <c r="K829" s="45" t="n"/>
      <c r="L829" s="49" t="n"/>
    </row>
    <row r="830">
      <c r="A830" s="43">
        <f>IF($B830="","",COUNT($B$5:$B830))</f>
        <v/>
      </c>
      <c r="B830" s="44" t="n"/>
      <c r="C830" s="47">
        <f>IF($B830="","",CHOOSE(WEEKDAY($B830),"일","월","화","수","목","금","토"))</f>
        <v/>
      </c>
      <c r="D830" s="45" t="n"/>
      <c r="E830" s="47">
        <f>IF($D830="","",IFERROR(INDEX(코드설정!$D$5:$D$24,MATCH($D830,코드설정!$C$5:$C$24,0)),""))</f>
        <v/>
      </c>
      <c r="F830" s="45" t="n"/>
      <c r="G830" s="45" t="n"/>
      <c r="H830" s="49" t="n"/>
      <c r="I830" s="49" t="n"/>
      <c r="J830" s="52" t="n"/>
      <c r="K830" s="45" t="n"/>
      <c r="L830" s="49" t="n"/>
    </row>
    <row r="831">
      <c r="A831" s="43">
        <f>IF($B831="","",COUNT($B$5:$B831))</f>
        <v/>
      </c>
      <c r="B831" s="44" t="n"/>
      <c r="C831" s="47">
        <f>IF($B831="","",CHOOSE(WEEKDAY($B831),"일","월","화","수","목","금","토"))</f>
        <v/>
      </c>
      <c r="D831" s="45" t="n"/>
      <c r="E831" s="47">
        <f>IF($D831="","",IFERROR(INDEX(코드설정!$D$5:$D$24,MATCH($D831,코드설정!$C$5:$C$24,0)),""))</f>
        <v/>
      </c>
      <c r="F831" s="45" t="n"/>
      <c r="G831" s="45" t="n"/>
      <c r="H831" s="49" t="n"/>
      <c r="I831" s="49" t="n"/>
      <c r="J831" s="52" t="n"/>
      <c r="K831" s="45" t="n"/>
      <c r="L831" s="49" t="n"/>
    </row>
    <row r="832">
      <c r="A832" s="43">
        <f>IF($B832="","",COUNT($B$5:$B832))</f>
        <v/>
      </c>
      <c r="B832" s="44" t="n"/>
      <c r="C832" s="47">
        <f>IF($B832="","",CHOOSE(WEEKDAY($B832),"일","월","화","수","목","금","토"))</f>
        <v/>
      </c>
      <c r="D832" s="45" t="n"/>
      <c r="E832" s="47">
        <f>IF($D832="","",IFERROR(INDEX(코드설정!$D$5:$D$24,MATCH($D832,코드설정!$C$5:$C$24,0)),""))</f>
        <v/>
      </c>
      <c r="F832" s="45" t="n"/>
      <c r="G832" s="45" t="n"/>
      <c r="H832" s="49" t="n"/>
      <c r="I832" s="49" t="n"/>
      <c r="J832" s="52" t="n"/>
      <c r="K832" s="45" t="n"/>
      <c r="L832" s="49" t="n"/>
    </row>
    <row r="833">
      <c r="A833" s="43">
        <f>IF($B833="","",COUNT($B$5:$B833))</f>
        <v/>
      </c>
      <c r="B833" s="44" t="n"/>
      <c r="C833" s="47">
        <f>IF($B833="","",CHOOSE(WEEKDAY($B833),"일","월","화","수","목","금","토"))</f>
        <v/>
      </c>
      <c r="D833" s="45" t="n"/>
      <c r="E833" s="47">
        <f>IF($D833="","",IFERROR(INDEX(코드설정!$D$5:$D$24,MATCH($D833,코드설정!$C$5:$C$24,0)),""))</f>
        <v/>
      </c>
      <c r="F833" s="45" t="n"/>
      <c r="G833" s="45" t="n"/>
      <c r="H833" s="49" t="n"/>
      <c r="I833" s="49" t="n"/>
      <c r="J833" s="52" t="n"/>
      <c r="K833" s="45" t="n"/>
      <c r="L833" s="49" t="n"/>
    </row>
    <row r="834">
      <c r="A834" s="43">
        <f>IF($B834="","",COUNT($B$5:$B834))</f>
        <v/>
      </c>
      <c r="B834" s="44" t="n"/>
      <c r="C834" s="47">
        <f>IF($B834="","",CHOOSE(WEEKDAY($B834),"일","월","화","수","목","금","토"))</f>
        <v/>
      </c>
      <c r="D834" s="45" t="n"/>
      <c r="E834" s="47">
        <f>IF($D834="","",IFERROR(INDEX(코드설정!$D$5:$D$24,MATCH($D834,코드설정!$C$5:$C$24,0)),""))</f>
        <v/>
      </c>
      <c r="F834" s="45" t="n"/>
      <c r="G834" s="45" t="n"/>
      <c r="H834" s="49" t="n"/>
      <c r="I834" s="49" t="n"/>
      <c r="J834" s="52" t="n"/>
      <c r="K834" s="45" t="n"/>
      <c r="L834" s="49" t="n"/>
    </row>
    <row r="835">
      <c r="A835" s="43">
        <f>IF($B835="","",COUNT($B$5:$B835))</f>
        <v/>
      </c>
      <c r="B835" s="44" t="n"/>
      <c r="C835" s="47">
        <f>IF($B835="","",CHOOSE(WEEKDAY($B835),"일","월","화","수","목","금","토"))</f>
        <v/>
      </c>
      <c r="D835" s="45" t="n"/>
      <c r="E835" s="47">
        <f>IF($D835="","",IFERROR(INDEX(코드설정!$D$5:$D$24,MATCH($D835,코드설정!$C$5:$C$24,0)),""))</f>
        <v/>
      </c>
      <c r="F835" s="45" t="n"/>
      <c r="G835" s="45" t="n"/>
      <c r="H835" s="49" t="n"/>
      <c r="I835" s="49" t="n"/>
      <c r="J835" s="52" t="n"/>
      <c r="K835" s="45" t="n"/>
      <c r="L835" s="49" t="n"/>
    </row>
    <row r="836">
      <c r="A836" s="43">
        <f>IF($B836="","",COUNT($B$5:$B836))</f>
        <v/>
      </c>
      <c r="B836" s="44" t="n"/>
      <c r="C836" s="47">
        <f>IF($B836="","",CHOOSE(WEEKDAY($B836),"일","월","화","수","목","금","토"))</f>
        <v/>
      </c>
      <c r="D836" s="45" t="n"/>
      <c r="E836" s="47">
        <f>IF($D836="","",IFERROR(INDEX(코드설정!$D$5:$D$24,MATCH($D836,코드설정!$C$5:$C$24,0)),""))</f>
        <v/>
      </c>
      <c r="F836" s="45" t="n"/>
      <c r="G836" s="45" t="n"/>
      <c r="H836" s="49" t="n"/>
      <c r="I836" s="49" t="n"/>
      <c r="J836" s="52" t="n"/>
      <c r="K836" s="45" t="n"/>
      <c r="L836" s="49" t="n"/>
    </row>
    <row r="837">
      <c r="A837" s="43">
        <f>IF($B837="","",COUNT($B$5:$B837))</f>
        <v/>
      </c>
      <c r="B837" s="44" t="n"/>
      <c r="C837" s="47">
        <f>IF($B837="","",CHOOSE(WEEKDAY($B837),"일","월","화","수","목","금","토"))</f>
        <v/>
      </c>
      <c r="D837" s="45" t="n"/>
      <c r="E837" s="47">
        <f>IF($D837="","",IFERROR(INDEX(코드설정!$D$5:$D$24,MATCH($D837,코드설정!$C$5:$C$24,0)),""))</f>
        <v/>
      </c>
      <c r="F837" s="45" t="n"/>
      <c r="G837" s="45" t="n"/>
      <c r="H837" s="49" t="n"/>
      <c r="I837" s="49" t="n"/>
      <c r="J837" s="52" t="n"/>
      <c r="K837" s="45" t="n"/>
      <c r="L837" s="49" t="n"/>
    </row>
    <row r="838">
      <c r="A838" s="43">
        <f>IF($B838="","",COUNT($B$5:$B838))</f>
        <v/>
      </c>
      <c r="B838" s="44" t="n"/>
      <c r="C838" s="47">
        <f>IF($B838="","",CHOOSE(WEEKDAY($B838),"일","월","화","수","목","금","토"))</f>
        <v/>
      </c>
      <c r="D838" s="45" t="n"/>
      <c r="E838" s="47">
        <f>IF($D838="","",IFERROR(INDEX(코드설정!$D$5:$D$24,MATCH($D838,코드설정!$C$5:$C$24,0)),""))</f>
        <v/>
      </c>
      <c r="F838" s="45" t="n"/>
      <c r="G838" s="45" t="n"/>
      <c r="H838" s="49" t="n"/>
      <c r="I838" s="49" t="n"/>
      <c r="J838" s="52" t="n"/>
      <c r="K838" s="45" t="n"/>
      <c r="L838" s="49" t="n"/>
    </row>
    <row r="839">
      <c r="A839" s="43">
        <f>IF($B839="","",COUNT($B$5:$B839))</f>
        <v/>
      </c>
      <c r="B839" s="44" t="n"/>
      <c r="C839" s="47">
        <f>IF($B839="","",CHOOSE(WEEKDAY($B839),"일","월","화","수","목","금","토"))</f>
        <v/>
      </c>
      <c r="D839" s="45" t="n"/>
      <c r="E839" s="47">
        <f>IF($D839="","",IFERROR(INDEX(코드설정!$D$5:$D$24,MATCH($D839,코드설정!$C$5:$C$24,0)),""))</f>
        <v/>
      </c>
      <c r="F839" s="45" t="n"/>
      <c r="G839" s="45" t="n"/>
      <c r="H839" s="49" t="n"/>
      <c r="I839" s="49" t="n"/>
      <c r="J839" s="52" t="n"/>
      <c r="K839" s="45" t="n"/>
      <c r="L839" s="49" t="n"/>
    </row>
    <row r="840">
      <c r="A840" s="43">
        <f>IF($B840="","",COUNT($B$5:$B840))</f>
        <v/>
      </c>
      <c r="B840" s="44" t="n"/>
      <c r="C840" s="47">
        <f>IF($B840="","",CHOOSE(WEEKDAY($B840),"일","월","화","수","목","금","토"))</f>
        <v/>
      </c>
      <c r="D840" s="45" t="n"/>
      <c r="E840" s="47">
        <f>IF($D840="","",IFERROR(INDEX(코드설정!$D$5:$D$24,MATCH($D840,코드설정!$C$5:$C$24,0)),""))</f>
        <v/>
      </c>
      <c r="F840" s="45" t="n"/>
      <c r="G840" s="45" t="n"/>
      <c r="H840" s="49" t="n"/>
      <c r="I840" s="49" t="n"/>
      <c r="J840" s="52" t="n"/>
      <c r="K840" s="45" t="n"/>
      <c r="L840" s="49" t="n"/>
    </row>
    <row r="841">
      <c r="A841" s="43">
        <f>IF($B841="","",COUNT($B$5:$B841))</f>
        <v/>
      </c>
      <c r="B841" s="44" t="n"/>
      <c r="C841" s="47">
        <f>IF($B841="","",CHOOSE(WEEKDAY($B841),"일","월","화","수","목","금","토"))</f>
        <v/>
      </c>
      <c r="D841" s="45" t="n"/>
      <c r="E841" s="47">
        <f>IF($D841="","",IFERROR(INDEX(코드설정!$D$5:$D$24,MATCH($D841,코드설정!$C$5:$C$24,0)),""))</f>
        <v/>
      </c>
      <c r="F841" s="45" t="n"/>
      <c r="G841" s="45" t="n"/>
      <c r="H841" s="49" t="n"/>
      <c r="I841" s="49" t="n"/>
      <c r="J841" s="52" t="n"/>
      <c r="K841" s="45" t="n"/>
      <c r="L841" s="49" t="n"/>
    </row>
    <row r="842">
      <c r="A842" s="43">
        <f>IF($B842="","",COUNT($B$5:$B842))</f>
        <v/>
      </c>
      <c r="B842" s="44" t="n"/>
      <c r="C842" s="47">
        <f>IF($B842="","",CHOOSE(WEEKDAY($B842),"일","월","화","수","목","금","토"))</f>
        <v/>
      </c>
      <c r="D842" s="45" t="n"/>
      <c r="E842" s="47">
        <f>IF($D842="","",IFERROR(INDEX(코드설정!$D$5:$D$24,MATCH($D842,코드설정!$C$5:$C$24,0)),""))</f>
        <v/>
      </c>
      <c r="F842" s="45" t="n"/>
      <c r="G842" s="45" t="n"/>
      <c r="H842" s="49" t="n"/>
      <c r="I842" s="49" t="n"/>
      <c r="J842" s="52" t="n"/>
      <c r="K842" s="45" t="n"/>
      <c r="L842" s="49" t="n"/>
    </row>
    <row r="843">
      <c r="A843" s="43">
        <f>IF($B843="","",COUNT($B$5:$B843))</f>
        <v/>
      </c>
      <c r="B843" s="44" t="n"/>
      <c r="C843" s="47">
        <f>IF($B843="","",CHOOSE(WEEKDAY($B843),"일","월","화","수","목","금","토"))</f>
        <v/>
      </c>
      <c r="D843" s="45" t="n"/>
      <c r="E843" s="47">
        <f>IF($D843="","",IFERROR(INDEX(코드설정!$D$5:$D$24,MATCH($D843,코드설정!$C$5:$C$24,0)),""))</f>
        <v/>
      </c>
      <c r="F843" s="45" t="n"/>
      <c r="G843" s="45" t="n"/>
      <c r="H843" s="49" t="n"/>
      <c r="I843" s="49" t="n"/>
      <c r="J843" s="52" t="n"/>
      <c r="K843" s="45" t="n"/>
      <c r="L843" s="49" t="n"/>
    </row>
    <row r="844">
      <c r="A844" s="43">
        <f>IF($B844="","",COUNT($B$5:$B844))</f>
        <v/>
      </c>
      <c r="B844" s="44" t="n"/>
      <c r="C844" s="47">
        <f>IF($B844="","",CHOOSE(WEEKDAY($B844),"일","월","화","수","목","금","토"))</f>
        <v/>
      </c>
      <c r="D844" s="45" t="n"/>
      <c r="E844" s="47">
        <f>IF($D844="","",IFERROR(INDEX(코드설정!$D$5:$D$24,MATCH($D844,코드설정!$C$5:$C$24,0)),""))</f>
        <v/>
      </c>
      <c r="F844" s="45" t="n"/>
      <c r="G844" s="45" t="n"/>
      <c r="H844" s="49" t="n"/>
      <c r="I844" s="49" t="n"/>
      <c r="J844" s="52" t="n"/>
      <c r="K844" s="45" t="n"/>
      <c r="L844" s="49" t="n"/>
    </row>
    <row r="845">
      <c r="A845" s="43">
        <f>IF($B845="","",COUNT($B$5:$B845))</f>
        <v/>
      </c>
      <c r="B845" s="44" t="n"/>
      <c r="C845" s="47">
        <f>IF($B845="","",CHOOSE(WEEKDAY($B845),"일","월","화","수","목","금","토"))</f>
        <v/>
      </c>
      <c r="D845" s="45" t="n"/>
      <c r="E845" s="47">
        <f>IF($D845="","",IFERROR(INDEX(코드설정!$D$5:$D$24,MATCH($D845,코드설정!$C$5:$C$24,0)),""))</f>
        <v/>
      </c>
      <c r="F845" s="45" t="n"/>
      <c r="G845" s="45" t="n"/>
      <c r="H845" s="49" t="n"/>
      <c r="I845" s="49" t="n"/>
      <c r="J845" s="52" t="n"/>
      <c r="K845" s="45" t="n"/>
      <c r="L845" s="49" t="n"/>
    </row>
    <row r="846">
      <c r="A846" s="43">
        <f>IF($B846="","",COUNT($B$5:$B846))</f>
        <v/>
      </c>
      <c r="B846" s="44" t="n"/>
      <c r="C846" s="47">
        <f>IF($B846="","",CHOOSE(WEEKDAY($B846),"일","월","화","수","목","금","토"))</f>
        <v/>
      </c>
      <c r="D846" s="45" t="n"/>
      <c r="E846" s="47">
        <f>IF($D846="","",IFERROR(INDEX(코드설정!$D$5:$D$24,MATCH($D846,코드설정!$C$5:$C$24,0)),""))</f>
        <v/>
      </c>
      <c r="F846" s="45" t="n"/>
      <c r="G846" s="45" t="n"/>
      <c r="H846" s="49" t="n"/>
      <c r="I846" s="49" t="n"/>
      <c r="J846" s="52" t="n"/>
      <c r="K846" s="45" t="n"/>
      <c r="L846" s="49" t="n"/>
    </row>
    <row r="847">
      <c r="A847" s="43">
        <f>IF($B847="","",COUNT($B$5:$B847))</f>
        <v/>
      </c>
      <c r="B847" s="44" t="n"/>
      <c r="C847" s="47">
        <f>IF($B847="","",CHOOSE(WEEKDAY($B847),"일","월","화","수","목","금","토"))</f>
        <v/>
      </c>
      <c r="D847" s="45" t="n"/>
      <c r="E847" s="47">
        <f>IF($D847="","",IFERROR(INDEX(코드설정!$D$5:$D$24,MATCH($D847,코드설정!$C$5:$C$24,0)),""))</f>
        <v/>
      </c>
      <c r="F847" s="45" t="n"/>
      <c r="G847" s="45" t="n"/>
      <c r="H847" s="49" t="n"/>
      <c r="I847" s="49" t="n"/>
      <c r="J847" s="52" t="n"/>
      <c r="K847" s="45" t="n"/>
      <c r="L847" s="49" t="n"/>
    </row>
    <row r="848">
      <c r="A848" s="43">
        <f>IF($B848="","",COUNT($B$5:$B848))</f>
        <v/>
      </c>
      <c r="B848" s="44" t="n"/>
      <c r="C848" s="47">
        <f>IF($B848="","",CHOOSE(WEEKDAY($B848),"일","월","화","수","목","금","토"))</f>
        <v/>
      </c>
      <c r="D848" s="45" t="n"/>
      <c r="E848" s="47">
        <f>IF($D848="","",IFERROR(INDEX(코드설정!$D$5:$D$24,MATCH($D848,코드설정!$C$5:$C$24,0)),""))</f>
        <v/>
      </c>
      <c r="F848" s="45" t="n"/>
      <c r="G848" s="45" t="n"/>
      <c r="H848" s="49" t="n"/>
      <c r="I848" s="49" t="n"/>
      <c r="J848" s="52" t="n"/>
      <c r="K848" s="45" t="n"/>
      <c r="L848" s="49" t="n"/>
    </row>
    <row r="849">
      <c r="A849" s="43">
        <f>IF($B849="","",COUNT($B$5:$B849))</f>
        <v/>
      </c>
      <c r="B849" s="44" t="n"/>
      <c r="C849" s="47">
        <f>IF($B849="","",CHOOSE(WEEKDAY($B849),"일","월","화","수","목","금","토"))</f>
        <v/>
      </c>
      <c r="D849" s="45" t="n"/>
      <c r="E849" s="47">
        <f>IF($D849="","",IFERROR(INDEX(코드설정!$D$5:$D$24,MATCH($D849,코드설정!$C$5:$C$24,0)),""))</f>
        <v/>
      </c>
      <c r="F849" s="45" t="n"/>
      <c r="G849" s="45" t="n"/>
      <c r="H849" s="49" t="n"/>
      <c r="I849" s="49" t="n"/>
      <c r="J849" s="52" t="n"/>
      <c r="K849" s="45" t="n"/>
      <c r="L849" s="49" t="n"/>
    </row>
    <row r="850">
      <c r="A850" s="43">
        <f>IF($B850="","",COUNT($B$5:$B850))</f>
        <v/>
      </c>
      <c r="B850" s="44" t="n"/>
      <c r="C850" s="47">
        <f>IF($B850="","",CHOOSE(WEEKDAY($B850),"일","월","화","수","목","금","토"))</f>
        <v/>
      </c>
      <c r="D850" s="45" t="n"/>
      <c r="E850" s="47">
        <f>IF($D850="","",IFERROR(INDEX(코드설정!$D$5:$D$24,MATCH($D850,코드설정!$C$5:$C$24,0)),""))</f>
        <v/>
      </c>
      <c r="F850" s="45" t="n"/>
      <c r="G850" s="45" t="n"/>
      <c r="H850" s="49" t="n"/>
      <c r="I850" s="49" t="n"/>
      <c r="J850" s="52" t="n"/>
      <c r="K850" s="45" t="n"/>
      <c r="L850" s="49" t="n"/>
    </row>
    <row r="851">
      <c r="A851" s="43">
        <f>IF($B851="","",COUNT($B$5:$B851))</f>
        <v/>
      </c>
      <c r="B851" s="44" t="n"/>
      <c r="C851" s="47">
        <f>IF($B851="","",CHOOSE(WEEKDAY($B851),"일","월","화","수","목","금","토"))</f>
        <v/>
      </c>
      <c r="D851" s="45" t="n"/>
      <c r="E851" s="47">
        <f>IF($D851="","",IFERROR(INDEX(코드설정!$D$5:$D$24,MATCH($D851,코드설정!$C$5:$C$24,0)),""))</f>
        <v/>
      </c>
      <c r="F851" s="45" t="n"/>
      <c r="G851" s="45" t="n"/>
      <c r="H851" s="49" t="n"/>
      <c r="I851" s="49" t="n"/>
      <c r="J851" s="52" t="n"/>
      <c r="K851" s="45" t="n"/>
      <c r="L851" s="49" t="n"/>
    </row>
    <row r="852">
      <c r="A852" s="43">
        <f>IF($B852="","",COUNT($B$5:$B852))</f>
        <v/>
      </c>
      <c r="B852" s="44" t="n"/>
      <c r="C852" s="47">
        <f>IF($B852="","",CHOOSE(WEEKDAY($B852),"일","월","화","수","목","금","토"))</f>
        <v/>
      </c>
      <c r="D852" s="45" t="n"/>
      <c r="E852" s="47">
        <f>IF($D852="","",IFERROR(INDEX(코드설정!$D$5:$D$24,MATCH($D852,코드설정!$C$5:$C$24,0)),""))</f>
        <v/>
      </c>
      <c r="F852" s="45" t="n"/>
      <c r="G852" s="45" t="n"/>
      <c r="H852" s="49" t="n"/>
      <c r="I852" s="49" t="n"/>
      <c r="J852" s="52" t="n"/>
      <c r="K852" s="45" t="n"/>
      <c r="L852" s="49" t="n"/>
    </row>
    <row r="853">
      <c r="A853" s="43">
        <f>IF($B853="","",COUNT($B$5:$B853))</f>
        <v/>
      </c>
      <c r="B853" s="44" t="n"/>
      <c r="C853" s="47">
        <f>IF($B853="","",CHOOSE(WEEKDAY($B853),"일","월","화","수","목","금","토"))</f>
        <v/>
      </c>
      <c r="D853" s="45" t="n"/>
      <c r="E853" s="47">
        <f>IF($D853="","",IFERROR(INDEX(코드설정!$D$5:$D$24,MATCH($D853,코드설정!$C$5:$C$24,0)),""))</f>
        <v/>
      </c>
      <c r="F853" s="45" t="n"/>
      <c r="G853" s="45" t="n"/>
      <c r="H853" s="49" t="n"/>
      <c r="I853" s="49" t="n"/>
      <c r="J853" s="52" t="n"/>
      <c r="K853" s="45" t="n"/>
      <c r="L853" s="49" t="n"/>
    </row>
    <row r="854">
      <c r="A854" s="43">
        <f>IF($B854="","",COUNT($B$5:$B854))</f>
        <v/>
      </c>
      <c r="B854" s="44" t="n"/>
      <c r="C854" s="47">
        <f>IF($B854="","",CHOOSE(WEEKDAY($B854),"일","월","화","수","목","금","토"))</f>
        <v/>
      </c>
      <c r="D854" s="45" t="n"/>
      <c r="E854" s="47">
        <f>IF($D854="","",IFERROR(INDEX(코드설정!$D$5:$D$24,MATCH($D854,코드설정!$C$5:$C$24,0)),""))</f>
        <v/>
      </c>
      <c r="F854" s="45" t="n"/>
      <c r="G854" s="45" t="n"/>
      <c r="H854" s="49" t="n"/>
      <c r="I854" s="49" t="n"/>
      <c r="J854" s="52" t="n"/>
      <c r="K854" s="45" t="n"/>
      <c r="L854" s="49" t="n"/>
    </row>
    <row r="855">
      <c r="A855" s="43">
        <f>IF($B855="","",COUNT($B$5:$B855))</f>
        <v/>
      </c>
      <c r="B855" s="44" t="n"/>
      <c r="C855" s="47">
        <f>IF($B855="","",CHOOSE(WEEKDAY($B855),"일","월","화","수","목","금","토"))</f>
        <v/>
      </c>
      <c r="D855" s="45" t="n"/>
      <c r="E855" s="47">
        <f>IF($D855="","",IFERROR(INDEX(코드설정!$D$5:$D$24,MATCH($D855,코드설정!$C$5:$C$24,0)),""))</f>
        <v/>
      </c>
      <c r="F855" s="45" t="n"/>
      <c r="G855" s="45" t="n"/>
      <c r="H855" s="49" t="n"/>
      <c r="I855" s="49" t="n"/>
      <c r="J855" s="52" t="n"/>
      <c r="K855" s="45" t="n"/>
      <c r="L855" s="49" t="n"/>
    </row>
    <row r="856">
      <c r="A856" s="43">
        <f>IF($B856="","",COUNT($B$5:$B856))</f>
        <v/>
      </c>
      <c r="B856" s="44" t="n"/>
      <c r="C856" s="47">
        <f>IF($B856="","",CHOOSE(WEEKDAY($B856),"일","월","화","수","목","금","토"))</f>
        <v/>
      </c>
      <c r="D856" s="45" t="n"/>
      <c r="E856" s="47">
        <f>IF($D856="","",IFERROR(INDEX(코드설정!$D$5:$D$24,MATCH($D856,코드설정!$C$5:$C$24,0)),""))</f>
        <v/>
      </c>
      <c r="F856" s="45" t="n"/>
      <c r="G856" s="45" t="n"/>
      <c r="H856" s="49" t="n"/>
      <c r="I856" s="49" t="n"/>
      <c r="J856" s="52" t="n"/>
      <c r="K856" s="45" t="n"/>
      <c r="L856" s="49" t="n"/>
    </row>
    <row r="857">
      <c r="A857" s="43">
        <f>IF($B857="","",COUNT($B$5:$B857))</f>
        <v/>
      </c>
      <c r="B857" s="44" t="n"/>
      <c r="C857" s="47">
        <f>IF($B857="","",CHOOSE(WEEKDAY($B857),"일","월","화","수","목","금","토"))</f>
        <v/>
      </c>
      <c r="D857" s="45" t="n"/>
      <c r="E857" s="47">
        <f>IF($D857="","",IFERROR(INDEX(코드설정!$D$5:$D$24,MATCH($D857,코드설정!$C$5:$C$24,0)),""))</f>
        <v/>
      </c>
      <c r="F857" s="45" t="n"/>
      <c r="G857" s="45" t="n"/>
      <c r="H857" s="49" t="n"/>
      <c r="I857" s="49" t="n"/>
      <c r="J857" s="52" t="n"/>
      <c r="K857" s="45" t="n"/>
      <c r="L857" s="49" t="n"/>
    </row>
    <row r="858">
      <c r="A858" s="43">
        <f>IF($B858="","",COUNT($B$5:$B858))</f>
        <v/>
      </c>
      <c r="B858" s="44" t="n"/>
      <c r="C858" s="47">
        <f>IF($B858="","",CHOOSE(WEEKDAY($B858),"일","월","화","수","목","금","토"))</f>
        <v/>
      </c>
      <c r="D858" s="45" t="n"/>
      <c r="E858" s="47">
        <f>IF($D858="","",IFERROR(INDEX(코드설정!$D$5:$D$24,MATCH($D858,코드설정!$C$5:$C$24,0)),""))</f>
        <v/>
      </c>
      <c r="F858" s="45" t="n"/>
      <c r="G858" s="45" t="n"/>
      <c r="H858" s="49" t="n"/>
      <c r="I858" s="49" t="n"/>
      <c r="J858" s="52" t="n"/>
      <c r="K858" s="45" t="n"/>
      <c r="L858" s="49" t="n"/>
    </row>
    <row r="859">
      <c r="A859" s="43">
        <f>IF($B859="","",COUNT($B$5:$B859))</f>
        <v/>
      </c>
      <c r="B859" s="44" t="n"/>
      <c r="C859" s="47">
        <f>IF($B859="","",CHOOSE(WEEKDAY($B859),"일","월","화","수","목","금","토"))</f>
        <v/>
      </c>
      <c r="D859" s="45" t="n"/>
      <c r="E859" s="47">
        <f>IF($D859="","",IFERROR(INDEX(코드설정!$D$5:$D$24,MATCH($D859,코드설정!$C$5:$C$24,0)),""))</f>
        <v/>
      </c>
      <c r="F859" s="45" t="n"/>
      <c r="G859" s="45" t="n"/>
      <c r="H859" s="49" t="n"/>
      <c r="I859" s="49" t="n"/>
      <c r="J859" s="52" t="n"/>
      <c r="K859" s="45" t="n"/>
      <c r="L859" s="49" t="n"/>
    </row>
    <row r="860">
      <c r="A860" s="43">
        <f>IF($B860="","",COUNT($B$5:$B860))</f>
        <v/>
      </c>
      <c r="B860" s="44" t="n"/>
      <c r="C860" s="47">
        <f>IF($B860="","",CHOOSE(WEEKDAY($B860),"일","월","화","수","목","금","토"))</f>
        <v/>
      </c>
      <c r="D860" s="45" t="n"/>
      <c r="E860" s="47">
        <f>IF($D860="","",IFERROR(INDEX(코드설정!$D$5:$D$24,MATCH($D860,코드설정!$C$5:$C$24,0)),""))</f>
        <v/>
      </c>
      <c r="F860" s="45" t="n"/>
      <c r="G860" s="45" t="n"/>
      <c r="H860" s="49" t="n"/>
      <c r="I860" s="49" t="n"/>
      <c r="J860" s="52" t="n"/>
      <c r="K860" s="45" t="n"/>
      <c r="L860" s="49" t="n"/>
    </row>
    <row r="861">
      <c r="A861" s="43">
        <f>IF($B861="","",COUNT($B$5:$B861))</f>
        <v/>
      </c>
      <c r="B861" s="44" t="n"/>
      <c r="C861" s="47">
        <f>IF($B861="","",CHOOSE(WEEKDAY($B861),"일","월","화","수","목","금","토"))</f>
        <v/>
      </c>
      <c r="D861" s="45" t="n"/>
      <c r="E861" s="47">
        <f>IF($D861="","",IFERROR(INDEX(코드설정!$D$5:$D$24,MATCH($D861,코드설정!$C$5:$C$24,0)),""))</f>
        <v/>
      </c>
      <c r="F861" s="45" t="n"/>
      <c r="G861" s="45" t="n"/>
      <c r="H861" s="49" t="n"/>
      <c r="I861" s="49" t="n"/>
      <c r="J861" s="52" t="n"/>
      <c r="K861" s="45" t="n"/>
      <c r="L861" s="49" t="n"/>
    </row>
    <row r="862">
      <c r="A862" s="43">
        <f>IF($B862="","",COUNT($B$5:$B862))</f>
        <v/>
      </c>
      <c r="B862" s="44" t="n"/>
      <c r="C862" s="47">
        <f>IF($B862="","",CHOOSE(WEEKDAY($B862),"일","월","화","수","목","금","토"))</f>
        <v/>
      </c>
      <c r="D862" s="45" t="n"/>
      <c r="E862" s="47">
        <f>IF($D862="","",IFERROR(INDEX(코드설정!$D$5:$D$24,MATCH($D862,코드설정!$C$5:$C$24,0)),""))</f>
        <v/>
      </c>
      <c r="F862" s="45" t="n"/>
      <c r="G862" s="45" t="n"/>
      <c r="H862" s="49" t="n"/>
      <c r="I862" s="49" t="n"/>
      <c r="J862" s="52" t="n"/>
      <c r="K862" s="45" t="n"/>
      <c r="L862" s="49" t="n"/>
    </row>
    <row r="863">
      <c r="A863" s="43">
        <f>IF($B863="","",COUNT($B$5:$B863))</f>
        <v/>
      </c>
      <c r="B863" s="44" t="n"/>
      <c r="C863" s="47">
        <f>IF($B863="","",CHOOSE(WEEKDAY($B863),"일","월","화","수","목","금","토"))</f>
        <v/>
      </c>
      <c r="D863" s="45" t="n"/>
      <c r="E863" s="47">
        <f>IF($D863="","",IFERROR(INDEX(코드설정!$D$5:$D$24,MATCH($D863,코드설정!$C$5:$C$24,0)),""))</f>
        <v/>
      </c>
      <c r="F863" s="45" t="n"/>
      <c r="G863" s="45" t="n"/>
      <c r="H863" s="49" t="n"/>
      <c r="I863" s="49" t="n"/>
      <c r="J863" s="52" t="n"/>
      <c r="K863" s="45" t="n"/>
      <c r="L863" s="49" t="n"/>
    </row>
    <row r="864">
      <c r="A864" s="43">
        <f>IF($B864="","",COUNT($B$5:$B864))</f>
        <v/>
      </c>
      <c r="B864" s="44" t="n"/>
      <c r="C864" s="47">
        <f>IF($B864="","",CHOOSE(WEEKDAY($B864),"일","월","화","수","목","금","토"))</f>
        <v/>
      </c>
      <c r="D864" s="45" t="n"/>
      <c r="E864" s="47">
        <f>IF($D864="","",IFERROR(INDEX(코드설정!$D$5:$D$24,MATCH($D864,코드설정!$C$5:$C$24,0)),""))</f>
        <v/>
      </c>
      <c r="F864" s="45" t="n"/>
      <c r="G864" s="45" t="n"/>
      <c r="H864" s="49" t="n"/>
      <c r="I864" s="49" t="n"/>
      <c r="J864" s="52" t="n"/>
      <c r="K864" s="45" t="n"/>
      <c r="L864" s="49" t="n"/>
    </row>
    <row r="865">
      <c r="A865" s="43">
        <f>IF($B865="","",COUNT($B$5:$B865))</f>
        <v/>
      </c>
      <c r="B865" s="44" t="n"/>
      <c r="C865" s="47">
        <f>IF($B865="","",CHOOSE(WEEKDAY($B865),"일","월","화","수","목","금","토"))</f>
        <v/>
      </c>
      <c r="D865" s="45" t="n"/>
      <c r="E865" s="47">
        <f>IF($D865="","",IFERROR(INDEX(코드설정!$D$5:$D$24,MATCH($D865,코드설정!$C$5:$C$24,0)),""))</f>
        <v/>
      </c>
      <c r="F865" s="45" t="n"/>
      <c r="G865" s="45" t="n"/>
      <c r="H865" s="49" t="n"/>
      <c r="I865" s="49" t="n"/>
      <c r="J865" s="52" t="n"/>
      <c r="K865" s="45" t="n"/>
      <c r="L865" s="49" t="n"/>
    </row>
    <row r="866">
      <c r="A866" s="43">
        <f>IF($B866="","",COUNT($B$5:$B866))</f>
        <v/>
      </c>
      <c r="B866" s="44" t="n"/>
      <c r="C866" s="47">
        <f>IF($B866="","",CHOOSE(WEEKDAY($B866),"일","월","화","수","목","금","토"))</f>
        <v/>
      </c>
      <c r="D866" s="45" t="n"/>
      <c r="E866" s="47">
        <f>IF($D866="","",IFERROR(INDEX(코드설정!$D$5:$D$24,MATCH($D866,코드설정!$C$5:$C$24,0)),""))</f>
        <v/>
      </c>
      <c r="F866" s="45" t="n"/>
      <c r="G866" s="45" t="n"/>
      <c r="H866" s="49" t="n"/>
      <c r="I866" s="49" t="n"/>
      <c r="J866" s="52" t="n"/>
      <c r="K866" s="45" t="n"/>
      <c r="L866" s="49" t="n"/>
    </row>
    <row r="867">
      <c r="A867" s="43">
        <f>IF($B867="","",COUNT($B$5:$B867))</f>
        <v/>
      </c>
      <c r="B867" s="44" t="n"/>
      <c r="C867" s="47">
        <f>IF($B867="","",CHOOSE(WEEKDAY($B867),"일","월","화","수","목","금","토"))</f>
        <v/>
      </c>
      <c r="D867" s="45" t="n"/>
      <c r="E867" s="47">
        <f>IF($D867="","",IFERROR(INDEX(코드설정!$D$5:$D$24,MATCH($D867,코드설정!$C$5:$C$24,0)),""))</f>
        <v/>
      </c>
      <c r="F867" s="45" t="n"/>
      <c r="G867" s="45" t="n"/>
      <c r="H867" s="49" t="n"/>
      <c r="I867" s="49" t="n"/>
      <c r="J867" s="52" t="n"/>
      <c r="K867" s="45" t="n"/>
      <c r="L867" s="49" t="n"/>
    </row>
    <row r="868">
      <c r="A868" s="43">
        <f>IF($B868="","",COUNT($B$5:$B868))</f>
        <v/>
      </c>
      <c r="B868" s="44" t="n"/>
      <c r="C868" s="47">
        <f>IF($B868="","",CHOOSE(WEEKDAY($B868),"일","월","화","수","목","금","토"))</f>
        <v/>
      </c>
      <c r="D868" s="45" t="n"/>
      <c r="E868" s="47">
        <f>IF($D868="","",IFERROR(INDEX(코드설정!$D$5:$D$24,MATCH($D868,코드설정!$C$5:$C$24,0)),""))</f>
        <v/>
      </c>
      <c r="F868" s="45" t="n"/>
      <c r="G868" s="45" t="n"/>
      <c r="H868" s="49" t="n"/>
      <c r="I868" s="49" t="n"/>
      <c r="J868" s="52" t="n"/>
      <c r="K868" s="45" t="n"/>
      <c r="L868" s="49" t="n"/>
    </row>
    <row r="869">
      <c r="A869" s="43">
        <f>IF($B869="","",COUNT($B$5:$B869))</f>
        <v/>
      </c>
      <c r="B869" s="44" t="n"/>
      <c r="C869" s="47">
        <f>IF($B869="","",CHOOSE(WEEKDAY($B869),"일","월","화","수","목","금","토"))</f>
        <v/>
      </c>
      <c r="D869" s="45" t="n"/>
      <c r="E869" s="47">
        <f>IF($D869="","",IFERROR(INDEX(코드설정!$D$5:$D$24,MATCH($D869,코드설정!$C$5:$C$24,0)),""))</f>
        <v/>
      </c>
      <c r="F869" s="45" t="n"/>
      <c r="G869" s="45" t="n"/>
      <c r="H869" s="49" t="n"/>
      <c r="I869" s="49" t="n"/>
      <c r="J869" s="52" t="n"/>
      <c r="K869" s="45" t="n"/>
      <c r="L869" s="49" t="n"/>
    </row>
    <row r="870">
      <c r="A870" s="43">
        <f>IF($B870="","",COUNT($B$5:$B870))</f>
        <v/>
      </c>
      <c r="B870" s="44" t="n"/>
      <c r="C870" s="47">
        <f>IF($B870="","",CHOOSE(WEEKDAY($B870),"일","월","화","수","목","금","토"))</f>
        <v/>
      </c>
      <c r="D870" s="45" t="n"/>
      <c r="E870" s="47">
        <f>IF($D870="","",IFERROR(INDEX(코드설정!$D$5:$D$24,MATCH($D870,코드설정!$C$5:$C$24,0)),""))</f>
        <v/>
      </c>
      <c r="F870" s="45" t="n"/>
      <c r="G870" s="45" t="n"/>
      <c r="H870" s="49" t="n"/>
      <c r="I870" s="49" t="n"/>
      <c r="J870" s="52" t="n"/>
      <c r="K870" s="45" t="n"/>
      <c r="L870" s="49" t="n"/>
    </row>
    <row r="871">
      <c r="A871" s="43">
        <f>IF($B871="","",COUNT($B$5:$B871))</f>
        <v/>
      </c>
      <c r="B871" s="44" t="n"/>
      <c r="C871" s="47">
        <f>IF($B871="","",CHOOSE(WEEKDAY($B871),"일","월","화","수","목","금","토"))</f>
        <v/>
      </c>
      <c r="D871" s="45" t="n"/>
      <c r="E871" s="47">
        <f>IF($D871="","",IFERROR(INDEX(코드설정!$D$5:$D$24,MATCH($D871,코드설정!$C$5:$C$24,0)),""))</f>
        <v/>
      </c>
      <c r="F871" s="45" t="n"/>
      <c r="G871" s="45" t="n"/>
      <c r="H871" s="49" t="n"/>
      <c r="I871" s="49" t="n"/>
      <c r="J871" s="52" t="n"/>
      <c r="K871" s="45" t="n"/>
      <c r="L871" s="49" t="n"/>
    </row>
    <row r="872">
      <c r="A872" s="43">
        <f>IF($B872="","",COUNT($B$5:$B872))</f>
        <v/>
      </c>
      <c r="B872" s="44" t="n"/>
      <c r="C872" s="47">
        <f>IF($B872="","",CHOOSE(WEEKDAY($B872),"일","월","화","수","목","금","토"))</f>
        <v/>
      </c>
      <c r="D872" s="45" t="n"/>
      <c r="E872" s="47">
        <f>IF($D872="","",IFERROR(INDEX(코드설정!$D$5:$D$24,MATCH($D872,코드설정!$C$5:$C$24,0)),""))</f>
        <v/>
      </c>
      <c r="F872" s="45" t="n"/>
      <c r="G872" s="45" t="n"/>
      <c r="H872" s="49" t="n"/>
      <c r="I872" s="49" t="n"/>
      <c r="J872" s="52" t="n"/>
      <c r="K872" s="45" t="n"/>
      <c r="L872" s="49" t="n"/>
    </row>
    <row r="873">
      <c r="A873" s="43">
        <f>IF($B873="","",COUNT($B$5:$B873))</f>
        <v/>
      </c>
      <c r="B873" s="44" t="n"/>
      <c r="C873" s="47">
        <f>IF($B873="","",CHOOSE(WEEKDAY($B873),"일","월","화","수","목","금","토"))</f>
        <v/>
      </c>
      <c r="D873" s="45" t="n"/>
      <c r="E873" s="47">
        <f>IF($D873="","",IFERROR(INDEX(코드설정!$D$5:$D$24,MATCH($D873,코드설정!$C$5:$C$24,0)),""))</f>
        <v/>
      </c>
      <c r="F873" s="45" t="n"/>
      <c r="G873" s="45" t="n"/>
      <c r="H873" s="49" t="n"/>
      <c r="I873" s="49" t="n"/>
      <c r="J873" s="52" t="n"/>
      <c r="K873" s="45" t="n"/>
      <c r="L873" s="49" t="n"/>
    </row>
    <row r="874">
      <c r="A874" s="43">
        <f>IF($B874="","",COUNT($B$5:$B874))</f>
        <v/>
      </c>
      <c r="B874" s="44" t="n"/>
      <c r="C874" s="47">
        <f>IF($B874="","",CHOOSE(WEEKDAY($B874),"일","월","화","수","목","금","토"))</f>
        <v/>
      </c>
      <c r="D874" s="45" t="n"/>
      <c r="E874" s="47">
        <f>IF($D874="","",IFERROR(INDEX(코드설정!$D$5:$D$24,MATCH($D874,코드설정!$C$5:$C$24,0)),""))</f>
        <v/>
      </c>
      <c r="F874" s="45" t="n"/>
      <c r="G874" s="45" t="n"/>
      <c r="H874" s="49" t="n"/>
      <c r="I874" s="49" t="n"/>
      <c r="J874" s="52" t="n"/>
      <c r="K874" s="45" t="n"/>
      <c r="L874" s="49" t="n"/>
    </row>
    <row r="875">
      <c r="A875" s="43">
        <f>IF($B875="","",COUNT($B$5:$B875))</f>
        <v/>
      </c>
      <c r="B875" s="44" t="n"/>
      <c r="C875" s="47">
        <f>IF($B875="","",CHOOSE(WEEKDAY($B875),"일","월","화","수","목","금","토"))</f>
        <v/>
      </c>
      <c r="D875" s="45" t="n"/>
      <c r="E875" s="47">
        <f>IF($D875="","",IFERROR(INDEX(코드설정!$D$5:$D$24,MATCH($D875,코드설정!$C$5:$C$24,0)),""))</f>
        <v/>
      </c>
      <c r="F875" s="45" t="n"/>
      <c r="G875" s="45" t="n"/>
      <c r="H875" s="49" t="n"/>
      <c r="I875" s="49" t="n"/>
      <c r="J875" s="52" t="n"/>
      <c r="K875" s="45" t="n"/>
      <c r="L875" s="49" t="n"/>
    </row>
    <row r="876">
      <c r="A876" s="43">
        <f>IF($B876="","",COUNT($B$5:$B876))</f>
        <v/>
      </c>
      <c r="B876" s="44" t="n"/>
      <c r="C876" s="47">
        <f>IF($B876="","",CHOOSE(WEEKDAY($B876),"일","월","화","수","목","금","토"))</f>
        <v/>
      </c>
      <c r="D876" s="45" t="n"/>
      <c r="E876" s="47">
        <f>IF($D876="","",IFERROR(INDEX(코드설정!$D$5:$D$24,MATCH($D876,코드설정!$C$5:$C$24,0)),""))</f>
        <v/>
      </c>
      <c r="F876" s="45" t="n"/>
      <c r="G876" s="45" t="n"/>
      <c r="H876" s="49" t="n"/>
      <c r="I876" s="49" t="n"/>
      <c r="J876" s="52" t="n"/>
      <c r="K876" s="45" t="n"/>
      <c r="L876" s="49" t="n"/>
    </row>
    <row r="877">
      <c r="A877" s="43">
        <f>IF($B877="","",COUNT($B$5:$B877))</f>
        <v/>
      </c>
      <c r="B877" s="44" t="n"/>
      <c r="C877" s="47">
        <f>IF($B877="","",CHOOSE(WEEKDAY($B877),"일","월","화","수","목","금","토"))</f>
        <v/>
      </c>
      <c r="D877" s="45" t="n"/>
      <c r="E877" s="47">
        <f>IF($D877="","",IFERROR(INDEX(코드설정!$D$5:$D$24,MATCH($D877,코드설정!$C$5:$C$24,0)),""))</f>
        <v/>
      </c>
      <c r="F877" s="45" t="n"/>
      <c r="G877" s="45" t="n"/>
      <c r="H877" s="49" t="n"/>
      <c r="I877" s="49" t="n"/>
      <c r="J877" s="52" t="n"/>
      <c r="K877" s="45" t="n"/>
      <c r="L877" s="49" t="n"/>
    </row>
    <row r="878">
      <c r="A878" s="43">
        <f>IF($B878="","",COUNT($B$5:$B878))</f>
        <v/>
      </c>
      <c r="B878" s="44" t="n"/>
      <c r="C878" s="47">
        <f>IF($B878="","",CHOOSE(WEEKDAY($B878),"일","월","화","수","목","금","토"))</f>
        <v/>
      </c>
      <c r="D878" s="45" t="n"/>
      <c r="E878" s="47">
        <f>IF($D878="","",IFERROR(INDEX(코드설정!$D$5:$D$24,MATCH($D878,코드설정!$C$5:$C$24,0)),""))</f>
        <v/>
      </c>
      <c r="F878" s="45" t="n"/>
      <c r="G878" s="45" t="n"/>
      <c r="H878" s="49" t="n"/>
      <c r="I878" s="49" t="n"/>
      <c r="J878" s="52" t="n"/>
      <c r="K878" s="45" t="n"/>
      <c r="L878" s="49" t="n"/>
    </row>
    <row r="879">
      <c r="A879" s="43">
        <f>IF($B879="","",COUNT($B$5:$B879))</f>
        <v/>
      </c>
      <c r="B879" s="44" t="n"/>
      <c r="C879" s="47">
        <f>IF($B879="","",CHOOSE(WEEKDAY($B879),"일","월","화","수","목","금","토"))</f>
        <v/>
      </c>
      <c r="D879" s="45" t="n"/>
      <c r="E879" s="47">
        <f>IF($D879="","",IFERROR(INDEX(코드설정!$D$5:$D$24,MATCH($D879,코드설정!$C$5:$C$24,0)),""))</f>
        <v/>
      </c>
      <c r="F879" s="45" t="n"/>
      <c r="G879" s="45" t="n"/>
      <c r="H879" s="49" t="n"/>
      <c r="I879" s="49" t="n"/>
      <c r="J879" s="52" t="n"/>
      <c r="K879" s="45" t="n"/>
      <c r="L879" s="49" t="n"/>
    </row>
    <row r="880">
      <c r="A880" s="43">
        <f>IF($B880="","",COUNT($B$5:$B880))</f>
        <v/>
      </c>
      <c r="B880" s="44" t="n"/>
      <c r="C880" s="47">
        <f>IF($B880="","",CHOOSE(WEEKDAY($B880),"일","월","화","수","목","금","토"))</f>
        <v/>
      </c>
      <c r="D880" s="45" t="n"/>
      <c r="E880" s="47">
        <f>IF($D880="","",IFERROR(INDEX(코드설정!$D$5:$D$24,MATCH($D880,코드설정!$C$5:$C$24,0)),""))</f>
        <v/>
      </c>
      <c r="F880" s="45" t="n"/>
      <c r="G880" s="45" t="n"/>
      <c r="H880" s="49" t="n"/>
      <c r="I880" s="49" t="n"/>
      <c r="J880" s="52" t="n"/>
      <c r="K880" s="45" t="n"/>
      <c r="L880" s="49" t="n"/>
    </row>
    <row r="881">
      <c r="A881" s="43">
        <f>IF($B881="","",COUNT($B$5:$B881))</f>
        <v/>
      </c>
      <c r="B881" s="44" t="n"/>
      <c r="C881" s="47">
        <f>IF($B881="","",CHOOSE(WEEKDAY($B881),"일","월","화","수","목","금","토"))</f>
        <v/>
      </c>
      <c r="D881" s="45" t="n"/>
      <c r="E881" s="47">
        <f>IF($D881="","",IFERROR(INDEX(코드설정!$D$5:$D$24,MATCH($D881,코드설정!$C$5:$C$24,0)),""))</f>
        <v/>
      </c>
      <c r="F881" s="45" t="n"/>
      <c r="G881" s="45" t="n"/>
      <c r="H881" s="49" t="n"/>
      <c r="I881" s="49" t="n"/>
      <c r="J881" s="52" t="n"/>
      <c r="K881" s="45" t="n"/>
      <c r="L881" s="49" t="n"/>
    </row>
    <row r="882">
      <c r="A882" s="43">
        <f>IF($B882="","",COUNT($B$5:$B882))</f>
        <v/>
      </c>
      <c r="B882" s="44" t="n"/>
      <c r="C882" s="47">
        <f>IF($B882="","",CHOOSE(WEEKDAY($B882),"일","월","화","수","목","금","토"))</f>
        <v/>
      </c>
      <c r="D882" s="45" t="n"/>
      <c r="E882" s="47">
        <f>IF($D882="","",IFERROR(INDEX(코드설정!$D$5:$D$24,MATCH($D882,코드설정!$C$5:$C$24,0)),""))</f>
        <v/>
      </c>
      <c r="F882" s="45" t="n"/>
      <c r="G882" s="45" t="n"/>
      <c r="H882" s="49" t="n"/>
      <c r="I882" s="49" t="n"/>
      <c r="J882" s="52" t="n"/>
      <c r="K882" s="45" t="n"/>
      <c r="L882" s="49" t="n"/>
    </row>
    <row r="883">
      <c r="A883" s="43">
        <f>IF($B883="","",COUNT($B$5:$B883))</f>
        <v/>
      </c>
      <c r="B883" s="44" t="n"/>
      <c r="C883" s="47">
        <f>IF($B883="","",CHOOSE(WEEKDAY($B883),"일","월","화","수","목","금","토"))</f>
        <v/>
      </c>
      <c r="D883" s="45" t="n"/>
      <c r="E883" s="47">
        <f>IF($D883="","",IFERROR(INDEX(코드설정!$D$5:$D$24,MATCH($D883,코드설정!$C$5:$C$24,0)),""))</f>
        <v/>
      </c>
      <c r="F883" s="45" t="n"/>
      <c r="G883" s="45" t="n"/>
      <c r="H883" s="49" t="n"/>
      <c r="I883" s="49" t="n"/>
      <c r="J883" s="52" t="n"/>
      <c r="K883" s="45" t="n"/>
      <c r="L883" s="49" t="n"/>
    </row>
    <row r="884">
      <c r="A884" s="43">
        <f>IF($B884="","",COUNT($B$5:$B884))</f>
        <v/>
      </c>
      <c r="B884" s="44" t="n"/>
      <c r="C884" s="47">
        <f>IF($B884="","",CHOOSE(WEEKDAY($B884),"일","월","화","수","목","금","토"))</f>
        <v/>
      </c>
      <c r="D884" s="45" t="n"/>
      <c r="E884" s="47">
        <f>IF($D884="","",IFERROR(INDEX(코드설정!$D$5:$D$24,MATCH($D884,코드설정!$C$5:$C$24,0)),""))</f>
        <v/>
      </c>
      <c r="F884" s="45" t="n"/>
      <c r="G884" s="45" t="n"/>
      <c r="H884" s="49" t="n"/>
      <c r="I884" s="49" t="n"/>
      <c r="J884" s="52" t="n"/>
      <c r="K884" s="45" t="n"/>
      <c r="L884" s="49" t="n"/>
    </row>
    <row r="885">
      <c r="A885" s="43">
        <f>IF($B885="","",COUNT($B$5:$B885))</f>
        <v/>
      </c>
      <c r="B885" s="44" t="n"/>
      <c r="C885" s="47">
        <f>IF($B885="","",CHOOSE(WEEKDAY($B885),"일","월","화","수","목","금","토"))</f>
        <v/>
      </c>
      <c r="D885" s="45" t="n"/>
      <c r="E885" s="47">
        <f>IF($D885="","",IFERROR(INDEX(코드설정!$D$5:$D$24,MATCH($D885,코드설정!$C$5:$C$24,0)),""))</f>
        <v/>
      </c>
      <c r="F885" s="45" t="n"/>
      <c r="G885" s="45" t="n"/>
      <c r="H885" s="49" t="n"/>
      <c r="I885" s="49" t="n"/>
      <c r="J885" s="52" t="n"/>
      <c r="K885" s="45" t="n"/>
      <c r="L885" s="49" t="n"/>
    </row>
    <row r="886">
      <c r="A886" s="43">
        <f>IF($B886="","",COUNT($B$5:$B886))</f>
        <v/>
      </c>
      <c r="B886" s="44" t="n"/>
      <c r="C886" s="47">
        <f>IF($B886="","",CHOOSE(WEEKDAY($B886),"일","월","화","수","목","금","토"))</f>
        <v/>
      </c>
      <c r="D886" s="45" t="n"/>
      <c r="E886" s="47">
        <f>IF($D886="","",IFERROR(INDEX(코드설정!$D$5:$D$24,MATCH($D886,코드설정!$C$5:$C$24,0)),""))</f>
        <v/>
      </c>
      <c r="F886" s="45" t="n"/>
      <c r="G886" s="45" t="n"/>
      <c r="H886" s="49" t="n"/>
      <c r="I886" s="49" t="n"/>
      <c r="J886" s="52" t="n"/>
      <c r="K886" s="45" t="n"/>
      <c r="L886" s="49" t="n"/>
    </row>
    <row r="887">
      <c r="A887" s="43">
        <f>IF($B887="","",COUNT($B$5:$B887))</f>
        <v/>
      </c>
      <c r="B887" s="44" t="n"/>
      <c r="C887" s="47">
        <f>IF($B887="","",CHOOSE(WEEKDAY($B887),"일","월","화","수","목","금","토"))</f>
        <v/>
      </c>
      <c r="D887" s="45" t="n"/>
      <c r="E887" s="47">
        <f>IF($D887="","",IFERROR(INDEX(코드설정!$D$5:$D$24,MATCH($D887,코드설정!$C$5:$C$24,0)),""))</f>
        <v/>
      </c>
      <c r="F887" s="45" t="n"/>
      <c r="G887" s="45" t="n"/>
      <c r="H887" s="49" t="n"/>
      <c r="I887" s="49" t="n"/>
      <c r="J887" s="52" t="n"/>
      <c r="K887" s="45" t="n"/>
      <c r="L887" s="49" t="n"/>
    </row>
    <row r="888">
      <c r="A888" s="43">
        <f>IF($B888="","",COUNT($B$5:$B888))</f>
        <v/>
      </c>
      <c r="B888" s="44" t="n"/>
      <c r="C888" s="47">
        <f>IF($B888="","",CHOOSE(WEEKDAY($B888),"일","월","화","수","목","금","토"))</f>
        <v/>
      </c>
      <c r="D888" s="45" t="n"/>
      <c r="E888" s="47">
        <f>IF($D888="","",IFERROR(INDEX(코드설정!$D$5:$D$24,MATCH($D888,코드설정!$C$5:$C$24,0)),""))</f>
        <v/>
      </c>
      <c r="F888" s="45" t="n"/>
      <c r="G888" s="45" t="n"/>
      <c r="H888" s="49" t="n"/>
      <c r="I888" s="49" t="n"/>
      <c r="J888" s="52" t="n"/>
      <c r="K888" s="45" t="n"/>
      <c r="L888" s="49" t="n"/>
    </row>
    <row r="889">
      <c r="A889" s="43">
        <f>IF($B889="","",COUNT($B$5:$B889))</f>
        <v/>
      </c>
      <c r="B889" s="44" t="n"/>
      <c r="C889" s="47">
        <f>IF($B889="","",CHOOSE(WEEKDAY($B889),"일","월","화","수","목","금","토"))</f>
        <v/>
      </c>
      <c r="D889" s="45" t="n"/>
      <c r="E889" s="47">
        <f>IF($D889="","",IFERROR(INDEX(코드설정!$D$5:$D$24,MATCH($D889,코드설정!$C$5:$C$24,0)),""))</f>
        <v/>
      </c>
      <c r="F889" s="45" t="n"/>
      <c r="G889" s="45" t="n"/>
      <c r="H889" s="49" t="n"/>
      <c r="I889" s="49" t="n"/>
      <c r="J889" s="52" t="n"/>
      <c r="K889" s="45" t="n"/>
      <c r="L889" s="49" t="n"/>
    </row>
    <row r="890">
      <c r="A890" s="43">
        <f>IF($B890="","",COUNT($B$5:$B890))</f>
        <v/>
      </c>
      <c r="B890" s="44" t="n"/>
      <c r="C890" s="47">
        <f>IF($B890="","",CHOOSE(WEEKDAY($B890),"일","월","화","수","목","금","토"))</f>
        <v/>
      </c>
      <c r="D890" s="45" t="n"/>
      <c r="E890" s="47">
        <f>IF($D890="","",IFERROR(INDEX(코드설정!$D$5:$D$24,MATCH($D890,코드설정!$C$5:$C$24,0)),""))</f>
        <v/>
      </c>
      <c r="F890" s="45" t="n"/>
      <c r="G890" s="45" t="n"/>
      <c r="H890" s="49" t="n"/>
      <c r="I890" s="49" t="n"/>
      <c r="J890" s="52" t="n"/>
      <c r="K890" s="45" t="n"/>
      <c r="L890" s="49" t="n"/>
    </row>
    <row r="891">
      <c r="A891" s="43">
        <f>IF($B891="","",COUNT($B$5:$B891))</f>
        <v/>
      </c>
      <c r="B891" s="44" t="n"/>
      <c r="C891" s="47">
        <f>IF($B891="","",CHOOSE(WEEKDAY($B891),"일","월","화","수","목","금","토"))</f>
        <v/>
      </c>
      <c r="D891" s="45" t="n"/>
      <c r="E891" s="47">
        <f>IF($D891="","",IFERROR(INDEX(코드설정!$D$5:$D$24,MATCH($D891,코드설정!$C$5:$C$24,0)),""))</f>
        <v/>
      </c>
      <c r="F891" s="45" t="n"/>
      <c r="G891" s="45" t="n"/>
      <c r="H891" s="49" t="n"/>
      <c r="I891" s="49" t="n"/>
      <c r="J891" s="52" t="n"/>
      <c r="K891" s="45" t="n"/>
      <c r="L891" s="49" t="n"/>
    </row>
    <row r="892">
      <c r="A892" s="43">
        <f>IF($B892="","",COUNT($B$5:$B892))</f>
        <v/>
      </c>
      <c r="B892" s="44" t="n"/>
      <c r="C892" s="47">
        <f>IF($B892="","",CHOOSE(WEEKDAY($B892),"일","월","화","수","목","금","토"))</f>
        <v/>
      </c>
      <c r="D892" s="45" t="n"/>
      <c r="E892" s="47">
        <f>IF($D892="","",IFERROR(INDEX(코드설정!$D$5:$D$24,MATCH($D892,코드설정!$C$5:$C$24,0)),""))</f>
        <v/>
      </c>
      <c r="F892" s="45" t="n"/>
      <c r="G892" s="45" t="n"/>
      <c r="H892" s="49" t="n"/>
      <c r="I892" s="49" t="n"/>
      <c r="J892" s="52" t="n"/>
      <c r="K892" s="45" t="n"/>
      <c r="L892" s="49" t="n"/>
    </row>
    <row r="893">
      <c r="A893" s="43">
        <f>IF($B893="","",COUNT($B$5:$B893))</f>
        <v/>
      </c>
      <c r="B893" s="44" t="n"/>
      <c r="C893" s="47">
        <f>IF($B893="","",CHOOSE(WEEKDAY($B893),"일","월","화","수","목","금","토"))</f>
        <v/>
      </c>
      <c r="D893" s="45" t="n"/>
      <c r="E893" s="47">
        <f>IF($D893="","",IFERROR(INDEX(코드설정!$D$5:$D$24,MATCH($D893,코드설정!$C$5:$C$24,0)),""))</f>
        <v/>
      </c>
      <c r="F893" s="45" t="n"/>
      <c r="G893" s="45" t="n"/>
      <c r="H893" s="49" t="n"/>
      <c r="I893" s="49" t="n"/>
      <c r="J893" s="52" t="n"/>
      <c r="K893" s="45" t="n"/>
      <c r="L893" s="49" t="n"/>
    </row>
    <row r="894">
      <c r="A894" s="43">
        <f>IF($B894="","",COUNT($B$5:$B894))</f>
        <v/>
      </c>
      <c r="B894" s="44" t="n"/>
      <c r="C894" s="47">
        <f>IF($B894="","",CHOOSE(WEEKDAY($B894),"일","월","화","수","목","금","토"))</f>
        <v/>
      </c>
      <c r="D894" s="45" t="n"/>
      <c r="E894" s="47">
        <f>IF($D894="","",IFERROR(INDEX(코드설정!$D$5:$D$24,MATCH($D894,코드설정!$C$5:$C$24,0)),""))</f>
        <v/>
      </c>
      <c r="F894" s="45" t="n"/>
      <c r="G894" s="45" t="n"/>
      <c r="H894" s="49" t="n"/>
      <c r="I894" s="49" t="n"/>
      <c r="J894" s="52" t="n"/>
      <c r="K894" s="45" t="n"/>
      <c r="L894" s="49" t="n"/>
    </row>
    <row r="895">
      <c r="A895" s="43">
        <f>IF($B895="","",COUNT($B$5:$B895))</f>
        <v/>
      </c>
      <c r="B895" s="44" t="n"/>
      <c r="C895" s="47">
        <f>IF($B895="","",CHOOSE(WEEKDAY($B895),"일","월","화","수","목","금","토"))</f>
        <v/>
      </c>
      <c r="D895" s="45" t="n"/>
      <c r="E895" s="47">
        <f>IF($D895="","",IFERROR(INDEX(코드설정!$D$5:$D$24,MATCH($D895,코드설정!$C$5:$C$24,0)),""))</f>
        <v/>
      </c>
      <c r="F895" s="45" t="n"/>
      <c r="G895" s="45" t="n"/>
      <c r="H895" s="49" t="n"/>
      <c r="I895" s="49" t="n"/>
      <c r="J895" s="52" t="n"/>
      <c r="K895" s="45" t="n"/>
      <c r="L895" s="49" t="n"/>
    </row>
    <row r="896">
      <c r="A896" s="43">
        <f>IF($B896="","",COUNT($B$5:$B896))</f>
        <v/>
      </c>
      <c r="B896" s="44" t="n"/>
      <c r="C896" s="47">
        <f>IF($B896="","",CHOOSE(WEEKDAY($B896),"일","월","화","수","목","금","토"))</f>
        <v/>
      </c>
      <c r="D896" s="45" t="n"/>
      <c r="E896" s="47">
        <f>IF($D896="","",IFERROR(INDEX(코드설정!$D$5:$D$24,MATCH($D896,코드설정!$C$5:$C$24,0)),""))</f>
        <v/>
      </c>
      <c r="F896" s="45" t="n"/>
      <c r="G896" s="45" t="n"/>
      <c r="H896" s="49" t="n"/>
      <c r="I896" s="49" t="n"/>
      <c r="J896" s="52" t="n"/>
      <c r="K896" s="45" t="n"/>
      <c r="L896" s="49" t="n"/>
    </row>
    <row r="897">
      <c r="A897" s="43">
        <f>IF($B897="","",COUNT($B$5:$B897))</f>
        <v/>
      </c>
      <c r="B897" s="44" t="n"/>
      <c r="C897" s="47">
        <f>IF($B897="","",CHOOSE(WEEKDAY($B897),"일","월","화","수","목","금","토"))</f>
        <v/>
      </c>
      <c r="D897" s="45" t="n"/>
      <c r="E897" s="47">
        <f>IF($D897="","",IFERROR(INDEX(코드설정!$D$5:$D$24,MATCH($D897,코드설정!$C$5:$C$24,0)),""))</f>
        <v/>
      </c>
      <c r="F897" s="45" t="n"/>
      <c r="G897" s="45" t="n"/>
      <c r="H897" s="49" t="n"/>
      <c r="I897" s="49" t="n"/>
      <c r="J897" s="52" t="n"/>
      <c r="K897" s="45" t="n"/>
      <c r="L897" s="49" t="n"/>
    </row>
    <row r="898">
      <c r="A898" s="43">
        <f>IF($B898="","",COUNT($B$5:$B898))</f>
        <v/>
      </c>
      <c r="B898" s="44" t="n"/>
      <c r="C898" s="47">
        <f>IF($B898="","",CHOOSE(WEEKDAY($B898),"일","월","화","수","목","금","토"))</f>
        <v/>
      </c>
      <c r="D898" s="45" t="n"/>
      <c r="E898" s="47">
        <f>IF($D898="","",IFERROR(INDEX(코드설정!$D$5:$D$24,MATCH($D898,코드설정!$C$5:$C$24,0)),""))</f>
        <v/>
      </c>
      <c r="F898" s="45" t="n"/>
      <c r="G898" s="45" t="n"/>
      <c r="H898" s="49" t="n"/>
      <c r="I898" s="49" t="n"/>
      <c r="J898" s="52" t="n"/>
      <c r="K898" s="45" t="n"/>
      <c r="L898" s="49" t="n"/>
    </row>
    <row r="899">
      <c r="A899" s="43">
        <f>IF($B899="","",COUNT($B$5:$B899))</f>
        <v/>
      </c>
      <c r="B899" s="44" t="n"/>
      <c r="C899" s="47">
        <f>IF($B899="","",CHOOSE(WEEKDAY($B899),"일","월","화","수","목","금","토"))</f>
        <v/>
      </c>
      <c r="D899" s="45" t="n"/>
      <c r="E899" s="47">
        <f>IF($D899="","",IFERROR(INDEX(코드설정!$D$5:$D$24,MATCH($D899,코드설정!$C$5:$C$24,0)),""))</f>
        <v/>
      </c>
      <c r="F899" s="45" t="n"/>
      <c r="G899" s="45" t="n"/>
      <c r="H899" s="49" t="n"/>
      <c r="I899" s="49" t="n"/>
      <c r="J899" s="52" t="n"/>
      <c r="K899" s="45" t="n"/>
      <c r="L899" s="49" t="n"/>
    </row>
    <row r="900">
      <c r="A900" s="43">
        <f>IF($B900="","",COUNT($B$5:$B900))</f>
        <v/>
      </c>
      <c r="B900" s="44" t="n"/>
      <c r="C900" s="47">
        <f>IF($B900="","",CHOOSE(WEEKDAY($B900),"일","월","화","수","목","금","토"))</f>
        <v/>
      </c>
      <c r="D900" s="45" t="n"/>
      <c r="E900" s="47">
        <f>IF($D900="","",IFERROR(INDEX(코드설정!$D$5:$D$24,MATCH($D900,코드설정!$C$5:$C$24,0)),""))</f>
        <v/>
      </c>
      <c r="F900" s="45" t="n"/>
      <c r="G900" s="45" t="n"/>
      <c r="H900" s="49" t="n"/>
      <c r="I900" s="49" t="n"/>
      <c r="J900" s="52" t="n"/>
      <c r="K900" s="45" t="n"/>
      <c r="L900" s="49" t="n"/>
    </row>
    <row r="901">
      <c r="A901" s="43">
        <f>IF($B901="","",COUNT($B$5:$B901))</f>
        <v/>
      </c>
      <c r="B901" s="44" t="n"/>
      <c r="C901" s="47">
        <f>IF($B901="","",CHOOSE(WEEKDAY($B901),"일","월","화","수","목","금","토"))</f>
        <v/>
      </c>
      <c r="D901" s="45" t="n"/>
      <c r="E901" s="47">
        <f>IF($D901="","",IFERROR(INDEX(코드설정!$D$5:$D$24,MATCH($D901,코드설정!$C$5:$C$24,0)),""))</f>
        <v/>
      </c>
      <c r="F901" s="45" t="n"/>
      <c r="G901" s="45" t="n"/>
      <c r="H901" s="49" t="n"/>
      <c r="I901" s="49" t="n"/>
      <c r="J901" s="52" t="n"/>
      <c r="K901" s="45" t="n"/>
      <c r="L901" s="49" t="n"/>
    </row>
    <row r="902">
      <c r="A902" s="43">
        <f>IF($B902="","",COUNT($B$5:$B902))</f>
        <v/>
      </c>
      <c r="B902" s="44" t="n"/>
      <c r="C902" s="47">
        <f>IF($B902="","",CHOOSE(WEEKDAY($B902),"일","월","화","수","목","금","토"))</f>
        <v/>
      </c>
      <c r="D902" s="45" t="n"/>
      <c r="E902" s="47">
        <f>IF($D902="","",IFERROR(INDEX(코드설정!$D$5:$D$24,MATCH($D902,코드설정!$C$5:$C$24,0)),""))</f>
        <v/>
      </c>
      <c r="F902" s="45" t="n"/>
      <c r="G902" s="45" t="n"/>
      <c r="H902" s="49" t="n"/>
      <c r="I902" s="49" t="n"/>
      <c r="J902" s="52" t="n"/>
      <c r="K902" s="45" t="n"/>
      <c r="L902" s="49" t="n"/>
    </row>
    <row r="903">
      <c r="A903" s="43">
        <f>IF($B903="","",COUNT($B$5:$B903))</f>
        <v/>
      </c>
      <c r="B903" s="44" t="n"/>
      <c r="C903" s="47">
        <f>IF($B903="","",CHOOSE(WEEKDAY($B903),"일","월","화","수","목","금","토"))</f>
        <v/>
      </c>
      <c r="D903" s="45" t="n"/>
      <c r="E903" s="47">
        <f>IF($D903="","",IFERROR(INDEX(코드설정!$D$5:$D$24,MATCH($D903,코드설정!$C$5:$C$24,0)),""))</f>
        <v/>
      </c>
      <c r="F903" s="45" t="n"/>
      <c r="G903" s="45" t="n"/>
      <c r="H903" s="49" t="n"/>
      <c r="I903" s="49" t="n"/>
      <c r="J903" s="52" t="n"/>
      <c r="K903" s="45" t="n"/>
      <c r="L903" s="49" t="n"/>
    </row>
    <row r="904">
      <c r="A904" s="43">
        <f>IF($B904="","",COUNT($B$5:$B904))</f>
        <v/>
      </c>
      <c r="B904" s="44" t="n"/>
      <c r="C904" s="47">
        <f>IF($B904="","",CHOOSE(WEEKDAY($B904),"일","월","화","수","목","금","토"))</f>
        <v/>
      </c>
      <c r="D904" s="45" t="n"/>
      <c r="E904" s="47">
        <f>IF($D904="","",IFERROR(INDEX(코드설정!$D$5:$D$24,MATCH($D904,코드설정!$C$5:$C$24,0)),""))</f>
        <v/>
      </c>
      <c r="F904" s="45" t="n"/>
      <c r="G904" s="45" t="n"/>
      <c r="H904" s="49" t="n"/>
      <c r="I904" s="49" t="n"/>
      <c r="J904" s="52" t="n"/>
      <c r="K904" s="45" t="n"/>
      <c r="L904" s="49" t="n"/>
    </row>
    <row r="905">
      <c r="A905" s="43">
        <f>IF($B905="","",COUNT($B$5:$B905))</f>
        <v/>
      </c>
      <c r="B905" s="44" t="n"/>
      <c r="C905" s="47">
        <f>IF($B905="","",CHOOSE(WEEKDAY($B905),"일","월","화","수","목","금","토"))</f>
        <v/>
      </c>
      <c r="D905" s="45" t="n"/>
      <c r="E905" s="47">
        <f>IF($D905="","",IFERROR(INDEX(코드설정!$D$5:$D$24,MATCH($D905,코드설정!$C$5:$C$24,0)),""))</f>
        <v/>
      </c>
      <c r="F905" s="45" t="n"/>
      <c r="G905" s="45" t="n"/>
      <c r="H905" s="49" t="n"/>
      <c r="I905" s="49" t="n"/>
      <c r="J905" s="52" t="n"/>
      <c r="K905" s="45" t="n"/>
      <c r="L905" s="49" t="n"/>
    </row>
    <row r="906">
      <c r="A906" s="43">
        <f>IF($B906="","",COUNT($B$5:$B906))</f>
        <v/>
      </c>
      <c r="B906" s="44" t="n"/>
      <c r="C906" s="47">
        <f>IF($B906="","",CHOOSE(WEEKDAY($B906),"일","월","화","수","목","금","토"))</f>
        <v/>
      </c>
      <c r="D906" s="45" t="n"/>
      <c r="E906" s="47">
        <f>IF($D906="","",IFERROR(INDEX(코드설정!$D$5:$D$24,MATCH($D906,코드설정!$C$5:$C$24,0)),""))</f>
        <v/>
      </c>
      <c r="F906" s="45" t="n"/>
      <c r="G906" s="45" t="n"/>
      <c r="H906" s="49" t="n"/>
      <c r="I906" s="49" t="n"/>
      <c r="J906" s="52" t="n"/>
      <c r="K906" s="45" t="n"/>
      <c r="L906" s="49" t="n"/>
    </row>
    <row r="907">
      <c r="A907" s="43">
        <f>IF($B907="","",COUNT($B$5:$B907))</f>
        <v/>
      </c>
      <c r="B907" s="44" t="n"/>
      <c r="C907" s="47">
        <f>IF($B907="","",CHOOSE(WEEKDAY($B907),"일","월","화","수","목","금","토"))</f>
        <v/>
      </c>
      <c r="D907" s="45" t="n"/>
      <c r="E907" s="47">
        <f>IF($D907="","",IFERROR(INDEX(코드설정!$D$5:$D$24,MATCH($D907,코드설정!$C$5:$C$24,0)),""))</f>
        <v/>
      </c>
      <c r="F907" s="45" t="n"/>
      <c r="G907" s="45" t="n"/>
      <c r="H907" s="49" t="n"/>
      <c r="I907" s="49" t="n"/>
      <c r="J907" s="52" t="n"/>
      <c r="K907" s="45" t="n"/>
      <c r="L907" s="49" t="n"/>
    </row>
    <row r="908">
      <c r="A908" s="43">
        <f>IF($B908="","",COUNT($B$5:$B908))</f>
        <v/>
      </c>
      <c r="B908" s="44" t="n"/>
      <c r="C908" s="47">
        <f>IF($B908="","",CHOOSE(WEEKDAY($B908),"일","월","화","수","목","금","토"))</f>
        <v/>
      </c>
      <c r="D908" s="45" t="n"/>
      <c r="E908" s="47">
        <f>IF($D908="","",IFERROR(INDEX(코드설정!$D$5:$D$24,MATCH($D908,코드설정!$C$5:$C$24,0)),""))</f>
        <v/>
      </c>
      <c r="F908" s="45" t="n"/>
      <c r="G908" s="45" t="n"/>
      <c r="H908" s="49" t="n"/>
      <c r="I908" s="49" t="n"/>
      <c r="J908" s="52" t="n"/>
      <c r="K908" s="45" t="n"/>
      <c r="L908" s="49" t="n"/>
    </row>
    <row r="909">
      <c r="A909" s="43">
        <f>IF($B909="","",COUNT($B$5:$B909))</f>
        <v/>
      </c>
      <c r="B909" s="44" t="n"/>
      <c r="C909" s="47">
        <f>IF($B909="","",CHOOSE(WEEKDAY($B909),"일","월","화","수","목","금","토"))</f>
        <v/>
      </c>
      <c r="D909" s="45" t="n"/>
      <c r="E909" s="47">
        <f>IF($D909="","",IFERROR(INDEX(코드설정!$D$5:$D$24,MATCH($D909,코드설정!$C$5:$C$24,0)),""))</f>
        <v/>
      </c>
      <c r="F909" s="45" t="n"/>
      <c r="G909" s="45" t="n"/>
      <c r="H909" s="49" t="n"/>
      <c r="I909" s="49" t="n"/>
      <c r="J909" s="52" t="n"/>
      <c r="K909" s="45" t="n"/>
      <c r="L909" s="49" t="n"/>
    </row>
    <row r="910">
      <c r="A910" s="43">
        <f>IF($B910="","",COUNT($B$5:$B910))</f>
        <v/>
      </c>
      <c r="B910" s="44" t="n"/>
      <c r="C910" s="47">
        <f>IF($B910="","",CHOOSE(WEEKDAY($B910),"일","월","화","수","목","금","토"))</f>
        <v/>
      </c>
      <c r="D910" s="45" t="n"/>
      <c r="E910" s="47">
        <f>IF($D910="","",IFERROR(INDEX(코드설정!$D$5:$D$24,MATCH($D910,코드설정!$C$5:$C$24,0)),""))</f>
        <v/>
      </c>
      <c r="F910" s="45" t="n"/>
      <c r="G910" s="45" t="n"/>
      <c r="H910" s="49" t="n"/>
      <c r="I910" s="49" t="n"/>
      <c r="J910" s="52" t="n"/>
      <c r="K910" s="45" t="n"/>
      <c r="L910" s="49" t="n"/>
    </row>
    <row r="911">
      <c r="A911" s="43">
        <f>IF($B911="","",COUNT($B$5:$B911))</f>
        <v/>
      </c>
      <c r="B911" s="44" t="n"/>
      <c r="C911" s="47">
        <f>IF($B911="","",CHOOSE(WEEKDAY($B911),"일","월","화","수","목","금","토"))</f>
        <v/>
      </c>
      <c r="D911" s="45" t="n"/>
      <c r="E911" s="47">
        <f>IF($D911="","",IFERROR(INDEX(코드설정!$D$5:$D$24,MATCH($D911,코드설정!$C$5:$C$24,0)),""))</f>
        <v/>
      </c>
      <c r="F911" s="45" t="n"/>
      <c r="G911" s="45" t="n"/>
      <c r="H911" s="49" t="n"/>
      <c r="I911" s="49" t="n"/>
      <c r="J911" s="52" t="n"/>
      <c r="K911" s="45" t="n"/>
      <c r="L911" s="49" t="n"/>
    </row>
    <row r="912">
      <c r="A912" s="43">
        <f>IF($B912="","",COUNT($B$5:$B912))</f>
        <v/>
      </c>
      <c r="B912" s="44" t="n"/>
      <c r="C912" s="47">
        <f>IF($B912="","",CHOOSE(WEEKDAY($B912),"일","월","화","수","목","금","토"))</f>
        <v/>
      </c>
      <c r="D912" s="45" t="n"/>
      <c r="E912" s="47">
        <f>IF($D912="","",IFERROR(INDEX(코드설정!$D$5:$D$24,MATCH($D912,코드설정!$C$5:$C$24,0)),""))</f>
        <v/>
      </c>
      <c r="F912" s="45" t="n"/>
      <c r="G912" s="45" t="n"/>
      <c r="H912" s="49" t="n"/>
      <c r="I912" s="49" t="n"/>
      <c r="J912" s="52" t="n"/>
      <c r="K912" s="45" t="n"/>
      <c r="L912" s="49" t="n"/>
    </row>
    <row r="913">
      <c r="A913" s="43">
        <f>IF($B913="","",COUNT($B$5:$B913))</f>
        <v/>
      </c>
      <c r="B913" s="44" t="n"/>
      <c r="C913" s="47">
        <f>IF($B913="","",CHOOSE(WEEKDAY($B913),"일","월","화","수","목","금","토"))</f>
        <v/>
      </c>
      <c r="D913" s="45" t="n"/>
      <c r="E913" s="47">
        <f>IF($D913="","",IFERROR(INDEX(코드설정!$D$5:$D$24,MATCH($D913,코드설정!$C$5:$C$24,0)),""))</f>
        <v/>
      </c>
      <c r="F913" s="45" t="n"/>
      <c r="G913" s="45" t="n"/>
      <c r="H913" s="49" t="n"/>
      <c r="I913" s="49" t="n"/>
      <c r="J913" s="52" t="n"/>
      <c r="K913" s="45" t="n"/>
      <c r="L913" s="49" t="n"/>
    </row>
    <row r="914">
      <c r="A914" s="43">
        <f>IF($B914="","",COUNT($B$5:$B914))</f>
        <v/>
      </c>
      <c r="B914" s="44" t="n"/>
      <c r="C914" s="47">
        <f>IF($B914="","",CHOOSE(WEEKDAY($B914),"일","월","화","수","목","금","토"))</f>
        <v/>
      </c>
      <c r="D914" s="45" t="n"/>
      <c r="E914" s="47">
        <f>IF($D914="","",IFERROR(INDEX(코드설정!$D$5:$D$24,MATCH($D914,코드설정!$C$5:$C$24,0)),""))</f>
        <v/>
      </c>
      <c r="F914" s="45" t="n"/>
      <c r="G914" s="45" t="n"/>
      <c r="H914" s="49" t="n"/>
      <c r="I914" s="49" t="n"/>
      <c r="J914" s="52" t="n"/>
      <c r="K914" s="45" t="n"/>
      <c r="L914" s="49" t="n"/>
    </row>
    <row r="915">
      <c r="A915" s="43">
        <f>IF($B915="","",COUNT($B$5:$B915))</f>
        <v/>
      </c>
      <c r="B915" s="44" t="n"/>
      <c r="C915" s="47">
        <f>IF($B915="","",CHOOSE(WEEKDAY($B915),"일","월","화","수","목","금","토"))</f>
        <v/>
      </c>
      <c r="D915" s="45" t="n"/>
      <c r="E915" s="47">
        <f>IF($D915="","",IFERROR(INDEX(코드설정!$D$5:$D$24,MATCH($D915,코드설정!$C$5:$C$24,0)),""))</f>
        <v/>
      </c>
      <c r="F915" s="45" t="n"/>
      <c r="G915" s="45" t="n"/>
      <c r="H915" s="49" t="n"/>
      <c r="I915" s="49" t="n"/>
      <c r="J915" s="52" t="n"/>
      <c r="K915" s="45" t="n"/>
      <c r="L915" s="49" t="n"/>
    </row>
    <row r="916">
      <c r="A916" s="43">
        <f>IF($B916="","",COUNT($B$5:$B916))</f>
        <v/>
      </c>
      <c r="B916" s="44" t="n"/>
      <c r="C916" s="47">
        <f>IF($B916="","",CHOOSE(WEEKDAY($B916),"일","월","화","수","목","금","토"))</f>
        <v/>
      </c>
      <c r="D916" s="45" t="n"/>
      <c r="E916" s="47">
        <f>IF($D916="","",IFERROR(INDEX(코드설정!$D$5:$D$24,MATCH($D916,코드설정!$C$5:$C$24,0)),""))</f>
        <v/>
      </c>
      <c r="F916" s="45" t="n"/>
      <c r="G916" s="45" t="n"/>
      <c r="H916" s="49" t="n"/>
      <c r="I916" s="49" t="n"/>
      <c r="J916" s="52" t="n"/>
      <c r="K916" s="45" t="n"/>
      <c r="L916" s="49" t="n"/>
    </row>
    <row r="917">
      <c r="A917" s="43">
        <f>IF($B917="","",COUNT($B$5:$B917))</f>
        <v/>
      </c>
      <c r="B917" s="44" t="n"/>
      <c r="C917" s="47">
        <f>IF($B917="","",CHOOSE(WEEKDAY($B917),"일","월","화","수","목","금","토"))</f>
        <v/>
      </c>
      <c r="D917" s="45" t="n"/>
      <c r="E917" s="47">
        <f>IF($D917="","",IFERROR(INDEX(코드설정!$D$5:$D$24,MATCH($D917,코드설정!$C$5:$C$24,0)),""))</f>
        <v/>
      </c>
      <c r="F917" s="45" t="n"/>
      <c r="G917" s="45" t="n"/>
      <c r="H917" s="49" t="n"/>
      <c r="I917" s="49" t="n"/>
      <c r="J917" s="52" t="n"/>
      <c r="K917" s="45" t="n"/>
      <c r="L917" s="49" t="n"/>
    </row>
    <row r="918">
      <c r="A918" s="43">
        <f>IF($B918="","",COUNT($B$5:$B918))</f>
        <v/>
      </c>
      <c r="B918" s="44" t="n"/>
      <c r="C918" s="47">
        <f>IF($B918="","",CHOOSE(WEEKDAY($B918),"일","월","화","수","목","금","토"))</f>
        <v/>
      </c>
      <c r="D918" s="45" t="n"/>
      <c r="E918" s="47">
        <f>IF($D918="","",IFERROR(INDEX(코드설정!$D$5:$D$24,MATCH($D918,코드설정!$C$5:$C$24,0)),""))</f>
        <v/>
      </c>
      <c r="F918" s="45" t="n"/>
      <c r="G918" s="45" t="n"/>
      <c r="H918" s="49" t="n"/>
      <c r="I918" s="49" t="n"/>
      <c r="J918" s="52" t="n"/>
      <c r="K918" s="45" t="n"/>
      <c r="L918" s="49" t="n"/>
    </row>
    <row r="919">
      <c r="A919" s="43">
        <f>IF($B919="","",COUNT($B$5:$B919))</f>
        <v/>
      </c>
      <c r="B919" s="44" t="n"/>
      <c r="C919" s="47">
        <f>IF($B919="","",CHOOSE(WEEKDAY($B919),"일","월","화","수","목","금","토"))</f>
        <v/>
      </c>
      <c r="D919" s="45" t="n"/>
      <c r="E919" s="47">
        <f>IF($D919="","",IFERROR(INDEX(코드설정!$D$5:$D$24,MATCH($D919,코드설정!$C$5:$C$24,0)),""))</f>
        <v/>
      </c>
      <c r="F919" s="45" t="n"/>
      <c r="G919" s="45" t="n"/>
      <c r="H919" s="49" t="n"/>
      <c r="I919" s="49" t="n"/>
      <c r="J919" s="52" t="n"/>
      <c r="K919" s="45" t="n"/>
      <c r="L919" s="49" t="n"/>
    </row>
    <row r="920">
      <c r="A920" s="43">
        <f>IF($B920="","",COUNT($B$5:$B920))</f>
        <v/>
      </c>
      <c r="B920" s="44" t="n"/>
      <c r="C920" s="47">
        <f>IF($B920="","",CHOOSE(WEEKDAY($B920),"일","월","화","수","목","금","토"))</f>
        <v/>
      </c>
      <c r="D920" s="45" t="n"/>
      <c r="E920" s="47">
        <f>IF($D920="","",IFERROR(INDEX(코드설정!$D$5:$D$24,MATCH($D920,코드설정!$C$5:$C$24,0)),""))</f>
        <v/>
      </c>
      <c r="F920" s="45" t="n"/>
      <c r="G920" s="45" t="n"/>
      <c r="H920" s="49" t="n"/>
      <c r="I920" s="49" t="n"/>
      <c r="J920" s="52" t="n"/>
      <c r="K920" s="45" t="n"/>
      <c r="L920" s="49" t="n"/>
    </row>
    <row r="921">
      <c r="A921" s="43">
        <f>IF($B921="","",COUNT($B$5:$B921))</f>
        <v/>
      </c>
      <c r="B921" s="44" t="n"/>
      <c r="C921" s="47">
        <f>IF($B921="","",CHOOSE(WEEKDAY($B921),"일","월","화","수","목","금","토"))</f>
        <v/>
      </c>
      <c r="D921" s="45" t="n"/>
      <c r="E921" s="47">
        <f>IF($D921="","",IFERROR(INDEX(코드설정!$D$5:$D$24,MATCH($D921,코드설정!$C$5:$C$24,0)),""))</f>
        <v/>
      </c>
      <c r="F921" s="45" t="n"/>
      <c r="G921" s="45" t="n"/>
      <c r="H921" s="49" t="n"/>
      <c r="I921" s="49" t="n"/>
      <c r="J921" s="52" t="n"/>
      <c r="K921" s="45" t="n"/>
      <c r="L921" s="49" t="n"/>
    </row>
    <row r="922">
      <c r="A922" s="43">
        <f>IF($B922="","",COUNT($B$5:$B922))</f>
        <v/>
      </c>
      <c r="B922" s="44" t="n"/>
      <c r="C922" s="47">
        <f>IF($B922="","",CHOOSE(WEEKDAY($B922),"일","월","화","수","목","금","토"))</f>
        <v/>
      </c>
      <c r="D922" s="45" t="n"/>
      <c r="E922" s="47">
        <f>IF($D922="","",IFERROR(INDEX(코드설정!$D$5:$D$24,MATCH($D922,코드설정!$C$5:$C$24,0)),""))</f>
        <v/>
      </c>
      <c r="F922" s="45" t="n"/>
      <c r="G922" s="45" t="n"/>
      <c r="H922" s="49" t="n"/>
      <c r="I922" s="49" t="n"/>
      <c r="J922" s="52" t="n"/>
      <c r="K922" s="45" t="n"/>
      <c r="L922" s="49" t="n"/>
    </row>
    <row r="923">
      <c r="A923" s="43">
        <f>IF($B923="","",COUNT($B$5:$B923))</f>
        <v/>
      </c>
      <c r="B923" s="44" t="n"/>
      <c r="C923" s="47">
        <f>IF($B923="","",CHOOSE(WEEKDAY($B923),"일","월","화","수","목","금","토"))</f>
        <v/>
      </c>
      <c r="D923" s="45" t="n"/>
      <c r="E923" s="47">
        <f>IF($D923="","",IFERROR(INDEX(코드설정!$D$5:$D$24,MATCH($D923,코드설정!$C$5:$C$24,0)),""))</f>
        <v/>
      </c>
      <c r="F923" s="45" t="n"/>
      <c r="G923" s="45" t="n"/>
      <c r="H923" s="49" t="n"/>
      <c r="I923" s="49" t="n"/>
      <c r="J923" s="52" t="n"/>
      <c r="K923" s="45" t="n"/>
      <c r="L923" s="49" t="n"/>
    </row>
    <row r="924">
      <c r="A924" s="43">
        <f>IF($B924="","",COUNT($B$5:$B924))</f>
        <v/>
      </c>
      <c r="B924" s="44" t="n"/>
      <c r="C924" s="47">
        <f>IF($B924="","",CHOOSE(WEEKDAY($B924),"일","월","화","수","목","금","토"))</f>
        <v/>
      </c>
      <c r="D924" s="45" t="n"/>
      <c r="E924" s="47">
        <f>IF($D924="","",IFERROR(INDEX(코드설정!$D$5:$D$24,MATCH($D924,코드설정!$C$5:$C$24,0)),""))</f>
        <v/>
      </c>
      <c r="F924" s="45" t="n"/>
      <c r="G924" s="45" t="n"/>
      <c r="H924" s="49" t="n"/>
      <c r="I924" s="49" t="n"/>
      <c r="J924" s="52" t="n"/>
      <c r="K924" s="45" t="n"/>
      <c r="L924" s="49" t="n"/>
    </row>
    <row r="925">
      <c r="A925" s="43">
        <f>IF($B925="","",COUNT($B$5:$B925))</f>
        <v/>
      </c>
      <c r="B925" s="44" t="n"/>
      <c r="C925" s="47">
        <f>IF($B925="","",CHOOSE(WEEKDAY($B925),"일","월","화","수","목","금","토"))</f>
        <v/>
      </c>
      <c r="D925" s="45" t="n"/>
      <c r="E925" s="47">
        <f>IF($D925="","",IFERROR(INDEX(코드설정!$D$5:$D$24,MATCH($D925,코드설정!$C$5:$C$24,0)),""))</f>
        <v/>
      </c>
      <c r="F925" s="45" t="n"/>
      <c r="G925" s="45" t="n"/>
      <c r="H925" s="49" t="n"/>
      <c r="I925" s="49" t="n"/>
      <c r="J925" s="52" t="n"/>
      <c r="K925" s="45" t="n"/>
      <c r="L925" s="49" t="n"/>
    </row>
    <row r="926">
      <c r="A926" s="43">
        <f>IF($B926="","",COUNT($B$5:$B926))</f>
        <v/>
      </c>
      <c r="B926" s="44" t="n"/>
      <c r="C926" s="47">
        <f>IF($B926="","",CHOOSE(WEEKDAY($B926),"일","월","화","수","목","금","토"))</f>
        <v/>
      </c>
      <c r="D926" s="45" t="n"/>
      <c r="E926" s="47">
        <f>IF($D926="","",IFERROR(INDEX(코드설정!$D$5:$D$24,MATCH($D926,코드설정!$C$5:$C$24,0)),""))</f>
        <v/>
      </c>
      <c r="F926" s="45" t="n"/>
      <c r="G926" s="45" t="n"/>
      <c r="H926" s="49" t="n"/>
      <c r="I926" s="49" t="n"/>
      <c r="J926" s="52" t="n"/>
      <c r="K926" s="45" t="n"/>
      <c r="L926" s="49" t="n"/>
    </row>
    <row r="927">
      <c r="A927" s="43">
        <f>IF($B927="","",COUNT($B$5:$B927))</f>
        <v/>
      </c>
      <c r="B927" s="44" t="n"/>
      <c r="C927" s="47">
        <f>IF($B927="","",CHOOSE(WEEKDAY($B927),"일","월","화","수","목","금","토"))</f>
        <v/>
      </c>
      <c r="D927" s="45" t="n"/>
      <c r="E927" s="47">
        <f>IF($D927="","",IFERROR(INDEX(코드설정!$D$5:$D$24,MATCH($D927,코드설정!$C$5:$C$24,0)),""))</f>
        <v/>
      </c>
      <c r="F927" s="45" t="n"/>
      <c r="G927" s="45" t="n"/>
      <c r="H927" s="49" t="n"/>
      <c r="I927" s="49" t="n"/>
      <c r="J927" s="52" t="n"/>
      <c r="K927" s="45" t="n"/>
      <c r="L927" s="49" t="n"/>
    </row>
    <row r="928">
      <c r="A928" s="43">
        <f>IF($B928="","",COUNT($B$5:$B928))</f>
        <v/>
      </c>
      <c r="B928" s="44" t="n"/>
      <c r="C928" s="47">
        <f>IF($B928="","",CHOOSE(WEEKDAY($B928),"일","월","화","수","목","금","토"))</f>
        <v/>
      </c>
      <c r="D928" s="45" t="n"/>
      <c r="E928" s="47">
        <f>IF($D928="","",IFERROR(INDEX(코드설정!$D$5:$D$24,MATCH($D928,코드설정!$C$5:$C$24,0)),""))</f>
        <v/>
      </c>
      <c r="F928" s="45" t="n"/>
      <c r="G928" s="45" t="n"/>
      <c r="H928" s="49" t="n"/>
      <c r="I928" s="49" t="n"/>
      <c r="J928" s="52" t="n"/>
      <c r="K928" s="45" t="n"/>
      <c r="L928" s="49" t="n"/>
    </row>
    <row r="929">
      <c r="A929" s="43">
        <f>IF($B929="","",COUNT($B$5:$B929))</f>
        <v/>
      </c>
      <c r="B929" s="44" t="n"/>
      <c r="C929" s="47">
        <f>IF($B929="","",CHOOSE(WEEKDAY($B929),"일","월","화","수","목","금","토"))</f>
        <v/>
      </c>
      <c r="D929" s="45" t="n"/>
      <c r="E929" s="47">
        <f>IF($D929="","",IFERROR(INDEX(코드설정!$D$5:$D$24,MATCH($D929,코드설정!$C$5:$C$24,0)),""))</f>
        <v/>
      </c>
      <c r="F929" s="45" t="n"/>
      <c r="G929" s="45" t="n"/>
      <c r="H929" s="49" t="n"/>
      <c r="I929" s="49" t="n"/>
      <c r="J929" s="52" t="n"/>
      <c r="K929" s="45" t="n"/>
      <c r="L929" s="49" t="n"/>
    </row>
    <row r="930">
      <c r="A930" s="43">
        <f>IF($B930="","",COUNT($B$5:$B930))</f>
        <v/>
      </c>
      <c r="B930" s="44" t="n"/>
      <c r="C930" s="47">
        <f>IF($B930="","",CHOOSE(WEEKDAY($B930),"일","월","화","수","목","금","토"))</f>
        <v/>
      </c>
      <c r="D930" s="45" t="n"/>
      <c r="E930" s="47">
        <f>IF($D930="","",IFERROR(INDEX(코드설정!$D$5:$D$24,MATCH($D930,코드설정!$C$5:$C$24,0)),""))</f>
        <v/>
      </c>
      <c r="F930" s="45" t="n"/>
      <c r="G930" s="45" t="n"/>
      <c r="H930" s="49" t="n"/>
      <c r="I930" s="49" t="n"/>
      <c r="J930" s="52" t="n"/>
      <c r="K930" s="45" t="n"/>
      <c r="L930" s="49" t="n"/>
    </row>
    <row r="931">
      <c r="A931" s="43">
        <f>IF($B931="","",COUNT($B$5:$B931))</f>
        <v/>
      </c>
      <c r="B931" s="44" t="n"/>
      <c r="C931" s="47">
        <f>IF($B931="","",CHOOSE(WEEKDAY($B931),"일","월","화","수","목","금","토"))</f>
        <v/>
      </c>
      <c r="D931" s="45" t="n"/>
      <c r="E931" s="47">
        <f>IF($D931="","",IFERROR(INDEX(코드설정!$D$5:$D$24,MATCH($D931,코드설정!$C$5:$C$24,0)),""))</f>
        <v/>
      </c>
      <c r="F931" s="45" t="n"/>
      <c r="G931" s="45" t="n"/>
      <c r="H931" s="49" t="n"/>
      <c r="I931" s="49" t="n"/>
      <c r="J931" s="52" t="n"/>
      <c r="K931" s="45" t="n"/>
      <c r="L931" s="49" t="n"/>
    </row>
    <row r="932">
      <c r="A932" s="43">
        <f>IF($B932="","",COUNT($B$5:$B932))</f>
        <v/>
      </c>
      <c r="B932" s="44" t="n"/>
      <c r="C932" s="47">
        <f>IF($B932="","",CHOOSE(WEEKDAY($B932),"일","월","화","수","목","금","토"))</f>
        <v/>
      </c>
      <c r="D932" s="45" t="n"/>
      <c r="E932" s="47">
        <f>IF($D932="","",IFERROR(INDEX(코드설정!$D$5:$D$24,MATCH($D932,코드설정!$C$5:$C$24,0)),""))</f>
        <v/>
      </c>
      <c r="F932" s="45" t="n"/>
      <c r="G932" s="45" t="n"/>
      <c r="H932" s="49" t="n"/>
      <c r="I932" s="49" t="n"/>
      <c r="J932" s="52" t="n"/>
      <c r="K932" s="45" t="n"/>
      <c r="L932" s="49" t="n"/>
    </row>
    <row r="933">
      <c r="A933" s="43">
        <f>IF($B933="","",COUNT($B$5:$B933))</f>
        <v/>
      </c>
      <c r="B933" s="44" t="n"/>
      <c r="C933" s="47">
        <f>IF($B933="","",CHOOSE(WEEKDAY($B933),"일","월","화","수","목","금","토"))</f>
        <v/>
      </c>
      <c r="D933" s="45" t="n"/>
      <c r="E933" s="47">
        <f>IF($D933="","",IFERROR(INDEX(코드설정!$D$5:$D$24,MATCH($D933,코드설정!$C$5:$C$24,0)),""))</f>
        <v/>
      </c>
      <c r="F933" s="45" t="n"/>
      <c r="G933" s="45" t="n"/>
      <c r="H933" s="49" t="n"/>
      <c r="I933" s="49" t="n"/>
      <c r="J933" s="52" t="n"/>
      <c r="K933" s="45" t="n"/>
      <c r="L933" s="49" t="n"/>
    </row>
    <row r="934">
      <c r="A934" s="43">
        <f>IF($B934="","",COUNT($B$5:$B934))</f>
        <v/>
      </c>
      <c r="B934" s="44" t="n"/>
      <c r="C934" s="47">
        <f>IF($B934="","",CHOOSE(WEEKDAY($B934),"일","월","화","수","목","금","토"))</f>
        <v/>
      </c>
      <c r="D934" s="45" t="n"/>
      <c r="E934" s="47">
        <f>IF($D934="","",IFERROR(INDEX(코드설정!$D$5:$D$24,MATCH($D934,코드설정!$C$5:$C$24,0)),""))</f>
        <v/>
      </c>
      <c r="F934" s="45" t="n"/>
      <c r="G934" s="45" t="n"/>
      <c r="H934" s="49" t="n"/>
      <c r="I934" s="49" t="n"/>
      <c r="J934" s="52" t="n"/>
      <c r="K934" s="45" t="n"/>
      <c r="L934" s="49" t="n"/>
    </row>
    <row r="935">
      <c r="A935" s="43">
        <f>IF($B935="","",COUNT($B$5:$B935))</f>
        <v/>
      </c>
      <c r="B935" s="44" t="n"/>
      <c r="C935" s="47">
        <f>IF($B935="","",CHOOSE(WEEKDAY($B935),"일","월","화","수","목","금","토"))</f>
        <v/>
      </c>
      <c r="D935" s="45" t="n"/>
      <c r="E935" s="47">
        <f>IF($D935="","",IFERROR(INDEX(코드설정!$D$5:$D$24,MATCH($D935,코드설정!$C$5:$C$24,0)),""))</f>
        <v/>
      </c>
      <c r="F935" s="45" t="n"/>
      <c r="G935" s="45" t="n"/>
      <c r="H935" s="49" t="n"/>
      <c r="I935" s="49" t="n"/>
      <c r="J935" s="52" t="n"/>
      <c r="K935" s="45" t="n"/>
      <c r="L935" s="49" t="n"/>
    </row>
    <row r="936">
      <c r="A936" s="43">
        <f>IF($B936="","",COUNT($B$5:$B936))</f>
        <v/>
      </c>
      <c r="B936" s="44" t="n"/>
      <c r="C936" s="47">
        <f>IF($B936="","",CHOOSE(WEEKDAY($B936),"일","월","화","수","목","금","토"))</f>
        <v/>
      </c>
      <c r="D936" s="45" t="n"/>
      <c r="E936" s="47">
        <f>IF($D936="","",IFERROR(INDEX(코드설정!$D$5:$D$24,MATCH($D936,코드설정!$C$5:$C$24,0)),""))</f>
        <v/>
      </c>
      <c r="F936" s="45" t="n"/>
      <c r="G936" s="45" t="n"/>
      <c r="H936" s="49" t="n"/>
      <c r="I936" s="49" t="n"/>
      <c r="J936" s="52" t="n"/>
      <c r="K936" s="45" t="n"/>
      <c r="L936" s="49" t="n"/>
    </row>
    <row r="937">
      <c r="A937" s="43">
        <f>IF($B937="","",COUNT($B$5:$B937))</f>
        <v/>
      </c>
      <c r="B937" s="44" t="n"/>
      <c r="C937" s="47">
        <f>IF($B937="","",CHOOSE(WEEKDAY($B937),"일","월","화","수","목","금","토"))</f>
        <v/>
      </c>
      <c r="D937" s="45" t="n"/>
      <c r="E937" s="47">
        <f>IF($D937="","",IFERROR(INDEX(코드설정!$D$5:$D$24,MATCH($D937,코드설정!$C$5:$C$24,0)),""))</f>
        <v/>
      </c>
      <c r="F937" s="45" t="n"/>
      <c r="G937" s="45" t="n"/>
      <c r="H937" s="49" t="n"/>
      <c r="I937" s="49" t="n"/>
      <c r="J937" s="52" t="n"/>
      <c r="K937" s="45" t="n"/>
      <c r="L937" s="49" t="n"/>
    </row>
    <row r="938">
      <c r="A938" s="43">
        <f>IF($B938="","",COUNT($B$5:$B938))</f>
        <v/>
      </c>
      <c r="B938" s="44" t="n"/>
      <c r="C938" s="47">
        <f>IF($B938="","",CHOOSE(WEEKDAY($B938),"일","월","화","수","목","금","토"))</f>
        <v/>
      </c>
      <c r="D938" s="45" t="n"/>
      <c r="E938" s="47">
        <f>IF($D938="","",IFERROR(INDEX(코드설정!$D$5:$D$24,MATCH($D938,코드설정!$C$5:$C$24,0)),""))</f>
        <v/>
      </c>
      <c r="F938" s="45" t="n"/>
      <c r="G938" s="45" t="n"/>
      <c r="H938" s="49" t="n"/>
      <c r="I938" s="49" t="n"/>
      <c r="J938" s="52" t="n"/>
      <c r="K938" s="45" t="n"/>
      <c r="L938" s="49" t="n"/>
    </row>
    <row r="939">
      <c r="A939" s="43">
        <f>IF($B939="","",COUNT($B$5:$B939))</f>
        <v/>
      </c>
      <c r="B939" s="44" t="n"/>
      <c r="C939" s="47">
        <f>IF($B939="","",CHOOSE(WEEKDAY($B939),"일","월","화","수","목","금","토"))</f>
        <v/>
      </c>
      <c r="D939" s="45" t="n"/>
      <c r="E939" s="47">
        <f>IF($D939="","",IFERROR(INDEX(코드설정!$D$5:$D$24,MATCH($D939,코드설정!$C$5:$C$24,0)),""))</f>
        <v/>
      </c>
      <c r="F939" s="45" t="n"/>
      <c r="G939" s="45" t="n"/>
      <c r="H939" s="49" t="n"/>
      <c r="I939" s="49" t="n"/>
      <c r="J939" s="52" t="n"/>
      <c r="K939" s="45" t="n"/>
      <c r="L939" s="49" t="n"/>
    </row>
    <row r="940">
      <c r="A940" s="43">
        <f>IF($B940="","",COUNT($B$5:$B940))</f>
        <v/>
      </c>
      <c r="B940" s="44" t="n"/>
      <c r="C940" s="47">
        <f>IF($B940="","",CHOOSE(WEEKDAY($B940),"일","월","화","수","목","금","토"))</f>
        <v/>
      </c>
      <c r="D940" s="45" t="n"/>
      <c r="E940" s="47">
        <f>IF($D940="","",IFERROR(INDEX(코드설정!$D$5:$D$24,MATCH($D940,코드설정!$C$5:$C$24,0)),""))</f>
        <v/>
      </c>
      <c r="F940" s="45" t="n"/>
      <c r="G940" s="45" t="n"/>
      <c r="H940" s="49" t="n"/>
      <c r="I940" s="49" t="n"/>
      <c r="J940" s="52" t="n"/>
      <c r="K940" s="45" t="n"/>
      <c r="L940" s="49" t="n"/>
    </row>
    <row r="941">
      <c r="A941" s="43">
        <f>IF($B941="","",COUNT($B$5:$B941))</f>
        <v/>
      </c>
      <c r="B941" s="44" t="n"/>
      <c r="C941" s="47">
        <f>IF($B941="","",CHOOSE(WEEKDAY($B941),"일","월","화","수","목","금","토"))</f>
        <v/>
      </c>
      <c r="D941" s="45" t="n"/>
      <c r="E941" s="47">
        <f>IF($D941="","",IFERROR(INDEX(코드설정!$D$5:$D$24,MATCH($D941,코드설정!$C$5:$C$24,0)),""))</f>
        <v/>
      </c>
      <c r="F941" s="45" t="n"/>
      <c r="G941" s="45" t="n"/>
      <c r="H941" s="49" t="n"/>
      <c r="I941" s="49" t="n"/>
      <c r="J941" s="52" t="n"/>
      <c r="K941" s="45" t="n"/>
      <c r="L941" s="49" t="n"/>
    </row>
    <row r="942">
      <c r="A942" s="43">
        <f>IF($B942="","",COUNT($B$5:$B942))</f>
        <v/>
      </c>
      <c r="B942" s="44" t="n"/>
      <c r="C942" s="47">
        <f>IF($B942="","",CHOOSE(WEEKDAY($B942),"일","월","화","수","목","금","토"))</f>
        <v/>
      </c>
      <c r="D942" s="45" t="n"/>
      <c r="E942" s="47">
        <f>IF($D942="","",IFERROR(INDEX(코드설정!$D$5:$D$24,MATCH($D942,코드설정!$C$5:$C$24,0)),""))</f>
        <v/>
      </c>
      <c r="F942" s="45" t="n"/>
      <c r="G942" s="45" t="n"/>
      <c r="H942" s="49" t="n"/>
      <c r="I942" s="49" t="n"/>
      <c r="J942" s="52" t="n"/>
      <c r="K942" s="45" t="n"/>
      <c r="L942" s="49" t="n"/>
    </row>
    <row r="943">
      <c r="A943" s="43">
        <f>IF($B943="","",COUNT($B$5:$B943))</f>
        <v/>
      </c>
      <c r="B943" s="44" t="n"/>
      <c r="C943" s="47">
        <f>IF($B943="","",CHOOSE(WEEKDAY($B943),"일","월","화","수","목","금","토"))</f>
        <v/>
      </c>
      <c r="D943" s="45" t="n"/>
      <c r="E943" s="47">
        <f>IF($D943="","",IFERROR(INDEX(코드설정!$D$5:$D$24,MATCH($D943,코드설정!$C$5:$C$24,0)),""))</f>
        <v/>
      </c>
      <c r="F943" s="45" t="n"/>
      <c r="G943" s="45" t="n"/>
      <c r="H943" s="49" t="n"/>
      <c r="I943" s="49" t="n"/>
      <c r="J943" s="52" t="n"/>
      <c r="K943" s="45" t="n"/>
      <c r="L943" s="49" t="n"/>
    </row>
    <row r="944">
      <c r="A944" s="43">
        <f>IF($B944="","",COUNT($B$5:$B944))</f>
        <v/>
      </c>
      <c r="B944" s="44" t="n"/>
      <c r="C944" s="47">
        <f>IF($B944="","",CHOOSE(WEEKDAY($B944),"일","월","화","수","목","금","토"))</f>
        <v/>
      </c>
      <c r="D944" s="45" t="n"/>
      <c r="E944" s="47">
        <f>IF($D944="","",IFERROR(INDEX(코드설정!$D$5:$D$24,MATCH($D944,코드설정!$C$5:$C$24,0)),""))</f>
        <v/>
      </c>
      <c r="F944" s="45" t="n"/>
      <c r="G944" s="45" t="n"/>
      <c r="H944" s="49" t="n"/>
      <c r="I944" s="49" t="n"/>
      <c r="J944" s="52" t="n"/>
      <c r="K944" s="45" t="n"/>
      <c r="L944" s="49" t="n"/>
    </row>
    <row r="945">
      <c r="A945" s="43">
        <f>IF($B945="","",COUNT($B$5:$B945))</f>
        <v/>
      </c>
      <c r="B945" s="44" t="n"/>
      <c r="C945" s="47">
        <f>IF($B945="","",CHOOSE(WEEKDAY($B945),"일","월","화","수","목","금","토"))</f>
        <v/>
      </c>
      <c r="D945" s="45" t="n"/>
      <c r="E945" s="47">
        <f>IF($D945="","",IFERROR(INDEX(코드설정!$D$5:$D$24,MATCH($D945,코드설정!$C$5:$C$24,0)),""))</f>
        <v/>
      </c>
      <c r="F945" s="45" t="n"/>
      <c r="G945" s="45" t="n"/>
      <c r="H945" s="49" t="n"/>
      <c r="I945" s="49" t="n"/>
      <c r="J945" s="52" t="n"/>
      <c r="K945" s="45" t="n"/>
      <c r="L945" s="49" t="n"/>
    </row>
    <row r="946">
      <c r="A946" s="43">
        <f>IF($B946="","",COUNT($B$5:$B946))</f>
        <v/>
      </c>
      <c r="B946" s="44" t="n"/>
      <c r="C946" s="47">
        <f>IF($B946="","",CHOOSE(WEEKDAY($B946),"일","월","화","수","목","금","토"))</f>
        <v/>
      </c>
      <c r="D946" s="45" t="n"/>
      <c r="E946" s="47">
        <f>IF($D946="","",IFERROR(INDEX(코드설정!$D$5:$D$24,MATCH($D946,코드설정!$C$5:$C$24,0)),""))</f>
        <v/>
      </c>
      <c r="F946" s="45" t="n"/>
      <c r="G946" s="45" t="n"/>
      <c r="H946" s="49" t="n"/>
      <c r="I946" s="49" t="n"/>
      <c r="J946" s="52" t="n"/>
      <c r="K946" s="45" t="n"/>
      <c r="L946" s="49" t="n"/>
    </row>
    <row r="947">
      <c r="A947" s="43">
        <f>IF($B947="","",COUNT($B$5:$B947))</f>
        <v/>
      </c>
      <c r="B947" s="44" t="n"/>
      <c r="C947" s="47">
        <f>IF($B947="","",CHOOSE(WEEKDAY($B947),"일","월","화","수","목","금","토"))</f>
        <v/>
      </c>
      <c r="D947" s="45" t="n"/>
      <c r="E947" s="47">
        <f>IF($D947="","",IFERROR(INDEX(코드설정!$D$5:$D$24,MATCH($D947,코드설정!$C$5:$C$24,0)),""))</f>
        <v/>
      </c>
      <c r="F947" s="45" t="n"/>
      <c r="G947" s="45" t="n"/>
      <c r="H947" s="49" t="n"/>
      <c r="I947" s="49" t="n"/>
      <c r="J947" s="52" t="n"/>
      <c r="K947" s="45" t="n"/>
      <c r="L947" s="49" t="n"/>
    </row>
    <row r="948">
      <c r="A948" s="43">
        <f>IF($B948="","",COUNT($B$5:$B948))</f>
        <v/>
      </c>
      <c r="B948" s="44" t="n"/>
      <c r="C948" s="47">
        <f>IF($B948="","",CHOOSE(WEEKDAY($B948),"일","월","화","수","목","금","토"))</f>
        <v/>
      </c>
      <c r="D948" s="45" t="n"/>
      <c r="E948" s="47">
        <f>IF($D948="","",IFERROR(INDEX(코드설정!$D$5:$D$24,MATCH($D948,코드설정!$C$5:$C$24,0)),""))</f>
        <v/>
      </c>
      <c r="F948" s="45" t="n"/>
      <c r="G948" s="45" t="n"/>
      <c r="H948" s="49" t="n"/>
      <c r="I948" s="49" t="n"/>
      <c r="J948" s="52" t="n"/>
      <c r="K948" s="45" t="n"/>
      <c r="L948" s="49" t="n"/>
    </row>
    <row r="949">
      <c r="A949" s="43">
        <f>IF($B949="","",COUNT($B$5:$B949))</f>
        <v/>
      </c>
      <c r="B949" s="44" t="n"/>
      <c r="C949" s="47">
        <f>IF($B949="","",CHOOSE(WEEKDAY($B949),"일","월","화","수","목","금","토"))</f>
        <v/>
      </c>
      <c r="D949" s="45" t="n"/>
      <c r="E949" s="47">
        <f>IF($D949="","",IFERROR(INDEX(코드설정!$D$5:$D$24,MATCH($D949,코드설정!$C$5:$C$24,0)),""))</f>
        <v/>
      </c>
      <c r="F949" s="45" t="n"/>
      <c r="G949" s="45" t="n"/>
      <c r="H949" s="49" t="n"/>
      <c r="I949" s="49" t="n"/>
      <c r="J949" s="52" t="n"/>
      <c r="K949" s="45" t="n"/>
      <c r="L949" s="49" t="n"/>
    </row>
    <row r="950">
      <c r="A950" s="43">
        <f>IF($B950="","",COUNT($B$5:$B950))</f>
        <v/>
      </c>
      <c r="B950" s="44" t="n"/>
      <c r="C950" s="47">
        <f>IF($B950="","",CHOOSE(WEEKDAY($B950),"일","월","화","수","목","금","토"))</f>
        <v/>
      </c>
      <c r="D950" s="45" t="n"/>
      <c r="E950" s="47">
        <f>IF($D950="","",IFERROR(INDEX(코드설정!$D$5:$D$24,MATCH($D950,코드설정!$C$5:$C$24,0)),""))</f>
        <v/>
      </c>
      <c r="F950" s="45" t="n"/>
      <c r="G950" s="45" t="n"/>
      <c r="H950" s="49" t="n"/>
      <c r="I950" s="49" t="n"/>
      <c r="J950" s="52" t="n"/>
      <c r="K950" s="45" t="n"/>
      <c r="L950" s="49" t="n"/>
    </row>
    <row r="951">
      <c r="A951" s="43">
        <f>IF($B951="","",COUNT($B$5:$B951))</f>
        <v/>
      </c>
      <c r="B951" s="44" t="n"/>
      <c r="C951" s="47">
        <f>IF($B951="","",CHOOSE(WEEKDAY($B951),"일","월","화","수","목","금","토"))</f>
        <v/>
      </c>
      <c r="D951" s="45" t="n"/>
      <c r="E951" s="47">
        <f>IF($D951="","",IFERROR(INDEX(코드설정!$D$5:$D$24,MATCH($D951,코드설정!$C$5:$C$24,0)),""))</f>
        <v/>
      </c>
      <c r="F951" s="45" t="n"/>
      <c r="G951" s="45" t="n"/>
      <c r="H951" s="49" t="n"/>
      <c r="I951" s="49" t="n"/>
      <c r="J951" s="52" t="n"/>
      <c r="K951" s="45" t="n"/>
      <c r="L951" s="49" t="n"/>
    </row>
    <row r="952">
      <c r="A952" s="43">
        <f>IF($B952="","",COUNT($B$5:$B952))</f>
        <v/>
      </c>
      <c r="B952" s="44" t="n"/>
      <c r="C952" s="47">
        <f>IF($B952="","",CHOOSE(WEEKDAY($B952),"일","월","화","수","목","금","토"))</f>
        <v/>
      </c>
      <c r="D952" s="45" t="n"/>
      <c r="E952" s="47">
        <f>IF($D952="","",IFERROR(INDEX(코드설정!$D$5:$D$24,MATCH($D952,코드설정!$C$5:$C$24,0)),""))</f>
        <v/>
      </c>
      <c r="F952" s="45" t="n"/>
      <c r="G952" s="45" t="n"/>
      <c r="H952" s="49" t="n"/>
      <c r="I952" s="49" t="n"/>
      <c r="J952" s="52" t="n"/>
      <c r="K952" s="45" t="n"/>
      <c r="L952" s="49" t="n"/>
    </row>
    <row r="953">
      <c r="A953" s="43">
        <f>IF($B953="","",COUNT($B$5:$B953))</f>
        <v/>
      </c>
      <c r="B953" s="44" t="n"/>
      <c r="C953" s="47">
        <f>IF($B953="","",CHOOSE(WEEKDAY($B953),"일","월","화","수","목","금","토"))</f>
        <v/>
      </c>
      <c r="D953" s="45" t="n"/>
      <c r="E953" s="47">
        <f>IF($D953="","",IFERROR(INDEX(코드설정!$D$5:$D$24,MATCH($D953,코드설정!$C$5:$C$24,0)),""))</f>
        <v/>
      </c>
      <c r="F953" s="45" t="n"/>
      <c r="G953" s="45" t="n"/>
      <c r="H953" s="49" t="n"/>
      <c r="I953" s="49" t="n"/>
      <c r="J953" s="52" t="n"/>
      <c r="K953" s="45" t="n"/>
      <c r="L953" s="49" t="n"/>
    </row>
    <row r="954">
      <c r="A954" s="43">
        <f>IF($B954="","",COUNT($B$5:$B954))</f>
        <v/>
      </c>
      <c r="B954" s="44" t="n"/>
      <c r="C954" s="47">
        <f>IF($B954="","",CHOOSE(WEEKDAY($B954),"일","월","화","수","목","금","토"))</f>
        <v/>
      </c>
      <c r="D954" s="45" t="n"/>
      <c r="E954" s="47">
        <f>IF($D954="","",IFERROR(INDEX(코드설정!$D$5:$D$24,MATCH($D954,코드설정!$C$5:$C$24,0)),""))</f>
        <v/>
      </c>
      <c r="F954" s="45" t="n"/>
      <c r="G954" s="45" t="n"/>
      <c r="H954" s="49" t="n"/>
      <c r="I954" s="49" t="n"/>
      <c r="J954" s="52" t="n"/>
      <c r="K954" s="45" t="n"/>
      <c r="L954" s="49" t="n"/>
    </row>
    <row r="955">
      <c r="A955" s="43">
        <f>IF($B955="","",COUNT($B$5:$B955))</f>
        <v/>
      </c>
      <c r="B955" s="44" t="n"/>
      <c r="C955" s="47">
        <f>IF($B955="","",CHOOSE(WEEKDAY($B955),"일","월","화","수","목","금","토"))</f>
        <v/>
      </c>
      <c r="D955" s="45" t="n"/>
      <c r="E955" s="47">
        <f>IF($D955="","",IFERROR(INDEX(코드설정!$D$5:$D$24,MATCH($D955,코드설정!$C$5:$C$24,0)),""))</f>
        <v/>
      </c>
      <c r="F955" s="45" t="n"/>
      <c r="G955" s="45" t="n"/>
      <c r="H955" s="49" t="n"/>
      <c r="I955" s="49" t="n"/>
      <c r="J955" s="52" t="n"/>
      <c r="K955" s="45" t="n"/>
      <c r="L955" s="49" t="n"/>
    </row>
    <row r="956">
      <c r="A956" s="43">
        <f>IF($B956="","",COUNT($B$5:$B956))</f>
        <v/>
      </c>
      <c r="B956" s="44" t="n"/>
      <c r="C956" s="47">
        <f>IF($B956="","",CHOOSE(WEEKDAY($B956),"일","월","화","수","목","금","토"))</f>
        <v/>
      </c>
      <c r="D956" s="45" t="n"/>
      <c r="E956" s="47">
        <f>IF($D956="","",IFERROR(INDEX(코드설정!$D$5:$D$24,MATCH($D956,코드설정!$C$5:$C$24,0)),""))</f>
        <v/>
      </c>
      <c r="F956" s="45" t="n"/>
      <c r="G956" s="45" t="n"/>
      <c r="H956" s="49" t="n"/>
      <c r="I956" s="49" t="n"/>
      <c r="J956" s="52" t="n"/>
      <c r="K956" s="45" t="n"/>
      <c r="L956" s="49" t="n"/>
    </row>
    <row r="957">
      <c r="A957" s="43">
        <f>IF($B957="","",COUNT($B$5:$B957))</f>
        <v/>
      </c>
      <c r="B957" s="44" t="n"/>
      <c r="C957" s="47">
        <f>IF($B957="","",CHOOSE(WEEKDAY($B957),"일","월","화","수","목","금","토"))</f>
        <v/>
      </c>
      <c r="D957" s="45" t="n"/>
      <c r="E957" s="47">
        <f>IF($D957="","",IFERROR(INDEX(코드설정!$D$5:$D$24,MATCH($D957,코드설정!$C$5:$C$24,0)),""))</f>
        <v/>
      </c>
      <c r="F957" s="45" t="n"/>
      <c r="G957" s="45" t="n"/>
      <c r="H957" s="49" t="n"/>
      <c r="I957" s="49" t="n"/>
      <c r="J957" s="52" t="n"/>
      <c r="K957" s="45" t="n"/>
      <c r="L957" s="49" t="n"/>
    </row>
    <row r="958">
      <c r="A958" s="43">
        <f>IF($B958="","",COUNT($B$5:$B958))</f>
        <v/>
      </c>
      <c r="B958" s="44" t="n"/>
      <c r="C958" s="47">
        <f>IF($B958="","",CHOOSE(WEEKDAY($B958),"일","월","화","수","목","금","토"))</f>
        <v/>
      </c>
      <c r="D958" s="45" t="n"/>
      <c r="E958" s="47">
        <f>IF($D958="","",IFERROR(INDEX(코드설정!$D$5:$D$24,MATCH($D958,코드설정!$C$5:$C$24,0)),""))</f>
        <v/>
      </c>
      <c r="F958" s="45" t="n"/>
      <c r="G958" s="45" t="n"/>
      <c r="H958" s="49" t="n"/>
      <c r="I958" s="49" t="n"/>
      <c r="J958" s="52" t="n"/>
      <c r="K958" s="45" t="n"/>
      <c r="L958" s="49" t="n"/>
    </row>
    <row r="959">
      <c r="A959" s="43">
        <f>IF($B959="","",COUNT($B$5:$B959))</f>
        <v/>
      </c>
      <c r="B959" s="44" t="n"/>
      <c r="C959" s="47">
        <f>IF($B959="","",CHOOSE(WEEKDAY($B959),"일","월","화","수","목","금","토"))</f>
        <v/>
      </c>
      <c r="D959" s="45" t="n"/>
      <c r="E959" s="47">
        <f>IF($D959="","",IFERROR(INDEX(코드설정!$D$5:$D$24,MATCH($D959,코드설정!$C$5:$C$24,0)),""))</f>
        <v/>
      </c>
      <c r="F959" s="45" t="n"/>
      <c r="G959" s="45" t="n"/>
      <c r="H959" s="49" t="n"/>
      <c r="I959" s="49" t="n"/>
      <c r="J959" s="52" t="n"/>
      <c r="K959" s="45" t="n"/>
      <c r="L959" s="49" t="n"/>
    </row>
    <row r="960">
      <c r="A960" s="43">
        <f>IF($B960="","",COUNT($B$5:$B960))</f>
        <v/>
      </c>
      <c r="B960" s="44" t="n"/>
      <c r="C960" s="47">
        <f>IF($B960="","",CHOOSE(WEEKDAY($B960),"일","월","화","수","목","금","토"))</f>
        <v/>
      </c>
      <c r="D960" s="45" t="n"/>
      <c r="E960" s="47">
        <f>IF($D960="","",IFERROR(INDEX(코드설정!$D$5:$D$24,MATCH($D960,코드설정!$C$5:$C$24,0)),""))</f>
        <v/>
      </c>
      <c r="F960" s="45" t="n"/>
      <c r="G960" s="45" t="n"/>
      <c r="H960" s="49" t="n"/>
      <c r="I960" s="49" t="n"/>
      <c r="J960" s="52" t="n"/>
      <c r="K960" s="45" t="n"/>
      <c r="L960" s="49" t="n"/>
    </row>
    <row r="961">
      <c r="A961" s="43">
        <f>IF($B961="","",COUNT($B$5:$B961))</f>
        <v/>
      </c>
      <c r="B961" s="44" t="n"/>
      <c r="C961" s="47">
        <f>IF($B961="","",CHOOSE(WEEKDAY($B961),"일","월","화","수","목","금","토"))</f>
        <v/>
      </c>
      <c r="D961" s="45" t="n"/>
      <c r="E961" s="47">
        <f>IF($D961="","",IFERROR(INDEX(코드설정!$D$5:$D$24,MATCH($D961,코드설정!$C$5:$C$24,0)),""))</f>
        <v/>
      </c>
      <c r="F961" s="45" t="n"/>
      <c r="G961" s="45" t="n"/>
      <c r="H961" s="49" t="n"/>
      <c r="I961" s="49" t="n"/>
      <c r="J961" s="52" t="n"/>
      <c r="K961" s="45" t="n"/>
      <c r="L961" s="49" t="n"/>
    </row>
    <row r="962">
      <c r="A962" s="43">
        <f>IF($B962="","",COUNT($B$5:$B962))</f>
        <v/>
      </c>
      <c r="B962" s="44" t="n"/>
      <c r="C962" s="47">
        <f>IF($B962="","",CHOOSE(WEEKDAY($B962),"일","월","화","수","목","금","토"))</f>
        <v/>
      </c>
      <c r="D962" s="45" t="n"/>
      <c r="E962" s="47">
        <f>IF($D962="","",IFERROR(INDEX(코드설정!$D$5:$D$24,MATCH($D962,코드설정!$C$5:$C$24,0)),""))</f>
        <v/>
      </c>
      <c r="F962" s="45" t="n"/>
      <c r="G962" s="45" t="n"/>
      <c r="H962" s="49" t="n"/>
      <c r="I962" s="49" t="n"/>
      <c r="J962" s="52" t="n"/>
      <c r="K962" s="45" t="n"/>
      <c r="L962" s="49" t="n"/>
    </row>
    <row r="963">
      <c r="A963" s="43">
        <f>IF($B963="","",COUNT($B$5:$B963))</f>
        <v/>
      </c>
      <c r="B963" s="44" t="n"/>
      <c r="C963" s="47">
        <f>IF($B963="","",CHOOSE(WEEKDAY($B963),"일","월","화","수","목","금","토"))</f>
        <v/>
      </c>
      <c r="D963" s="45" t="n"/>
      <c r="E963" s="47">
        <f>IF($D963="","",IFERROR(INDEX(코드설정!$D$5:$D$24,MATCH($D963,코드설정!$C$5:$C$24,0)),""))</f>
        <v/>
      </c>
      <c r="F963" s="45" t="n"/>
      <c r="G963" s="45" t="n"/>
      <c r="H963" s="49" t="n"/>
      <c r="I963" s="49" t="n"/>
      <c r="J963" s="52" t="n"/>
      <c r="K963" s="45" t="n"/>
      <c r="L963" s="49" t="n"/>
    </row>
    <row r="964">
      <c r="A964" s="43">
        <f>IF($B964="","",COUNT($B$5:$B964))</f>
        <v/>
      </c>
      <c r="B964" s="44" t="n"/>
      <c r="C964" s="47">
        <f>IF($B964="","",CHOOSE(WEEKDAY($B964),"일","월","화","수","목","금","토"))</f>
        <v/>
      </c>
      <c r="D964" s="45" t="n"/>
      <c r="E964" s="47">
        <f>IF($D964="","",IFERROR(INDEX(코드설정!$D$5:$D$24,MATCH($D964,코드설정!$C$5:$C$24,0)),""))</f>
        <v/>
      </c>
      <c r="F964" s="45" t="n"/>
      <c r="G964" s="45" t="n"/>
      <c r="H964" s="49" t="n"/>
      <c r="I964" s="49" t="n"/>
      <c r="J964" s="52" t="n"/>
      <c r="K964" s="45" t="n"/>
      <c r="L964" s="49" t="n"/>
    </row>
    <row r="965">
      <c r="A965" s="43">
        <f>IF($B965="","",COUNT($B$5:$B965))</f>
        <v/>
      </c>
      <c r="B965" s="44" t="n"/>
      <c r="C965" s="47">
        <f>IF($B965="","",CHOOSE(WEEKDAY($B965),"일","월","화","수","목","금","토"))</f>
        <v/>
      </c>
      <c r="D965" s="45" t="n"/>
      <c r="E965" s="47">
        <f>IF($D965="","",IFERROR(INDEX(코드설정!$D$5:$D$24,MATCH($D965,코드설정!$C$5:$C$24,0)),""))</f>
        <v/>
      </c>
      <c r="F965" s="45" t="n"/>
      <c r="G965" s="45" t="n"/>
      <c r="H965" s="49" t="n"/>
      <c r="I965" s="49" t="n"/>
      <c r="J965" s="52" t="n"/>
      <c r="K965" s="45" t="n"/>
      <c r="L965" s="49" t="n"/>
    </row>
    <row r="966">
      <c r="A966" s="43">
        <f>IF($B966="","",COUNT($B$5:$B966))</f>
        <v/>
      </c>
      <c r="B966" s="44" t="n"/>
      <c r="C966" s="47">
        <f>IF($B966="","",CHOOSE(WEEKDAY($B966),"일","월","화","수","목","금","토"))</f>
        <v/>
      </c>
      <c r="D966" s="45" t="n"/>
      <c r="E966" s="47">
        <f>IF($D966="","",IFERROR(INDEX(코드설정!$D$5:$D$24,MATCH($D966,코드설정!$C$5:$C$24,0)),""))</f>
        <v/>
      </c>
      <c r="F966" s="45" t="n"/>
      <c r="G966" s="45" t="n"/>
      <c r="H966" s="49" t="n"/>
      <c r="I966" s="49" t="n"/>
      <c r="J966" s="52" t="n"/>
      <c r="K966" s="45" t="n"/>
      <c r="L966" s="49" t="n"/>
    </row>
    <row r="967">
      <c r="A967" s="43">
        <f>IF($B967="","",COUNT($B$5:$B967))</f>
        <v/>
      </c>
      <c r="B967" s="44" t="n"/>
      <c r="C967" s="47">
        <f>IF($B967="","",CHOOSE(WEEKDAY($B967),"일","월","화","수","목","금","토"))</f>
        <v/>
      </c>
      <c r="D967" s="45" t="n"/>
      <c r="E967" s="47">
        <f>IF($D967="","",IFERROR(INDEX(코드설정!$D$5:$D$24,MATCH($D967,코드설정!$C$5:$C$24,0)),""))</f>
        <v/>
      </c>
      <c r="F967" s="45" t="n"/>
      <c r="G967" s="45" t="n"/>
      <c r="H967" s="49" t="n"/>
      <c r="I967" s="49" t="n"/>
      <c r="J967" s="52" t="n"/>
      <c r="K967" s="45" t="n"/>
      <c r="L967" s="49" t="n"/>
    </row>
    <row r="968">
      <c r="A968" s="43">
        <f>IF($B968="","",COUNT($B$5:$B968))</f>
        <v/>
      </c>
      <c r="B968" s="44" t="n"/>
      <c r="C968" s="47">
        <f>IF($B968="","",CHOOSE(WEEKDAY($B968),"일","월","화","수","목","금","토"))</f>
        <v/>
      </c>
      <c r="D968" s="45" t="n"/>
      <c r="E968" s="47">
        <f>IF($D968="","",IFERROR(INDEX(코드설정!$D$5:$D$24,MATCH($D968,코드설정!$C$5:$C$24,0)),""))</f>
        <v/>
      </c>
      <c r="F968" s="45" t="n"/>
      <c r="G968" s="45" t="n"/>
      <c r="H968" s="49" t="n"/>
      <c r="I968" s="49" t="n"/>
      <c r="J968" s="52" t="n"/>
      <c r="K968" s="45" t="n"/>
      <c r="L968" s="49" t="n"/>
    </row>
    <row r="969">
      <c r="A969" s="43">
        <f>IF($B969="","",COUNT($B$5:$B969))</f>
        <v/>
      </c>
      <c r="B969" s="44" t="n"/>
      <c r="C969" s="47">
        <f>IF($B969="","",CHOOSE(WEEKDAY($B969),"일","월","화","수","목","금","토"))</f>
        <v/>
      </c>
      <c r="D969" s="45" t="n"/>
      <c r="E969" s="47">
        <f>IF($D969="","",IFERROR(INDEX(코드설정!$D$5:$D$24,MATCH($D969,코드설정!$C$5:$C$24,0)),""))</f>
        <v/>
      </c>
      <c r="F969" s="45" t="n"/>
      <c r="G969" s="45" t="n"/>
      <c r="H969" s="49" t="n"/>
      <c r="I969" s="49" t="n"/>
      <c r="J969" s="52" t="n"/>
      <c r="K969" s="45" t="n"/>
      <c r="L969" s="49" t="n"/>
    </row>
    <row r="970">
      <c r="A970" s="43">
        <f>IF($B970="","",COUNT($B$5:$B970))</f>
        <v/>
      </c>
      <c r="B970" s="44" t="n"/>
      <c r="C970" s="47">
        <f>IF($B970="","",CHOOSE(WEEKDAY($B970),"일","월","화","수","목","금","토"))</f>
        <v/>
      </c>
      <c r="D970" s="45" t="n"/>
      <c r="E970" s="47">
        <f>IF($D970="","",IFERROR(INDEX(코드설정!$D$5:$D$24,MATCH($D970,코드설정!$C$5:$C$24,0)),""))</f>
        <v/>
      </c>
      <c r="F970" s="45" t="n"/>
      <c r="G970" s="45" t="n"/>
      <c r="H970" s="49" t="n"/>
      <c r="I970" s="49" t="n"/>
      <c r="J970" s="52" t="n"/>
      <c r="K970" s="45" t="n"/>
      <c r="L970" s="49" t="n"/>
    </row>
    <row r="971">
      <c r="A971" s="43">
        <f>IF($B971="","",COUNT($B$5:$B971))</f>
        <v/>
      </c>
      <c r="B971" s="44" t="n"/>
      <c r="C971" s="47">
        <f>IF($B971="","",CHOOSE(WEEKDAY($B971),"일","월","화","수","목","금","토"))</f>
        <v/>
      </c>
      <c r="D971" s="45" t="n"/>
      <c r="E971" s="47">
        <f>IF($D971="","",IFERROR(INDEX(코드설정!$D$5:$D$24,MATCH($D971,코드설정!$C$5:$C$24,0)),""))</f>
        <v/>
      </c>
      <c r="F971" s="45" t="n"/>
      <c r="G971" s="45" t="n"/>
      <c r="H971" s="49" t="n"/>
      <c r="I971" s="49" t="n"/>
      <c r="J971" s="52" t="n"/>
      <c r="K971" s="45" t="n"/>
      <c r="L971" s="49" t="n"/>
    </row>
    <row r="972">
      <c r="A972" s="43">
        <f>IF($B972="","",COUNT($B$5:$B972))</f>
        <v/>
      </c>
      <c r="B972" s="44" t="n"/>
      <c r="C972" s="47">
        <f>IF($B972="","",CHOOSE(WEEKDAY($B972),"일","월","화","수","목","금","토"))</f>
        <v/>
      </c>
      <c r="D972" s="45" t="n"/>
      <c r="E972" s="47">
        <f>IF($D972="","",IFERROR(INDEX(코드설정!$D$5:$D$24,MATCH($D972,코드설정!$C$5:$C$24,0)),""))</f>
        <v/>
      </c>
      <c r="F972" s="45" t="n"/>
      <c r="G972" s="45" t="n"/>
      <c r="H972" s="49" t="n"/>
      <c r="I972" s="49" t="n"/>
      <c r="J972" s="52" t="n"/>
      <c r="K972" s="45" t="n"/>
      <c r="L972" s="49" t="n"/>
    </row>
    <row r="973">
      <c r="A973" s="43">
        <f>IF($B973="","",COUNT($B$5:$B973))</f>
        <v/>
      </c>
      <c r="B973" s="44" t="n"/>
      <c r="C973" s="47">
        <f>IF($B973="","",CHOOSE(WEEKDAY($B973),"일","월","화","수","목","금","토"))</f>
        <v/>
      </c>
      <c r="D973" s="45" t="n"/>
      <c r="E973" s="47">
        <f>IF($D973="","",IFERROR(INDEX(코드설정!$D$5:$D$24,MATCH($D973,코드설정!$C$5:$C$24,0)),""))</f>
        <v/>
      </c>
      <c r="F973" s="45" t="n"/>
      <c r="G973" s="45" t="n"/>
      <c r="H973" s="49" t="n"/>
      <c r="I973" s="49" t="n"/>
      <c r="J973" s="52" t="n"/>
      <c r="K973" s="45" t="n"/>
      <c r="L973" s="49" t="n"/>
    </row>
    <row r="974">
      <c r="A974" s="43">
        <f>IF($B974="","",COUNT($B$5:$B974))</f>
        <v/>
      </c>
      <c r="B974" s="44" t="n"/>
      <c r="C974" s="47">
        <f>IF($B974="","",CHOOSE(WEEKDAY($B974),"일","월","화","수","목","금","토"))</f>
        <v/>
      </c>
      <c r="D974" s="45" t="n"/>
      <c r="E974" s="47">
        <f>IF($D974="","",IFERROR(INDEX(코드설정!$D$5:$D$24,MATCH($D974,코드설정!$C$5:$C$24,0)),""))</f>
        <v/>
      </c>
      <c r="F974" s="45" t="n"/>
      <c r="G974" s="45" t="n"/>
      <c r="H974" s="49" t="n"/>
      <c r="I974" s="49" t="n"/>
      <c r="J974" s="52" t="n"/>
      <c r="K974" s="45" t="n"/>
      <c r="L974" s="49" t="n"/>
    </row>
    <row r="975">
      <c r="A975" s="43">
        <f>IF($B975="","",COUNT($B$5:$B975))</f>
        <v/>
      </c>
      <c r="B975" s="44" t="n"/>
      <c r="C975" s="47">
        <f>IF($B975="","",CHOOSE(WEEKDAY($B975),"일","월","화","수","목","금","토"))</f>
        <v/>
      </c>
      <c r="D975" s="45" t="n"/>
      <c r="E975" s="47">
        <f>IF($D975="","",IFERROR(INDEX(코드설정!$D$5:$D$24,MATCH($D975,코드설정!$C$5:$C$24,0)),""))</f>
        <v/>
      </c>
      <c r="F975" s="45" t="n"/>
      <c r="G975" s="45" t="n"/>
      <c r="H975" s="49" t="n"/>
      <c r="I975" s="49" t="n"/>
      <c r="J975" s="52" t="n"/>
      <c r="K975" s="45" t="n"/>
      <c r="L975" s="49" t="n"/>
    </row>
    <row r="976">
      <c r="A976" s="43">
        <f>IF($B976="","",COUNT($B$5:$B976))</f>
        <v/>
      </c>
      <c r="B976" s="44" t="n"/>
      <c r="C976" s="47">
        <f>IF($B976="","",CHOOSE(WEEKDAY($B976),"일","월","화","수","목","금","토"))</f>
        <v/>
      </c>
      <c r="D976" s="45" t="n"/>
      <c r="E976" s="47">
        <f>IF($D976="","",IFERROR(INDEX(코드설정!$D$5:$D$24,MATCH($D976,코드설정!$C$5:$C$24,0)),""))</f>
        <v/>
      </c>
      <c r="F976" s="45" t="n"/>
      <c r="G976" s="45" t="n"/>
      <c r="H976" s="49" t="n"/>
      <c r="I976" s="49" t="n"/>
      <c r="J976" s="52" t="n"/>
      <c r="K976" s="45" t="n"/>
      <c r="L976" s="49" t="n"/>
    </row>
    <row r="977">
      <c r="A977" s="43">
        <f>IF($B977="","",COUNT($B$5:$B977))</f>
        <v/>
      </c>
      <c r="B977" s="44" t="n"/>
      <c r="C977" s="47">
        <f>IF($B977="","",CHOOSE(WEEKDAY($B977),"일","월","화","수","목","금","토"))</f>
        <v/>
      </c>
      <c r="D977" s="45" t="n"/>
      <c r="E977" s="47">
        <f>IF($D977="","",IFERROR(INDEX(코드설정!$D$5:$D$24,MATCH($D977,코드설정!$C$5:$C$24,0)),""))</f>
        <v/>
      </c>
      <c r="F977" s="45" t="n"/>
      <c r="G977" s="45" t="n"/>
      <c r="H977" s="49" t="n"/>
      <c r="I977" s="49" t="n"/>
      <c r="J977" s="52" t="n"/>
      <c r="K977" s="45" t="n"/>
      <c r="L977" s="49" t="n"/>
    </row>
    <row r="978">
      <c r="A978" s="43">
        <f>IF($B978="","",COUNT($B$5:$B978))</f>
        <v/>
      </c>
      <c r="B978" s="44" t="n"/>
      <c r="C978" s="47">
        <f>IF($B978="","",CHOOSE(WEEKDAY($B978),"일","월","화","수","목","금","토"))</f>
        <v/>
      </c>
      <c r="D978" s="45" t="n"/>
      <c r="E978" s="47">
        <f>IF($D978="","",IFERROR(INDEX(코드설정!$D$5:$D$24,MATCH($D978,코드설정!$C$5:$C$24,0)),""))</f>
        <v/>
      </c>
      <c r="F978" s="45" t="n"/>
      <c r="G978" s="45" t="n"/>
      <c r="H978" s="49" t="n"/>
      <c r="I978" s="49" t="n"/>
      <c r="J978" s="52" t="n"/>
      <c r="K978" s="45" t="n"/>
      <c r="L978" s="49" t="n"/>
    </row>
    <row r="979">
      <c r="A979" s="43">
        <f>IF($B979="","",COUNT($B$5:$B979))</f>
        <v/>
      </c>
      <c r="B979" s="44" t="n"/>
      <c r="C979" s="47">
        <f>IF($B979="","",CHOOSE(WEEKDAY($B979),"일","월","화","수","목","금","토"))</f>
        <v/>
      </c>
      <c r="D979" s="45" t="n"/>
      <c r="E979" s="47">
        <f>IF($D979="","",IFERROR(INDEX(코드설정!$D$5:$D$24,MATCH($D979,코드설정!$C$5:$C$24,0)),""))</f>
        <v/>
      </c>
      <c r="F979" s="45" t="n"/>
      <c r="G979" s="45" t="n"/>
      <c r="H979" s="49" t="n"/>
      <c r="I979" s="49" t="n"/>
      <c r="J979" s="52" t="n"/>
      <c r="K979" s="45" t="n"/>
      <c r="L979" s="49" t="n"/>
    </row>
    <row r="980">
      <c r="A980" s="43">
        <f>IF($B980="","",COUNT($B$5:$B980))</f>
        <v/>
      </c>
      <c r="B980" s="44" t="n"/>
      <c r="C980" s="47">
        <f>IF($B980="","",CHOOSE(WEEKDAY($B980),"일","월","화","수","목","금","토"))</f>
        <v/>
      </c>
      <c r="D980" s="45" t="n"/>
      <c r="E980" s="47">
        <f>IF($D980="","",IFERROR(INDEX(코드설정!$D$5:$D$24,MATCH($D980,코드설정!$C$5:$C$24,0)),""))</f>
        <v/>
      </c>
      <c r="F980" s="45" t="n"/>
      <c r="G980" s="45" t="n"/>
      <c r="H980" s="49" t="n"/>
      <c r="I980" s="49" t="n"/>
      <c r="J980" s="52" t="n"/>
      <c r="K980" s="45" t="n"/>
      <c r="L980" s="49" t="n"/>
    </row>
    <row r="981">
      <c r="A981" s="43">
        <f>IF($B981="","",COUNT($B$5:$B981))</f>
        <v/>
      </c>
      <c r="B981" s="44" t="n"/>
      <c r="C981" s="47">
        <f>IF($B981="","",CHOOSE(WEEKDAY($B981),"일","월","화","수","목","금","토"))</f>
        <v/>
      </c>
      <c r="D981" s="45" t="n"/>
      <c r="E981" s="47">
        <f>IF($D981="","",IFERROR(INDEX(코드설정!$D$5:$D$24,MATCH($D981,코드설정!$C$5:$C$24,0)),""))</f>
        <v/>
      </c>
      <c r="F981" s="45" t="n"/>
      <c r="G981" s="45" t="n"/>
      <c r="H981" s="49" t="n"/>
      <c r="I981" s="49" t="n"/>
      <c r="J981" s="52" t="n"/>
      <c r="K981" s="45" t="n"/>
      <c r="L981" s="49" t="n"/>
    </row>
    <row r="982">
      <c r="A982" s="43">
        <f>IF($B982="","",COUNT($B$5:$B982))</f>
        <v/>
      </c>
      <c r="B982" s="44" t="n"/>
      <c r="C982" s="47">
        <f>IF($B982="","",CHOOSE(WEEKDAY($B982),"일","월","화","수","목","금","토"))</f>
        <v/>
      </c>
      <c r="D982" s="45" t="n"/>
      <c r="E982" s="47">
        <f>IF($D982="","",IFERROR(INDEX(코드설정!$D$5:$D$24,MATCH($D982,코드설정!$C$5:$C$24,0)),""))</f>
        <v/>
      </c>
      <c r="F982" s="45" t="n"/>
      <c r="G982" s="45" t="n"/>
      <c r="H982" s="49" t="n"/>
      <c r="I982" s="49" t="n"/>
      <c r="J982" s="52" t="n"/>
      <c r="K982" s="45" t="n"/>
      <c r="L982" s="49" t="n"/>
    </row>
    <row r="983">
      <c r="A983" s="43">
        <f>IF($B983="","",COUNT($B$5:$B983))</f>
        <v/>
      </c>
      <c r="B983" s="44" t="n"/>
      <c r="C983" s="47">
        <f>IF($B983="","",CHOOSE(WEEKDAY($B983),"일","월","화","수","목","금","토"))</f>
        <v/>
      </c>
      <c r="D983" s="45" t="n"/>
      <c r="E983" s="47">
        <f>IF($D983="","",IFERROR(INDEX(코드설정!$D$5:$D$24,MATCH($D983,코드설정!$C$5:$C$24,0)),""))</f>
        <v/>
      </c>
      <c r="F983" s="45" t="n"/>
      <c r="G983" s="45" t="n"/>
      <c r="H983" s="49" t="n"/>
      <c r="I983" s="49" t="n"/>
      <c r="J983" s="52" t="n"/>
      <c r="K983" s="45" t="n"/>
      <c r="L983" s="49" t="n"/>
    </row>
    <row r="984">
      <c r="A984" s="43">
        <f>IF($B984="","",COUNT($B$5:$B984))</f>
        <v/>
      </c>
      <c r="B984" s="44" t="n"/>
      <c r="C984" s="47">
        <f>IF($B984="","",CHOOSE(WEEKDAY($B984),"일","월","화","수","목","금","토"))</f>
        <v/>
      </c>
      <c r="D984" s="45" t="n"/>
      <c r="E984" s="47">
        <f>IF($D984="","",IFERROR(INDEX(코드설정!$D$5:$D$24,MATCH($D984,코드설정!$C$5:$C$24,0)),""))</f>
        <v/>
      </c>
      <c r="F984" s="45" t="n"/>
      <c r="G984" s="45" t="n"/>
      <c r="H984" s="49" t="n"/>
      <c r="I984" s="49" t="n"/>
      <c r="J984" s="52" t="n"/>
      <c r="K984" s="45" t="n"/>
      <c r="L984" s="49" t="n"/>
    </row>
    <row r="985">
      <c r="A985" s="43">
        <f>IF($B985="","",COUNT($B$5:$B985))</f>
        <v/>
      </c>
      <c r="B985" s="44" t="n"/>
      <c r="C985" s="47">
        <f>IF($B985="","",CHOOSE(WEEKDAY($B985),"일","월","화","수","목","금","토"))</f>
        <v/>
      </c>
      <c r="D985" s="45" t="n"/>
      <c r="E985" s="47">
        <f>IF($D985="","",IFERROR(INDEX(코드설정!$D$5:$D$24,MATCH($D985,코드설정!$C$5:$C$24,0)),""))</f>
        <v/>
      </c>
      <c r="F985" s="45" t="n"/>
      <c r="G985" s="45" t="n"/>
      <c r="H985" s="49" t="n"/>
      <c r="I985" s="49" t="n"/>
      <c r="J985" s="52" t="n"/>
      <c r="K985" s="45" t="n"/>
      <c r="L985" s="49" t="n"/>
    </row>
    <row r="986">
      <c r="A986" s="43">
        <f>IF($B986="","",COUNT($B$5:$B986))</f>
        <v/>
      </c>
      <c r="B986" s="44" t="n"/>
      <c r="C986" s="47">
        <f>IF($B986="","",CHOOSE(WEEKDAY($B986),"일","월","화","수","목","금","토"))</f>
        <v/>
      </c>
      <c r="D986" s="45" t="n"/>
      <c r="E986" s="47">
        <f>IF($D986="","",IFERROR(INDEX(코드설정!$D$5:$D$24,MATCH($D986,코드설정!$C$5:$C$24,0)),""))</f>
        <v/>
      </c>
      <c r="F986" s="45" t="n"/>
      <c r="G986" s="45" t="n"/>
      <c r="H986" s="49" t="n"/>
      <c r="I986" s="49" t="n"/>
      <c r="J986" s="52" t="n"/>
      <c r="K986" s="45" t="n"/>
      <c r="L986" s="49" t="n"/>
    </row>
    <row r="987">
      <c r="A987" s="43">
        <f>IF($B987="","",COUNT($B$5:$B987))</f>
        <v/>
      </c>
      <c r="B987" s="44" t="n"/>
      <c r="C987" s="47">
        <f>IF($B987="","",CHOOSE(WEEKDAY($B987),"일","월","화","수","목","금","토"))</f>
        <v/>
      </c>
      <c r="D987" s="45" t="n"/>
      <c r="E987" s="47">
        <f>IF($D987="","",IFERROR(INDEX(코드설정!$D$5:$D$24,MATCH($D987,코드설정!$C$5:$C$24,0)),""))</f>
        <v/>
      </c>
      <c r="F987" s="45" t="n"/>
      <c r="G987" s="45" t="n"/>
      <c r="H987" s="49" t="n"/>
      <c r="I987" s="49" t="n"/>
      <c r="J987" s="52" t="n"/>
      <c r="K987" s="45" t="n"/>
      <c r="L987" s="49" t="n"/>
    </row>
    <row r="988">
      <c r="A988" s="43">
        <f>IF($B988="","",COUNT($B$5:$B988))</f>
        <v/>
      </c>
      <c r="B988" s="44" t="n"/>
      <c r="C988" s="47">
        <f>IF($B988="","",CHOOSE(WEEKDAY($B988),"일","월","화","수","목","금","토"))</f>
        <v/>
      </c>
      <c r="D988" s="45" t="n"/>
      <c r="E988" s="47">
        <f>IF($D988="","",IFERROR(INDEX(코드설정!$D$5:$D$24,MATCH($D988,코드설정!$C$5:$C$24,0)),""))</f>
        <v/>
      </c>
      <c r="F988" s="45" t="n"/>
      <c r="G988" s="45" t="n"/>
      <c r="H988" s="49" t="n"/>
      <c r="I988" s="49" t="n"/>
      <c r="J988" s="52" t="n"/>
      <c r="K988" s="45" t="n"/>
      <c r="L988" s="49" t="n"/>
    </row>
    <row r="989">
      <c r="A989" s="43">
        <f>IF($B989="","",COUNT($B$5:$B989))</f>
        <v/>
      </c>
      <c r="B989" s="44" t="n"/>
      <c r="C989" s="47">
        <f>IF($B989="","",CHOOSE(WEEKDAY($B989),"일","월","화","수","목","금","토"))</f>
        <v/>
      </c>
      <c r="D989" s="45" t="n"/>
      <c r="E989" s="47">
        <f>IF($D989="","",IFERROR(INDEX(코드설정!$D$5:$D$24,MATCH($D989,코드설정!$C$5:$C$24,0)),""))</f>
        <v/>
      </c>
      <c r="F989" s="45" t="n"/>
      <c r="G989" s="45" t="n"/>
      <c r="H989" s="49" t="n"/>
      <c r="I989" s="49" t="n"/>
      <c r="J989" s="52" t="n"/>
      <c r="K989" s="45" t="n"/>
      <c r="L989" s="49" t="n"/>
    </row>
    <row r="990">
      <c r="A990" s="43">
        <f>IF($B990="","",COUNT($B$5:$B990))</f>
        <v/>
      </c>
      <c r="B990" s="44" t="n"/>
      <c r="C990" s="47">
        <f>IF($B990="","",CHOOSE(WEEKDAY($B990),"일","월","화","수","목","금","토"))</f>
        <v/>
      </c>
      <c r="D990" s="45" t="n"/>
      <c r="E990" s="47">
        <f>IF($D990="","",IFERROR(INDEX(코드설정!$D$5:$D$24,MATCH($D990,코드설정!$C$5:$C$24,0)),""))</f>
        <v/>
      </c>
      <c r="F990" s="45" t="n"/>
      <c r="G990" s="45" t="n"/>
      <c r="H990" s="49" t="n"/>
      <c r="I990" s="49" t="n"/>
      <c r="J990" s="52" t="n"/>
      <c r="K990" s="45" t="n"/>
      <c r="L990" s="49" t="n"/>
    </row>
    <row r="991">
      <c r="A991" s="43">
        <f>IF($B991="","",COUNT($B$5:$B991))</f>
        <v/>
      </c>
      <c r="B991" s="44" t="n"/>
      <c r="C991" s="47">
        <f>IF($B991="","",CHOOSE(WEEKDAY($B991),"일","월","화","수","목","금","토"))</f>
        <v/>
      </c>
      <c r="D991" s="45" t="n"/>
      <c r="E991" s="47">
        <f>IF($D991="","",IFERROR(INDEX(코드설정!$D$5:$D$24,MATCH($D991,코드설정!$C$5:$C$24,0)),""))</f>
        <v/>
      </c>
      <c r="F991" s="45" t="n"/>
      <c r="G991" s="45" t="n"/>
      <c r="H991" s="49" t="n"/>
      <c r="I991" s="49" t="n"/>
      <c r="J991" s="52" t="n"/>
      <c r="K991" s="45" t="n"/>
      <c r="L991" s="49" t="n"/>
    </row>
    <row r="992">
      <c r="A992" s="43">
        <f>IF($B992="","",COUNT($B$5:$B992))</f>
        <v/>
      </c>
      <c r="B992" s="44" t="n"/>
      <c r="C992" s="47">
        <f>IF($B992="","",CHOOSE(WEEKDAY($B992),"일","월","화","수","목","금","토"))</f>
        <v/>
      </c>
      <c r="D992" s="45" t="n"/>
      <c r="E992" s="47">
        <f>IF($D992="","",IFERROR(INDEX(코드설정!$D$5:$D$24,MATCH($D992,코드설정!$C$5:$C$24,0)),""))</f>
        <v/>
      </c>
      <c r="F992" s="45" t="n"/>
      <c r="G992" s="45" t="n"/>
      <c r="H992" s="49" t="n"/>
      <c r="I992" s="49" t="n"/>
      <c r="J992" s="52" t="n"/>
      <c r="K992" s="45" t="n"/>
      <c r="L992" s="49" t="n"/>
    </row>
    <row r="993">
      <c r="A993" s="43">
        <f>IF($B993="","",COUNT($B$5:$B993))</f>
        <v/>
      </c>
      <c r="B993" s="44" t="n"/>
      <c r="C993" s="47">
        <f>IF($B993="","",CHOOSE(WEEKDAY($B993),"일","월","화","수","목","금","토"))</f>
        <v/>
      </c>
      <c r="D993" s="45" t="n"/>
      <c r="E993" s="47">
        <f>IF($D993="","",IFERROR(INDEX(코드설정!$D$5:$D$24,MATCH($D993,코드설정!$C$5:$C$24,0)),""))</f>
        <v/>
      </c>
      <c r="F993" s="45" t="n"/>
      <c r="G993" s="45" t="n"/>
      <c r="H993" s="49" t="n"/>
      <c r="I993" s="49" t="n"/>
      <c r="J993" s="52" t="n"/>
      <c r="K993" s="45" t="n"/>
      <c r="L993" s="49" t="n"/>
    </row>
    <row r="994">
      <c r="A994" s="43">
        <f>IF($B994="","",COUNT($B$5:$B994))</f>
        <v/>
      </c>
      <c r="B994" s="44" t="n"/>
      <c r="C994" s="47">
        <f>IF($B994="","",CHOOSE(WEEKDAY($B994),"일","월","화","수","목","금","토"))</f>
        <v/>
      </c>
      <c r="D994" s="45" t="n"/>
      <c r="E994" s="47">
        <f>IF($D994="","",IFERROR(INDEX(코드설정!$D$5:$D$24,MATCH($D994,코드설정!$C$5:$C$24,0)),""))</f>
        <v/>
      </c>
      <c r="F994" s="45" t="n"/>
      <c r="G994" s="45" t="n"/>
      <c r="H994" s="49" t="n"/>
      <c r="I994" s="49" t="n"/>
      <c r="J994" s="52" t="n"/>
      <c r="K994" s="45" t="n"/>
      <c r="L994" s="49" t="n"/>
    </row>
    <row r="995">
      <c r="A995" s="43">
        <f>IF($B995="","",COUNT($B$5:$B995))</f>
        <v/>
      </c>
      <c r="B995" s="44" t="n"/>
      <c r="C995" s="47">
        <f>IF($B995="","",CHOOSE(WEEKDAY($B995),"일","월","화","수","목","금","토"))</f>
        <v/>
      </c>
      <c r="D995" s="45" t="n"/>
      <c r="E995" s="47">
        <f>IF($D995="","",IFERROR(INDEX(코드설정!$D$5:$D$24,MATCH($D995,코드설정!$C$5:$C$24,0)),""))</f>
        <v/>
      </c>
      <c r="F995" s="45" t="n"/>
      <c r="G995" s="45" t="n"/>
      <c r="H995" s="49" t="n"/>
      <c r="I995" s="49" t="n"/>
      <c r="J995" s="52" t="n"/>
      <c r="K995" s="45" t="n"/>
      <c r="L995" s="49" t="n"/>
    </row>
    <row r="996">
      <c r="A996" s="43">
        <f>IF($B996="","",COUNT($B$5:$B996))</f>
        <v/>
      </c>
      <c r="B996" s="44" t="n"/>
      <c r="C996" s="47">
        <f>IF($B996="","",CHOOSE(WEEKDAY($B996),"일","월","화","수","목","금","토"))</f>
        <v/>
      </c>
      <c r="D996" s="45" t="n"/>
      <c r="E996" s="47">
        <f>IF($D996="","",IFERROR(INDEX(코드설정!$D$5:$D$24,MATCH($D996,코드설정!$C$5:$C$24,0)),""))</f>
        <v/>
      </c>
      <c r="F996" s="45" t="n"/>
      <c r="G996" s="45" t="n"/>
      <c r="H996" s="49" t="n"/>
      <c r="I996" s="49" t="n"/>
      <c r="J996" s="52" t="n"/>
      <c r="K996" s="45" t="n"/>
      <c r="L996" s="49" t="n"/>
    </row>
    <row r="997">
      <c r="A997" s="43">
        <f>IF($B997="","",COUNT($B$5:$B997))</f>
        <v/>
      </c>
      <c r="B997" s="44" t="n"/>
      <c r="C997" s="47">
        <f>IF($B997="","",CHOOSE(WEEKDAY($B997),"일","월","화","수","목","금","토"))</f>
        <v/>
      </c>
      <c r="D997" s="45" t="n"/>
      <c r="E997" s="47">
        <f>IF($D997="","",IFERROR(INDEX(코드설정!$D$5:$D$24,MATCH($D997,코드설정!$C$5:$C$24,0)),""))</f>
        <v/>
      </c>
      <c r="F997" s="45" t="n"/>
      <c r="G997" s="45" t="n"/>
      <c r="H997" s="49" t="n"/>
      <c r="I997" s="49" t="n"/>
      <c r="J997" s="52" t="n"/>
      <c r="K997" s="45" t="n"/>
      <c r="L997" s="49" t="n"/>
    </row>
    <row r="998">
      <c r="A998" s="43">
        <f>IF($B998="","",COUNT($B$5:$B998))</f>
        <v/>
      </c>
      <c r="B998" s="44" t="n"/>
      <c r="C998" s="47">
        <f>IF($B998="","",CHOOSE(WEEKDAY($B998),"일","월","화","수","목","금","토"))</f>
        <v/>
      </c>
      <c r="D998" s="45" t="n"/>
      <c r="E998" s="47">
        <f>IF($D998="","",IFERROR(INDEX(코드설정!$D$5:$D$24,MATCH($D998,코드설정!$C$5:$C$24,0)),""))</f>
        <v/>
      </c>
      <c r="F998" s="45" t="n"/>
      <c r="G998" s="45" t="n"/>
      <c r="H998" s="49" t="n"/>
      <c r="I998" s="49" t="n"/>
      <c r="J998" s="52" t="n"/>
      <c r="K998" s="45" t="n"/>
      <c r="L998" s="49" t="n"/>
    </row>
    <row r="999">
      <c r="A999" s="43">
        <f>IF($B999="","",COUNT($B$5:$B999))</f>
        <v/>
      </c>
      <c r="B999" s="44" t="n"/>
      <c r="C999" s="47">
        <f>IF($B999="","",CHOOSE(WEEKDAY($B999),"일","월","화","수","목","금","토"))</f>
        <v/>
      </c>
      <c r="D999" s="45" t="n"/>
      <c r="E999" s="47">
        <f>IF($D999="","",IFERROR(INDEX(코드설정!$D$5:$D$24,MATCH($D999,코드설정!$C$5:$C$24,0)),""))</f>
        <v/>
      </c>
      <c r="F999" s="45" t="n"/>
      <c r="G999" s="45" t="n"/>
      <c r="H999" s="49" t="n"/>
      <c r="I999" s="49" t="n"/>
      <c r="J999" s="52" t="n"/>
      <c r="K999" s="45" t="n"/>
      <c r="L999" s="49" t="n"/>
    </row>
    <row r="1000">
      <c r="A1000" s="43">
        <f>IF($B1000="","",COUNT($B$5:$B1000))</f>
        <v/>
      </c>
      <c r="B1000" s="44" t="n"/>
      <c r="C1000" s="47">
        <f>IF($B1000="","",CHOOSE(WEEKDAY($B1000),"일","월","화","수","목","금","토"))</f>
        <v/>
      </c>
      <c r="D1000" s="45" t="n"/>
      <c r="E1000" s="47">
        <f>IF($D1000="","",IFERROR(INDEX(코드설정!$D$5:$D$24,MATCH($D1000,코드설정!$C$5:$C$24,0)),""))</f>
        <v/>
      </c>
      <c r="F1000" s="45" t="n"/>
      <c r="G1000" s="45" t="n"/>
      <c r="H1000" s="49" t="n"/>
      <c r="I1000" s="49" t="n"/>
      <c r="J1000" s="52" t="n"/>
      <c r="K1000" s="45" t="n"/>
      <c r="L1000" s="49" t="n"/>
    </row>
    <row r="1001">
      <c r="A1001" s="43">
        <f>IF($B1001="","",COUNT($B$5:$B1001))</f>
        <v/>
      </c>
      <c r="B1001" s="44" t="n"/>
      <c r="C1001" s="47">
        <f>IF($B1001="","",CHOOSE(WEEKDAY($B1001),"일","월","화","수","목","금","토"))</f>
        <v/>
      </c>
      <c r="D1001" s="45" t="n"/>
      <c r="E1001" s="47">
        <f>IF($D1001="","",IFERROR(INDEX(코드설정!$D$5:$D$24,MATCH($D1001,코드설정!$C$5:$C$24,0)),""))</f>
        <v/>
      </c>
      <c r="F1001" s="45" t="n"/>
      <c r="G1001" s="45" t="n"/>
      <c r="H1001" s="49" t="n"/>
      <c r="I1001" s="49" t="n"/>
      <c r="J1001" s="52" t="n"/>
      <c r="K1001" s="45" t="n"/>
      <c r="L1001" s="49" t="n"/>
    </row>
    <row r="1002">
      <c r="A1002" s="43">
        <f>IF($B1002="","",COUNT($B$5:$B1002))</f>
        <v/>
      </c>
      <c r="B1002" s="44" t="n"/>
      <c r="C1002" s="47">
        <f>IF($B1002="","",CHOOSE(WEEKDAY($B1002),"일","월","화","수","목","금","토"))</f>
        <v/>
      </c>
      <c r="D1002" s="45" t="n"/>
      <c r="E1002" s="47">
        <f>IF($D1002="","",IFERROR(INDEX(코드설정!$D$5:$D$24,MATCH($D1002,코드설정!$C$5:$C$24,0)),""))</f>
        <v/>
      </c>
      <c r="F1002" s="45" t="n"/>
      <c r="G1002" s="45" t="n"/>
      <c r="H1002" s="49" t="n"/>
      <c r="I1002" s="49" t="n"/>
      <c r="J1002" s="52" t="n"/>
      <c r="K1002" s="45" t="n"/>
      <c r="L1002" s="49" t="n"/>
    </row>
    <row r="1003">
      <c r="A1003" s="43">
        <f>IF($B1003="","",COUNT($B$5:$B1003))</f>
        <v/>
      </c>
      <c r="B1003" s="44" t="n"/>
      <c r="C1003" s="47">
        <f>IF($B1003="","",CHOOSE(WEEKDAY($B1003),"일","월","화","수","목","금","토"))</f>
        <v/>
      </c>
      <c r="D1003" s="45" t="n"/>
      <c r="E1003" s="47">
        <f>IF($D1003="","",IFERROR(INDEX(코드설정!$D$5:$D$24,MATCH($D1003,코드설정!$C$5:$C$24,0)),""))</f>
        <v/>
      </c>
      <c r="F1003" s="45" t="n"/>
      <c r="G1003" s="45" t="n"/>
      <c r="H1003" s="49" t="n"/>
      <c r="I1003" s="49" t="n"/>
      <c r="J1003" s="52" t="n"/>
      <c r="K1003" s="45" t="n"/>
      <c r="L1003" s="49" t="n"/>
    </row>
    <row r="1004">
      <c r="A1004" s="43">
        <f>IF($B1004="","",COUNT($B$5:$B1004))</f>
        <v/>
      </c>
      <c r="B1004" s="44" t="n"/>
      <c r="C1004" s="47">
        <f>IF($B1004="","",CHOOSE(WEEKDAY($B1004),"일","월","화","수","목","금","토"))</f>
        <v/>
      </c>
      <c r="D1004" s="45" t="n"/>
      <c r="E1004" s="47">
        <f>IF($D1004="","",IFERROR(INDEX(코드설정!$D$5:$D$24,MATCH($D1004,코드설정!$C$5:$C$24,0)),""))</f>
        <v/>
      </c>
      <c r="F1004" s="45" t="n"/>
      <c r="G1004" s="45" t="n"/>
      <c r="H1004" s="49" t="n"/>
      <c r="I1004" s="49" t="n"/>
      <c r="J1004" s="52" t="n"/>
      <c r="K1004" s="45" t="n"/>
      <c r="L1004" s="49" t="n"/>
    </row>
  </sheetData>
  <autoFilter ref="A4:L1004"/>
  <conditionalFormatting sqref="A5:L1004">
    <cfRule type="expression" priority="1" dxfId="2" stopIfTrue="0">
      <formula>AND($B5&lt;&gt;"",$K5="완료")</formula>
    </cfRule>
    <cfRule type="expression" priority="2" dxfId="3" stopIfTrue="0">
      <formula>AND($B5&lt;&gt;"",$K5="보류")</formula>
    </cfRule>
  </conditionalFormatting>
  <conditionalFormatting sqref="C5:C1004">
    <cfRule type="expression" priority="3" dxfId="5" stopIfTrue="0">
      <formula>OR($C5="토",$C5="일")</formula>
    </cfRule>
  </conditionalFormatting>
  <dataValidations count="4">
    <dataValidation sqref="D5:D1004" showDropDown="0" showInputMessage="0" showErrorMessage="0" allowBlank="1" type="list">
      <formula1>코드설정!$C$5:$C$24</formula1>
    </dataValidation>
    <dataValidation sqref="F5:F1004" showDropDown="0" showInputMessage="0" showErrorMessage="0" allowBlank="1" type="list">
      <formula1>코드설정!$G$5:$G$14</formula1>
    </dataValidation>
    <dataValidation sqref="G5:G1004" showDropDown="0" showInputMessage="0" showErrorMessage="0" allowBlank="1" type="list">
      <formula1>사건마스터!$A$5:$A$64</formula1>
    </dataValidation>
    <dataValidation sqref="K5:K1004" showDropDown="0" showInputMessage="0" showErrorMessage="0" allowBlank="1" type="list">
      <formula1>코드설정!$F$5:$F$7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AL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12" customWidth="1" min="4" max="4"/>
    <col width="11" customWidth="1" min="5" max="5"/>
    <col width="13" customWidth="1" min="6" max="6"/>
    <col width="11" customWidth="1" min="7" max="7"/>
    <col width="12" customWidth="1" min="8" max="8"/>
    <col width="30" customWidth="1" min="9" max="9"/>
    <col width="18" customWidth="1" min="10" max="10"/>
    <col width="3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hidden="1" width="13" customWidth="1" min="32" max="32"/>
    <col hidden="1" width="14" customWidth="1" min="33" max="33"/>
    <col hidden="1" width="14" customWidth="1" min="34" max="34"/>
    <col hidden="1" width="14" customWidth="1" min="35" max="35"/>
    <col hidden="1" width="14" customWidth="1" min="36" max="36"/>
    <col hidden="1" width="14" customWidth="1" min="37" max="37"/>
    <col hidden="1" width="14" customWidth="1" min="38" max="38"/>
  </cols>
  <sheetData>
    <row r="1" ht="24" customHeight="1">
      <c r="A1" s="6" t="inlineStr">
        <is>
          <t>사건 마스터  ·  사건 등록 및 담당자 배정</t>
        </is>
      </c>
    </row>
    <row r="2" ht="26" customHeight="1">
      <c r="A2" s="7" t="inlineStr">
        <is>
          <t>※ 사건을 여기 한 번만 등록하면 [업무일지]에서 사건번호만 골라도 사건명·요청처·담당자가 전부 자동으로 채워집니다.  ※ L열부터 담당자별 배정칸입니다. 한 사건에 여러 명을 선택하세요 — [주담당] 1명, 나머지는 [참여] (참여자는 최대 5명까지 업무일지로 전달됩니다).</t>
        </is>
      </c>
    </row>
    <row r="3">
      <c r="AG3" s="7" t="inlineStr">
        <is>
          <t>▼ 아래 6개 열은 [업무일지]가 참조하는 자동 계산 열입니다. 지우지 마세요.</t>
        </is>
      </c>
    </row>
    <row r="4" ht="32" customHeight="1">
      <c r="A4" s="23" t="inlineStr">
        <is>
          <t>사건번호</t>
        </is>
      </c>
      <c r="B4" s="23" t="inlineStr">
        <is>
          <t>사건명</t>
        </is>
      </c>
      <c r="C4" s="23" t="inlineStr">
        <is>
          <t>요청·의뢰처</t>
        </is>
      </c>
      <c r="D4" s="23" t="inlineStr">
        <is>
          <t>접수일</t>
        </is>
      </c>
      <c r="E4" s="23" t="inlineStr">
        <is>
          <t>진행상태</t>
        </is>
      </c>
      <c r="F4" s="23" t="inlineStr">
        <is>
          <t>주무팀</t>
        </is>
      </c>
      <c r="G4" s="23" t="inlineStr">
        <is>
          <t>배정인원(명)</t>
        </is>
      </c>
      <c r="H4" s="23" t="inlineStr">
        <is>
          <t>주담당(자동)</t>
        </is>
      </c>
      <c r="I4" s="23" t="inlineStr">
        <is>
          <t>배정 담당자 명단(자동)</t>
        </is>
      </c>
      <c r="J4" s="23" t="inlineStr">
        <is>
          <t>비고</t>
        </is>
      </c>
      <c r="K4" s="54" t="n"/>
      <c r="L4" s="55">
        <f>IF(코드설정!$C$5="","",코드설정!$C$5)</f>
        <v/>
      </c>
      <c r="M4" s="55">
        <f>IF(코드설정!$C$6="","",코드설정!$C$6)</f>
        <v/>
      </c>
      <c r="N4" s="55">
        <f>IF(코드설정!$C$7="","",코드설정!$C$7)</f>
        <v/>
      </c>
      <c r="O4" s="55">
        <f>IF(코드설정!$C$8="","",코드설정!$C$8)</f>
        <v/>
      </c>
      <c r="P4" s="55">
        <f>IF(코드설정!$C$9="","",코드설정!$C$9)</f>
        <v/>
      </c>
      <c r="Q4" s="55">
        <f>IF(코드설정!$C$10="","",코드설정!$C$10)</f>
        <v/>
      </c>
      <c r="R4" s="55">
        <f>IF(코드설정!$C$11="","",코드설정!$C$11)</f>
        <v/>
      </c>
      <c r="S4" s="55">
        <f>IF(코드설정!$C$12="","",코드설정!$C$12)</f>
        <v/>
      </c>
      <c r="T4" s="55">
        <f>IF(코드설정!$C$13="","",코드설정!$C$13)</f>
        <v/>
      </c>
      <c r="U4" s="55">
        <f>IF(코드설정!$C$14="","",코드설정!$C$14)</f>
        <v/>
      </c>
      <c r="V4" s="55">
        <f>IF(코드설정!$C$15="","",코드설정!$C$15)</f>
        <v/>
      </c>
      <c r="W4" s="55">
        <f>IF(코드설정!$C$16="","",코드설정!$C$16)</f>
        <v/>
      </c>
      <c r="X4" s="55">
        <f>IF(코드설정!$C$17="","",코드설정!$C$17)</f>
        <v/>
      </c>
      <c r="Y4" s="55">
        <f>IF(코드설정!$C$18="","",코드설정!$C$18)</f>
        <v/>
      </c>
      <c r="Z4" s="55">
        <f>IF(코드설정!$C$19="","",코드설정!$C$19)</f>
        <v/>
      </c>
      <c r="AA4" s="55">
        <f>IF(코드설정!$C$20="","",코드설정!$C$20)</f>
        <v/>
      </c>
      <c r="AB4" s="55">
        <f>IF(코드설정!$C$21="","",코드설정!$C$21)</f>
        <v/>
      </c>
      <c r="AC4" s="55">
        <f>IF(코드설정!$C$22="","",코드설정!$C$22)</f>
        <v/>
      </c>
      <c r="AD4" s="55">
        <f>IF(코드설정!$C$23="","",코드설정!$C$23)</f>
        <v/>
      </c>
      <c r="AE4" s="55">
        <f>IF(코드설정!$C$24="","",코드설정!$C$24)</f>
        <v/>
      </c>
      <c r="AG4" s="56" t="inlineStr">
        <is>
          <t>참여자 명단(주담당 제외)</t>
        </is>
      </c>
      <c r="AH4" s="56" t="inlineStr">
        <is>
          <t>참여자1</t>
        </is>
      </c>
      <c r="AI4" s="56" t="inlineStr">
        <is>
          <t>참여자2</t>
        </is>
      </c>
      <c r="AJ4" s="56" t="inlineStr">
        <is>
          <t>참여자3</t>
        </is>
      </c>
      <c r="AK4" s="56" t="inlineStr">
        <is>
          <t>참여자4</t>
        </is>
      </c>
      <c r="AL4" s="56" t="inlineStr">
        <is>
          <t>참여자5</t>
        </is>
      </c>
    </row>
    <row r="5">
      <c r="A5" s="34" t="inlineStr">
        <is>
          <t>2026-형제-1024</t>
        </is>
      </c>
      <c r="B5" s="57" t="inlineStr">
        <is>
          <t>○○ 기술유출 사건</t>
        </is>
      </c>
      <c r="C5" s="34" t="inlineStr">
        <is>
          <t>본청 수사과</t>
        </is>
      </c>
      <c r="D5" s="33" t="n">
        <v>46083</v>
      </c>
      <c r="E5" s="34" t="inlineStr">
        <is>
          <t>진행중</t>
        </is>
      </c>
      <c r="F5" s="34" t="inlineStr">
        <is>
          <t>포렌식1팀</t>
        </is>
      </c>
      <c r="G5" s="58">
        <f>IF($A5="","",COUNTIF($L5:$AE5,"?*"))</f>
        <v/>
      </c>
      <c r="H5" s="59">
        <f>IF($A5="","",IFERROR(INDEX($L$4:$AE$4,MATCH("주담당",$L5:$AE5,0)),""))</f>
        <v/>
      </c>
      <c r="I5" s="60">
        <f>IF($A5="","",_xlfn.TEXTJOIN(", ",TRUE,IF($L5="","",L$4),IF($M5="","",M$4),IF($N5="","",N$4),IF($O5="","",O$4),IF($P5="","",P$4),IF($Q5="","",Q$4),IF($R5="","",R$4),IF($S5="","",S$4),IF($T5="","",T$4),IF($U5="","",U$4),IF($V5="","",V$4),IF($W5="","",W$4),IF($X5="","",X$4),IF($Y5="","",Y$4),IF($Z5="","",Z$4),IF($AA5="","",AA$4),IF($AB5="","",AB$4),IF($AC5="","",AC$4),IF($AD5="","",AD$4),IF($AE5="","",AE$4)))</f>
        <v/>
      </c>
      <c r="J5" s="57" t="inlineStr">
        <is>
          <t>※ 예시 - 3인 배정</t>
        </is>
      </c>
      <c r="L5" s="61" t="inlineStr">
        <is>
          <t>주담당</t>
        </is>
      </c>
      <c r="M5" s="61" t="inlineStr">
        <is>
          <t>참여</t>
        </is>
      </c>
      <c r="N5" s="61" t="inlineStr">
        <is>
          <t>참여</t>
        </is>
      </c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1" t="n"/>
      <c r="Z5" s="61" t="n"/>
      <c r="AA5" s="61" t="n"/>
      <c r="AB5" s="61" t="n"/>
      <c r="AC5" s="61" t="n"/>
      <c r="AD5" s="61" t="n"/>
      <c r="AE5" s="61" t="n"/>
      <c r="AG5">
        <f>IF($A5="","",_xlfn.TEXTJOIN(", ",TRUE,IF($L5="참여",L$4,""),IF($M5="참여",M$4,""),IF($N5="참여",N$4,""),IF($O5="참여",O$4,""),IF($P5="참여",P$4,""),IF($Q5="참여",Q$4,""),IF($R5="참여",R$4,""),IF($S5="참여",S$4,""),IF($T5="참여",T$4,""),IF($U5="참여",U$4,""),IF($V5="참여",V$4,""),IF($W5="참여",W$4,""),IF($X5="참여",X$4,""),IF($Y5="참여",Y$4,""),IF($Z5="참여",Z$4,""),IF($AA5="참여",AA$4,""),IF($AB5="참여",AB$4,""),IF($AC5="참여",AC$4,""),IF($AD5="참여",AD$4,""),IF($AE5="참여",AE$4,"")))</f>
        <v/>
      </c>
      <c r="AH5">
        <f>IF($AG5="","",TRIM(MID(SUBSTITUTE($AG5,",",REPT(" ",100)),1,100)))</f>
        <v/>
      </c>
      <c r="AI5">
        <f>IF($AG5="","",TRIM(MID(SUBSTITUTE($AG5,",",REPT(" ",100)),101,100)))</f>
        <v/>
      </c>
      <c r="AJ5">
        <f>IF($AG5="","",TRIM(MID(SUBSTITUTE($AG5,",",REPT(" ",100)),201,100)))</f>
        <v/>
      </c>
      <c r="AK5">
        <f>IF($AG5="","",TRIM(MID(SUBSTITUTE($AG5,",",REPT(" ",100)),301,100)))</f>
        <v/>
      </c>
      <c r="AL5">
        <f>IF($AG5="","",TRIM(MID(SUBSTITUTE($AG5,",",REPT(" ",100)),401,100)))</f>
        <v/>
      </c>
    </row>
    <row r="6">
      <c r="A6" s="45" t="n"/>
      <c r="B6" s="62" t="n"/>
      <c r="C6" s="45" t="n"/>
      <c r="D6" s="44" t="n"/>
      <c r="E6" s="45" t="n"/>
      <c r="F6" s="45" t="n"/>
      <c r="G6" s="63">
        <f>IF($A6="","",COUNTIF($L6:$AE6,"?*"))</f>
        <v/>
      </c>
      <c r="H6" s="64">
        <f>IF($A6="","",IFERROR(INDEX($L$4:$AE$4,MATCH("주담당",$L6:$AE6,0)),""))</f>
        <v/>
      </c>
      <c r="I6" s="65">
        <f>IF($A6="","",_xlfn.TEXTJOIN(", ",TRUE,IF($L6="","",L$4),IF($M6="","",M$4),IF($N6="","",N$4),IF($O6="","",O$4),IF($P6="","",P$4),IF($Q6="","",Q$4),IF($R6="","",R$4),IF($S6="","",S$4),IF($T6="","",T$4),IF($U6="","",U$4),IF($V6="","",V$4),IF($W6="","",W$4),IF($X6="","",X$4),IF($Y6="","",Y$4),IF($Z6="","",Z$4),IF($AA6="","",AA$4),IF($AB6="","",AB$4),IF($AC6="","",AC$4),IF($AD6="","",AD$4),IF($AE6="","",AE$4)))</f>
        <v/>
      </c>
      <c r="J6" s="62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G6">
        <f>IF($A6="","",_xlfn.TEXTJOIN(", ",TRUE,IF($L6="참여",L$4,""),IF($M6="참여",M$4,""),IF($N6="참여",N$4,""),IF($O6="참여",O$4,""),IF($P6="참여",P$4,""),IF($Q6="참여",Q$4,""),IF($R6="참여",R$4,""),IF($S6="참여",S$4,""),IF($T6="참여",T$4,""),IF($U6="참여",U$4,""),IF($V6="참여",V$4,""),IF($W6="참여",W$4,""),IF($X6="참여",X$4,""),IF($Y6="참여",Y$4,""),IF($Z6="참여",Z$4,""),IF($AA6="참여",AA$4,""),IF($AB6="참여",AB$4,""),IF($AC6="참여",AC$4,""),IF($AD6="참여",AD$4,""),IF($AE6="참여",AE$4,"")))</f>
        <v/>
      </c>
      <c r="AH6">
        <f>IF($AG6="","",TRIM(MID(SUBSTITUTE($AG6,",",REPT(" ",100)),1,100)))</f>
        <v/>
      </c>
      <c r="AI6">
        <f>IF($AG6="","",TRIM(MID(SUBSTITUTE($AG6,",",REPT(" ",100)),101,100)))</f>
        <v/>
      </c>
      <c r="AJ6">
        <f>IF($AG6="","",TRIM(MID(SUBSTITUTE($AG6,",",REPT(" ",100)),201,100)))</f>
        <v/>
      </c>
      <c r="AK6">
        <f>IF($AG6="","",TRIM(MID(SUBSTITUTE($AG6,",",REPT(" ",100)),301,100)))</f>
        <v/>
      </c>
      <c r="AL6">
        <f>IF($AG6="","",TRIM(MID(SUBSTITUTE($AG6,",",REPT(" ",100)),401,100)))</f>
        <v/>
      </c>
    </row>
    <row r="7">
      <c r="A7" s="45" t="n"/>
      <c r="B7" s="62" t="n"/>
      <c r="C7" s="45" t="n"/>
      <c r="D7" s="44" t="n"/>
      <c r="E7" s="45" t="n"/>
      <c r="F7" s="45" t="n"/>
      <c r="G7" s="63">
        <f>IF($A7="","",COUNTIF($L7:$AE7,"?*"))</f>
        <v/>
      </c>
      <c r="H7" s="64">
        <f>IF($A7="","",IFERROR(INDEX($L$4:$AE$4,MATCH("주담당",$L7:$AE7,0)),""))</f>
        <v/>
      </c>
      <c r="I7" s="65">
        <f>IF($A7="","",_xlfn.TEXTJOIN(", ",TRUE,IF($L7="","",L$4),IF($M7="","",M$4),IF($N7="","",N$4),IF($O7="","",O$4),IF($P7="","",P$4),IF($Q7="","",Q$4),IF($R7="","",R$4),IF($S7="","",S$4),IF($T7="","",T$4),IF($U7="","",U$4),IF($V7="","",V$4),IF($W7="","",W$4),IF($X7="","",X$4),IF($Y7="","",Y$4),IF($Z7="","",Z$4),IF($AA7="","",AA$4),IF($AB7="","",AB$4),IF($AC7="","",AC$4),IF($AD7="","",AD$4),IF($AE7="","",AE$4)))</f>
        <v/>
      </c>
      <c r="J7" s="62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G7">
        <f>IF($A7="","",_xlfn.TEXTJOIN(", ",TRUE,IF($L7="참여",L$4,""),IF($M7="참여",M$4,""),IF($N7="참여",N$4,""),IF($O7="참여",O$4,""),IF($P7="참여",P$4,""),IF($Q7="참여",Q$4,""),IF($R7="참여",R$4,""),IF($S7="참여",S$4,""),IF($T7="참여",T$4,""),IF($U7="참여",U$4,""),IF($V7="참여",V$4,""),IF($W7="참여",W$4,""),IF($X7="참여",X$4,""),IF($Y7="참여",Y$4,""),IF($Z7="참여",Z$4,""),IF($AA7="참여",AA$4,""),IF($AB7="참여",AB$4,""),IF($AC7="참여",AC$4,""),IF($AD7="참여",AD$4,""),IF($AE7="참여",AE$4,"")))</f>
        <v/>
      </c>
      <c r="AH7">
        <f>IF($AG7="","",TRIM(MID(SUBSTITUTE($AG7,",",REPT(" ",100)),1,100)))</f>
        <v/>
      </c>
      <c r="AI7">
        <f>IF($AG7="","",TRIM(MID(SUBSTITUTE($AG7,",",REPT(" ",100)),101,100)))</f>
        <v/>
      </c>
      <c r="AJ7">
        <f>IF($AG7="","",TRIM(MID(SUBSTITUTE($AG7,",",REPT(" ",100)),201,100)))</f>
        <v/>
      </c>
      <c r="AK7">
        <f>IF($AG7="","",TRIM(MID(SUBSTITUTE($AG7,",",REPT(" ",100)),301,100)))</f>
        <v/>
      </c>
      <c r="AL7">
        <f>IF($AG7="","",TRIM(MID(SUBSTITUTE($AG7,",",REPT(" ",100)),401,100)))</f>
        <v/>
      </c>
    </row>
    <row r="8">
      <c r="A8" s="45" t="n"/>
      <c r="B8" s="62" t="n"/>
      <c r="C8" s="45" t="n"/>
      <c r="D8" s="44" t="n"/>
      <c r="E8" s="45" t="n"/>
      <c r="F8" s="45" t="n"/>
      <c r="G8" s="63">
        <f>IF($A8="","",COUNTIF($L8:$AE8,"?*"))</f>
        <v/>
      </c>
      <c r="H8" s="64">
        <f>IF($A8="","",IFERROR(INDEX($L$4:$AE$4,MATCH("주담당",$L8:$AE8,0)),""))</f>
        <v/>
      </c>
      <c r="I8" s="65">
        <f>IF($A8="","",_xlfn.TEXTJOIN(", ",TRUE,IF($L8="","",L$4),IF($M8="","",M$4),IF($N8="","",N$4),IF($O8="","",O$4),IF($P8="","",P$4),IF($Q8="","",Q$4),IF($R8="","",R$4),IF($S8="","",S$4),IF($T8="","",T$4),IF($U8="","",U$4),IF($V8="","",V$4),IF($W8="","",W$4),IF($X8="","",X$4),IF($Y8="","",Y$4),IF($Z8="","",Z$4),IF($AA8="","",AA$4),IF($AB8="","",AB$4),IF($AC8="","",AC$4),IF($AD8="","",AD$4),IF($AE8="","",AE$4)))</f>
        <v/>
      </c>
      <c r="J8" s="62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G8">
        <f>IF($A8="","",_xlfn.TEXTJOIN(", ",TRUE,IF($L8="참여",L$4,""),IF($M8="참여",M$4,""),IF($N8="참여",N$4,""),IF($O8="참여",O$4,""),IF($P8="참여",P$4,""),IF($Q8="참여",Q$4,""),IF($R8="참여",R$4,""),IF($S8="참여",S$4,""),IF($T8="참여",T$4,""),IF($U8="참여",U$4,""),IF($V8="참여",V$4,""),IF($W8="참여",W$4,""),IF($X8="참여",X$4,""),IF($Y8="참여",Y$4,""),IF($Z8="참여",Z$4,""),IF($AA8="참여",AA$4,""),IF($AB8="참여",AB$4,""),IF($AC8="참여",AC$4,""),IF($AD8="참여",AD$4,""),IF($AE8="참여",AE$4,"")))</f>
        <v/>
      </c>
      <c r="AH8">
        <f>IF($AG8="","",TRIM(MID(SUBSTITUTE($AG8,",",REPT(" ",100)),1,100)))</f>
        <v/>
      </c>
      <c r="AI8">
        <f>IF($AG8="","",TRIM(MID(SUBSTITUTE($AG8,",",REPT(" ",100)),101,100)))</f>
        <v/>
      </c>
      <c r="AJ8">
        <f>IF($AG8="","",TRIM(MID(SUBSTITUTE($AG8,",",REPT(" ",100)),201,100)))</f>
        <v/>
      </c>
      <c r="AK8">
        <f>IF($AG8="","",TRIM(MID(SUBSTITUTE($AG8,",",REPT(" ",100)),301,100)))</f>
        <v/>
      </c>
      <c r="AL8">
        <f>IF($AG8="","",TRIM(MID(SUBSTITUTE($AG8,",",REPT(" ",100)),401,100)))</f>
        <v/>
      </c>
    </row>
    <row r="9">
      <c r="A9" s="45" t="n"/>
      <c r="B9" s="62" t="n"/>
      <c r="C9" s="45" t="n"/>
      <c r="D9" s="44" t="n"/>
      <c r="E9" s="45" t="n"/>
      <c r="F9" s="45" t="n"/>
      <c r="G9" s="63">
        <f>IF($A9="","",COUNTIF($L9:$AE9,"?*"))</f>
        <v/>
      </c>
      <c r="H9" s="64">
        <f>IF($A9="","",IFERROR(INDEX($L$4:$AE$4,MATCH("주담당",$L9:$AE9,0)),""))</f>
        <v/>
      </c>
      <c r="I9" s="65">
        <f>IF($A9="","",_xlfn.TEXTJOIN(", ",TRUE,IF($L9="","",L$4),IF($M9="","",M$4),IF($N9="","",N$4),IF($O9="","",O$4),IF($P9="","",P$4),IF($Q9="","",Q$4),IF($R9="","",R$4),IF($S9="","",S$4),IF($T9="","",T$4),IF($U9="","",U$4),IF($V9="","",V$4),IF($W9="","",W$4),IF($X9="","",X$4),IF($Y9="","",Y$4),IF($Z9="","",Z$4),IF($AA9="","",AA$4),IF($AB9="","",AB$4),IF($AC9="","",AC$4),IF($AD9="","",AD$4),IF($AE9="","",AE$4)))</f>
        <v/>
      </c>
      <c r="J9" s="62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G9">
        <f>IF($A9="","",_xlfn.TEXTJOIN(", ",TRUE,IF($L9="참여",L$4,""),IF($M9="참여",M$4,""),IF($N9="참여",N$4,""),IF($O9="참여",O$4,""),IF($P9="참여",P$4,""),IF($Q9="참여",Q$4,""),IF($R9="참여",R$4,""),IF($S9="참여",S$4,""),IF($T9="참여",T$4,""),IF($U9="참여",U$4,""),IF($V9="참여",V$4,""),IF($W9="참여",W$4,""),IF($X9="참여",X$4,""),IF($Y9="참여",Y$4,""),IF($Z9="참여",Z$4,""),IF($AA9="참여",AA$4,""),IF($AB9="참여",AB$4,""),IF($AC9="참여",AC$4,""),IF($AD9="참여",AD$4,""),IF($AE9="참여",AE$4,"")))</f>
        <v/>
      </c>
      <c r="AH9">
        <f>IF($AG9="","",TRIM(MID(SUBSTITUTE($AG9,",",REPT(" ",100)),1,100)))</f>
        <v/>
      </c>
      <c r="AI9">
        <f>IF($AG9="","",TRIM(MID(SUBSTITUTE($AG9,",",REPT(" ",100)),101,100)))</f>
        <v/>
      </c>
      <c r="AJ9">
        <f>IF($AG9="","",TRIM(MID(SUBSTITUTE($AG9,",",REPT(" ",100)),201,100)))</f>
        <v/>
      </c>
      <c r="AK9">
        <f>IF($AG9="","",TRIM(MID(SUBSTITUTE($AG9,",",REPT(" ",100)),301,100)))</f>
        <v/>
      </c>
      <c r="AL9">
        <f>IF($AG9="","",TRIM(MID(SUBSTITUTE($AG9,",",REPT(" ",100)),401,100)))</f>
        <v/>
      </c>
    </row>
    <row r="10">
      <c r="A10" s="45" t="n"/>
      <c r="B10" s="62" t="n"/>
      <c r="C10" s="45" t="n"/>
      <c r="D10" s="44" t="n"/>
      <c r="E10" s="45" t="n"/>
      <c r="F10" s="45" t="n"/>
      <c r="G10" s="63">
        <f>IF($A10="","",COUNTIF($L10:$AE10,"?*"))</f>
        <v/>
      </c>
      <c r="H10" s="64">
        <f>IF($A10="","",IFERROR(INDEX($L$4:$AE$4,MATCH("주담당",$L10:$AE10,0)),""))</f>
        <v/>
      </c>
      <c r="I10" s="65">
        <f>IF($A10="","",_xlfn.TEXTJOIN(", ",TRUE,IF($L10="","",L$4),IF($M10="","",M$4),IF($N10="","",N$4),IF($O10="","",O$4),IF($P10="","",P$4),IF($Q10="","",Q$4),IF($R10="","",R$4),IF($S10="","",S$4),IF($T10="","",T$4),IF($U10="","",U$4),IF($V10="","",V$4),IF($W10="","",W$4),IF($X10="","",X$4),IF($Y10="","",Y$4),IF($Z10="","",Z$4),IF($AA10="","",AA$4),IF($AB10="","",AB$4),IF($AC10="","",AC$4),IF($AD10="","",AD$4),IF($AE10="","",AE$4)))</f>
        <v/>
      </c>
      <c r="J10" s="62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G10">
        <f>IF($A10="","",_xlfn.TEXTJOIN(", ",TRUE,IF($L10="참여",L$4,""),IF($M10="참여",M$4,""),IF($N10="참여",N$4,""),IF($O10="참여",O$4,""),IF($P10="참여",P$4,""),IF($Q10="참여",Q$4,""),IF($R10="참여",R$4,""),IF($S10="참여",S$4,""),IF($T10="참여",T$4,""),IF($U10="참여",U$4,""),IF($V10="참여",V$4,""),IF($W10="참여",W$4,""),IF($X10="참여",X$4,""),IF($Y10="참여",Y$4,""),IF($Z10="참여",Z$4,""),IF($AA10="참여",AA$4,""),IF($AB10="참여",AB$4,""),IF($AC10="참여",AC$4,""),IF($AD10="참여",AD$4,""),IF($AE10="참여",AE$4,"")))</f>
        <v/>
      </c>
      <c r="AH10">
        <f>IF($AG10="","",TRIM(MID(SUBSTITUTE($AG10,",",REPT(" ",100)),1,100)))</f>
        <v/>
      </c>
      <c r="AI10">
        <f>IF($AG10="","",TRIM(MID(SUBSTITUTE($AG10,",",REPT(" ",100)),101,100)))</f>
        <v/>
      </c>
      <c r="AJ10">
        <f>IF($AG10="","",TRIM(MID(SUBSTITUTE($AG10,",",REPT(" ",100)),201,100)))</f>
        <v/>
      </c>
      <c r="AK10">
        <f>IF($AG10="","",TRIM(MID(SUBSTITUTE($AG10,",",REPT(" ",100)),301,100)))</f>
        <v/>
      </c>
      <c r="AL10">
        <f>IF($AG10="","",TRIM(MID(SUBSTITUTE($AG10,",",REPT(" ",100)),401,100)))</f>
        <v/>
      </c>
    </row>
    <row r="11">
      <c r="A11" s="45" t="n"/>
      <c r="B11" s="62" t="n"/>
      <c r="C11" s="45" t="n"/>
      <c r="D11" s="44" t="n"/>
      <c r="E11" s="45" t="n"/>
      <c r="F11" s="45" t="n"/>
      <c r="G11" s="63">
        <f>IF($A11="","",COUNTIF($L11:$AE11,"?*"))</f>
        <v/>
      </c>
      <c r="H11" s="64">
        <f>IF($A11="","",IFERROR(INDEX($L$4:$AE$4,MATCH("주담당",$L11:$AE11,0)),""))</f>
        <v/>
      </c>
      <c r="I11" s="65">
        <f>IF($A11="","",_xlfn.TEXTJOIN(", ",TRUE,IF($L11="","",L$4),IF($M11="","",M$4),IF($N11="","",N$4),IF($O11="","",O$4),IF($P11="","",P$4),IF($Q11="","",Q$4),IF($R11="","",R$4),IF($S11="","",S$4),IF($T11="","",T$4),IF($U11="","",U$4),IF($V11="","",V$4),IF($W11="","",W$4),IF($X11="","",X$4),IF($Y11="","",Y$4),IF($Z11="","",Z$4),IF($AA11="","",AA$4),IF($AB11="","",AB$4),IF($AC11="","",AC$4),IF($AD11="","",AD$4),IF($AE11="","",AE$4)))</f>
        <v/>
      </c>
      <c r="J11" s="62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G11">
        <f>IF($A11="","",_xlfn.TEXTJOIN(", ",TRUE,IF($L11="참여",L$4,""),IF($M11="참여",M$4,""),IF($N11="참여",N$4,""),IF($O11="참여",O$4,""),IF($P11="참여",P$4,""),IF($Q11="참여",Q$4,""),IF($R11="참여",R$4,""),IF($S11="참여",S$4,""),IF($T11="참여",T$4,""),IF($U11="참여",U$4,""),IF($V11="참여",V$4,""),IF($W11="참여",W$4,""),IF($X11="참여",X$4,""),IF($Y11="참여",Y$4,""),IF($Z11="참여",Z$4,""),IF($AA11="참여",AA$4,""),IF($AB11="참여",AB$4,""),IF($AC11="참여",AC$4,""),IF($AD11="참여",AD$4,""),IF($AE11="참여",AE$4,"")))</f>
        <v/>
      </c>
      <c r="AH11">
        <f>IF($AG11="","",TRIM(MID(SUBSTITUTE($AG11,",",REPT(" ",100)),1,100)))</f>
        <v/>
      </c>
      <c r="AI11">
        <f>IF($AG11="","",TRIM(MID(SUBSTITUTE($AG11,",",REPT(" ",100)),101,100)))</f>
        <v/>
      </c>
      <c r="AJ11">
        <f>IF($AG11="","",TRIM(MID(SUBSTITUTE($AG11,",",REPT(" ",100)),201,100)))</f>
        <v/>
      </c>
      <c r="AK11">
        <f>IF($AG11="","",TRIM(MID(SUBSTITUTE($AG11,",",REPT(" ",100)),301,100)))</f>
        <v/>
      </c>
      <c r="AL11">
        <f>IF($AG11="","",TRIM(MID(SUBSTITUTE($AG11,",",REPT(" ",100)),401,100)))</f>
        <v/>
      </c>
    </row>
    <row r="12">
      <c r="A12" s="45" t="n"/>
      <c r="B12" s="62" t="n"/>
      <c r="C12" s="45" t="n"/>
      <c r="D12" s="44" t="n"/>
      <c r="E12" s="45" t="n"/>
      <c r="F12" s="45" t="n"/>
      <c r="G12" s="63">
        <f>IF($A12="","",COUNTIF($L12:$AE12,"?*"))</f>
        <v/>
      </c>
      <c r="H12" s="64">
        <f>IF($A12="","",IFERROR(INDEX($L$4:$AE$4,MATCH("주담당",$L12:$AE12,0)),""))</f>
        <v/>
      </c>
      <c r="I12" s="65">
        <f>IF($A12="","",_xlfn.TEXTJOIN(", ",TRUE,IF($L12="","",L$4),IF($M12="","",M$4),IF($N12="","",N$4),IF($O12="","",O$4),IF($P12="","",P$4),IF($Q12="","",Q$4),IF($R12="","",R$4),IF($S12="","",S$4),IF($T12="","",T$4),IF($U12="","",U$4),IF($V12="","",V$4),IF($W12="","",W$4),IF($X12="","",X$4),IF($Y12="","",Y$4),IF($Z12="","",Z$4),IF($AA12="","",AA$4),IF($AB12="","",AB$4),IF($AC12="","",AC$4),IF($AD12="","",AD$4),IF($AE12="","",AE$4)))</f>
        <v/>
      </c>
      <c r="J12" s="62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G12">
        <f>IF($A12="","",_xlfn.TEXTJOIN(", ",TRUE,IF($L12="참여",L$4,""),IF($M12="참여",M$4,""),IF($N12="참여",N$4,""),IF($O12="참여",O$4,""),IF($P12="참여",P$4,""),IF($Q12="참여",Q$4,""),IF($R12="참여",R$4,""),IF($S12="참여",S$4,""),IF($T12="참여",T$4,""),IF($U12="참여",U$4,""),IF($V12="참여",V$4,""),IF($W12="참여",W$4,""),IF($X12="참여",X$4,""),IF($Y12="참여",Y$4,""),IF($Z12="참여",Z$4,""),IF($AA12="참여",AA$4,""),IF($AB12="참여",AB$4,""),IF($AC12="참여",AC$4,""),IF($AD12="참여",AD$4,""),IF($AE12="참여",AE$4,"")))</f>
        <v/>
      </c>
      <c r="AH12">
        <f>IF($AG12="","",TRIM(MID(SUBSTITUTE($AG12,",",REPT(" ",100)),1,100)))</f>
        <v/>
      </c>
      <c r="AI12">
        <f>IF($AG12="","",TRIM(MID(SUBSTITUTE($AG12,",",REPT(" ",100)),101,100)))</f>
        <v/>
      </c>
      <c r="AJ12">
        <f>IF($AG12="","",TRIM(MID(SUBSTITUTE($AG12,",",REPT(" ",100)),201,100)))</f>
        <v/>
      </c>
      <c r="AK12">
        <f>IF($AG12="","",TRIM(MID(SUBSTITUTE($AG12,",",REPT(" ",100)),301,100)))</f>
        <v/>
      </c>
      <c r="AL12">
        <f>IF($AG12="","",TRIM(MID(SUBSTITUTE($AG12,",",REPT(" ",100)),401,100)))</f>
        <v/>
      </c>
    </row>
    <row r="13">
      <c r="A13" s="45" t="n"/>
      <c r="B13" s="62" t="n"/>
      <c r="C13" s="45" t="n"/>
      <c r="D13" s="44" t="n"/>
      <c r="E13" s="45" t="n"/>
      <c r="F13" s="45" t="n"/>
      <c r="G13" s="63">
        <f>IF($A13="","",COUNTIF($L13:$AE13,"?*"))</f>
        <v/>
      </c>
      <c r="H13" s="64">
        <f>IF($A13="","",IFERROR(INDEX($L$4:$AE$4,MATCH("주담당",$L13:$AE13,0)),""))</f>
        <v/>
      </c>
      <c r="I13" s="65">
        <f>IF($A13="","",_xlfn.TEXTJOIN(", ",TRUE,IF($L13="","",L$4),IF($M13="","",M$4),IF($N13="","",N$4),IF($O13="","",O$4),IF($P13="","",P$4),IF($Q13="","",Q$4),IF($R13="","",R$4),IF($S13="","",S$4),IF($T13="","",T$4),IF($U13="","",U$4),IF($V13="","",V$4),IF($W13="","",W$4),IF($X13="","",X$4),IF($Y13="","",Y$4),IF($Z13="","",Z$4),IF($AA13="","",AA$4),IF($AB13="","",AB$4),IF($AC13="","",AC$4),IF($AD13="","",AD$4),IF($AE13="","",AE$4)))</f>
        <v/>
      </c>
      <c r="J13" s="62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G13">
        <f>IF($A13="","",_xlfn.TEXTJOIN(", ",TRUE,IF($L13="참여",L$4,""),IF($M13="참여",M$4,""),IF($N13="참여",N$4,""),IF($O13="참여",O$4,""),IF($P13="참여",P$4,""),IF($Q13="참여",Q$4,""),IF($R13="참여",R$4,""),IF($S13="참여",S$4,""),IF($T13="참여",T$4,""),IF($U13="참여",U$4,""),IF($V13="참여",V$4,""),IF($W13="참여",W$4,""),IF($X13="참여",X$4,""),IF($Y13="참여",Y$4,""),IF($Z13="참여",Z$4,""),IF($AA13="참여",AA$4,""),IF($AB13="참여",AB$4,""),IF($AC13="참여",AC$4,""),IF($AD13="참여",AD$4,""),IF($AE13="참여",AE$4,"")))</f>
        <v/>
      </c>
      <c r="AH13">
        <f>IF($AG13="","",TRIM(MID(SUBSTITUTE($AG13,",",REPT(" ",100)),1,100)))</f>
        <v/>
      </c>
      <c r="AI13">
        <f>IF($AG13="","",TRIM(MID(SUBSTITUTE($AG13,",",REPT(" ",100)),101,100)))</f>
        <v/>
      </c>
      <c r="AJ13">
        <f>IF($AG13="","",TRIM(MID(SUBSTITUTE($AG13,",",REPT(" ",100)),201,100)))</f>
        <v/>
      </c>
      <c r="AK13">
        <f>IF($AG13="","",TRIM(MID(SUBSTITUTE($AG13,",",REPT(" ",100)),301,100)))</f>
        <v/>
      </c>
      <c r="AL13">
        <f>IF($AG13="","",TRIM(MID(SUBSTITUTE($AG13,",",REPT(" ",100)),401,100)))</f>
        <v/>
      </c>
    </row>
    <row r="14">
      <c r="A14" s="45" t="n"/>
      <c r="B14" s="62" t="n"/>
      <c r="C14" s="45" t="n"/>
      <c r="D14" s="44" t="n"/>
      <c r="E14" s="45" t="n"/>
      <c r="F14" s="45" t="n"/>
      <c r="G14" s="63">
        <f>IF($A14="","",COUNTIF($L14:$AE14,"?*"))</f>
        <v/>
      </c>
      <c r="H14" s="64">
        <f>IF($A14="","",IFERROR(INDEX($L$4:$AE$4,MATCH("주담당",$L14:$AE14,0)),""))</f>
        <v/>
      </c>
      <c r="I14" s="65">
        <f>IF($A14="","",_xlfn.TEXTJOIN(", ",TRUE,IF($L14="","",L$4),IF($M14="","",M$4),IF($N14="","",N$4),IF($O14="","",O$4),IF($P14="","",P$4),IF($Q14="","",Q$4),IF($R14="","",R$4),IF($S14="","",S$4),IF($T14="","",T$4),IF($U14="","",U$4),IF($V14="","",V$4),IF($W14="","",W$4),IF($X14="","",X$4),IF($Y14="","",Y$4),IF($Z14="","",Z$4),IF($AA14="","",AA$4),IF($AB14="","",AB$4),IF($AC14="","",AC$4),IF($AD14="","",AD$4),IF($AE14="","",AE$4)))</f>
        <v/>
      </c>
      <c r="J14" s="62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G14">
        <f>IF($A14="","",_xlfn.TEXTJOIN(", ",TRUE,IF($L14="참여",L$4,""),IF($M14="참여",M$4,""),IF($N14="참여",N$4,""),IF($O14="참여",O$4,""),IF($P14="참여",P$4,""),IF($Q14="참여",Q$4,""),IF($R14="참여",R$4,""),IF($S14="참여",S$4,""),IF($T14="참여",T$4,""),IF($U14="참여",U$4,""),IF($V14="참여",V$4,""),IF($W14="참여",W$4,""),IF($X14="참여",X$4,""),IF($Y14="참여",Y$4,""),IF($Z14="참여",Z$4,""),IF($AA14="참여",AA$4,""),IF($AB14="참여",AB$4,""),IF($AC14="참여",AC$4,""),IF($AD14="참여",AD$4,""),IF($AE14="참여",AE$4,"")))</f>
        <v/>
      </c>
      <c r="AH14">
        <f>IF($AG14="","",TRIM(MID(SUBSTITUTE($AG14,",",REPT(" ",100)),1,100)))</f>
        <v/>
      </c>
      <c r="AI14">
        <f>IF($AG14="","",TRIM(MID(SUBSTITUTE($AG14,",",REPT(" ",100)),101,100)))</f>
        <v/>
      </c>
      <c r="AJ14">
        <f>IF($AG14="","",TRIM(MID(SUBSTITUTE($AG14,",",REPT(" ",100)),201,100)))</f>
        <v/>
      </c>
      <c r="AK14">
        <f>IF($AG14="","",TRIM(MID(SUBSTITUTE($AG14,",",REPT(" ",100)),301,100)))</f>
        <v/>
      </c>
      <c r="AL14">
        <f>IF($AG14="","",TRIM(MID(SUBSTITUTE($AG14,",",REPT(" ",100)),401,100)))</f>
        <v/>
      </c>
    </row>
    <row r="15">
      <c r="A15" s="45" t="n"/>
      <c r="B15" s="62" t="n"/>
      <c r="C15" s="45" t="n"/>
      <c r="D15" s="44" t="n"/>
      <c r="E15" s="45" t="n"/>
      <c r="F15" s="45" t="n"/>
      <c r="G15" s="63">
        <f>IF($A15="","",COUNTIF($L15:$AE15,"?*"))</f>
        <v/>
      </c>
      <c r="H15" s="64">
        <f>IF($A15="","",IFERROR(INDEX($L$4:$AE$4,MATCH("주담당",$L15:$AE15,0)),""))</f>
        <v/>
      </c>
      <c r="I15" s="65">
        <f>IF($A15="","",_xlfn.TEXTJOIN(", ",TRUE,IF($L15="","",L$4),IF($M15="","",M$4),IF($N15="","",N$4),IF($O15="","",O$4),IF($P15="","",P$4),IF($Q15="","",Q$4),IF($R15="","",R$4),IF($S15="","",S$4),IF($T15="","",T$4),IF($U15="","",U$4),IF($V15="","",V$4),IF($W15="","",W$4),IF($X15="","",X$4),IF($Y15="","",Y$4),IF($Z15="","",Z$4),IF($AA15="","",AA$4),IF($AB15="","",AB$4),IF($AC15="","",AC$4),IF($AD15="","",AD$4),IF($AE15="","",AE$4)))</f>
        <v/>
      </c>
      <c r="J15" s="62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G15">
        <f>IF($A15="","",_xlfn.TEXTJOIN(", ",TRUE,IF($L15="참여",L$4,""),IF($M15="참여",M$4,""),IF($N15="참여",N$4,""),IF($O15="참여",O$4,""),IF($P15="참여",P$4,""),IF($Q15="참여",Q$4,""),IF($R15="참여",R$4,""),IF($S15="참여",S$4,""),IF($T15="참여",T$4,""),IF($U15="참여",U$4,""),IF($V15="참여",V$4,""),IF($W15="참여",W$4,""),IF($X15="참여",X$4,""),IF($Y15="참여",Y$4,""),IF($Z15="참여",Z$4,""),IF($AA15="참여",AA$4,""),IF($AB15="참여",AB$4,""),IF($AC15="참여",AC$4,""),IF($AD15="참여",AD$4,""),IF($AE15="참여",AE$4,"")))</f>
        <v/>
      </c>
      <c r="AH15">
        <f>IF($AG15="","",TRIM(MID(SUBSTITUTE($AG15,",",REPT(" ",100)),1,100)))</f>
        <v/>
      </c>
      <c r="AI15">
        <f>IF($AG15="","",TRIM(MID(SUBSTITUTE($AG15,",",REPT(" ",100)),101,100)))</f>
        <v/>
      </c>
      <c r="AJ15">
        <f>IF($AG15="","",TRIM(MID(SUBSTITUTE($AG15,",",REPT(" ",100)),201,100)))</f>
        <v/>
      </c>
      <c r="AK15">
        <f>IF($AG15="","",TRIM(MID(SUBSTITUTE($AG15,",",REPT(" ",100)),301,100)))</f>
        <v/>
      </c>
      <c r="AL15">
        <f>IF($AG15="","",TRIM(MID(SUBSTITUTE($AG15,",",REPT(" ",100)),401,100)))</f>
        <v/>
      </c>
    </row>
    <row r="16">
      <c r="A16" s="45" t="n"/>
      <c r="B16" s="62" t="n"/>
      <c r="C16" s="45" t="n"/>
      <c r="D16" s="44" t="n"/>
      <c r="E16" s="45" t="n"/>
      <c r="F16" s="45" t="n"/>
      <c r="G16" s="63">
        <f>IF($A16="","",COUNTIF($L16:$AE16,"?*"))</f>
        <v/>
      </c>
      <c r="H16" s="64">
        <f>IF($A16="","",IFERROR(INDEX($L$4:$AE$4,MATCH("주담당",$L16:$AE16,0)),""))</f>
        <v/>
      </c>
      <c r="I16" s="65">
        <f>IF($A16="","",_xlfn.TEXTJOIN(", ",TRUE,IF($L16="","",L$4),IF($M16="","",M$4),IF($N16="","",N$4),IF($O16="","",O$4),IF($P16="","",P$4),IF($Q16="","",Q$4),IF($R16="","",R$4),IF($S16="","",S$4),IF($T16="","",T$4),IF($U16="","",U$4),IF($V16="","",V$4),IF($W16="","",W$4),IF($X16="","",X$4),IF($Y16="","",Y$4),IF($Z16="","",Z$4),IF($AA16="","",AA$4),IF($AB16="","",AB$4),IF($AC16="","",AC$4),IF($AD16="","",AD$4),IF($AE16="","",AE$4)))</f>
        <v/>
      </c>
      <c r="J16" s="62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G16">
        <f>IF($A16="","",_xlfn.TEXTJOIN(", ",TRUE,IF($L16="참여",L$4,""),IF($M16="참여",M$4,""),IF($N16="참여",N$4,""),IF($O16="참여",O$4,""),IF($P16="참여",P$4,""),IF($Q16="참여",Q$4,""),IF($R16="참여",R$4,""),IF($S16="참여",S$4,""),IF($T16="참여",T$4,""),IF($U16="참여",U$4,""),IF($V16="참여",V$4,""),IF($W16="참여",W$4,""),IF($X16="참여",X$4,""),IF($Y16="참여",Y$4,""),IF($Z16="참여",Z$4,""),IF($AA16="참여",AA$4,""),IF($AB16="참여",AB$4,""),IF($AC16="참여",AC$4,""),IF($AD16="참여",AD$4,""),IF($AE16="참여",AE$4,"")))</f>
        <v/>
      </c>
      <c r="AH16">
        <f>IF($AG16="","",TRIM(MID(SUBSTITUTE($AG16,",",REPT(" ",100)),1,100)))</f>
        <v/>
      </c>
      <c r="AI16">
        <f>IF($AG16="","",TRIM(MID(SUBSTITUTE($AG16,",",REPT(" ",100)),101,100)))</f>
        <v/>
      </c>
      <c r="AJ16">
        <f>IF($AG16="","",TRIM(MID(SUBSTITUTE($AG16,",",REPT(" ",100)),201,100)))</f>
        <v/>
      </c>
      <c r="AK16">
        <f>IF($AG16="","",TRIM(MID(SUBSTITUTE($AG16,",",REPT(" ",100)),301,100)))</f>
        <v/>
      </c>
      <c r="AL16">
        <f>IF($AG16="","",TRIM(MID(SUBSTITUTE($AG16,",",REPT(" ",100)),401,100)))</f>
        <v/>
      </c>
    </row>
    <row r="17">
      <c r="A17" s="45" t="n"/>
      <c r="B17" s="62" t="n"/>
      <c r="C17" s="45" t="n"/>
      <c r="D17" s="44" t="n"/>
      <c r="E17" s="45" t="n"/>
      <c r="F17" s="45" t="n"/>
      <c r="G17" s="63">
        <f>IF($A17="","",COUNTIF($L17:$AE17,"?*"))</f>
        <v/>
      </c>
      <c r="H17" s="64">
        <f>IF($A17="","",IFERROR(INDEX($L$4:$AE$4,MATCH("주담당",$L17:$AE17,0)),""))</f>
        <v/>
      </c>
      <c r="I17" s="65">
        <f>IF($A17="","",_xlfn.TEXTJOIN(", ",TRUE,IF($L17="","",L$4),IF($M17="","",M$4),IF($N17="","",N$4),IF($O17="","",O$4),IF($P17="","",P$4),IF($Q17="","",Q$4),IF($R17="","",R$4),IF($S17="","",S$4),IF($T17="","",T$4),IF($U17="","",U$4),IF($V17="","",V$4),IF($W17="","",W$4),IF($X17="","",X$4),IF($Y17="","",Y$4),IF($Z17="","",Z$4),IF($AA17="","",AA$4),IF($AB17="","",AB$4),IF($AC17="","",AC$4),IF($AD17="","",AD$4),IF($AE17="","",AE$4)))</f>
        <v/>
      </c>
      <c r="J17" s="62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G17">
        <f>IF($A17="","",_xlfn.TEXTJOIN(", ",TRUE,IF($L17="참여",L$4,""),IF($M17="참여",M$4,""),IF($N17="참여",N$4,""),IF($O17="참여",O$4,""),IF($P17="참여",P$4,""),IF($Q17="참여",Q$4,""),IF($R17="참여",R$4,""),IF($S17="참여",S$4,""),IF($T17="참여",T$4,""),IF($U17="참여",U$4,""),IF($V17="참여",V$4,""),IF($W17="참여",W$4,""),IF($X17="참여",X$4,""),IF($Y17="참여",Y$4,""),IF($Z17="참여",Z$4,""),IF($AA17="참여",AA$4,""),IF($AB17="참여",AB$4,""),IF($AC17="참여",AC$4,""),IF($AD17="참여",AD$4,""),IF($AE17="참여",AE$4,"")))</f>
        <v/>
      </c>
      <c r="AH17">
        <f>IF($AG17="","",TRIM(MID(SUBSTITUTE($AG17,",",REPT(" ",100)),1,100)))</f>
        <v/>
      </c>
      <c r="AI17">
        <f>IF($AG17="","",TRIM(MID(SUBSTITUTE($AG17,",",REPT(" ",100)),101,100)))</f>
        <v/>
      </c>
      <c r="AJ17">
        <f>IF($AG17="","",TRIM(MID(SUBSTITUTE($AG17,",",REPT(" ",100)),201,100)))</f>
        <v/>
      </c>
      <c r="AK17">
        <f>IF($AG17="","",TRIM(MID(SUBSTITUTE($AG17,",",REPT(" ",100)),301,100)))</f>
        <v/>
      </c>
      <c r="AL17">
        <f>IF($AG17="","",TRIM(MID(SUBSTITUTE($AG17,",",REPT(" ",100)),401,100)))</f>
        <v/>
      </c>
    </row>
    <row r="18">
      <c r="A18" s="45" t="n"/>
      <c r="B18" s="62" t="n"/>
      <c r="C18" s="45" t="n"/>
      <c r="D18" s="44" t="n"/>
      <c r="E18" s="45" t="n"/>
      <c r="F18" s="45" t="n"/>
      <c r="G18" s="63">
        <f>IF($A18="","",COUNTIF($L18:$AE18,"?*"))</f>
        <v/>
      </c>
      <c r="H18" s="64">
        <f>IF($A18="","",IFERROR(INDEX($L$4:$AE$4,MATCH("주담당",$L18:$AE18,0)),""))</f>
        <v/>
      </c>
      <c r="I18" s="65">
        <f>IF($A18="","",_xlfn.TEXTJOIN(", ",TRUE,IF($L18="","",L$4),IF($M18="","",M$4),IF($N18="","",N$4),IF($O18="","",O$4),IF($P18="","",P$4),IF($Q18="","",Q$4),IF($R18="","",R$4),IF($S18="","",S$4),IF($T18="","",T$4),IF($U18="","",U$4),IF($V18="","",V$4),IF($W18="","",W$4),IF($X18="","",X$4),IF($Y18="","",Y$4),IF($Z18="","",Z$4),IF($AA18="","",AA$4),IF($AB18="","",AB$4),IF($AC18="","",AC$4),IF($AD18="","",AD$4),IF($AE18="","",AE$4)))</f>
        <v/>
      </c>
      <c r="J18" s="62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G18">
        <f>IF($A18="","",_xlfn.TEXTJOIN(", ",TRUE,IF($L18="참여",L$4,""),IF($M18="참여",M$4,""),IF($N18="참여",N$4,""),IF($O18="참여",O$4,""),IF($P18="참여",P$4,""),IF($Q18="참여",Q$4,""),IF($R18="참여",R$4,""),IF($S18="참여",S$4,""),IF($T18="참여",T$4,""),IF($U18="참여",U$4,""),IF($V18="참여",V$4,""),IF($W18="참여",W$4,""),IF($X18="참여",X$4,""),IF($Y18="참여",Y$4,""),IF($Z18="참여",Z$4,""),IF($AA18="참여",AA$4,""),IF($AB18="참여",AB$4,""),IF($AC18="참여",AC$4,""),IF($AD18="참여",AD$4,""),IF($AE18="참여",AE$4,"")))</f>
        <v/>
      </c>
      <c r="AH18">
        <f>IF($AG18="","",TRIM(MID(SUBSTITUTE($AG18,",",REPT(" ",100)),1,100)))</f>
        <v/>
      </c>
      <c r="AI18">
        <f>IF($AG18="","",TRIM(MID(SUBSTITUTE($AG18,",",REPT(" ",100)),101,100)))</f>
        <v/>
      </c>
      <c r="AJ18">
        <f>IF($AG18="","",TRIM(MID(SUBSTITUTE($AG18,",",REPT(" ",100)),201,100)))</f>
        <v/>
      </c>
      <c r="AK18">
        <f>IF($AG18="","",TRIM(MID(SUBSTITUTE($AG18,",",REPT(" ",100)),301,100)))</f>
        <v/>
      </c>
      <c r="AL18">
        <f>IF($AG18="","",TRIM(MID(SUBSTITUTE($AG18,",",REPT(" ",100)),401,100)))</f>
        <v/>
      </c>
    </row>
    <row r="19">
      <c r="A19" s="45" t="n"/>
      <c r="B19" s="62" t="n"/>
      <c r="C19" s="45" t="n"/>
      <c r="D19" s="44" t="n"/>
      <c r="E19" s="45" t="n"/>
      <c r="F19" s="45" t="n"/>
      <c r="G19" s="63">
        <f>IF($A19="","",COUNTIF($L19:$AE19,"?*"))</f>
        <v/>
      </c>
      <c r="H19" s="64">
        <f>IF($A19="","",IFERROR(INDEX($L$4:$AE$4,MATCH("주담당",$L19:$AE19,0)),""))</f>
        <v/>
      </c>
      <c r="I19" s="65">
        <f>IF($A19="","",_xlfn.TEXTJOIN(", ",TRUE,IF($L19="","",L$4),IF($M19="","",M$4),IF($N19="","",N$4),IF($O19="","",O$4),IF($P19="","",P$4),IF($Q19="","",Q$4),IF($R19="","",R$4),IF($S19="","",S$4),IF($T19="","",T$4),IF($U19="","",U$4),IF($V19="","",V$4),IF($W19="","",W$4),IF($X19="","",X$4),IF($Y19="","",Y$4),IF($Z19="","",Z$4),IF($AA19="","",AA$4),IF($AB19="","",AB$4),IF($AC19="","",AC$4),IF($AD19="","",AD$4),IF($AE19="","",AE$4)))</f>
        <v/>
      </c>
      <c r="J19" s="62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G19">
        <f>IF($A19="","",_xlfn.TEXTJOIN(", ",TRUE,IF($L19="참여",L$4,""),IF($M19="참여",M$4,""),IF($N19="참여",N$4,""),IF($O19="참여",O$4,""),IF($P19="참여",P$4,""),IF($Q19="참여",Q$4,""),IF($R19="참여",R$4,""),IF($S19="참여",S$4,""),IF($T19="참여",T$4,""),IF($U19="참여",U$4,""),IF($V19="참여",V$4,""),IF($W19="참여",W$4,""),IF($X19="참여",X$4,""),IF($Y19="참여",Y$4,""),IF($Z19="참여",Z$4,""),IF($AA19="참여",AA$4,""),IF($AB19="참여",AB$4,""),IF($AC19="참여",AC$4,""),IF($AD19="참여",AD$4,""),IF($AE19="참여",AE$4,"")))</f>
        <v/>
      </c>
      <c r="AH19">
        <f>IF($AG19="","",TRIM(MID(SUBSTITUTE($AG19,",",REPT(" ",100)),1,100)))</f>
        <v/>
      </c>
      <c r="AI19">
        <f>IF($AG19="","",TRIM(MID(SUBSTITUTE($AG19,",",REPT(" ",100)),101,100)))</f>
        <v/>
      </c>
      <c r="AJ19">
        <f>IF($AG19="","",TRIM(MID(SUBSTITUTE($AG19,",",REPT(" ",100)),201,100)))</f>
        <v/>
      </c>
      <c r="AK19">
        <f>IF($AG19="","",TRIM(MID(SUBSTITUTE($AG19,",",REPT(" ",100)),301,100)))</f>
        <v/>
      </c>
      <c r="AL19">
        <f>IF($AG19="","",TRIM(MID(SUBSTITUTE($AG19,",",REPT(" ",100)),401,100)))</f>
        <v/>
      </c>
    </row>
    <row r="20">
      <c r="A20" s="45" t="n"/>
      <c r="B20" s="62" t="n"/>
      <c r="C20" s="45" t="n"/>
      <c r="D20" s="44" t="n"/>
      <c r="E20" s="45" t="n"/>
      <c r="F20" s="45" t="n"/>
      <c r="G20" s="63">
        <f>IF($A20="","",COUNTIF($L20:$AE20,"?*"))</f>
        <v/>
      </c>
      <c r="H20" s="64">
        <f>IF($A20="","",IFERROR(INDEX($L$4:$AE$4,MATCH("주담당",$L20:$AE20,0)),""))</f>
        <v/>
      </c>
      <c r="I20" s="65">
        <f>IF($A20="","",_xlfn.TEXTJOIN(", ",TRUE,IF($L20="","",L$4),IF($M20="","",M$4),IF($N20="","",N$4),IF($O20="","",O$4),IF($P20="","",P$4),IF($Q20="","",Q$4),IF($R20="","",R$4),IF($S20="","",S$4),IF($T20="","",T$4),IF($U20="","",U$4),IF($V20="","",V$4),IF($W20="","",W$4),IF($X20="","",X$4),IF($Y20="","",Y$4),IF($Z20="","",Z$4),IF($AA20="","",AA$4),IF($AB20="","",AB$4),IF($AC20="","",AC$4),IF($AD20="","",AD$4),IF($AE20="","",AE$4)))</f>
        <v/>
      </c>
      <c r="J20" s="62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G20">
        <f>IF($A20="","",_xlfn.TEXTJOIN(", ",TRUE,IF($L20="참여",L$4,""),IF($M20="참여",M$4,""),IF($N20="참여",N$4,""),IF($O20="참여",O$4,""),IF($P20="참여",P$4,""),IF($Q20="참여",Q$4,""),IF($R20="참여",R$4,""),IF($S20="참여",S$4,""),IF($T20="참여",T$4,""),IF($U20="참여",U$4,""),IF($V20="참여",V$4,""),IF($W20="참여",W$4,""),IF($X20="참여",X$4,""),IF($Y20="참여",Y$4,""),IF($Z20="참여",Z$4,""),IF($AA20="참여",AA$4,""),IF($AB20="참여",AB$4,""),IF($AC20="참여",AC$4,""),IF($AD20="참여",AD$4,""),IF($AE20="참여",AE$4,"")))</f>
        <v/>
      </c>
      <c r="AH20">
        <f>IF($AG20="","",TRIM(MID(SUBSTITUTE($AG20,",",REPT(" ",100)),1,100)))</f>
        <v/>
      </c>
      <c r="AI20">
        <f>IF($AG20="","",TRIM(MID(SUBSTITUTE($AG20,",",REPT(" ",100)),101,100)))</f>
        <v/>
      </c>
      <c r="AJ20">
        <f>IF($AG20="","",TRIM(MID(SUBSTITUTE($AG20,",",REPT(" ",100)),201,100)))</f>
        <v/>
      </c>
      <c r="AK20">
        <f>IF($AG20="","",TRIM(MID(SUBSTITUTE($AG20,",",REPT(" ",100)),301,100)))</f>
        <v/>
      </c>
      <c r="AL20">
        <f>IF($AG20="","",TRIM(MID(SUBSTITUTE($AG20,",",REPT(" ",100)),401,100)))</f>
        <v/>
      </c>
    </row>
    <row r="21">
      <c r="A21" s="45" t="n"/>
      <c r="B21" s="62" t="n"/>
      <c r="C21" s="45" t="n"/>
      <c r="D21" s="44" t="n"/>
      <c r="E21" s="45" t="n"/>
      <c r="F21" s="45" t="n"/>
      <c r="G21" s="63">
        <f>IF($A21="","",COUNTIF($L21:$AE21,"?*"))</f>
        <v/>
      </c>
      <c r="H21" s="64">
        <f>IF($A21="","",IFERROR(INDEX($L$4:$AE$4,MATCH("주담당",$L21:$AE21,0)),""))</f>
        <v/>
      </c>
      <c r="I21" s="65">
        <f>IF($A21="","",_xlfn.TEXTJOIN(", ",TRUE,IF($L21="","",L$4),IF($M21="","",M$4),IF($N21="","",N$4),IF($O21="","",O$4),IF($P21="","",P$4),IF($Q21="","",Q$4),IF($R21="","",R$4),IF($S21="","",S$4),IF($T21="","",T$4),IF($U21="","",U$4),IF($V21="","",V$4),IF($W21="","",W$4),IF($X21="","",X$4),IF($Y21="","",Y$4),IF($Z21="","",Z$4),IF($AA21="","",AA$4),IF($AB21="","",AB$4),IF($AC21="","",AC$4),IF($AD21="","",AD$4),IF($AE21="","",AE$4)))</f>
        <v/>
      </c>
      <c r="J21" s="62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G21">
        <f>IF($A21="","",_xlfn.TEXTJOIN(", ",TRUE,IF($L21="참여",L$4,""),IF($M21="참여",M$4,""),IF($N21="참여",N$4,""),IF($O21="참여",O$4,""),IF($P21="참여",P$4,""),IF($Q21="참여",Q$4,""),IF($R21="참여",R$4,""),IF($S21="참여",S$4,""),IF($T21="참여",T$4,""),IF($U21="참여",U$4,""),IF($V21="참여",V$4,""),IF($W21="참여",W$4,""),IF($X21="참여",X$4,""),IF($Y21="참여",Y$4,""),IF($Z21="참여",Z$4,""),IF($AA21="참여",AA$4,""),IF($AB21="참여",AB$4,""),IF($AC21="참여",AC$4,""),IF($AD21="참여",AD$4,""),IF($AE21="참여",AE$4,"")))</f>
        <v/>
      </c>
      <c r="AH21">
        <f>IF($AG21="","",TRIM(MID(SUBSTITUTE($AG21,",",REPT(" ",100)),1,100)))</f>
        <v/>
      </c>
      <c r="AI21">
        <f>IF($AG21="","",TRIM(MID(SUBSTITUTE($AG21,",",REPT(" ",100)),101,100)))</f>
        <v/>
      </c>
      <c r="AJ21">
        <f>IF($AG21="","",TRIM(MID(SUBSTITUTE($AG21,",",REPT(" ",100)),201,100)))</f>
        <v/>
      </c>
      <c r="AK21">
        <f>IF($AG21="","",TRIM(MID(SUBSTITUTE($AG21,",",REPT(" ",100)),301,100)))</f>
        <v/>
      </c>
      <c r="AL21">
        <f>IF($AG21="","",TRIM(MID(SUBSTITUTE($AG21,",",REPT(" ",100)),401,100)))</f>
        <v/>
      </c>
    </row>
    <row r="22">
      <c r="A22" s="45" t="n"/>
      <c r="B22" s="62" t="n"/>
      <c r="C22" s="45" t="n"/>
      <c r="D22" s="44" t="n"/>
      <c r="E22" s="45" t="n"/>
      <c r="F22" s="45" t="n"/>
      <c r="G22" s="63">
        <f>IF($A22="","",COUNTIF($L22:$AE22,"?*"))</f>
        <v/>
      </c>
      <c r="H22" s="64">
        <f>IF($A22="","",IFERROR(INDEX($L$4:$AE$4,MATCH("주담당",$L22:$AE22,0)),""))</f>
        <v/>
      </c>
      <c r="I22" s="65">
        <f>IF($A22="","",_xlfn.TEXTJOIN(", ",TRUE,IF($L22="","",L$4),IF($M22="","",M$4),IF($N22="","",N$4),IF($O22="","",O$4),IF($P22="","",P$4),IF($Q22="","",Q$4),IF($R22="","",R$4),IF($S22="","",S$4),IF($T22="","",T$4),IF($U22="","",U$4),IF($V22="","",V$4),IF($W22="","",W$4),IF($X22="","",X$4),IF($Y22="","",Y$4),IF($Z22="","",Z$4),IF($AA22="","",AA$4),IF($AB22="","",AB$4),IF($AC22="","",AC$4),IF($AD22="","",AD$4),IF($AE22="","",AE$4)))</f>
        <v/>
      </c>
      <c r="J22" s="62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G22">
        <f>IF($A22="","",_xlfn.TEXTJOIN(", ",TRUE,IF($L22="참여",L$4,""),IF($M22="참여",M$4,""),IF($N22="참여",N$4,""),IF($O22="참여",O$4,""),IF($P22="참여",P$4,""),IF($Q22="참여",Q$4,""),IF($R22="참여",R$4,""),IF($S22="참여",S$4,""),IF($T22="참여",T$4,""),IF($U22="참여",U$4,""),IF($V22="참여",V$4,""),IF($W22="참여",W$4,""),IF($X22="참여",X$4,""),IF($Y22="참여",Y$4,""),IF($Z22="참여",Z$4,""),IF($AA22="참여",AA$4,""),IF($AB22="참여",AB$4,""),IF($AC22="참여",AC$4,""),IF($AD22="참여",AD$4,""),IF($AE22="참여",AE$4,"")))</f>
        <v/>
      </c>
      <c r="AH22">
        <f>IF($AG22="","",TRIM(MID(SUBSTITUTE($AG22,",",REPT(" ",100)),1,100)))</f>
        <v/>
      </c>
      <c r="AI22">
        <f>IF($AG22="","",TRIM(MID(SUBSTITUTE($AG22,",",REPT(" ",100)),101,100)))</f>
        <v/>
      </c>
      <c r="AJ22">
        <f>IF($AG22="","",TRIM(MID(SUBSTITUTE($AG22,",",REPT(" ",100)),201,100)))</f>
        <v/>
      </c>
      <c r="AK22">
        <f>IF($AG22="","",TRIM(MID(SUBSTITUTE($AG22,",",REPT(" ",100)),301,100)))</f>
        <v/>
      </c>
      <c r="AL22">
        <f>IF($AG22="","",TRIM(MID(SUBSTITUTE($AG22,",",REPT(" ",100)),401,100)))</f>
        <v/>
      </c>
    </row>
    <row r="23">
      <c r="A23" s="45" t="n"/>
      <c r="B23" s="62" t="n"/>
      <c r="C23" s="45" t="n"/>
      <c r="D23" s="44" t="n"/>
      <c r="E23" s="45" t="n"/>
      <c r="F23" s="45" t="n"/>
      <c r="G23" s="63">
        <f>IF($A23="","",COUNTIF($L23:$AE23,"?*"))</f>
        <v/>
      </c>
      <c r="H23" s="64">
        <f>IF($A23="","",IFERROR(INDEX($L$4:$AE$4,MATCH("주담당",$L23:$AE23,0)),""))</f>
        <v/>
      </c>
      <c r="I23" s="65">
        <f>IF($A23="","",_xlfn.TEXTJOIN(", ",TRUE,IF($L23="","",L$4),IF($M23="","",M$4),IF($N23="","",N$4),IF($O23="","",O$4),IF($P23="","",P$4),IF($Q23="","",Q$4),IF($R23="","",R$4),IF($S23="","",S$4),IF($T23="","",T$4),IF($U23="","",U$4),IF($V23="","",V$4),IF($W23="","",W$4),IF($X23="","",X$4),IF($Y23="","",Y$4),IF($Z23="","",Z$4),IF($AA23="","",AA$4),IF($AB23="","",AB$4),IF($AC23="","",AC$4),IF($AD23="","",AD$4),IF($AE23="","",AE$4)))</f>
        <v/>
      </c>
      <c r="J23" s="62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G23">
        <f>IF($A23="","",_xlfn.TEXTJOIN(", ",TRUE,IF($L23="참여",L$4,""),IF($M23="참여",M$4,""),IF($N23="참여",N$4,""),IF($O23="참여",O$4,""),IF($P23="참여",P$4,""),IF($Q23="참여",Q$4,""),IF($R23="참여",R$4,""),IF($S23="참여",S$4,""),IF($T23="참여",T$4,""),IF($U23="참여",U$4,""),IF($V23="참여",V$4,""),IF($W23="참여",W$4,""),IF($X23="참여",X$4,""),IF($Y23="참여",Y$4,""),IF($Z23="참여",Z$4,""),IF($AA23="참여",AA$4,""),IF($AB23="참여",AB$4,""),IF($AC23="참여",AC$4,""),IF($AD23="참여",AD$4,""),IF($AE23="참여",AE$4,"")))</f>
        <v/>
      </c>
      <c r="AH23">
        <f>IF($AG23="","",TRIM(MID(SUBSTITUTE($AG23,",",REPT(" ",100)),1,100)))</f>
        <v/>
      </c>
      <c r="AI23">
        <f>IF($AG23="","",TRIM(MID(SUBSTITUTE($AG23,",",REPT(" ",100)),101,100)))</f>
        <v/>
      </c>
      <c r="AJ23">
        <f>IF($AG23="","",TRIM(MID(SUBSTITUTE($AG23,",",REPT(" ",100)),201,100)))</f>
        <v/>
      </c>
      <c r="AK23">
        <f>IF($AG23="","",TRIM(MID(SUBSTITUTE($AG23,",",REPT(" ",100)),301,100)))</f>
        <v/>
      </c>
      <c r="AL23">
        <f>IF($AG23="","",TRIM(MID(SUBSTITUTE($AG23,",",REPT(" ",100)),401,100)))</f>
        <v/>
      </c>
    </row>
    <row r="24">
      <c r="A24" s="45" t="n"/>
      <c r="B24" s="62" t="n"/>
      <c r="C24" s="45" t="n"/>
      <c r="D24" s="44" t="n"/>
      <c r="E24" s="45" t="n"/>
      <c r="F24" s="45" t="n"/>
      <c r="G24" s="63">
        <f>IF($A24="","",COUNTIF($L24:$AE24,"?*"))</f>
        <v/>
      </c>
      <c r="H24" s="64">
        <f>IF($A24="","",IFERROR(INDEX($L$4:$AE$4,MATCH("주담당",$L24:$AE24,0)),""))</f>
        <v/>
      </c>
      <c r="I24" s="65">
        <f>IF($A24="","",_xlfn.TEXTJOIN(", ",TRUE,IF($L24="","",L$4),IF($M24="","",M$4),IF($N24="","",N$4),IF($O24="","",O$4),IF($P24="","",P$4),IF($Q24="","",Q$4),IF($R24="","",R$4),IF($S24="","",S$4),IF($T24="","",T$4),IF($U24="","",U$4),IF($V24="","",V$4),IF($W24="","",W$4),IF($X24="","",X$4),IF($Y24="","",Y$4),IF($Z24="","",Z$4),IF($AA24="","",AA$4),IF($AB24="","",AB$4),IF($AC24="","",AC$4),IF($AD24="","",AD$4),IF($AE24="","",AE$4)))</f>
        <v/>
      </c>
      <c r="J24" s="62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G24">
        <f>IF($A24="","",_xlfn.TEXTJOIN(", ",TRUE,IF($L24="참여",L$4,""),IF($M24="참여",M$4,""),IF($N24="참여",N$4,""),IF($O24="참여",O$4,""),IF($P24="참여",P$4,""),IF($Q24="참여",Q$4,""),IF($R24="참여",R$4,""),IF($S24="참여",S$4,""),IF($T24="참여",T$4,""),IF($U24="참여",U$4,""),IF($V24="참여",V$4,""),IF($W24="참여",W$4,""),IF($X24="참여",X$4,""),IF($Y24="참여",Y$4,""),IF($Z24="참여",Z$4,""),IF($AA24="참여",AA$4,""),IF($AB24="참여",AB$4,""),IF($AC24="참여",AC$4,""),IF($AD24="참여",AD$4,""),IF($AE24="참여",AE$4,"")))</f>
        <v/>
      </c>
      <c r="AH24">
        <f>IF($AG24="","",TRIM(MID(SUBSTITUTE($AG24,",",REPT(" ",100)),1,100)))</f>
        <v/>
      </c>
      <c r="AI24">
        <f>IF($AG24="","",TRIM(MID(SUBSTITUTE($AG24,",",REPT(" ",100)),101,100)))</f>
        <v/>
      </c>
      <c r="AJ24">
        <f>IF($AG24="","",TRIM(MID(SUBSTITUTE($AG24,",",REPT(" ",100)),201,100)))</f>
        <v/>
      </c>
      <c r="AK24">
        <f>IF($AG24="","",TRIM(MID(SUBSTITUTE($AG24,",",REPT(" ",100)),301,100)))</f>
        <v/>
      </c>
      <c r="AL24">
        <f>IF($AG24="","",TRIM(MID(SUBSTITUTE($AG24,",",REPT(" ",100)),401,100)))</f>
        <v/>
      </c>
    </row>
    <row r="25">
      <c r="A25" s="45" t="n"/>
      <c r="B25" s="62" t="n"/>
      <c r="C25" s="45" t="n"/>
      <c r="D25" s="44" t="n"/>
      <c r="E25" s="45" t="n"/>
      <c r="F25" s="45" t="n"/>
      <c r="G25" s="63">
        <f>IF($A25="","",COUNTIF($L25:$AE25,"?*"))</f>
        <v/>
      </c>
      <c r="H25" s="64">
        <f>IF($A25="","",IFERROR(INDEX($L$4:$AE$4,MATCH("주담당",$L25:$AE25,0)),""))</f>
        <v/>
      </c>
      <c r="I25" s="65">
        <f>IF($A25="","",_xlfn.TEXTJOIN(", ",TRUE,IF($L25="","",L$4),IF($M25="","",M$4),IF($N25="","",N$4),IF($O25="","",O$4),IF($P25="","",P$4),IF($Q25="","",Q$4),IF($R25="","",R$4),IF($S25="","",S$4),IF($T25="","",T$4),IF($U25="","",U$4),IF($V25="","",V$4),IF($W25="","",W$4),IF($X25="","",X$4),IF($Y25="","",Y$4),IF($Z25="","",Z$4),IF($AA25="","",AA$4),IF($AB25="","",AB$4),IF($AC25="","",AC$4),IF($AD25="","",AD$4),IF($AE25="","",AE$4)))</f>
        <v/>
      </c>
      <c r="J25" s="62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G25">
        <f>IF($A25="","",_xlfn.TEXTJOIN(", ",TRUE,IF($L25="참여",L$4,""),IF($M25="참여",M$4,""),IF($N25="참여",N$4,""),IF($O25="참여",O$4,""),IF($P25="참여",P$4,""),IF($Q25="참여",Q$4,""),IF($R25="참여",R$4,""),IF($S25="참여",S$4,""),IF($T25="참여",T$4,""),IF($U25="참여",U$4,""),IF($V25="참여",V$4,""),IF($W25="참여",W$4,""),IF($X25="참여",X$4,""),IF($Y25="참여",Y$4,""),IF($Z25="참여",Z$4,""),IF($AA25="참여",AA$4,""),IF($AB25="참여",AB$4,""),IF($AC25="참여",AC$4,""),IF($AD25="참여",AD$4,""),IF($AE25="참여",AE$4,"")))</f>
        <v/>
      </c>
      <c r="AH25">
        <f>IF($AG25="","",TRIM(MID(SUBSTITUTE($AG25,",",REPT(" ",100)),1,100)))</f>
        <v/>
      </c>
      <c r="AI25">
        <f>IF($AG25="","",TRIM(MID(SUBSTITUTE($AG25,",",REPT(" ",100)),101,100)))</f>
        <v/>
      </c>
      <c r="AJ25">
        <f>IF($AG25="","",TRIM(MID(SUBSTITUTE($AG25,",",REPT(" ",100)),201,100)))</f>
        <v/>
      </c>
      <c r="AK25">
        <f>IF($AG25="","",TRIM(MID(SUBSTITUTE($AG25,",",REPT(" ",100)),301,100)))</f>
        <v/>
      </c>
      <c r="AL25">
        <f>IF($AG25="","",TRIM(MID(SUBSTITUTE($AG25,",",REPT(" ",100)),401,100)))</f>
        <v/>
      </c>
    </row>
    <row r="26">
      <c r="A26" s="45" t="n"/>
      <c r="B26" s="62" t="n"/>
      <c r="C26" s="45" t="n"/>
      <c r="D26" s="44" t="n"/>
      <c r="E26" s="45" t="n"/>
      <c r="F26" s="45" t="n"/>
      <c r="G26" s="63">
        <f>IF($A26="","",COUNTIF($L26:$AE26,"?*"))</f>
        <v/>
      </c>
      <c r="H26" s="64">
        <f>IF($A26="","",IFERROR(INDEX($L$4:$AE$4,MATCH("주담당",$L26:$AE26,0)),""))</f>
        <v/>
      </c>
      <c r="I26" s="65">
        <f>IF($A26="","",_xlfn.TEXTJOIN(", ",TRUE,IF($L26="","",L$4),IF($M26="","",M$4),IF($N26="","",N$4),IF($O26="","",O$4),IF($P26="","",P$4),IF($Q26="","",Q$4),IF($R26="","",R$4),IF($S26="","",S$4),IF($T26="","",T$4),IF($U26="","",U$4),IF($V26="","",V$4),IF($W26="","",W$4),IF($X26="","",X$4),IF($Y26="","",Y$4),IF($Z26="","",Z$4),IF($AA26="","",AA$4),IF($AB26="","",AB$4),IF($AC26="","",AC$4),IF($AD26="","",AD$4),IF($AE26="","",AE$4)))</f>
        <v/>
      </c>
      <c r="J26" s="62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G26">
        <f>IF($A26="","",_xlfn.TEXTJOIN(", ",TRUE,IF($L26="참여",L$4,""),IF($M26="참여",M$4,""),IF($N26="참여",N$4,""),IF($O26="참여",O$4,""),IF($P26="참여",P$4,""),IF($Q26="참여",Q$4,""),IF($R26="참여",R$4,""),IF($S26="참여",S$4,""),IF($T26="참여",T$4,""),IF($U26="참여",U$4,""),IF($V26="참여",V$4,""),IF($W26="참여",W$4,""),IF($X26="참여",X$4,""),IF($Y26="참여",Y$4,""),IF($Z26="참여",Z$4,""),IF($AA26="참여",AA$4,""),IF($AB26="참여",AB$4,""),IF($AC26="참여",AC$4,""),IF($AD26="참여",AD$4,""),IF($AE26="참여",AE$4,"")))</f>
        <v/>
      </c>
      <c r="AH26">
        <f>IF($AG26="","",TRIM(MID(SUBSTITUTE($AG26,",",REPT(" ",100)),1,100)))</f>
        <v/>
      </c>
      <c r="AI26">
        <f>IF($AG26="","",TRIM(MID(SUBSTITUTE($AG26,",",REPT(" ",100)),101,100)))</f>
        <v/>
      </c>
      <c r="AJ26">
        <f>IF($AG26="","",TRIM(MID(SUBSTITUTE($AG26,",",REPT(" ",100)),201,100)))</f>
        <v/>
      </c>
      <c r="AK26">
        <f>IF($AG26="","",TRIM(MID(SUBSTITUTE($AG26,",",REPT(" ",100)),301,100)))</f>
        <v/>
      </c>
      <c r="AL26">
        <f>IF($AG26="","",TRIM(MID(SUBSTITUTE($AG26,",",REPT(" ",100)),401,100)))</f>
        <v/>
      </c>
    </row>
    <row r="27">
      <c r="A27" s="45" t="n"/>
      <c r="B27" s="62" t="n"/>
      <c r="C27" s="45" t="n"/>
      <c r="D27" s="44" t="n"/>
      <c r="E27" s="45" t="n"/>
      <c r="F27" s="45" t="n"/>
      <c r="G27" s="63">
        <f>IF($A27="","",COUNTIF($L27:$AE27,"?*"))</f>
        <v/>
      </c>
      <c r="H27" s="64">
        <f>IF($A27="","",IFERROR(INDEX($L$4:$AE$4,MATCH("주담당",$L27:$AE27,0)),""))</f>
        <v/>
      </c>
      <c r="I27" s="65">
        <f>IF($A27="","",_xlfn.TEXTJOIN(", ",TRUE,IF($L27="","",L$4),IF($M27="","",M$4),IF($N27="","",N$4),IF($O27="","",O$4),IF($P27="","",P$4),IF($Q27="","",Q$4),IF($R27="","",R$4),IF($S27="","",S$4),IF($T27="","",T$4),IF($U27="","",U$4),IF($V27="","",V$4),IF($W27="","",W$4),IF($X27="","",X$4),IF($Y27="","",Y$4),IF($Z27="","",Z$4),IF($AA27="","",AA$4),IF($AB27="","",AB$4),IF($AC27="","",AC$4),IF($AD27="","",AD$4),IF($AE27="","",AE$4)))</f>
        <v/>
      </c>
      <c r="J27" s="62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G27">
        <f>IF($A27="","",_xlfn.TEXTJOIN(", ",TRUE,IF($L27="참여",L$4,""),IF($M27="참여",M$4,""),IF($N27="참여",N$4,""),IF($O27="참여",O$4,""),IF($P27="참여",P$4,""),IF($Q27="참여",Q$4,""),IF($R27="참여",R$4,""),IF($S27="참여",S$4,""),IF($T27="참여",T$4,""),IF($U27="참여",U$4,""),IF($V27="참여",V$4,""),IF($W27="참여",W$4,""),IF($X27="참여",X$4,""),IF($Y27="참여",Y$4,""),IF($Z27="참여",Z$4,""),IF($AA27="참여",AA$4,""),IF($AB27="참여",AB$4,""),IF($AC27="참여",AC$4,""),IF($AD27="참여",AD$4,""),IF($AE27="참여",AE$4,"")))</f>
        <v/>
      </c>
      <c r="AH27">
        <f>IF($AG27="","",TRIM(MID(SUBSTITUTE($AG27,",",REPT(" ",100)),1,100)))</f>
        <v/>
      </c>
      <c r="AI27">
        <f>IF($AG27="","",TRIM(MID(SUBSTITUTE($AG27,",",REPT(" ",100)),101,100)))</f>
        <v/>
      </c>
      <c r="AJ27">
        <f>IF($AG27="","",TRIM(MID(SUBSTITUTE($AG27,",",REPT(" ",100)),201,100)))</f>
        <v/>
      </c>
      <c r="AK27">
        <f>IF($AG27="","",TRIM(MID(SUBSTITUTE($AG27,",",REPT(" ",100)),301,100)))</f>
        <v/>
      </c>
      <c r="AL27">
        <f>IF($AG27="","",TRIM(MID(SUBSTITUTE($AG27,",",REPT(" ",100)),401,100)))</f>
        <v/>
      </c>
    </row>
    <row r="28">
      <c r="A28" s="45" t="n"/>
      <c r="B28" s="62" t="n"/>
      <c r="C28" s="45" t="n"/>
      <c r="D28" s="44" t="n"/>
      <c r="E28" s="45" t="n"/>
      <c r="F28" s="45" t="n"/>
      <c r="G28" s="63">
        <f>IF($A28="","",COUNTIF($L28:$AE28,"?*"))</f>
        <v/>
      </c>
      <c r="H28" s="64">
        <f>IF($A28="","",IFERROR(INDEX($L$4:$AE$4,MATCH("주담당",$L28:$AE28,0)),""))</f>
        <v/>
      </c>
      <c r="I28" s="65">
        <f>IF($A28="","",_xlfn.TEXTJOIN(", ",TRUE,IF($L28="","",L$4),IF($M28="","",M$4),IF($N28="","",N$4),IF($O28="","",O$4),IF($P28="","",P$4),IF($Q28="","",Q$4),IF($R28="","",R$4),IF($S28="","",S$4),IF($T28="","",T$4),IF($U28="","",U$4),IF($V28="","",V$4),IF($W28="","",W$4),IF($X28="","",X$4),IF($Y28="","",Y$4),IF($Z28="","",Z$4),IF($AA28="","",AA$4),IF($AB28="","",AB$4),IF($AC28="","",AC$4),IF($AD28="","",AD$4),IF($AE28="","",AE$4)))</f>
        <v/>
      </c>
      <c r="J28" s="62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G28">
        <f>IF($A28="","",_xlfn.TEXTJOIN(", ",TRUE,IF($L28="참여",L$4,""),IF($M28="참여",M$4,""),IF($N28="참여",N$4,""),IF($O28="참여",O$4,""),IF($P28="참여",P$4,""),IF($Q28="참여",Q$4,""),IF($R28="참여",R$4,""),IF($S28="참여",S$4,""),IF($T28="참여",T$4,""),IF($U28="참여",U$4,""),IF($V28="참여",V$4,""),IF($W28="참여",W$4,""),IF($X28="참여",X$4,""),IF($Y28="참여",Y$4,""),IF($Z28="참여",Z$4,""),IF($AA28="참여",AA$4,""),IF($AB28="참여",AB$4,""),IF($AC28="참여",AC$4,""),IF($AD28="참여",AD$4,""),IF($AE28="참여",AE$4,"")))</f>
        <v/>
      </c>
      <c r="AH28">
        <f>IF($AG28="","",TRIM(MID(SUBSTITUTE($AG28,",",REPT(" ",100)),1,100)))</f>
        <v/>
      </c>
      <c r="AI28">
        <f>IF($AG28="","",TRIM(MID(SUBSTITUTE($AG28,",",REPT(" ",100)),101,100)))</f>
        <v/>
      </c>
      <c r="AJ28">
        <f>IF($AG28="","",TRIM(MID(SUBSTITUTE($AG28,",",REPT(" ",100)),201,100)))</f>
        <v/>
      </c>
      <c r="AK28">
        <f>IF($AG28="","",TRIM(MID(SUBSTITUTE($AG28,",",REPT(" ",100)),301,100)))</f>
        <v/>
      </c>
      <c r="AL28">
        <f>IF($AG28="","",TRIM(MID(SUBSTITUTE($AG28,",",REPT(" ",100)),401,100)))</f>
        <v/>
      </c>
    </row>
    <row r="29">
      <c r="A29" s="45" t="n"/>
      <c r="B29" s="62" t="n"/>
      <c r="C29" s="45" t="n"/>
      <c r="D29" s="44" t="n"/>
      <c r="E29" s="45" t="n"/>
      <c r="F29" s="45" t="n"/>
      <c r="G29" s="63">
        <f>IF($A29="","",COUNTIF($L29:$AE29,"?*"))</f>
        <v/>
      </c>
      <c r="H29" s="64">
        <f>IF($A29="","",IFERROR(INDEX($L$4:$AE$4,MATCH("주담당",$L29:$AE29,0)),""))</f>
        <v/>
      </c>
      <c r="I29" s="65">
        <f>IF($A29="","",_xlfn.TEXTJOIN(", ",TRUE,IF($L29="","",L$4),IF($M29="","",M$4),IF($N29="","",N$4),IF($O29="","",O$4),IF($P29="","",P$4),IF($Q29="","",Q$4),IF($R29="","",R$4),IF($S29="","",S$4),IF($T29="","",T$4),IF($U29="","",U$4),IF($V29="","",V$4),IF($W29="","",W$4),IF($X29="","",X$4),IF($Y29="","",Y$4),IF($Z29="","",Z$4),IF($AA29="","",AA$4),IF($AB29="","",AB$4),IF($AC29="","",AC$4),IF($AD29="","",AD$4),IF($AE29="","",AE$4)))</f>
        <v/>
      </c>
      <c r="J29" s="62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G29">
        <f>IF($A29="","",_xlfn.TEXTJOIN(", ",TRUE,IF($L29="참여",L$4,""),IF($M29="참여",M$4,""),IF($N29="참여",N$4,""),IF($O29="참여",O$4,""),IF($P29="참여",P$4,""),IF($Q29="참여",Q$4,""),IF($R29="참여",R$4,""),IF($S29="참여",S$4,""),IF($T29="참여",T$4,""),IF($U29="참여",U$4,""),IF($V29="참여",V$4,""),IF($W29="참여",W$4,""),IF($X29="참여",X$4,""),IF($Y29="참여",Y$4,""),IF($Z29="참여",Z$4,""),IF($AA29="참여",AA$4,""),IF($AB29="참여",AB$4,""),IF($AC29="참여",AC$4,""),IF($AD29="참여",AD$4,""),IF($AE29="참여",AE$4,"")))</f>
        <v/>
      </c>
      <c r="AH29">
        <f>IF($AG29="","",TRIM(MID(SUBSTITUTE($AG29,",",REPT(" ",100)),1,100)))</f>
        <v/>
      </c>
      <c r="AI29">
        <f>IF($AG29="","",TRIM(MID(SUBSTITUTE($AG29,",",REPT(" ",100)),101,100)))</f>
        <v/>
      </c>
      <c r="AJ29">
        <f>IF($AG29="","",TRIM(MID(SUBSTITUTE($AG29,",",REPT(" ",100)),201,100)))</f>
        <v/>
      </c>
      <c r="AK29">
        <f>IF($AG29="","",TRIM(MID(SUBSTITUTE($AG29,",",REPT(" ",100)),301,100)))</f>
        <v/>
      </c>
      <c r="AL29">
        <f>IF($AG29="","",TRIM(MID(SUBSTITUTE($AG29,",",REPT(" ",100)),401,100)))</f>
        <v/>
      </c>
    </row>
    <row r="30">
      <c r="A30" s="45" t="n"/>
      <c r="B30" s="62" t="n"/>
      <c r="C30" s="45" t="n"/>
      <c r="D30" s="44" t="n"/>
      <c r="E30" s="45" t="n"/>
      <c r="F30" s="45" t="n"/>
      <c r="G30" s="63">
        <f>IF($A30="","",COUNTIF($L30:$AE30,"?*"))</f>
        <v/>
      </c>
      <c r="H30" s="64">
        <f>IF($A30="","",IFERROR(INDEX($L$4:$AE$4,MATCH("주담당",$L30:$AE30,0)),""))</f>
        <v/>
      </c>
      <c r="I30" s="65">
        <f>IF($A30="","",_xlfn.TEXTJOIN(", ",TRUE,IF($L30="","",L$4),IF($M30="","",M$4),IF($N30="","",N$4),IF($O30="","",O$4),IF($P30="","",P$4),IF($Q30="","",Q$4),IF($R30="","",R$4),IF($S30="","",S$4),IF($T30="","",T$4),IF($U30="","",U$4),IF($V30="","",V$4),IF($W30="","",W$4),IF($X30="","",X$4),IF($Y30="","",Y$4),IF($Z30="","",Z$4),IF($AA30="","",AA$4),IF($AB30="","",AB$4),IF($AC30="","",AC$4),IF($AD30="","",AD$4),IF($AE30="","",AE$4)))</f>
        <v/>
      </c>
      <c r="J30" s="62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G30">
        <f>IF($A30="","",_xlfn.TEXTJOIN(", ",TRUE,IF($L30="참여",L$4,""),IF($M30="참여",M$4,""),IF($N30="참여",N$4,""),IF($O30="참여",O$4,""),IF($P30="참여",P$4,""),IF($Q30="참여",Q$4,""),IF($R30="참여",R$4,""),IF($S30="참여",S$4,""),IF($T30="참여",T$4,""),IF($U30="참여",U$4,""),IF($V30="참여",V$4,""),IF($W30="참여",W$4,""),IF($X30="참여",X$4,""),IF($Y30="참여",Y$4,""),IF($Z30="참여",Z$4,""),IF($AA30="참여",AA$4,""),IF($AB30="참여",AB$4,""),IF($AC30="참여",AC$4,""),IF($AD30="참여",AD$4,""),IF($AE30="참여",AE$4,"")))</f>
        <v/>
      </c>
      <c r="AH30">
        <f>IF($AG30="","",TRIM(MID(SUBSTITUTE($AG30,",",REPT(" ",100)),1,100)))</f>
        <v/>
      </c>
      <c r="AI30">
        <f>IF($AG30="","",TRIM(MID(SUBSTITUTE($AG30,",",REPT(" ",100)),101,100)))</f>
        <v/>
      </c>
      <c r="AJ30">
        <f>IF($AG30="","",TRIM(MID(SUBSTITUTE($AG30,",",REPT(" ",100)),201,100)))</f>
        <v/>
      </c>
      <c r="AK30">
        <f>IF($AG30="","",TRIM(MID(SUBSTITUTE($AG30,",",REPT(" ",100)),301,100)))</f>
        <v/>
      </c>
      <c r="AL30">
        <f>IF($AG30="","",TRIM(MID(SUBSTITUTE($AG30,",",REPT(" ",100)),401,100)))</f>
        <v/>
      </c>
    </row>
    <row r="31">
      <c r="A31" s="45" t="n"/>
      <c r="B31" s="62" t="n"/>
      <c r="C31" s="45" t="n"/>
      <c r="D31" s="44" t="n"/>
      <c r="E31" s="45" t="n"/>
      <c r="F31" s="45" t="n"/>
      <c r="G31" s="63">
        <f>IF($A31="","",COUNTIF($L31:$AE31,"?*"))</f>
        <v/>
      </c>
      <c r="H31" s="64">
        <f>IF($A31="","",IFERROR(INDEX($L$4:$AE$4,MATCH("주담당",$L31:$AE31,0)),""))</f>
        <v/>
      </c>
      <c r="I31" s="65">
        <f>IF($A31="","",_xlfn.TEXTJOIN(", ",TRUE,IF($L31="","",L$4),IF($M31="","",M$4),IF($N31="","",N$4),IF($O31="","",O$4),IF($P31="","",P$4),IF($Q31="","",Q$4),IF($R31="","",R$4),IF($S31="","",S$4),IF($T31="","",T$4),IF($U31="","",U$4),IF($V31="","",V$4),IF($W31="","",W$4),IF($X31="","",X$4),IF($Y31="","",Y$4),IF($Z31="","",Z$4),IF($AA31="","",AA$4),IF($AB31="","",AB$4),IF($AC31="","",AC$4),IF($AD31="","",AD$4),IF($AE31="","",AE$4)))</f>
        <v/>
      </c>
      <c r="J31" s="62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G31">
        <f>IF($A31="","",_xlfn.TEXTJOIN(", ",TRUE,IF($L31="참여",L$4,""),IF($M31="참여",M$4,""),IF($N31="참여",N$4,""),IF($O31="참여",O$4,""),IF($P31="참여",P$4,""),IF($Q31="참여",Q$4,""),IF($R31="참여",R$4,""),IF($S31="참여",S$4,""),IF($T31="참여",T$4,""),IF($U31="참여",U$4,""),IF($V31="참여",V$4,""),IF($W31="참여",W$4,""),IF($X31="참여",X$4,""),IF($Y31="참여",Y$4,""),IF($Z31="참여",Z$4,""),IF($AA31="참여",AA$4,""),IF($AB31="참여",AB$4,""),IF($AC31="참여",AC$4,""),IF($AD31="참여",AD$4,""),IF($AE31="참여",AE$4,"")))</f>
        <v/>
      </c>
      <c r="AH31">
        <f>IF($AG31="","",TRIM(MID(SUBSTITUTE($AG31,",",REPT(" ",100)),1,100)))</f>
        <v/>
      </c>
      <c r="AI31">
        <f>IF($AG31="","",TRIM(MID(SUBSTITUTE($AG31,",",REPT(" ",100)),101,100)))</f>
        <v/>
      </c>
      <c r="AJ31">
        <f>IF($AG31="","",TRIM(MID(SUBSTITUTE($AG31,",",REPT(" ",100)),201,100)))</f>
        <v/>
      </c>
      <c r="AK31">
        <f>IF($AG31="","",TRIM(MID(SUBSTITUTE($AG31,",",REPT(" ",100)),301,100)))</f>
        <v/>
      </c>
      <c r="AL31">
        <f>IF($AG31="","",TRIM(MID(SUBSTITUTE($AG31,",",REPT(" ",100)),401,100)))</f>
        <v/>
      </c>
    </row>
    <row r="32">
      <c r="A32" s="45" t="n"/>
      <c r="B32" s="62" t="n"/>
      <c r="C32" s="45" t="n"/>
      <c r="D32" s="44" t="n"/>
      <c r="E32" s="45" t="n"/>
      <c r="F32" s="45" t="n"/>
      <c r="G32" s="63">
        <f>IF($A32="","",COUNTIF($L32:$AE32,"?*"))</f>
        <v/>
      </c>
      <c r="H32" s="64">
        <f>IF($A32="","",IFERROR(INDEX($L$4:$AE$4,MATCH("주담당",$L32:$AE32,0)),""))</f>
        <v/>
      </c>
      <c r="I32" s="65">
        <f>IF($A32="","",_xlfn.TEXTJOIN(", ",TRUE,IF($L32="","",L$4),IF($M32="","",M$4),IF($N32="","",N$4),IF($O32="","",O$4),IF($P32="","",P$4),IF($Q32="","",Q$4),IF($R32="","",R$4),IF($S32="","",S$4),IF($T32="","",T$4),IF($U32="","",U$4),IF($V32="","",V$4),IF($W32="","",W$4),IF($X32="","",X$4),IF($Y32="","",Y$4),IF($Z32="","",Z$4),IF($AA32="","",AA$4),IF($AB32="","",AB$4),IF($AC32="","",AC$4),IF($AD32="","",AD$4),IF($AE32="","",AE$4)))</f>
        <v/>
      </c>
      <c r="J32" s="62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G32">
        <f>IF($A32="","",_xlfn.TEXTJOIN(", ",TRUE,IF($L32="참여",L$4,""),IF($M32="참여",M$4,""),IF($N32="참여",N$4,""),IF($O32="참여",O$4,""),IF($P32="참여",P$4,""),IF($Q32="참여",Q$4,""),IF($R32="참여",R$4,""),IF($S32="참여",S$4,""),IF($T32="참여",T$4,""),IF($U32="참여",U$4,""),IF($V32="참여",V$4,""),IF($W32="참여",W$4,""),IF($X32="참여",X$4,""),IF($Y32="참여",Y$4,""),IF($Z32="참여",Z$4,""),IF($AA32="참여",AA$4,""),IF($AB32="참여",AB$4,""),IF($AC32="참여",AC$4,""),IF($AD32="참여",AD$4,""),IF($AE32="참여",AE$4,"")))</f>
        <v/>
      </c>
      <c r="AH32">
        <f>IF($AG32="","",TRIM(MID(SUBSTITUTE($AG32,",",REPT(" ",100)),1,100)))</f>
        <v/>
      </c>
      <c r="AI32">
        <f>IF($AG32="","",TRIM(MID(SUBSTITUTE($AG32,",",REPT(" ",100)),101,100)))</f>
        <v/>
      </c>
      <c r="AJ32">
        <f>IF($AG32="","",TRIM(MID(SUBSTITUTE($AG32,",",REPT(" ",100)),201,100)))</f>
        <v/>
      </c>
      <c r="AK32">
        <f>IF($AG32="","",TRIM(MID(SUBSTITUTE($AG32,",",REPT(" ",100)),301,100)))</f>
        <v/>
      </c>
      <c r="AL32">
        <f>IF($AG32="","",TRIM(MID(SUBSTITUTE($AG32,",",REPT(" ",100)),401,100)))</f>
        <v/>
      </c>
    </row>
    <row r="33">
      <c r="A33" s="45" t="n"/>
      <c r="B33" s="62" t="n"/>
      <c r="C33" s="45" t="n"/>
      <c r="D33" s="44" t="n"/>
      <c r="E33" s="45" t="n"/>
      <c r="F33" s="45" t="n"/>
      <c r="G33" s="63">
        <f>IF($A33="","",COUNTIF($L33:$AE33,"?*"))</f>
        <v/>
      </c>
      <c r="H33" s="64">
        <f>IF($A33="","",IFERROR(INDEX($L$4:$AE$4,MATCH("주담당",$L33:$AE33,0)),""))</f>
        <v/>
      </c>
      <c r="I33" s="65">
        <f>IF($A33="","",_xlfn.TEXTJOIN(", ",TRUE,IF($L33="","",L$4),IF($M33="","",M$4),IF($N33="","",N$4),IF($O33="","",O$4),IF($P33="","",P$4),IF($Q33="","",Q$4),IF($R33="","",R$4),IF($S33="","",S$4),IF($T33="","",T$4),IF($U33="","",U$4),IF($V33="","",V$4),IF($W33="","",W$4),IF($X33="","",X$4),IF($Y33="","",Y$4),IF($Z33="","",Z$4),IF($AA33="","",AA$4),IF($AB33="","",AB$4),IF($AC33="","",AC$4),IF($AD33="","",AD$4),IF($AE33="","",AE$4)))</f>
        <v/>
      </c>
      <c r="J33" s="62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G33">
        <f>IF($A33="","",_xlfn.TEXTJOIN(", ",TRUE,IF($L33="참여",L$4,""),IF($M33="참여",M$4,""),IF($N33="참여",N$4,""),IF($O33="참여",O$4,""),IF($P33="참여",P$4,""),IF($Q33="참여",Q$4,""),IF($R33="참여",R$4,""),IF($S33="참여",S$4,""),IF($T33="참여",T$4,""),IF($U33="참여",U$4,""),IF($V33="참여",V$4,""),IF($W33="참여",W$4,""),IF($X33="참여",X$4,""),IF($Y33="참여",Y$4,""),IF($Z33="참여",Z$4,""),IF($AA33="참여",AA$4,""),IF($AB33="참여",AB$4,""),IF($AC33="참여",AC$4,""),IF($AD33="참여",AD$4,""),IF($AE33="참여",AE$4,"")))</f>
        <v/>
      </c>
      <c r="AH33">
        <f>IF($AG33="","",TRIM(MID(SUBSTITUTE($AG33,",",REPT(" ",100)),1,100)))</f>
        <v/>
      </c>
      <c r="AI33">
        <f>IF($AG33="","",TRIM(MID(SUBSTITUTE($AG33,",",REPT(" ",100)),101,100)))</f>
        <v/>
      </c>
      <c r="AJ33">
        <f>IF($AG33="","",TRIM(MID(SUBSTITUTE($AG33,",",REPT(" ",100)),201,100)))</f>
        <v/>
      </c>
      <c r="AK33">
        <f>IF($AG33="","",TRIM(MID(SUBSTITUTE($AG33,",",REPT(" ",100)),301,100)))</f>
        <v/>
      </c>
      <c r="AL33">
        <f>IF($AG33="","",TRIM(MID(SUBSTITUTE($AG33,",",REPT(" ",100)),401,100)))</f>
        <v/>
      </c>
    </row>
    <row r="34">
      <c r="A34" s="45" t="n"/>
      <c r="B34" s="62" t="n"/>
      <c r="C34" s="45" t="n"/>
      <c r="D34" s="44" t="n"/>
      <c r="E34" s="45" t="n"/>
      <c r="F34" s="45" t="n"/>
      <c r="G34" s="63">
        <f>IF($A34="","",COUNTIF($L34:$AE34,"?*"))</f>
        <v/>
      </c>
      <c r="H34" s="64">
        <f>IF($A34="","",IFERROR(INDEX($L$4:$AE$4,MATCH("주담당",$L34:$AE34,0)),""))</f>
        <v/>
      </c>
      <c r="I34" s="65">
        <f>IF($A34="","",_xlfn.TEXTJOIN(", ",TRUE,IF($L34="","",L$4),IF($M34="","",M$4),IF($N34="","",N$4),IF($O34="","",O$4),IF($P34="","",P$4),IF($Q34="","",Q$4),IF($R34="","",R$4),IF($S34="","",S$4),IF($T34="","",T$4),IF($U34="","",U$4),IF($V34="","",V$4),IF($W34="","",W$4),IF($X34="","",X$4),IF($Y34="","",Y$4),IF($Z34="","",Z$4),IF($AA34="","",AA$4),IF($AB34="","",AB$4),IF($AC34="","",AC$4),IF($AD34="","",AD$4),IF($AE34="","",AE$4)))</f>
        <v/>
      </c>
      <c r="J34" s="62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G34">
        <f>IF($A34="","",_xlfn.TEXTJOIN(", ",TRUE,IF($L34="참여",L$4,""),IF($M34="참여",M$4,""),IF($N34="참여",N$4,""),IF($O34="참여",O$4,""),IF($P34="참여",P$4,""),IF($Q34="참여",Q$4,""),IF($R34="참여",R$4,""),IF($S34="참여",S$4,""),IF($T34="참여",T$4,""),IF($U34="참여",U$4,""),IF($V34="참여",V$4,""),IF($W34="참여",W$4,""),IF($X34="참여",X$4,""),IF($Y34="참여",Y$4,""),IF($Z34="참여",Z$4,""),IF($AA34="참여",AA$4,""),IF($AB34="참여",AB$4,""),IF($AC34="참여",AC$4,""),IF($AD34="참여",AD$4,""),IF($AE34="참여",AE$4,"")))</f>
        <v/>
      </c>
      <c r="AH34">
        <f>IF($AG34="","",TRIM(MID(SUBSTITUTE($AG34,",",REPT(" ",100)),1,100)))</f>
        <v/>
      </c>
      <c r="AI34">
        <f>IF($AG34="","",TRIM(MID(SUBSTITUTE($AG34,",",REPT(" ",100)),101,100)))</f>
        <v/>
      </c>
      <c r="AJ34">
        <f>IF($AG34="","",TRIM(MID(SUBSTITUTE($AG34,",",REPT(" ",100)),201,100)))</f>
        <v/>
      </c>
      <c r="AK34">
        <f>IF($AG34="","",TRIM(MID(SUBSTITUTE($AG34,",",REPT(" ",100)),301,100)))</f>
        <v/>
      </c>
      <c r="AL34">
        <f>IF($AG34="","",TRIM(MID(SUBSTITUTE($AG34,",",REPT(" ",100)),401,100)))</f>
        <v/>
      </c>
    </row>
    <row r="35">
      <c r="A35" s="45" t="n"/>
      <c r="B35" s="62" t="n"/>
      <c r="C35" s="45" t="n"/>
      <c r="D35" s="44" t="n"/>
      <c r="E35" s="45" t="n"/>
      <c r="F35" s="45" t="n"/>
      <c r="G35" s="63">
        <f>IF($A35="","",COUNTIF($L35:$AE35,"?*"))</f>
        <v/>
      </c>
      <c r="H35" s="64">
        <f>IF($A35="","",IFERROR(INDEX($L$4:$AE$4,MATCH("주담당",$L35:$AE35,0)),""))</f>
        <v/>
      </c>
      <c r="I35" s="65">
        <f>IF($A35="","",_xlfn.TEXTJOIN(", ",TRUE,IF($L35="","",L$4),IF($M35="","",M$4),IF($N35="","",N$4),IF($O35="","",O$4),IF($P35="","",P$4),IF($Q35="","",Q$4),IF($R35="","",R$4),IF($S35="","",S$4),IF($T35="","",T$4),IF($U35="","",U$4),IF($V35="","",V$4),IF($W35="","",W$4),IF($X35="","",X$4),IF($Y35="","",Y$4),IF($Z35="","",Z$4),IF($AA35="","",AA$4),IF($AB35="","",AB$4),IF($AC35="","",AC$4),IF($AD35="","",AD$4),IF($AE35="","",AE$4)))</f>
        <v/>
      </c>
      <c r="J35" s="62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G35">
        <f>IF($A35="","",_xlfn.TEXTJOIN(", ",TRUE,IF($L35="참여",L$4,""),IF($M35="참여",M$4,""),IF($N35="참여",N$4,""),IF($O35="참여",O$4,""),IF($P35="참여",P$4,""),IF($Q35="참여",Q$4,""),IF($R35="참여",R$4,""),IF($S35="참여",S$4,""),IF($T35="참여",T$4,""),IF($U35="참여",U$4,""),IF($V35="참여",V$4,""),IF($W35="참여",W$4,""),IF($X35="참여",X$4,""),IF($Y35="참여",Y$4,""),IF($Z35="참여",Z$4,""),IF($AA35="참여",AA$4,""),IF($AB35="참여",AB$4,""),IF($AC35="참여",AC$4,""),IF($AD35="참여",AD$4,""),IF($AE35="참여",AE$4,"")))</f>
        <v/>
      </c>
      <c r="AH35">
        <f>IF($AG35="","",TRIM(MID(SUBSTITUTE($AG35,",",REPT(" ",100)),1,100)))</f>
        <v/>
      </c>
      <c r="AI35">
        <f>IF($AG35="","",TRIM(MID(SUBSTITUTE($AG35,",",REPT(" ",100)),101,100)))</f>
        <v/>
      </c>
      <c r="AJ35">
        <f>IF($AG35="","",TRIM(MID(SUBSTITUTE($AG35,",",REPT(" ",100)),201,100)))</f>
        <v/>
      </c>
      <c r="AK35">
        <f>IF($AG35="","",TRIM(MID(SUBSTITUTE($AG35,",",REPT(" ",100)),301,100)))</f>
        <v/>
      </c>
      <c r="AL35">
        <f>IF($AG35="","",TRIM(MID(SUBSTITUTE($AG35,",",REPT(" ",100)),401,100)))</f>
        <v/>
      </c>
    </row>
    <row r="36">
      <c r="A36" s="45" t="n"/>
      <c r="B36" s="62" t="n"/>
      <c r="C36" s="45" t="n"/>
      <c r="D36" s="44" t="n"/>
      <c r="E36" s="45" t="n"/>
      <c r="F36" s="45" t="n"/>
      <c r="G36" s="63">
        <f>IF($A36="","",COUNTIF($L36:$AE36,"?*"))</f>
        <v/>
      </c>
      <c r="H36" s="64">
        <f>IF($A36="","",IFERROR(INDEX($L$4:$AE$4,MATCH("주담당",$L36:$AE36,0)),""))</f>
        <v/>
      </c>
      <c r="I36" s="65">
        <f>IF($A36="","",_xlfn.TEXTJOIN(", ",TRUE,IF($L36="","",L$4),IF($M36="","",M$4),IF($N36="","",N$4),IF($O36="","",O$4),IF($P36="","",P$4),IF($Q36="","",Q$4),IF($R36="","",R$4),IF($S36="","",S$4),IF($T36="","",T$4),IF($U36="","",U$4),IF($V36="","",V$4),IF($W36="","",W$4),IF($X36="","",X$4),IF($Y36="","",Y$4),IF($Z36="","",Z$4),IF($AA36="","",AA$4),IF($AB36="","",AB$4),IF($AC36="","",AC$4),IF($AD36="","",AD$4),IF($AE36="","",AE$4)))</f>
        <v/>
      </c>
      <c r="J36" s="62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G36">
        <f>IF($A36="","",_xlfn.TEXTJOIN(", ",TRUE,IF($L36="참여",L$4,""),IF($M36="참여",M$4,""),IF($N36="참여",N$4,""),IF($O36="참여",O$4,""),IF($P36="참여",P$4,""),IF($Q36="참여",Q$4,""),IF($R36="참여",R$4,""),IF($S36="참여",S$4,""),IF($T36="참여",T$4,""),IF($U36="참여",U$4,""),IF($V36="참여",V$4,""),IF($W36="참여",W$4,""),IF($X36="참여",X$4,""),IF($Y36="참여",Y$4,""),IF($Z36="참여",Z$4,""),IF($AA36="참여",AA$4,""),IF($AB36="참여",AB$4,""),IF($AC36="참여",AC$4,""),IF($AD36="참여",AD$4,""),IF($AE36="참여",AE$4,"")))</f>
        <v/>
      </c>
      <c r="AH36">
        <f>IF($AG36="","",TRIM(MID(SUBSTITUTE($AG36,",",REPT(" ",100)),1,100)))</f>
        <v/>
      </c>
      <c r="AI36">
        <f>IF($AG36="","",TRIM(MID(SUBSTITUTE($AG36,",",REPT(" ",100)),101,100)))</f>
        <v/>
      </c>
      <c r="AJ36">
        <f>IF($AG36="","",TRIM(MID(SUBSTITUTE($AG36,",",REPT(" ",100)),201,100)))</f>
        <v/>
      </c>
      <c r="AK36">
        <f>IF($AG36="","",TRIM(MID(SUBSTITUTE($AG36,",",REPT(" ",100)),301,100)))</f>
        <v/>
      </c>
      <c r="AL36">
        <f>IF($AG36="","",TRIM(MID(SUBSTITUTE($AG36,",",REPT(" ",100)),401,100)))</f>
        <v/>
      </c>
    </row>
    <row r="37">
      <c r="A37" s="45" t="n"/>
      <c r="B37" s="62" t="n"/>
      <c r="C37" s="45" t="n"/>
      <c r="D37" s="44" t="n"/>
      <c r="E37" s="45" t="n"/>
      <c r="F37" s="45" t="n"/>
      <c r="G37" s="63">
        <f>IF($A37="","",COUNTIF($L37:$AE37,"?*"))</f>
        <v/>
      </c>
      <c r="H37" s="64">
        <f>IF($A37="","",IFERROR(INDEX($L$4:$AE$4,MATCH("주담당",$L37:$AE37,0)),""))</f>
        <v/>
      </c>
      <c r="I37" s="65">
        <f>IF($A37="","",_xlfn.TEXTJOIN(", ",TRUE,IF($L37="","",L$4),IF($M37="","",M$4),IF($N37="","",N$4),IF($O37="","",O$4),IF($P37="","",P$4),IF($Q37="","",Q$4),IF($R37="","",R$4),IF($S37="","",S$4),IF($T37="","",T$4),IF($U37="","",U$4),IF($V37="","",V$4),IF($W37="","",W$4),IF($X37="","",X$4),IF($Y37="","",Y$4),IF($Z37="","",Z$4),IF($AA37="","",AA$4),IF($AB37="","",AB$4),IF($AC37="","",AC$4),IF($AD37="","",AD$4),IF($AE37="","",AE$4)))</f>
        <v/>
      </c>
      <c r="J37" s="62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G37">
        <f>IF($A37="","",_xlfn.TEXTJOIN(", ",TRUE,IF($L37="참여",L$4,""),IF($M37="참여",M$4,""),IF($N37="참여",N$4,""),IF($O37="참여",O$4,""),IF($P37="참여",P$4,""),IF($Q37="참여",Q$4,""),IF($R37="참여",R$4,""),IF($S37="참여",S$4,""),IF($T37="참여",T$4,""),IF($U37="참여",U$4,""),IF($V37="참여",V$4,""),IF($W37="참여",W$4,""),IF($X37="참여",X$4,""),IF($Y37="참여",Y$4,""),IF($Z37="참여",Z$4,""),IF($AA37="참여",AA$4,""),IF($AB37="참여",AB$4,""),IF($AC37="참여",AC$4,""),IF($AD37="참여",AD$4,""),IF($AE37="참여",AE$4,"")))</f>
        <v/>
      </c>
      <c r="AH37">
        <f>IF($AG37="","",TRIM(MID(SUBSTITUTE($AG37,",",REPT(" ",100)),1,100)))</f>
        <v/>
      </c>
      <c r="AI37">
        <f>IF($AG37="","",TRIM(MID(SUBSTITUTE($AG37,",",REPT(" ",100)),101,100)))</f>
        <v/>
      </c>
      <c r="AJ37">
        <f>IF($AG37="","",TRIM(MID(SUBSTITUTE($AG37,",",REPT(" ",100)),201,100)))</f>
        <v/>
      </c>
      <c r="AK37">
        <f>IF($AG37="","",TRIM(MID(SUBSTITUTE($AG37,",",REPT(" ",100)),301,100)))</f>
        <v/>
      </c>
      <c r="AL37">
        <f>IF($AG37="","",TRIM(MID(SUBSTITUTE($AG37,",",REPT(" ",100)),401,100)))</f>
        <v/>
      </c>
    </row>
    <row r="38">
      <c r="A38" s="45" t="n"/>
      <c r="B38" s="62" t="n"/>
      <c r="C38" s="45" t="n"/>
      <c r="D38" s="44" t="n"/>
      <c r="E38" s="45" t="n"/>
      <c r="F38" s="45" t="n"/>
      <c r="G38" s="63">
        <f>IF($A38="","",COUNTIF($L38:$AE38,"?*"))</f>
        <v/>
      </c>
      <c r="H38" s="64">
        <f>IF($A38="","",IFERROR(INDEX($L$4:$AE$4,MATCH("주담당",$L38:$AE38,0)),""))</f>
        <v/>
      </c>
      <c r="I38" s="65">
        <f>IF($A38="","",_xlfn.TEXTJOIN(", ",TRUE,IF($L38="","",L$4),IF($M38="","",M$4),IF($N38="","",N$4),IF($O38="","",O$4),IF($P38="","",P$4),IF($Q38="","",Q$4),IF($R38="","",R$4),IF($S38="","",S$4),IF($T38="","",T$4),IF($U38="","",U$4),IF($V38="","",V$4),IF($W38="","",W$4),IF($X38="","",X$4),IF($Y38="","",Y$4),IF($Z38="","",Z$4),IF($AA38="","",AA$4),IF($AB38="","",AB$4),IF($AC38="","",AC$4),IF($AD38="","",AD$4),IF($AE38="","",AE$4)))</f>
        <v/>
      </c>
      <c r="J38" s="62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G38">
        <f>IF($A38="","",_xlfn.TEXTJOIN(", ",TRUE,IF($L38="참여",L$4,""),IF($M38="참여",M$4,""),IF($N38="참여",N$4,""),IF($O38="참여",O$4,""),IF($P38="참여",P$4,""),IF($Q38="참여",Q$4,""),IF($R38="참여",R$4,""),IF($S38="참여",S$4,""),IF($T38="참여",T$4,""),IF($U38="참여",U$4,""),IF($V38="참여",V$4,""),IF($W38="참여",W$4,""),IF($X38="참여",X$4,""),IF($Y38="참여",Y$4,""),IF($Z38="참여",Z$4,""),IF($AA38="참여",AA$4,""),IF($AB38="참여",AB$4,""),IF($AC38="참여",AC$4,""),IF($AD38="참여",AD$4,""),IF($AE38="참여",AE$4,"")))</f>
        <v/>
      </c>
      <c r="AH38">
        <f>IF($AG38="","",TRIM(MID(SUBSTITUTE($AG38,",",REPT(" ",100)),1,100)))</f>
        <v/>
      </c>
      <c r="AI38">
        <f>IF($AG38="","",TRIM(MID(SUBSTITUTE($AG38,",",REPT(" ",100)),101,100)))</f>
        <v/>
      </c>
      <c r="AJ38">
        <f>IF($AG38="","",TRIM(MID(SUBSTITUTE($AG38,",",REPT(" ",100)),201,100)))</f>
        <v/>
      </c>
      <c r="AK38">
        <f>IF($AG38="","",TRIM(MID(SUBSTITUTE($AG38,",",REPT(" ",100)),301,100)))</f>
        <v/>
      </c>
      <c r="AL38">
        <f>IF($AG38="","",TRIM(MID(SUBSTITUTE($AG38,",",REPT(" ",100)),401,100)))</f>
        <v/>
      </c>
    </row>
    <row r="39">
      <c r="A39" s="45" t="n"/>
      <c r="B39" s="62" t="n"/>
      <c r="C39" s="45" t="n"/>
      <c r="D39" s="44" t="n"/>
      <c r="E39" s="45" t="n"/>
      <c r="F39" s="45" t="n"/>
      <c r="G39" s="63">
        <f>IF($A39="","",COUNTIF($L39:$AE39,"?*"))</f>
        <v/>
      </c>
      <c r="H39" s="64">
        <f>IF($A39="","",IFERROR(INDEX($L$4:$AE$4,MATCH("주담당",$L39:$AE39,0)),""))</f>
        <v/>
      </c>
      <c r="I39" s="65">
        <f>IF($A39="","",_xlfn.TEXTJOIN(", ",TRUE,IF($L39="","",L$4),IF($M39="","",M$4),IF($N39="","",N$4),IF($O39="","",O$4),IF($P39="","",P$4),IF($Q39="","",Q$4),IF($R39="","",R$4),IF($S39="","",S$4),IF($T39="","",T$4),IF($U39="","",U$4),IF($V39="","",V$4),IF($W39="","",W$4),IF($X39="","",X$4),IF($Y39="","",Y$4),IF($Z39="","",Z$4),IF($AA39="","",AA$4),IF($AB39="","",AB$4),IF($AC39="","",AC$4),IF($AD39="","",AD$4),IF($AE39="","",AE$4)))</f>
        <v/>
      </c>
      <c r="J39" s="62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G39">
        <f>IF($A39="","",_xlfn.TEXTJOIN(", ",TRUE,IF($L39="참여",L$4,""),IF($M39="참여",M$4,""),IF($N39="참여",N$4,""),IF($O39="참여",O$4,""),IF($P39="참여",P$4,""),IF($Q39="참여",Q$4,""),IF($R39="참여",R$4,""),IF($S39="참여",S$4,""),IF($T39="참여",T$4,""),IF($U39="참여",U$4,""),IF($V39="참여",V$4,""),IF($W39="참여",W$4,""),IF($X39="참여",X$4,""),IF($Y39="참여",Y$4,""),IF($Z39="참여",Z$4,""),IF($AA39="참여",AA$4,""),IF($AB39="참여",AB$4,""),IF($AC39="참여",AC$4,""),IF($AD39="참여",AD$4,""),IF($AE39="참여",AE$4,"")))</f>
        <v/>
      </c>
      <c r="AH39">
        <f>IF($AG39="","",TRIM(MID(SUBSTITUTE($AG39,",",REPT(" ",100)),1,100)))</f>
        <v/>
      </c>
      <c r="AI39">
        <f>IF($AG39="","",TRIM(MID(SUBSTITUTE($AG39,",",REPT(" ",100)),101,100)))</f>
        <v/>
      </c>
      <c r="AJ39">
        <f>IF($AG39="","",TRIM(MID(SUBSTITUTE($AG39,",",REPT(" ",100)),201,100)))</f>
        <v/>
      </c>
      <c r="AK39">
        <f>IF($AG39="","",TRIM(MID(SUBSTITUTE($AG39,",",REPT(" ",100)),301,100)))</f>
        <v/>
      </c>
      <c r="AL39">
        <f>IF($AG39="","",TRIM(MID(SUBSTITUTE($AG39,",",REPT(" ",100)),401,100)))</f>
        <v/>
      </c>
    </row>
    <row r="40">
      <c r="A40" s="45" t="n"/>
      <c r="B40" s="62" t="n"/>
      <c r="C40" s="45" t="n"/>
      <c r="D40" s="44" t="n"/>
      <c r="E40" s="45" t="n"/>
      <c r="F40" s="45" t="n"/>
      <c r="G40" s="63">
        <f>IF($A40="","",COUNTIF($L40:$AE40,"?*"))</f>
        <v/>
      </c>
      <c r="H40" s="64">
        <f>IF($A40="","",IFERROR(INDEX($L$4:$AE$4,MATCH("주담당",$L40:$AE40,0)),""))</f>
        <v/>
      </c>
      <c r="I40" s="65">
        <f>IF($A40="","",_xlfn.TEXTJOIN(", ",TRUE,IF($L40="","",L$4),IF($M40="","",M$4),IF($N40="","",N$4),IF($O40="","",O$4),IF($P40="","",P$4),IF($Q40="","",Q$4),IF($R40="","",R$4),IF($S40="","",S$4),IF($T40="","",T$4),IF($U40="","",U$4),IF($V40="","",V$4),IF($W40="","",W$4),IF($X40="","",X$4),IF($Y40="","",Y$4),IF($Z40="","",Z$4),IF($AA40="","",AA$4),IF($AB40="","",AB$4),IF($AC40="","",AC$4),IF($AD40="","",AD$4),IF($AE40="","",AE$4)))</f>
        <v/>
      </c>
      <c r="J40" s="62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G40">
        <f>IF($A40="","",_xlfn.TEXTJOIN(", ",TRUE,IF($L40="참여",L$4,""),IF($M40="참여",M$4,""),IF($N40="참여",N$4,""),IF($O40="참여",O$4,""),IF($P40="참여",P$4,""),IF($Q40="참여",Q$4,""),IF($R40="참여",R$4,""),IF($S40="참여",S$4,""),IF($T40="참여",T$4,""),IF($U40="참여",U$4,""),IF($V40="참여",V$4,""),IF($W40="참여",W$4,""),IF($X40="참여",X$4,""),IF($Y40="참여",Y$4,""),IF($Z40="참여",Z$4,""),IF($AA40="참여",AA$4,""),IF($AB40="참여",AB$4,""),IF($AC40="참여",AC$4,""),IF($AD40="참여",AD$4,""),IF($AE40="참여",AE$4,"")))</f>
        <v/>
      </c>
      <c r="AH40">
        <f>IF($AG40="","",TRIM(MID(SUBSTITUTE($AG40,",",REPT(" ",100)),1,100)))</f>
        <v/>
      </c>
      <c r="AI40">
        <f>IF($AG40="","",TRIM(MID(SUBSTITUTE($AG40,",",REPT(" ",100)),101,100)))</f>
        <v/>
      </c>
      <c r="AJ40">
        <f>IF($AG40="","",TRIM(MID(SUBSTITUTE($AG40,",",REPT(" ",100)),201,100)))</f>
        <v/>
      </c>
      <c r="AK40">
        <f>IF($AG40="","",TRIM(MID(SUBSTITUTE($AG40,",",REPT(" ",100)),301,100)))</f>
        <v/>
      </c>
      <c r="AL40">
        <f>IF($AG40="","",TRIM(MID(SUBSTITUTE($AG40,",",REPT(" ",100)),401,100)))</f>
        <v/>
      </c>
    </row>
    <row r="41">
      <c r="A41" s="45" t="n"/>
      <c r="B41" s="62" t="n"/>
      <c r="C41" s="45" t="n"/>
      <c r="D41" s="44" t="n"/>
      <c r="E41" s="45" t="n"/>
      <c r="F41" s="45" t="n"/>
      <c r="G41" s="63">
        <f>IF($A41="","",COUNTIF($L41:$AE41,"?*"))</f>
        <v/>
      </c>
      <c r="H41" s="64">
        <f>IF($A41="","",IFERROR(INDEX($L$4:$AE$4,MATCH("주담당",$L41:$AE41,0)),""))</f>
        <v/>
      </c>
      <c r="I41" s="65">
        <f>IF($A41="","",_xlfn.TEXTJOIN(", ",TRUE,IF($L41="","",L$4),IF($M41="","",M$4),IF($N41="","",N$4),IF($O41="","",O$4),IF($P41="","",P$4),IF($Q41="","",Q$4),IF($R41="","",R$4),IF($S41="","",S$4),IF($T41="","",T$4),IF($U41="","",U$4),IF($V41="","",V$4),IF($W41="","",W$4),IF($X41="","",X$4),IF($Y41="","",Y$4),IF($Z41="","",Z$4),IF($AA41="","",AA$4),IF($AB41="","",AB$4),IF($AC41="","",AC$4),IF($AD41="","",AD$4),IF($AE41="","",AE$4)))</f>
        <v/>
      </c>
      <c r="J41" s="62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G41">
        <f>IF($A41="","",_xlfn.TEXTJOIN(", ",TRUE,IF($L41="참여",L$4,""),IF($M41="참여",M$4,""),IF($N41="참여",N$4,""),IF($O41="참여",O$4,""),IF($P41="참여",P$4,""),IF($Q41="참여",Q$4,""),IF($R41="참여",R$4,""),IF($S41="참여",S$4,""),IF($T41="참여",T$4,""),IF($U41="참여",U$4,""),IF($V41="참여",V$4,""),IF($W41="참여",W$4,""),IF($X41="참여",X$4,""),IF($Y41="참여",Y$4,""),IF($Z41="참여",Z$4,""),IF($AA41="참여",AA$4,""),IF($AB41="참여",AB$4,""),IF($AC41="참여",AC$4,""),IF($AD41="참여",AD$4,""),IF($AE41="참여",AE$4,"")))</f>
        <v/>
      </c>
      <c r="AH41">
        <f>IF($AG41="","",TRIM(MID(SUBSTITUTE($AG41,",",REPT(" ",100)),1,100)))</f>
        <v/>
      </c>
      <c r="AI41">
        <f>IF($AG41="","",TRIM(MID(SUBSTITUTE($AG41,",",REPT(" ",100)),101,100)))</f>
        <v/>
      </c>
      <c r="AJ41">
        <f>IF($AG41="","",TRIM(MID(SUBSTITUTE($AG41,",",REPT(" ",100)),201,100)))</f>
        <v/>
      </c>
      <c r="AK41">
        <f>IF($AG41="","",TRIM(MID(SUBSTITUTE($AG41,",",REPT(" ",100)),301,100)))</f>
        <v/>
      </c>
      <c r="AL41">
        <f>IF($AG41="","",TRIM(MID(SUBSTITUTE($AG41,",",REPT(" ",100)),401,100)))</f>
        <v/>
      </c>
    </row>
    <row r="42">
      <c r="A42" s="45" t="n"/>
      <c r="B42" s="62" t="n"/>
      <c r="C42" s="45" t="n"/>
      <c r="D42" s="44" t="n"/>
      <c r="E42" s="45" t="n"/>
      <c r="F42" s="45" t="n"/>
      <c r="G42" s="63">
        <f>IF($A42="","",COUNTIF($L42:$AE42,"?*"))</f>
        <v/>
      </c>
      <c r="H42" s="64">
        <f>IF($A42="","",IFERROR(INDEX($L$4:$AE$4,MATCH("주담당",$L42:$AE42,0)),""))</f>
        <v/>
      </c>
      <c r="I42" s="65">
        <f>IF($A42="","",_xlfn.TEXTJOIN(", ",TRUE,IF($L42="","",L$4),IF($M42="","",M$4),IF($N42="","",N$4),IF($O42="","",O$4),IF($P42="","",P$4),IF($Q42="","",Q$4),IF($R42="","",R$4),IF($S42="","",S$4),IF($T42="","",T$4),IF($U42="","",U$4),IF($V42="","",V$4),IF($W42="","",W$4),IF($X42="","",X$4),IF($Y42="","",Y$4),IF($Z42="","",Z$4),IF($AA42="","",AA$4),IF($AB42="","",AB$4),IF($AC42="","",AC$4),IF($AD42="","",AD$4),IF($AE42="","",AE$4)))</f>
        <v/>
      </c>
      <c r="J42" s="62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G42">
        <f>IF($A42="","",_xlfn.TEXTJOIN(", ",TRUE,IF($L42="참여",L$4,""),IF($M42="참여",M$4,""),IF($N42="참여",N$4,""),IF($O42="참여",O$4,""),IF($P42="참여",P$4,""),IF($Q42="참여",Q$4,""),IF($R42="참여",R$4,""),IF($S42="참여",S$4,""),IF($T42="참여",T$4,""),IF($U42="참여",U$4,""),IF($V42="참여",V$4,""),IF($W42="참여",W$4,""),IF($X42="참여",X$4,""),IF($Y42="참여",Y$4,""),IF($Z42="참여",Z$4,""),IF($AA42="참여",AA$4,""),IF($AB42="참여",AB$4,""),IF($AC42="참여",AC$4,""),IF($AD42="참여",AD$4,""),IF($AE42="참여",AE$4,"")))</f>
        <v/>
      </c>
      <c r="AH42">
        <f>IF($AG42="","",TRIM(MID(SUBSTITUTE($AG42,",",REPT(" ",100)),1,100)))</f>
        <v/>
      </c>
      <c r="AI42">
        <f>IF($AG42="","",TRIM(MID(SUBSTITUTE($AG42,",",REPT(" ",100)),101,100)))</f>
        <v/>
      </c>
      <c r="AJ42">
        <f>IF($AG42="","",TRIM(MID(SUBSTITUTE($AG42,",",REPT(" ",100)),201,100)))</f>
        <v/>
      </c>
      <c r="AK42">
        <f>IF($AG42="","",TRIM(MID(SUBSTITUTE($AG42,",",REPT(" ",100)),301,100)))</f>
        <v/>
      </c>
      <c r="AL42">
        <f>IF($AG42="","",TRIM(MID(SUBSTITUTE($AG42,",",REPT(" ",100)),401,100)))</f>
        <v/>
      </c>
    </row>
    <row r="43">
      <c r="A43" s="45" t="n"/>
      <c r="B43" s="62" t="n"/>
      <c r="C43" s="45" t="n"/>
      <c r="D43" s="44" t="n"/>
      <c r="E43" s="45" t="n"/>
      <c r="F43" s="45" t="n"/>
      <c r="G43" s="63">
        <f>IF($A43="","",COUNTIF($L43:$AE43,"?*"))</f>
        <v/>
      </c>
      <c r="H43" s="64">
        <f>IF($A43="","",IFERROR(INDEX($L$4:$AE$4,MATCH("주담당",$L43:$AE43,0)),""))</f>
        <v/>
      </c>
      <c r="I43" s="65">
        <f>IF($A43="","",_xlfn.TEXTJOIN(", ",TRUE,IF($L43="","",L$4),IF($M43="","",M$4),IF($N43="","",N$4),IF($O43="","",O$4),IF($P43="","",P$4),IF($Q43="","",Q$4),IF($R43="","",R$4),IF($S43="","",S$4),IF($T43="","",T$4),IF($U43="","",U$4),IF($V43="","",V$4),IF($W43="","",W$4),IF($X43="","",X$4),IF($Y43="","",Y$4),IF($Z43="","",Z$4),IF($AA43="","",AA$4),IF($AB43="","",AB$4),IF($AC43="","",AC$4),IF($AD43="","",AD$4),IF($AE43="","",AE$4)))</f>
        <v/>
      </c>
      <c r="J43" s="62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G43">
        <f>IF($A43="","",_xlfn.TEXTJOIN(", ",TRUE,IF($L43="참여",L$4,""),IF($M43="참여",M$4,""),IF($N43="참여",N$4,""),IF($O43="참여",O$4,""),IF($P43="참여",P$4,""),IF($Q43="참여",Q$4,""),IF($R43="참여",R$4,""),IF($S43="참여",S$4,""),IF($T43="참여",T$4,""),IF($U43="참여",U$4,""),IF($V43="참여",V$4,""),IF($W43="참여",W$4,""),IF($X43="참여",X$4,""),IF($Y43="참여",Y$4,""),IF($Z43="참여",Z$4,""),IF($AA43="참여",AA$4,""),IF($AB43="참여",AB$4,""),IF($AC43="참여",AC$4,""),IF($AD43="참여",AD$4,""),IF($AE43="참여",AE$4,"")))</f>
        <v/>
      </c>
      <c r="AH43">
        <f>IF($AG43="","",TRIM(MID(SUBSTITUTE($AG43,",",REPT(" ",100)),1,100)))</f>
        <v/>
      </c>
      <c r="AI43">
        <f>IF($AG43="","",TRIM(MID(SUBSTITUTE($AG43,",",REPT(" ",100)),101,100)))</f>
        <v/>
      </c>
      <c r="AJ43">
        <f>IF($AG43="","",TRIM(MID(SUBSTITUTE($AG43,",",REPT(" ",100)),201,100)))</f>
        <v/>
      </c>
      <c r="AK43">
        <f>IF($AG43="","",TRIM(MID(SUBSTITUTE($AG43,",",REPT(" ",100)),301,100)))</f>
        <v/>
      </c>
      <c r="AL43">
        <f>IF($AG43="","",TRIM(MID(SUBSTITUTE($AG43,",",REPT(" ",100)),401,100)))</f>
        <v/>
      </c>
    </row>
    <row r="44">
      <c r="A44" s="45" t="n"/>
      <c r="B44" s="62" t="n"/>
      <c r="C44" s="45" t="n"/>
      <c r="D44" s="44" t="n"/>
      <c r="E44" s="45" t="n"/>
      <c r="F44" s="45" t="n"/>
      <c r="G44" s="63">
        <f>IF($A44="","",COUNTIF($L44:$AE44,"?*"))</f>
        <v/>
      </c>
      <c r="H44" s="64">
        <f>IF($A44="","",IFERROR(INDEX($L$4:$AE$4,MATCH("주담당",$L44:$AE44,0)),""))</f>
        <v/>
      </c>
      <c r="I44" s="65">
        <f>IF($A44="","",_xlfn.TEXTJOIN(", ",TRUE,IF($L44="","",L$4),IF($M44="","",M$4),IF($N44="","",N$4),IF($O44="","",O$4),IF($P44="","",P$4),IF($Q44="","",Q$4),IF($R44="","",R$4),IF($S44="","",S$4),IF($T44="","",T$4),IF($U44="","",U$4),IF($V44="","",V$4),IF($W44="","",W$4),IF($X44="","",X$4),IF($Y44="","",Y$4),IF($Z44="","",Z$4),IF($AA44="","",AA$4),IF($AB44="","",AB$4),IF($AC44="","",AC$4),IF($AD44="","",AD$4),IF($AE44="","",AE$4)))</f>
        <v/>
      </c>
      <c r="J44" s="62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G44">
        <f>IF($A44="","",_xlfn.TEXTJOIN(", ",TRUE,IF($L44="참여",L$4,""),IF($M44="참여",M$4,""),IF($N44="참여",N$4,""),IF($O44="참여",O$4,""),IF($P44="참여",P$4,""),IF($Q44="참여",Q$4,""),IF($R44="참여",R$4,""),IF($S44="참여",S$4,""),IF($T44="참여",T$4,""),IF($U44="참여",U$4,""),IF($V44="참여",V$4,""),IF($W44="참여",W$4,""),IF($X44="참여",X$4,""),IF($Y44="참여",Y$4,""),IF($Z44="참여",Z$4,""),IF($AA44="참여",AA$4,""),IF($AB44="참여",AB$4,""),IF($AC44="참여",AC$4,""),IF($AD44="참여",AD$4,""),IF($AE44="참여",AE$4,"")))</f>
        <v/>
      </c>
      <c r="AH44">
        <f>IF($AG44="","",TRIM(MID(SUBSTITUTE($AG44,",",REPT(" ",100)),1,100)))</f>
        <v/>
      </c>
      <c r="AI44">
        <f>IF($AG44="","",TRIM(MID(SUBSTITUTE($AG44,",",REPT(" ",100)),101,100)))</f>
        <v/>
      </c>
      <c r="AJ44">
        <f>IF($AG44="","",TRIM(MID(SUBSTITUTE($AG44,",",REPT(" ",100)),201,100)))</f>
        <v/>
      </c>
      <c r="AK44">
        <f>IF($AG44="","",TRIM(MID(SUBSTITUTE($AG44,",",REPT(" ",100)),301,100)))</f>
        <v/>
      </c>
      <c r="AL44">
        <f>IF($AG44="","",TRIM(MID(SUBSTITUTE($AG44,",",REPT(" ",100)),401,100)))</f>
        <v/>
      </c>
    </row>
    <row r="45">
      <c r="A45" s="45" t="n"/>
      <c r="B45" s="62" t="n"/>
      <c r="C45" s="45" t="n"/>
      <c r="D45" s="44" t="n"/>
      <c r="E45" s="45" t="n"/>
      <c r="F45" s="45" t="n"/>
      <c r="G45" s="63">
        <f>IF($A45="","",COUNTIF($L45:$AE45,"?*"))</f>
        <v/>
      </c>
      <c r="H45" s="64">
        <f>IF($A45="","",IFERROR(INDEX($L$4:$AE$4,MATCH("주담당",$L45:$AE45,0)),""))</f>
        <v/>
      </c>
      <c r="I45" s="65">
        <f>IF($A45="","",_xlfn.TEXTJOIN(", ",TRUE,IF($L45="","",L$4),IF($M45="","",M$4),IF($N45="","",N$4),IF($O45="","",O$4),IF($P45="","",P$4),IF($Q45="","",Q$4),IF($R45="","",R$4),IF($S45="","",S$4),IF($T45="","",T$4),IF($U45="","",U$4),IF($V45="","",V$4),IF($W45="","",W$4),IF($X45="","",X$4),IF($Y45="","",Y$4),IF($Z45="","",Z$4),IF($AA45="","",AA$4),IF($AB45="","",AB$4),IF($AC45="","",AC$4),IF($AD45="","",AD$4),IF($AE45="","",AE$4)))</f>
        <v/>
      </c>
      <c r="J45" s="62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G45">
        <f>IF($A45="","",_xlfn.TEXTJOIN(", ",TRUE,IF($L45="참여",L$4,""),IF($M45="참여",M$4,""),IF($N45="참여",N$4,""),IF($O45="참여",O$4,""),IF($P45="참여",P$4,""),IF($Q45="참여",Q$4,""),IF($R45="참여",R$4,""),IF($S45="참여",S$4,""),IF($T45="참여",T$4,""),IF($U45="참여",U$4,""),IF($V45="참여",V$4,""),IF($W45="참여",W$4,""),IF($X45="참여",X$4,""),IF($Y45="참여",Y$4,""),IF($Z45="참여",Z$4,""),IF($AA45="참여",AA$4,""),IF($AB45="참여",AB$4,""),IF($AC45="참여",AC$4,""),IF($AD45="참여",AD$4,""),IF($AE45="참여",AE$4,"")))</f>
        <v/>
      </c>
      <c r="AH45">
        <f>IF($AG45="","",TRIM(MID(SUBSTITUTE($AG45,",",REPT(" ",100)),1,100)))</f>
        <v/>
      </c>
      <c r="AI45">
        <f>IF($AG45="","",TRIM(MID(SUBSTITUTE($AG45,",",REPT(" ",100)),101,100)))</f>
        <v/>
      </c>
      <c r="AJ45">
        <f>IF($AG45="","",TRIM(MID(SUBSTITUTE($AG45,",",REPT(" ",100)),201,100)))</f>
        <v/>
      </c>
      <c r="AK45">
        <f>IF($AG45="","",TRIM(MID(SUBSTITUTE($AG45,",",REPT(" ",100)),301,100)))</f>
        <v/>
      </c>
      <c r="AL45">
        <f>IF($AG45="","",TRIM(MID(SUBSTITUTE($AG45,",",REPT(" ",100)),401,100)))</f>
        <v/>
      </c>
    </row>
    <row r="46">
      <c r="A46" s="45" t="n"/>
      <c r="B46" s="62" t="n"/>
      <c r="C46" s="45" t="n"/>
      <c r="D46" s="44" t="n"/>
      <c r="E46" s="45" t="n"/>
      <c r="F46" s="45" t="n"/>
      <c r="G46" s="63">
        <f>IF($A46="","",COUNTIF($L46:$AE46,"?*"))</f>
        <v/>
      </c>
      <c r="H46" s="64">
        <f>IF($A46="","",IFERROR(INDEX($L$4:$AE$4,MATCH("주담당",$L46:$AE46,0)),""))</f>
        <v/>
      </c>
      <c r="I46" s="65">
        <f>IF($A46="","",_xlfn.TEXTJOIN(", ",TRUE,IF($L46="","",L$4),IF($M46="","",M$4),IF($N46="","",N$4),IF($O46="","",O$4),IF($P46="","",P$4),IF($Q46="","",Q$4),IF($R46="","",R$4),IF($S46="","",S$4),IF($T46="","",T$4),IF($U46="","",U$4),IF($V46="","",V$4),IF($W46="","",W$4),IF($X46="","",X$4),IF($Y46="","",Y$4),IF($Z46="","",Z$4),IF($AA46="","",AA$4),IF($AB46="","",AB$4),IF($AC46="","",AC$4),IF($AD46="","",AD$4),IF($AE46="","",AE$4)))</f>
        <v/>
      </c>
      <c r="J46" s="62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G46">
        <f>IF($A46="","",_xlfn.TEXTJOIN(", ",TRUE,IF($L46="참여",L$4,""),IF($M46="참여",M$4,""),IF($N46="참여",N$4,""),IF($O46="참여",O$4,""),IF($P46="참여",P$4,""),IF($Q46="참여",Q$4,""),IF($R46="참여",R$4,""),IF($S46="참여",S$4,""),IF($T46="참여",T$4,""),IF($U46="참여",U$4,""),IF($V46="참여",V$4,""),IF($W46="참여",W$4,""),IF($X46="참여",X$4,""),IF($Y46="참여",Y$4,""),IF($Z46="참여",Z$4,""),IF($AA46="참여",AA$4,""),IF($AB46="참여",AB$4,""),IF($AC46="참여",AC$4,""),IF($AD46="참여",AD$4,""),IF($AE46="참여",AE$4,"")))</f>
        <v/>
      </c>
      <c r="AH46">
        <f>IF($AG46="","",TRIM(MID(SUBSTITUTE($AG46,",",REPT(" ",100)),1,100)))</f>
        <v/>
      </c>
      <c r="AI46">
        <f>IF($AG46="","",TRIM(MID(SUBSTITUTE($AG46,",",REPT(" ",100)),101,100)))</f>
        <v/>
      </c>
      <c r="AJ46">
        <f>IF($AG46="","",TRIM(MID(SUBSTITUTE($AG46,",",REPT(" ",100)),201,100)))</f>
        <v/>
      </c>
      <c r="AK46">
        <f>IF($AG46="","",TRIM(MID(SUBSTITUTE($AG46,",",REPT(" ",100)),301,100)))</f>
        <v/>
      </c>
      <c r="AL46">
        <f>IF($AG46="","",TRIM(MID(SUBSTITUTE($AG46,",",REPT(" ",100)),401,100)))</f>
        <v/>
      </c>
    </row>
    <row r="47">
      <c r="A47" s="45" t="n"/>
      <c r="B47" s="62" t="n"/>
      <c r="C47" s="45" t="n"/>
      <c r="D47" s="44" t="n"/>
      <c r="E47" s="45" t="n"/>
      <c r="F47" s="45" t="n"/>
      <c r="G47" s="63">
        <f>IF($A47="","",COUNTIF($L47:$AE47,"?*"))</f>
        <v/>
      </c>
      <c r="H47" s="64">
        <f>IF($A47="","",IFERROR(INDEX($L$4:$AE$4,MATCH("주담당",$L47:$AE47,0)),""))</f>
        <v/>
      </c>
      <c r="I47" s="65">
        <f>IF($A47="","",_xlfn.TEXTJOIN(", ",TRUE,IF($L47="","",L$4),IF($M47="","",M$4),IF($N47="","",N$4),IF($O47="","",O$4),IF($P47="","",P$4),IF($Q47="","",Q$4),IF($R47="","",R$4),IF($S47="","",S$4),IF($T47="","",T$4),IF($U47="","",U$4),IF($V47="","",V$4),IF($W47="","",W$4),IF($X47="","",X$4),IF($Y47="","",Y$4),IF($Z47="","",Z$4),IF($AA47="","",AA$4),IF($AB47="","",AB$4),IF($AC47="","",AC$4),IF($AD47="","",AD$4),IF($AE47="","",AE$4)))</f>
        <v/>
      </c>
      <c r="J47" s="62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G47">
        <f>IF($A47="","",_xlfn.TEXTJOIN(", ",TRUE,IF($L47="참여",L$4,""),IF($M47="참여",M$4,""),IF($N47="참여",N$4,""),IF($O47="참여",O$4,""),IF($P47="참여",P$4,""),IF($Q47="참여",Q$4,""),IF($R47="참여",R$4,""),IF($S47="참여",S$4,""),IF($T47="참여",T$4,""),IF($U47="참여",U$4,""),IF($V47="참여",V$4,""),IF($W47="참여",W$4,""),IF($X47="참여",X$4,""),IF($Y47="참여",Y$4,""),IF($Z47="참여",Z$4,""),IF($AA47="참여",AA$4,""),IF($AB47="참여",AB$4,""),IF($AC47="참여",AC$4,""),IF($AD47="참여",AD$4,""),IF($AE47="참여",AE$4,"")))</f>
        <v/>
      </c>
      <c r="AH47">
        <f>IF($AG47="","",TRIM(MID(SUBSTITUTE($AG47,",",REPT(" ",100)),1,100)))</f>
        <v/>
      </c>
      <c r="AI47">
        <f>IF($AG47="","",TRIM(MID(SUBSTITUTE($AG47,",",REPT(" ",100)),101,100)))</f>
        <v/>
      </c>
      <c r="AJ47">
        <f>IF($AG47="","",TRIM(MID(SUBSTITUTE($AG47,",",REPT(" ",100)),201,100)))</f>
        <v/>
      </c>
      <c r="AK47">
        <f>IF($AG47="","",TRIM(MID(SUBSTITUTE($AG47,",",REPT(" ",100)),301,100)))</f>
        <v/>
      </c>
      <c r="AL47">
        <f>IF($AG47="","",TRIM(MID(SUBSTITUTE($AG47,",",REPT(" ",100)),401,100)))</f>
        <v/>
      </c>
    </row>
    <row r="48">
      <c r="A48" s="45" t="n"/>
      <c r="B48" s="62" t="n"/>
      <c r="C48" s="45" t="n"/>
      <c r="D48" s="44" t="n"/>
      <c r="E48" s="45" t="n"/>
      <c r="F48" s="45" t="n"/>
      <c r="G48" s="63">
        <f>IF($A48="","",COUNTIF($L48:$AE48,"?*"))</f>
        <v/>
      </c>
      <c r="H48" s="64">
        <f>IF($A48="","",IFERROR(INDEX($L$4:$AE$4,MATCH("주담당",$L48:$AE48,0)),""))</f>
        <v/>
      </c>
      <c r="I48" s="65">
        <f>IF($A48="","",_xlfn.TEXTJOIN(", ",TRUE,IF($L48="","",L$4),IF($M48="","",M$4),IF($N48="","",N$4),IF($O48="","",O$4),IF($P48="","",P$4),IF($Q48="","",Q$4),IF($R48="","",R$4),IF($S48="","",S$4),IF($T48="","",T$4),IF($U48="","",U$4),IF($V48="","",V$4),IF($W48="","",W$4),IF($X48="","",X$4),IF($Y48="","",Y$4),IF($Z48="","",Z$4),IF($AA48="","",AA$4),IF($AB48="","",AB$4),IF($AC48="","",AC$4),IF($AD48="","",AD$4),IF($AE48="","",AE$4)))</f>
        <v/>
      </c>
      <c r="J48" s="62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G48">
        <f>IF($A48="","",_xlfn.TEXTJOIN(", ",TRUE,IF($L48="참여",L$4,""),IF($M48="참여",M$4,""),IF($N48="참여",N$4,""),IF($O48="참여",O$4,""),IF($P48="참여",P$4,""),IF($Q48="참여",Q$4,""),IF($R48="참여",R$4,""),IF($S48="참여",S$4,""),IF($T48="참여",T$4,""),IF($U48="참여",U$4,""),IF($V48="참여",V$4,""),IF($W48="참여",W$4,""),IF($X48="참여",X$4,""),IF($Y48="참여",Y$4,""),IF($Z48="참여",Z$4,""),IF($AA48="참여",AA$4,""),IF($AB48="참여",AB$4,""),IF($AC48="참여",AC$4,""),IF($AD48="참여",AD$4,""),IF($AE48="참여",AE$4,"")))</f>
        <v/>
      </c>
      <c r="AH48">
        <f>IF($AG48="","",TRIM(MID(SUBSTITUTE($AG48,",",REPT(" ",100)),1,100)))</f>
        <v/>
      </c>
      <c r="AI48">
        <f>IF($AG48="","",TRIM(MID(SUBSTITUTE($AG48,",",REPT(" ",100)),101,100)))</f>
        <v/>
      </c>
      <c r="AJ48">
        <f>IF($AG48="","",TRIM(MID(SUBSTITUTE($AG48,",",REPT(" ",100)),201,100)))</f>
        <v/>
      </c>
      <c r="AK48">
        <f>IF($AG48="","",TRIM(MID(SUBSTITUTE($AG48,",",REPT(" ",100)),301,100)))</f>
        <v/>
      </c>
      <c r="AL48">
        <f>IF($AG48="","",TRIM(MID(SUBSTITUTE($AG48,",",REPT(" ",100)),401,100)))</f>
        <v/>
      </c>
    </row>
    <row r="49">
      <c r="A49" s="45" t="n"/>
      <c r="B49" s="62" t="n"/>
      <c r="C49" s="45" t="n"/>
      <c r="D49" s="44" t="n"/>
      <c r="E49" s="45" t="n"/>
      <c r="F49" s="45" t="n"/>
      <c r="G49" s="63">
        <f>IF($A49="","",COUNTIF($L49:$AE49,"?*"))</f>
        <v/>
      </c>
      <c r="H49" s="64">
        <f>IF($A49="","",IFERROR(INDEX($L$4:$AE$4,MATCH("주담당",$L49:$AE49,0)),""))</f>
        <v/>
      </c>
      <c r="I49" s="65">
        <f>IF($A49="","",_xlfn.TEXTJOIN(", ",TRUE,IF($L49="","",L$4),IF($M49="","",M$4),IF($N49="","",N$4),IF($O49="","",O$4),IF($P49="","",P$4),IF($Q49="","",Q$4),IF($R49="","",R$4),IF($S49="","",S$4),IF($T49="","",T$4),IF($U49="","",U$4),IF($V49="","",V$4),IF($W49="","",W$4),IF($X49="","",X$4),IF($Y49="","",Y$4),IF($Z49="","",Z$4),IF($AA49="","",AA$4),IF($AB49="","",AB$4),IF($AC49="","",AC$4),IF($AD49="","",AD$4),IF($AE49="","",AE$4)))</f>
        <v/>
      </c>
      <c r="J49" s="62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G49">
        <f>IF($A49="","",_xlfn.TEXTJOIN(", ",TRUE,IF($L49="참여",L$4,""),IF($M49="참여",M$4,""),IF($N49="참여",N$4,""),IF($O49="참여",O$4,""),IF($P49="참여",P$4,""),IF($Q49="참여",Q$4,""),IF($R49="참여",R$4,""),IF($S49="참여",S$4,""),IF($T49="참여",T$4,""),IF($U49="참여",U$4,""),IF($V49="참여",V$4,""),IF($W49="참여",W$4,""),IF($X49="참여",X$4,""),IF($Y49="참여",Y$4,""),IF($Z49="참여",Z$4,""),IF($AA49="참여",AA$4,""),IF($AB49="참여",AB$4,""),IF($AC49="참여",AC$4,""),IF($AD49="참여",AD$4,""),IF($AE49="참여",AE$4,"")))</f>
        <v/>
      </c>
      <c r="AH49">
        <f>IF($AG49="","",TRIM(MID(SUBSTITUTE($AG49,",",REPT(" ",100)),1,100)))</f>
        <v/>
      </c>
      <c r="AI49">
        <f>IF($AG49="","",TRIM(MID(SUBSTITUTE($AG49,",",REPT(" ",100)),101,100)))</f>
        <v/>
      </c>
      <c r="AJ49">
        <f>IF($AG49="","",TRIM(MID(SUBSTITUTE($AG49,",",REPT(" ",100)),201,100)))</f>
        <v/>
      </c>
      <c r="AK49">
        <f>IF($AG49="","",TRIM(MID(SUBSTITUTE($AG49,",",REPT(" ",100)),301,100)))</f>
        <v/>
      </c>
      <c r="AL49">
        <f>IF($AG49="","",TRIM(MID(SUBSTITUTE($AG49,",",REPT(" ",100)),401,100)))</f>
        <v/>
      </c>
    </row>
    <row r="50">
      <c r="A50" s="45" t="n"/>
      <c r="B50" s="62" t="n"/>
      <c r="C50" s="45" t="n"/>
      <c r="D50" s="44" t="n"/>
      <c r="E50" s="45" t="n"/>
      <c r="F50" s="45" t="n"/>
      <c r="G50" s="63">
        <f>IF($A50="","",COUNTIF($L50:$AE50,"?*"))</f>
        <v/>
      </c>
      <c r="H50" s="64">
        <f>IF($A50="","",IFERROR(INDEX($L$4:$AE$4,MATCH("주담당",$L50:$AE50,0)),""))</f>
        <v/>
      </c>
      <c r="I50" s="65">
        <f>IF($A50="","",_xlfn.TEXTJOIN(", ",TRUE,IF($L50="","",L$4),IF($M50="","",M$4),IF($N50="","",N$4),IF($O50="","",O$4),IF($P50="","",P$4),IF($Q50="","",Q$4),IF($R50="","",R$4),IF($S50="","",S$4),IF($T50="","",T$4),IF($U50="","",U$4),IF($V50="","",V$4),IF($W50="","",W$4),IF($X50="","",X$4),IF($Y50="","",Y$4),IF($Z50="","",Z$4),IF($AA50="","",AA$4),IF($AB50="","",AB$4),IF($AC50="","",AC$4),IF($AD50="","",AD$4),IF($AE50="","",AE$4)))</f>
        <v/>
      </c>
      <c r="J50" s="62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G50">
        <f>IF($A50="","",_xlfn.TEXTJOIN(", ",TRUE,IF($L50="참여",L$4,""),IF($M50="참여",M$4,""),IF($N50="참여",N$4,""),IF($O50="참여",O$4,""),IF($P50="참여",P$4,""),IF($Q50="참여",Q$4,""),IF($R50="참여",R$4,""),IF($S50="참여",S$4,""),IF($T50="참여",T$4,""),IF($U50="참여",U$4,""),IF($V50="참여",V$4,""),IF($W50="참여",W$4,""),IF($X50="참여",X$4,""),IF($Y50="참여",Y$4,""),IF($Z50="참여",Z$4,""),IF($AA50="참여",AA$4,""),IF($AB50="참여",AB$4,""),IF($AC50="참여",AC$4,""),IF($AD50="참여",AD$4,""),IF($AE50="참여",AE$4,"")))</f>
        <v/>
      </c>
      <c r="AH50">
        <f>IF($AG50="","",TRIM(MID(SUBSTITUTE($AG50,",",REPT(" ",100)),1,100)))</f>
        <v/>
      </c>
      <c r="AI50">
        <f>IF($AG50="","",TRIM(MID(SUBSTITUTE($AG50,",",REPT(" ",100)),101,100)))</f>
        <v/>
      </c>
      <c r="AJ50">
        <f>IF($AG50="","",TRIM(MID(SUBSTITUTE($AG50,",",REPT(" ",100)),201,100)))</f>
        <v/>
      </c>
      <c r="AK50">
        <f>IF($AG50="","",TRIM(MID(SUBSTITUTE($AG50,",",REPT(" ",100)),301,100)))</f>
        <v/>
      </c>
      <c r="AL50">
        <f>IF($AG50="","",TRIM(MID(SUBSTITUTE($AG50,",",REPT(" ",100)),401,100)))</f>
        <v/>
      </c>
    </row>
    <row r="51">
      <c r="A51" s="45" t="n"/>
      <c r="B51" s="62" t="n"/>
      <c r="C51" s="45" t="n"/>
      <c r="D51" s="44" t="n"/>
      <c r="E51" s="45" t="n"/>
      <c r="F51" s="45" t="n"/>
      <c r="G51" s="63">
        <f>IF($A51="","",COUNTIF($L51:$AE51,"?*"))</f>
        <v/>
      </c>
      <c r="H51" s="64">
        <f>IF($A51="","",IFERROR(INDEX($L$4:$AE$4,MATCH("주담당",$L51:$AE51,0)),""))</f>
        <v/>
      </c>
      <c r="I51" s="65">
        <f>IF($A51="","",_xlfn.TEXTJOIN(", ",TRUE,IF($L51="","",L$4),IF($M51="","",M$4),IF($N51="","",N$4),IF($O51="","",O$4),IF($P51="","",P$4),IF($Q51="","",Q$4),IF($R51="","",R$4),IF($S51="","",S$4),IF($T51="","",T$4),IF($U51="","",U$4),IF($V51="","",V$4),IF($W51="","",W$4),IF($X51="","",X$4),IF($Y51="","",Y$4),IF($Z51="","",Z$4),IF($AA51="","",AA$4),IF($AB51="","",AB$4),IF($AC51="","",AC$4),IF($AD51="","",AD$4),IF($AE51="","",AE$4)))</f>
        <v/>
      </c>
      <c r="J51" s="62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G51">
        <f>IF($A51="","",_xlfn.TEXTJOIN(", ",TRUE,IF($L51="참여",L$4,""),IF($M51="참여",M$4,""),IF($N51="참여",N$4,""),IF($O51="참여",O$4,""),IF($P51="참여",P$4,""),IF($Q51="참여",Q$4,""),IF($R51="참여",R$4,""),IF($S51="참여",S$4,""),IF($T51="참여",T$4,""),IF($U51="참여",U$4,""),IF($V51="참여",V$4,""),IF($W51="참여",W$4,""),IF($X51="참여",X$4,""),IF($Y51="참여",Y$4,""),IF($Z51="참여",Z$4,""),IF($AA51="참여",AA$4,""),IF($AB51="참여",AB$4,""),IF($AC51="참여",AC$4,""),IF($AD51="참여",AD$4,""),IF($AE51="참여",AE$4,"")))</f>
        <v/>
      </c>
      <c r="AH51">
        <f>IF($AG51="","",TRIM(MID(SUBSTITUTE($AG51,",",REPT(" ",100)),1,100)))</f>
        <v/>
      </c>
      <c r="AI51">
        <f>IF($AG51="","",TRIM(MID(SUBSTITUTE($AG51,",",REPT(" ",100)),101,100)))</f>
        <v/>
      </c>
      <c r="AJ51">
        <f>IF($AG51="","",TRIM(MID(SUBSTITUTE($AG51,",",REPT(" ",100)),201,100)))</f>
        <v/>
      </c>
      <c r="AK51">
        <f>IF($AG51="","",TRIM(MID(SUBSTITUTE($AG51,",",REPT(" ",100)),301,100)))</f>
        <v/>
      </c>
      <c r="AL51">
        <f>IF($AG51="","",TRIM(MID(SUBSTITUTE($AG51,",",REPT(" ",100)),401,100)))</f>
        <v/>
      </c>
    </row>
    <row r="52">
      <c r="A52" s="45" t="n"/>
      <c r="B52" s="62" t="n"/>
      <c r="C52" s="45" t="n"/>
      <c r="D52" s="44" t="n"/>
      <c r="E52" s="45" t="n"/>
      <c r="F52" s="45" t="n"/>
      <c r="G52" s="63">
        <f>IF($A52="","",COUNTIF($L52:$AE52,"?*"))</f>
        <v/>
      </c>
      <c r="H52" s="64">
        <f>IF($A52="","",IFERROR(INDEX($L$4:$AE$4,MATCH("주담당",$L52:$AE52,0)),""))</f>
        <v/>
      </c>
      <c r="I52" s="65">
        <f>IF($A52="","",_xlfn.TEXTJOIN(", ",TRUE,IF($L52="","",L$4),IF($M52="","",M$4),IF($N52="","",N$4),IF($O52="","",O$4),IF($P52="","",P$4),IF($Q52="","",Q$4),IF($R52="","",R$4),IF($S52="","",S$4),IF($T52="","",T$4),IF($U52="","",U$4),IF($V52="","",V$4),IF($W52="","",W$4),IF($X52="","",X$4),IF($Y52="","",Y$4),IF($Z52="","",Z$4),IF($AA52="","",AA$4),IF($AB52="","",AB$4),IF($AC52="","",AC$4),IF($AD52="","",AD$4),IF($AE52="","",AE$4)))</f>
        <v/>
      </c>
      <c r="J52" s="62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G52">
        <f>IF($A52="","",_xlfn.TEXTJOIN(", ",TRUE,IF($L52="참여",L$4,""),IF($M52="참여",M$4,""),IF($N52="참여",N$4,""),IF($O52="참여",O$4,""),IF($P52="참여",P$4,""),IF($Q52="참여",Q$4,""),IF($R52="참여",R$4,""),IF($S52="참여",S$4,""),IF($T52="참여",T$4,""),IF($U52="참여",U$4,""),IF($V52="참여",V$4,""),IF($W52="참여",W$4,""),IF($X52="참여",X$4,""),IF($Y52="참여",Y$4,""),IF($Z52="참여",Z$4,""),IF($AA52="참여",AA$4,""),IF($AB52="참여",AB$4,""),IF($AC52="참여",AC$4,""),IF($AD52="참여",AD$4,""),IF($AE52="참여",AE$4,"")))</f>
        <v/>
      </c>
      <c r="AH52">
        <f>IF($AG52="","",TRIM(MID(SUBSTITUTE($AG52,",",REPT(" ",100)),1,100)))</f>
        <v/>
      </c>
      <c r="AI52">
        <f>IF($AG52="","",TRIM(MID(SUBSTITUTE($AG52,",",REPT(" ",100)),101,100)))</f>
        <v/>
      </c>
      <c r="AJ52">
        <f>IF($AG52="","",TRIM(MID(SUBSTITUTE($AG52,",",REPT(" ",100)),201,100)))</f>
        <v/>
      </c>
      <c r="AK52">
        <f>IF($AG52="","",TRIM(MID(SUBSTITUTE($AG52,",",REPT(" ",100)),301,100)))</f>
        <v/>
      </c>
      <c r="AL52">
        <f>IF($AG52="","",TRIM(MID(SUBSTITUTE($AG52,",",REPT(" ",100)),401,100)))</f>
        <v/>
      </c>
    </row>
    <row r="53">
      <c r="A53" s="45" t="n"/>
      <c r="B53" s="62" t="n"/>
      <c r="C53" s="45" t="n"/>
      <c r="D53" s="44" t="n"/>
      <c r="E53" s="45" t="n"/>
      <c r="F53" s="45" t="n"/>
      <c r="G53" s="63">
        <f>IF($A53="","",COUNTIF($L53:$AE53,"?*"))</f>
        <v/>
      </c>
      <c r="H53" s="64">
        <f>IF($A53="","",IFERROR(INDEX($L$4:$AE$4,MATCH("주담당",$L53:$AE53,0)),""))</f>
        <v/>
      </c>
      <c r="I53" s="65">
        <f>IF($A53="","",_xlfn.TEXTJOIN(", ",TRUE,IF($L53="","",L$4),IF($M53="","",M$4),IF($N53="","",N$4),IF($O53="","",O$4),IF($P53="","",P$4),IF($Q53="","",Q$4),IF($R53="","",R$4),IF($S53="","",S$4),IF($T53="","",T$4),IF($U53="","",U$4),IF($V53="","",V$4),IF($W53="","",W$4),IF($X53="","",X$4),IF($Y53="","",Y$4),IF($Z53="","",Z$4),IF($AA53="","",AA$4),IF($AB53="","",AB$4),IF($AC53="","",AC$4),IF($AD53="","",AD$4),IF($AE53="","",AE$4)))</f>
        <v/>
      </c>
      <c r="J53" s="62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G53">
        <f>IF($A53="","",_xlfn.TEXTJOIN(", ",TRUE,IF($L53="참여",L$4,""),IF($M53="참여",M$4,""),IF($N53="참여",N$4,""),IF($O53="참여",O$4,""),IF($P53="참여",P$4,""),IF($Q53="참여",Q$4,""),IF($R53="참여",R$4,""),IF($S53="참여",S$4,""),IF($T53="참여",T$4,""),IF($U53="참여",U$4,""),IF($V53="참여",V$4,""),IF($W53="참여",W$4,""),IF($X53="참여",X$4,""),IF($Y53="참여",Y$4,""),IF($Z53="참여",Z$4,""),IF($AA53="참여",AA$4,""),IF($AB53="참여",AB$4,""),IF($AC53="참여",AC$4,""),IF($AD53="참여",AD$4,""),IF($AE53="참여",AE$4,"")))</f>
        <v/>
      </c>
      <c r="AH53">
        <f>IF($AG53="","",TRIM(MID(SUBSTITUTE($AG53,",",REPT(" ",100)),1,100)))</f>
        <v/>
      </c>
      <c r="AI53">
        <f>IF($AG53="","",TRIM(MID(SUBSTITUTE($AG53,",",REPT(" ",100)),101,100)))</f>
        <v/>
      </c>
      <c r="AJ53">
        <f>IF($AG53="","",TRIM(MID(SUBSTITUTE($AG53,",",REPT(" ",100)),201,100)))</f>
        <v/>
      </c>
      <c r="AK53">
        <f>IF($AG53="","",TRIM(MID(SUBSTITUTE($AG53,",",REPT(" ",100)),301,100)))</f>
        <v/>
      </c>
      <c r="AL53">
        <f>IF($AG53="","",TRIM(MID(SUBSTITUTE($AG53,",",REPT(" ",100)),401,100)))</f>
        <v/>
      </c>
    </row>
    <row r="54">
      <c r="A54" s="45" t="n"/>
      <c r="B54" s="62" t="n"/>
      <c r="C54" s="45" t="n"/>
      <c r="D54" s="44" t="n"/>
      <c r="E54" s="45" t="n"/>
      <c r="F54" s="45" t="n"/>
      <c r="G54" s="63">
        <f>IF($A54="","",COUNTIF($L54:$AE54,"?*"))</f>
        <v/>
      </c>
      <c r="H54" s="64">
        <f>IF($A54="","",IFERROR(INDEX($L$4:$AE$4,MATCH("주담당",$L54:$AE54,0)),""))</f>
        <v/>
      </c>
      <c r="I54" s="65">
        <f>IF($A54="","",_xlfn.TEXTJOIN(", ",TRUE,IF($L54="","",L$4),IF($M54="","",M$4),IF($N54="","",N$4),IF($O54="","",O$4),IF($P54="","",P$4),IF($Q54="","",Q$4),IF($R54="","",R$4),IF($S54="","",S$4),IF($T54="","",T$4),IF($U54="","",U$4),IF($V54="","",V$4),IF($W54="","",W$4),IF($X54="","",X$4),IF($Y54="","",Y$4),IF($Z54="","",Z$4),IF($AA54="","",AA$4),IF($AB54="","",AB$4),IF($AC54="","",AC$4),IF($AD54="","",AD$4),IF($AE54="","",AE$4)))</f>
        <v/>
      </c>
      <c r="J54" s="62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G54">
        <f>IF($A54="","",_xlfn.TEXTJOIN(", ",TRUE,IF($L54="참여",L$4,""),IF($M54="참여",M$4,""),IF($N54="참여",N$4,""),IF($O54="참여",O$4,""),IF($P54="참여",P$4,""),IF($Q54="참여",Q$4,""),IF($R54="참여",R$4,""),IF($S54="참여",S$4,""),IF($T54="참여",T$4,""),IF($U54="참여",U$4,""),IF($V54="참여",V$4,""),IF($W54="참여",W$4,""),IF($X54="참여",X$4,""),IF($Y54="참여",Y$4,""),IF($Z54="참여",Z$4,""),IF($AA54="참여",AA$4,""),IF($AB54="참여",AB$4,""),IF($AC54="참여",AC$4,""),IF($AD54="참여",AD$4,""),IF($AE54="참여",AE$4,"")))</f>
        <v/>
      </c>
      <c r="AH54">
        <f>IF($AG54="","",TRIM(MID(SUBSTITUTE($AG54,",",REPT(" ",100)),1,100)))</f>
        <v/>
      </c>
      <c r="AI54">
        <f>IF($AG54="","",TRIM(MID(SUBSTITUTE($AG54,",",REPT(" ",100)),101,100)))</f>
        <v/>
      </c>
      <c r="AJ54">
        <f>IF($AG54="","",TRIM(MID(SUBSTITUTE($AG54,",",REPT(" ",100)),201,100)))</f>
        <v/>
      </c>
      <c r="AK54">
        <f>IF($AG54="","",TRIM(MID(SUBSTITUTE($AG54,",",REPT(" ",100)),301,100)))</f>
        <v/>
      </c>
      <c r="AL54">
        <f>IF($AG54="","",TRIM(MID(SUBSTITUTE($AG54,",",REPT(" ",100)),401,100)))</f>
        <v/>
      </c>
    </row>
    <row r="55">
      <c r="A55" s="45" t="n"/>
      <c r="B55" s="62" t="n"/>
      <c r="C55" s="45" t="n"/>
      <c r="D55" s="44" t="n"/>
      <c r="E55" s="45" t="n"/>
      <c r="F55" s="45" t="n"/>
      <c r="G55" s="63">
        <f>IF($A55="","",COUNTIF($L55:$AE55,"?*"))</f>
        <v/>
      </c>
      <c r="H55" s="64">
        <f>IF($A55="","",IFERROR(INDEX($L$4:$AE$4,MATCH("주담당",$L55:$AE55,0)),""))</f>
        <v/>
      </c>
      <c r="I55" s="65">
        <f>IF($A55="","",_xlfn.TEXTJOIN(", ",TRUE,IF($L55="","",L$4),IF($M55="","",M$4),IF($N55="","",N$4),IF($O55="","",O$4),IF($P55="","",P$4),IF($Q55="","",Q$4),IF($R55="","",R$4),IF($S55="","",S$4),IF($T55="","",T$4),IF($U55="","",U$4),IF($V55="","",V$4),IF($W55="","",W$4),IF($X55="","",X$4),IF($Y55="","",Y$4),IF($Z55="","",Z$4),IF($AA55="","",AA$4),IF($AB55="","",AB$4),IF($AC55="","",AC$4),IF($AD55="","",AD$4),IF($AE55="","",AE$4)))</f>
        <v/>
      </c>
      <c r="J55" s="62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G55">
        <f>IF($A55="","",_xlfn.TEXTJOIN(", ",TRUE,IF($L55="참여",L$4,""),IF($M55="참여",M$4,""),IF($N55="참여",N$4,""),IF($O55="참여",O$4,""),IF($P55="참여",P$4,""),IF($Q55="참여",Q$4,""),IF($R55="참여",R$4,""),IF($S55="참여",S$4,""),IF($T55="참여",T$4,""),IF($U55="참여",U$4,""),IF($V55="참여",V$4,""),IF($W55="참여",W$4,""),IF($X55="참여",X$4,""),IF($Y55="참여",Y$4,""),IF($Z55="참여",Z$4,""),IF($AA55="참여",AA$4,""),IF($AB55="참여",AB$4,""),IF($AC55="참여",AC$4,""),IF($AD55="참여",AD$4,""),IF($AE55="참여",AE$4,"")))</f>
        <v/>
      </c>
      <c r="AH55">
        <f>IF($AG55="","",TRIM(MID(SUBSTITUTE($AG55,",",REPT(" ",100)),1,100)))</f>
        <v/>
      </c>
      <c r="AI55">
        <f>IF($AG55="","",TRIM(MID(SUBSTITUTE($AG55,",",REPT(" ",100)),101,100)))</f>
        <v/>
      </c>
      <c r="AJ55">
        <f>IF($AG55="","",TRIM(MID(SUBSTITUTE($AG55,",",REPT(" ",100)),201,100)))</f>
        <v/>
      </c>
      <c r="AK55">
        <f>IF($AG55="","",TRIM(MID(SUBSTITUTE($AG55,",",REPT(" ",100)),301,100)))</f>
        <v/>
      </c>
      <c r="AL55">
        <f>IF($AG55="","",TRIM(MID(SUBSTITUTE($AG55,",",REPT(" ",100)),401,100)))</f>
        <v/>
      </c>
    </row>
    <row r="56">
      <c r="A56" s="45" t="n"/>
      <c r="B56" s="62" t="n"/>
      <c r="C56" s="45" t="n"/>
      <c r="D56" s="44" t="n"/>
      <c r="E56" s="45" t="n"/>
      <c r="F56" s="45" t="n"/>
      <c r="G56" s="63">
        <f>IF($A56="","",COUNTIF($L56:$AE56,"?*"))</f>
        <v/>
      </c>
      <c r="H56" s="64">
        <f>IF($A56="","",IFERROR(INDEX($L$4:$AE$4,MATCH("주담당",$L56:$AE56,0)),""))</f>
        <v/>
      </c>
      <c r="I56" s="65">
        <f>IF($A56="","",_xlfn.TEXTJOIN(", ",TRUE,IF($L56="","",L$4),IF($M56="","",M$4),IF($N56="","",N$4),IF($O56="","",O$4),IF($P56="","",P$4),IF($Q56="","",Q$4),IF($R56="","",R$4),IF($S56="","",S$4),IF($T56="","",T$4),IF($U56="","",U$4),IF($V56="","",V$4),IF($W56="","",W$4),IF($X56="","",X$4),IF($Y56="","",Y$4),IF($Z56="","",Z$4),IF($AA56="","",AA$4),IF($AB56="","",AB$4),IF($AC56="","",AC$4),IF($AD56="","",AD$4),IF($AE56="","",AE$4)))</f>
        <v/>
      </c>
      <c r="J56" s="62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G56">
        <f>IF($A56="","",_xlfn.TEXTJOIN(", ",TRUE,IF($L56="참여",L$4,""),IF($M56="참여",M$4,""),IF($N56="참여",N$4,""),IF($O56="참여",O$4,""),IF($P56="참여",P$4,""),IF($Q56="참여",Q$4,""),IF($R56="참여",R$4,""),IF($S56="참여",S$4,""),IF($T56="참여",T$4,""),IF($U56="참여",U$4,""),IF($V56="참여",V$4,""),IF($W56="참여",W$4,""),IF($X56="참여",X$4,""),IF($Y56="참여",Y$4,""),IF($Z56="참여",Z$4,""),IF($AA56="참여",AA$4,""),IF($AB56="참여",AB$4,""),IF($AC56="참여",AC$4,""),IF($AD56="참여",AD$4,""),IF($AE56="참여",AE$4,"")))</f>
        <v/>
      </c>
      <c r="AH56">
        <f>IF($AG56="","",TRIM(MID(SUBSTITUTE($AG56,",",REPT(" ",100)),1,100)))</f>
        <v/>
      </c>
      <c r="AI56">
        <f>IF($AG56="","",TRIM(MID(SUBSTITUTE($AG56,",",REPT(" ",100)),101,100)))</f>
        <v/>
      </c>
      <c r="AJ56">
        <f>IF($AG56="","",TRIM(MID(SUBSTITUTE($AG56,",",REPT(" ",100)),201,100)))</f>
        <v/>
      </c>
      <c r="AK56">
        <f>IF($AG56="","",TRIM(MID(SUBSTITUTE($AG56,",",REPT(" ",100)),301,100)))</f>
        <v/>
      </c>
      <c r="AL56">
        <f>IF($AG56="","",TRIM(MID(SUBSTITUTE($AG56,",",REPT(" ",100)),401,100)))</f>
        <v/>
      </c>
    </row>
    <row r="57">
      <c r="A57" s="45" t="n"/>
      <c r="B57" s="62" t="n"/>
      <c r="C57" s="45" t="n"/>
      <c r="D57" s="44" t="n"/>
      <c r="E57" s="45" t="n"/>
      <c r="F57" s="45" t="n"/>
      <c r="G57" s="63">
        <f>IF($A57="","",COUNTIF($L57:$AE57,"?*"))</f>
        <v/>
      </c>
      <c r="H57" s="64">
        <f>IF($A57="","",IFERROR(INDEX($L$4:$AE$4,MATCH("주담당",$L57:$AE57,0)),""))</f>
        <v/>
      </c>
      <c r="I57" s="65">
        <f>IF($A57="","",_xlfn.TEXTJOIN(", ",TRUE,IF($L57="","",L$4),IF($M57="","",M$4),IF($N57="","",N$4),IF($O57="","",O$4),IF($P57="","",P$4),IF($Q57="","",Q$4),IF($R57="","",R$4),IF($S57="","",S$4),IF($T57="","",T$4),IF($U57="","",U$4),IF($V57="","",V$4),IF($W57="","",W$4),IF($X57="","",X$4),IF($Y57="","",Y$4),IF($Z57="","",Z$4),IF($AA57="","",AA$4),IF($AB57="","",AB$4),IF($AC57="","",AC$4),IF($AD57="","",AD$4),IF($AE57="","",AE$4)))</f>
        <v/>
      </c>
      <c r="J57" s="62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G57">
        <f>IF($A57="","",_xlfn.TEXTJOIN(", ",TRUE,IF($L57="참여",L$4,""),IF($M57="참여",M$4,""),IF($N57="참여",N$4,""),IF($O57="참여",O$4,""),IF($P57="참여",P$4,""),IF($Q57="참여",Q$4,""),IF($R57="참여",R$4,""),IF($S57="참여",S$4,""),IF($T57="참여",T$4,""),IF($U57="참여",U$4,""),IF($V57="참여",V$4,""),IF($W57="참여",W$4,""),IF($X57="참여",X$4,""),IF($Y57="참여",Y$4,""),IF($Z57="참여",Z$4,""),IF($AA57="참여",AA$4,""),IF($AB57="참여",AB$4,""),IF($AC57="참여",AC$4,""),IF($AD57="참여",AD$4,""),IF($AE57="참여",AE$4,"")))</f>
        <v/>
      </c>
      <c r="AH57">
        <f>IF($AG57="","",TRIM(MID(SUBSTITUTE($AG57,",",REPT(" ",100)),1,100)))</f>
        <v/>
      </c>
      <c r="AI57">
        <f>IF($AG57="","",TRIM(MID(SUBSTITUTE($AG57,",",REPT(" ",100)),101,100)))</f>
        <v/>
      </c>
      <c r="AJ57">
        <f>IF($AG57="","",TRIM(MID(SUBSTITUTE($AG57,",",REPT(" ",100)),201,100)))</f>
        <v/>
      </c>
      <c r="AK57">
        <f>IF($AG57="","",TRIM(MID(SUBSTITUTE($AG57,",",REPT(" ",100)),301,100)))</f>
        <v/>
      </c>
      <c r="AL57">
        <f>IF($AG57="","",TRIM(MID(SUBSTITUTE($AG57,",",REPT(" ",100)),401,100)))</f>
        <v/>
      </c>
    </row>
    <row r="58">
      <c r="A58" s="45" t="n"/>
      <c r="B58" s="62" t="n"/>
      <c r="C58" s="45" t="n"/>
      <c r="D58" s="44" t="n"/>
      <c r="E58" s="45" t="n"/>
      <c r="F58" s="45" t="n"/>
      <c r="G58" s="63">
        <f>IF($A58="","",COUNTIF($L58:$AE58,"?*"))</f>
        <v/>
      </c>
      <c r="H58" s="64">
        <f>IF($A58="","",IFERROR(INDEX($L$4:$AE$4,MATCH("주담당",$L58:$AE58,0)),""))</f>
        <v/>
      </c>
      <c r="I58" s="65">
        <f>IF($A58="","",_xlfn.TEXTJOIN(", ",TRUE,IF($L58="","",L$4),IF($M58="","",M$4),IF($N58="","",N$4),IF($O58="","",O$4),IF($P58="","",P$4),IF($Q58="","",Q$4),IF($R58="","",R$4),IF($S58="","",S$4),IF($T58="","",T$4),IF($U58="","",U$4),IF($V58="","",V$4),IF($W58="","",W$4),IF($X58="","",X$4),IF($Y58="","",Y$4),IF($Z58="","",Z$4),IF($AA58="","",AA$4),IF($AB58="","",AB$4),IF($AC58="","",AC$4),IF($AD58="","",AD$4),IF($AE58="","",AE$4)))</f>
        <v/>
      </c>
      <c r="J58" s="62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G58">
        <f>IF($A58="","",_xlfn.TEXTJOIN(", ",TRUE,IF($L58="참여",L$4,""),IF($M58="참여",M$4,""),IF($N58="참여",N$4,""),IF($O58="참여",O$4,""),IF($P58="참여",P$4,""),IF($Q58="참여",Q$4,""),IF($R58="참여",R$4,""),IF($S58="참여",S$4,""),IF($T58="참여",T$4,""),IF($U58="참여",U$4,""),IF($V58="참여",V$4,""),IF($W58="참여",W$4,""),IF($X58="참여",X$4,""),IF($Y58="참여",Y$4,""),IF($Z58="참여",Z$4,""),IF($AA58="참여",AA$4,""),IF($AB58="참여",AB$4,""),IF($AC58="참여",AC$4,""),IF($AD58="참여",AD$4,""),IF($AE58="참여",AE$4,"")))</f>
        <v/>
      </c>
      <c r="AH58">
        <f>IF($AG58="","",TRIM(MID(SUBSTITUTE($AG58,",",REPT(" ",100)),1,100)))</f>
        <v/>
      </c>
      <c r="AI58">
        <f>IF($AG58="","",TRIM(MID(SUBSTITUTE($AG58,",",REPT(" ",100)),101,100)))</f>
        <v/>
      </c>
      <c r="AJ58">
        <f>IF($AG58="","",TRIM(MID(SUBSTITUTE($AG58,",",REPT(" ",100)),201,100)))</f>
        <v/>
      </c>
      <c r="AK58">
        <f>IF($AG58="","",TRIM(MID(SUBSTITUTE($AG58,",",REPT(" ",100)),301,100)))</f>
        <v/>
      </c>
      <c r="AL58">
        <f>IF($AG58="","",TRIM(MID(SUBSTITUTE($AG58,",",REPT(" ",100)),401,100)))</f>
        <v/>
      </c>
    </row>
    <row r="59">
      <c r="A59" s="45" t="n"/>
      <c r="B59" s="62" t="n"/>
      <c r="C59" s="45" t="n"/>
      <c r="D59" s="44" t="n"/>
      <c r="E59" s="45" t="n"/>
      <c r="F59" s="45" t="n"/>
      <c r="G59" s="63">
        <f>IF($A59="","",COUNTIF($L59:$AE59,"?*"))</f>
        <v/>
      </c>
      <c r="H59" s="64">
        <f>IF($A59="","",IFERROR(INDEX($L$4:$AE$4,MATCH("주담당",$L59:$AE59,0)),""))</f>
        <v/>
      </c>
      <c r="I59" s="65">
        <f>IF($A59="","",_xlfn.TEXTJOIN(", ",TRUE,IF($L59="","",L$4),IF($M59="","",M$4),IF($N59="","",N$4),IF($O59="","",O$4),IF($P59="","",P$4),IF($Q59="","",Q$4),IF($R59="","",R$4),IF($S59="","",S$4),IF($T59="","",T$4),IF($U59="","",U$4),IF($V59="","",V$4),IF($W59="","",W$4),IF($X59="","",X$4),IF($Y59="","",Y$4),IF($Z59="","",Z$4),IF($AA59="","",AA$4),IF($AB59="","",AB$4),IF($AC59="","",AC$4),IF($AD59="","",AD$4),IF($AE59="","",AE$4)))</f>
        <v/>
      </c>
      <c r="J59" s="62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G59">
        <f>IF($A59="","",_xlfn.TEXTJOIN(", ",TRUE,IF($L59="참여",L$4,""),IF($M59="참여",M$4,""),IF($N59="참여",N$4,""),IF($O59="참여",O$4,""),IF($P59="참여",P$4,""),IF($Q59="참여",Q$4,""),IF($R59="참여",R$4,""),IF($S59="참여",S$4,""),IF($T59="참여",T$4,""),IF($U59="참여",U$4,""),IF($V59="참여",V$4,""),IF($W59="참여",W$4,""),IF($X59="참여",X$4,""),IF($Y59="참여",Y$4,""),IF($Z59="참여",Z$4,""),IF($AA59="참여",AA$4,""),IF($AB59="참여",AB$4,""),IF($AC59="참여",AC$4,""),IF($AD59="참여",AD$4,""),IF($AE59="참여",AE$4,"")))</f>
        <v/>
      </c>
      <c r="AH59">
        <f>IF($AG59="","",TRIM(MID(SUBSTITUTE($AG59,",",REPT(" ",100)),1,100)))</f>
        <v/>
      </c>
      <c r="AI59">
        <f>IF($AG59="","",TRIM(MID(SUBSTITUTE($AG59,",",REPT(" ",100)),101,100)))</f>
        <v/>
      </c>
      <c r="AJ59">
        <f>IF($AG59="","",TRIM(MID(SUBSTITUTE($AG59,",",REPT(" ",100)),201,100)))</f>
        <v/>
      </c>
      <c r="AK59">
        <f>IF($AG59="","",TRIM(MID(SUBSTITUTE($AG59,",",REPT(" ",100)),301,100)))</f>
        <v/>
      </c>
      <c r="AL59">
        <f>IF($AG59="","",TRIM(MID(SUBSTITUTE($AG59,",",REPT(" ",100)),401,100)))</f>
        <v/>
      </c>
    </row>
    <row r="60">
      <c r="A60" s="45" t="n"/>
      <c r="B60" s="62" t="n"/>
      <c r="C60" s="45" t="n"/>
      <c r="D60" s="44" t="n"/>
      <c r="E60" s="45" t="n"/>
      <c r="F60" s="45" t="n"/>
      <c r="G60" s="63">
        <f>IF($A60="","",COUNTIF($L60:$AE60,"?*"))</f>
        <v/>
      </c>
      <c r="H60" s="64">
        <f>IF($A60="","",IFERROR(INDEX($L$4:$AE$4,MATCH("주담당",$L60:$AE60,0)),""))</f>
        <v/>
      </c>
      <c r="I60" s="65">
        <f>IF($A60="","",_xlfn.TEXTJOIN(", ",TRUE,IF($L60="","",L$4),IF($M60="","",M$4),IF($N60="","",N$4),IF($O60="","",O$4),IF($P60="","",P$4),IF($Q60="","",Q$4),IF($R60="","",R$4),IF($S60="","",S$4),IF($T60="","",T$4),IF($U60="","",U$4),IF($V60="","",V$4),IF($W60="","",W$4),IF($X60="","",X$4),IF($Y60="","",Y$4),IF($Z60="","",Z$4),IF($AA60="","",AA$4),IF($AB60="","",AB$4),IF($AC60="","",AC$4),IF($AD60="","",AD$4),IF($AE60="","",AE$4)))</f>
        <v/>
      </c>
      <c r="J60" s="62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G60">
        <f>IF($A60="","",_xlfn.TEXTJOIN(", ",TRUE,IF($L60="참여",L$4,""),IF($M60="참여",M$4,""),IF($N60="참여",N$4,""),IF($O60="참여",O$4,""),IF($P60="참여",P$4,""),IF($Q60="참여",Q$4,""),IF($R60="참여",R$4,""),IF($S60="참여",S$4,""),IF($T60="참여",T$4,""),IF($U60="참여",U$4,""),IF($V60="참여",V$4,""),IF($W60="참여",W$4,""),IF($X60="참여",X$4,""),IF($Y60="참여",Y$4,""),IF($Z60="참여",Z$4,""),IF($AA60="참여",AA$4,""),IF($AB60="참여",AB$4,""),IF($AC60="참여",AC$4,""),IF($AD60="참여",AD$4,""),IF($AE60="참여",AE$4,"")))</f>
        <v/>
      </c>
      <c r="AH60">
        <f>IF($AG60="","",TRIM(MID(SUBSTITUTE($AG60,",",REPT(" ",100)),1,100)))</f>
        <v/>
      </c>
      <c r="AI60">
        <f>IF($AG60="","",TRIM(MID(SUBSTITUTE($AG60,",",REPT(" ",100)),101,100)))</f>
        <v/>
      </c>
      <c r="AJ60">
        <f>IF($AG60="","",TRIM(MID(SUBSTITUTE($AG60,",",REPT(" ",100)),201,100)))</f>
        <v/>
      </c>
      <c r="AK60">
        <f>IF($AG60="","",TRIM(MID(SUBSTITUTE($AG60,",",REPT(" ",100)),301,100)))</f>
        <v/>
      </c>
      <c r="AL60">
        <f>IF($AG60="","",TRIM(MID(SUBSTITUTE($AG60,",",REPT(" ",100)),401,100)))</f>
        <v/>
      </c>
    </row>
    <row r="61">
      <c r="A61" s="45" t="n"/>
      <c r="B61" s="62" t="n"/>
      <c r="C61" s="45" t="n"/>
      <c r="D61" s="44" t="n"/>
      <c r="E61" s="45" t="n"/>
      <c r="F61" s="45" t="n"/>
      <c r="G61" s="63">
        <f>IF($A61="","",COUNTIF($L61:$AE61,"?*"))</f>
        <v/>
      </c>
      <c r="H61" s="64">
        <f>IF($A61="","",IFERROR(INDEX($L$4:$AE$4,MATCH("주담당",$L61:$AE61,0)),""))</f>
        <v/>
      </c>
      <c r="I61" s="65">
        <f>IF($A61="","",_xlfn.TEXTJOIN(", ",TRUE,IF($L61="","",L$4),IF($M61="","",M$4),IF($N61="","",N$4),IF($O61="","",O$4),IF($P61="","",P$4),IF($Q61="","",Q$4),IF($R61="","",R$4),IF($S61="","",S$4),IF($T61="","",T$4),IF($U61="","",U$4),IF($V61="","",V$4),IF($W61="","",W$4),IF($X61="","",X$4),IF($Y61="","",Y$4),IF($Z61="","",Z$4),IF($AA61="","",AA$4),IF($AB61="","",AB$4),IF($AC61="","",AC$4),IF($AD61="","",AD$4),IF($AE61="","",AE$4)))</f>
        <v/>
      </c>
      <c r="J61" s="62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G61">
        <f>IF($A61="","",_xlfn.TEXTJOIN(", ",TRUE,IF($L61="참여",L$4,""),IF($M61="참여",M$4,""),IF($N61="참여",N$4,""),IF($O61="참여",O$4,""),IF($P61="참여",P$4,""),IF($Q61="참여",Q$4,""),IF($R61="참여",R$4,""),IF($S61="참여",S$4,""),IF($T61="참여",T$4,""),IF($U61="참여",U$4,""),IF($V61="참여",V$4,""),IF($W61="참여",W$4,""),IF($X61="참여",X$4,""),IF($Y61="참여",Y$4,""),IF($Z61="참여",Z$4,""),IF($AA61="참여",AA$4,""),IF($AB61="참여",AB$4,""),IF($AC61="참여",AC$4,""),IF($AD61="참여",AD$4,""),IF($AE61="참여",AE$4,"")))</f>
        <v/>
      </c>
      <c r="AH61">
        <f>IF($AG61="","",TRIM(MID(SUBSTITUTE($AG61,",",REPT(" ",100)),1,100)))</f>
        <v/>
      </c>
      <c r="AI61">
        <f>IF($AG61="","",TRIM(MID(SUBSTITUTE($AG61,",",REPT(" ",100)),101,100)))</f>
        <v/>
      </c>
      <c r="AJ61">
        <f>IF($AG61="","",TRIM(MID(SUBSTITUTE($AG61,",",REPT(" ",100)),201,100)))</f>
        <v/>
      </c>
      <c r="AK61">
        <f>IF($AG61="","",TRIM(MID(SUBSTITUTE($AG61,",",REPT(" ",100)),301,100)))</f>
        <v/>
      </c>
      <c r="AL61">
        <f>IF($AG61="","",TRIM(MID(SUBSTITUTE($AG61,",",REPT(" ",100)),401,100)))</f>
        <v/>
      </c>
    </row>
    <row r="62">
      <c r="A62" s="45" t="n"/>
      <c r="B62" s="62" t="n"/>
      <c r="C62" s="45" t="n"/>
      <c r="D62" s="44" t="n"/>
      <c r="E62" s="45" t="n"/>
      <c r="F62" s="45" t="n"/>
      <c r="G62" s="63">
        <f>IF($A62="","",COUNTIF($L62:$AE62,"?*"))</f>
        <v/>
      </c>
      <c r="H62" s="64">
        <f>IF($A62="","",IFERROR(INDEX($L$4:$AE$4,MATCH("주담당",$L62:$AE62,0)),""))</f>
        <v/>
      </c>
      <c r="I62" s="65">
        <f>IF($A62="","",_xlfn.TEXTJOIN(", ",TRUE,IF($L62="","",L$4),IF($M62="","",M$4),IF($N62="","",N$4),IF($O62="","",O$4),IF($P62="","",P$4),IF($Q62="","",Q$4),IF($R62="","",R$4),IF($S62="","",S$4),IF($T62="","",T$4),IF($U62="","",U$4),IF($V62="","",V$4),IF($W62="","",W$4),IF($X62="","",X$4),IF($Y62="","",Y$4),IF($Z62="","",Z$4),IF($AA62="","",AA$4),IF($AB62="","",AB$4),IF($AC62="","",AC$4),IF($AD62="","",AD$4),IF($AE62="","",AE$4)))</f>
        <v/>
      </c>
      <c r="J62" s="62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G62">
        <f>IF($A62="","",_xlfn.TEXTJOIN(", ",TRUE,IF($L62="참여",L$4,""),IF($M62="참여",M$4,""),IF($N62="참여",N$4,""),IF($O62="참여",O$4,""),IF($P62="참여",P$4,""),IF($Q62="참여",Q$4,""),IF($R62="참여",R$4,""),IF($S62="참여",S$4,""),IF($T62="참여",T$4,""),IF($U62="참여",U$4,""),IF($V62="참여",V$4,""),IF($W62="참여",W$4,""),IF($X62="참여",X$4,""),IF($Y62="참여",Y$4,""),IF($Z62="참여",Z$4,""),IF($AA62="참여",AA$4,""),IF($AB62="참여",AB$4,""),IF($AC62="참여",AC$4,""),IF($AD62="참여",AD$4,""),IF($AE62="참여",AE$4,"")))</f>
        <v/>
      </c>
      <c r="AH62">
        <f>IF($AG62="","",TRIM(MID(SUBSTITUTE($AG62,",",REPT(" ",100)),1,100)))</f>
        <v/>
      </c>
      <c r="AI62">
        <f>IF($AG62="","",TRIM(MID(SUBSTITUTE($AG62,",",REPT(" ",100)),101,100)))</f>
        <v/>
      </c>
      <c r="AJ62">
        <f>IF($AG62="","",TRIM(MID(SUBSTITUTE($AG62,",",REPT(" ",100)),201,100)))</f>
        <v/>
      </c>
      <c r="AK62">
        <f>IF($AG62="","",TRIM(MID(SUBSTITUTE($AG62,",",REPT(" ",100)),301,100)))</f>
        <v/>
      </c>
      <c r="AL62">
        <f>IF($AG62="","",TRIM(MID(SUBSTITUTE($AG62,",",REPT(" ",100)),401,100)))</f>
        <v/>
      </c>
    </row>
    <row r="63">
      <c r="A63" s="45" t="n"/>
      <c r="B63" s="62" t="n"/>
      <c r="C63" s="45" t="n"/>
      <c r="D63" s="44" t="n"/>
      <c r="E63" s="45" t="n"/>
      <c r="F63" s="45" t="n"/>
      <c r="G63" s="63">
        <f>IF($A63="","",COUNTIF($L63:$AE63,"?*"))</f>
        <v/>
      </c>
      <c r="H63" s="64">
        <f>IF($A63="","",IFERROR(INDEX($L$4:$AE$4,MATCH("주담당",$L63:$AE63,0)),""))</f>
        <v/>
      </c>
      <c r="I63" s="65">
        <f>IF($A63="","",_xlfn.TEXTJOIN(", ",TRUE,IF($L63="","",L$4),IF($M63="","",M$4),IF($N63="","",N$4),IF($O63="","",O$4),IF($P63="","",P$4),IF($Q63="","",Q$4),IF($R63="","",R$4),IF($S63="","",S$4),IF($T63="","",T$4),IF($U63="","",U$4),IF($V63="","",V$4),IF($W63="","",W$4),IF($X63="","",X$4),IF($Y63="","",Y$4),IF($Z63="","",Z$4),IF($AA63="","",AA$4),IF($AB63="","",AB$4),IF($AC63="","",AC$4),IF($AD63="","",AD$4),IF($AE63="","",AE$4)))</f>
        <v/>
      </c>
      <c r="J63" s="62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G63">
        <f>IF($A63="","",_xlfn.TEXTJOIN(", ",TRUE,IF($L63="참여",L$4,""),IF($M63="참여",M$4,""),IF($N63="참여",N$4,""),IF($O63="참여",O$4,""),IF($P63="참여",P$4,""),IF($Q63="참여",Q$4,""),IF($R63="참여",R$4,""),IF($S63="참여",S$4,""),IF($T63="참여",T$4,""),IF($U63="참여",U$4,""),IF($V63="참여",V$4,""),IF($W63="참여",W$4,""),IF($X63="참여",X$4,""),IF($Y63="참여",Y$4,""),IF($Z63="참여",Z$4,""),IF($AA63="참여",AA$4,""),IF($AB63="참여",AB$4,""),IF($AC63="참여",AC$4,""),IF($AD63="참여",AD$4,""),IF($AE63="참여",AE$4,"")))</f>
        <v/>
      </c>
      <c r="AH63">
        <f>IF($AG63="","",TRIM(MID(SUBSTITUTE($AG63,",",REPT(" ",100)),1,100)))</f>
        <v/>
      </c>
      <c r="AI63">
        <f>IF($AG63="","",TRIM(MID(SUBSTITUTE($AG63,",",REPT(" ",100)),101,100)))</f>
        <v/>
      </c>
      <c r="AJ63">
        <f>IF($AG63="","",TRIM(MID(SUBSTITUTE($AG63,",",REPT(" ",100)),201,100)))</f>
        <v/>
      </c>
      <c r="AK63">
        <f>IF($AG63="","",TRIM(MID(SUBSTITUTE($AG63,",",REPT(" ",100)),301,100)))</f>
        <v/>
      </c>
      <c r="AL63">
        <f>IF($AG63="","",TRIM(MID(SUBSTITUTE($AG63,",",REPT(" ",100)),401,100)))</f>
        <v/>
      </c>
    </row>
    <row r="64">
      <c r="A64" s="45" t="n"/>
      <c r="B64" s="62" t="n"/>
      <c r="C64" s="45" t="n"/>
      <c r="D64" s="44" t="n"/>
      <c r="E64" s="45" t="n"/>
      <c r="F64" s="45" t="n"/>
      <c r="G64" s="63">
        <f>IF($A64="","",COUNTIF($L64:$AE64,"?*"))</f>
        <v/>
      </c>
      <c r="H64" s="64">
        <f>IF($A64="","",IFERROR(INDEX($L$4:$AE$4,MATCH("주담당",$L64:$AE64,0)),""))</f>
        <v/>
      </c>
      <c r="I64" s="65">
        <f>IF($A64="","",_xlfn.TEXTJOIN(", ",TRUE,IF($L64="","",L$4),IF($M64="","",M$4),IF($N64="","",N$4),IF($O64="","",O$4),IF($P64="","",P$4),IF($Q64="","",Q$4),IF($R64="","",R$4),IF($S64="","",S$4),IF($T64="","",T$4),IF($U64="","",U$4),IF($V64="","",V$4),IF($W64="","",W$4),IF($X64="","",X$4),IF($Y64="","",Y$4),IF($Z64="","",Z$4),IF($AA64="","",AA$4),IF($AB64="","",AB$4),IF($AC64="","",AC$4),IF($AD64="","",AD$4),IF($AE64="","",AE$4)))</f>
        <v/>
      </c>
      <c r="J64" s="62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G64">
        <f>IF($A64="","",_xlfn.TEXTJOIN(", ",TRUE,IF($L64="참여",L$4,""),IF($M64="참여",M$4,""),IF($N64="참여",N$4,""),IF($O64="참여",O$4,""),IF($P64="참여",P$4,""),IF($Q64="참여",Q$4,""),IF($R64="참여",R$4,""),IF($S64="참여",S$4,""),IF($T64="참여",T$4,""),IF($U64="참여",U$4,""),IF($V64="참여",V$4,""),IF($W64="참여",W$4,""),IF($X64="참여",X$4,""),IF($Y64="참여",Y$4,""),IF($Z64="참여",Z$4,""),IF($AA64="참여",AA$4,""),IF($AB64="참여",AB$4,""),IF($AC64="참여",AC$4,""),IF($AD64="참여",AD$4,""),IF($AE64="참여",AE$4,"")))</f>
        <v/>
      </c>
      <c r="AH64">
        <f>IF($AG64="","",TRIM(MID(SUBSTITUTE($AG64,",",REPT(" ",100)),1,100)))</f>
        <v/>
      </c>
      <c r="AI64">
        <f>IF($AG64="","",TRIM(MID(SUBSTITUTE($AG64,",",REPT(" ",100)),101,100)))</f>
        <v/>
      </c>
      <c r="AJ64">
        <f>IF($AG64="","",TRIM(MID(SUBSTITUTE($AG64,",",REPT(" ",100)),201,100)))</f>
        <v/>
      </c>
      <c r="AK64">
        <f>IF($AG64="","",TRIM(MID(SUBSTITUTE($AG64,",",REPT(" ",100)),301,100)))</f>
        <v/>
      </c>
      <c r="AL64">
        <f>IF($AG64="","",TRIM(MID(SUBSTITUTE($AG64,",",REPT(" ",100)),401,100)))</f>
        <v/>
      </c>
    </row>
  </sheetData>
  <autoFilter ref="A4:J64"/>
  <conditionalFormatting sqref="A5:J64">
    <cfRule type="expression" priority="1" dxfId="6" stopIfTrue="0">
      <formula>AND($A5&lt;&gt;"",COUNTIF($A$5:$A$64,$A5)&gt;1)</formula>
    </cfRule>
  </conditionalFormatting>
  <dataValidations count="4">
    <dataValidation sqref="C5:C64" showDropDown="0" showInputMessage="0" showErrorMessage="0" allowBlank="1" type="list">
      <formula1>코드설정!$E$5:$E$14</formula1>
    </dataValidation>
    <dataValidation sqref="E5:E64" showDropDown="0" showInputMessage="0" showErrorMessage="0" allowBlank="1" type="list">
      <formula1>코드설정!$F$5:$F$7</formula1>
    </dataValidation>
    <dataValidation sqref="F5:F64" showDropDown="0" showInputMessage="0" showErrorMessage="0" allowBlank="1" type="list">
      <formula1>코드설정!$I$5:$I$14</formula1>
    </dataValidation>
    <dataValidation sqref="L5:AE64" showDropDown="0" showInputMessage="0" showErrorMessage="0" allowBlank="1" type="list">
      <formula1>"주담당,참여"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J8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24" customHeight="1">
      <c r="A1" s="6" t="inlineStr">
        <is>
          <t>부서 전체 현황  ·  출장 / 분석 / 일일</t>
        </is>
      </c>
    </row>
    <row r="2" ht="26" customHeight="1">
      <c r="A2" s="7" t="inlineStr">
        <is>
          <t>※ 노란 칸(기준연도)만 바꾸면 아래 모든 표가 다시 계산됩니다.  ※ 건수 = '건' 단위 / 연인원 = 참여 인원 누계 / 총 인시 = 실제 투입 공수(1인 투입시간 × 투입인원).</t>
        </is>
      </c>
    </row>
    <row r="3">
      <c r="A3" s="8" t="inlineStr">
        <is>
          <t>기준연도</t>
        </is>
      </c>
      <c r="B3" s="9" t="n">
        <v>2026</v>
      </c>
    </row>
    <row r="5" ht="20" customHeight="1">
      <c r="A5" s="21" t="inlineStr">
        <is>
          <t>1.  월별 추이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6" ht="32" customHeight="1">
      <c r="A6" s="23" t="inlineStr">
        <is>
          <t>월</t>
        </is>
      </c>
      <c r="B6" s="23" t="inlineStr">
        <is>
          <t>출장 건수</t>
        </is>
      </c>
      <c r="C6" s="23" t="inlineStr">
        <is>
          <t>분석 건수</t>
        </is>
      </c>
      <c r="D6" s="23" t="inlineStr">
        <is>
          <t>전체 건수</t>
        </is>
      </c>
      <c r="E6" s="23" t="inlineStr">
        <is>
          <t>출장 소요일수</t>
        </is>
      </c>
      <c r="F6" s="23" t="inlineStr">
        <is>
          <t>연인원(명)</t>
        </is>
      </c>
      <c r="G6" s="23" t="inlineStr">
        <is>
          <t>총 인시(H)</t>
        </is>
      </c>
      <c r="H6" s="23" t="inlineStr">
        <is>
          <t>대상매체(건)</t>
        </is>
      </c>
      <c r="I6" s="23" t="inlineStr">
        <is>
          <t>일일실시(건)</t>
        </is>
      </c>
      <c r="J6" s="23" t="inlineStr">
        <is>
          <t>1건당 인시(H)</t>
        </is>
      </c>
    </row>
    <row r="7">
      <c r="A7" s="8" t="inlineStr">
        <is>
          <t>1월</t>
        </is>
      </c>
      <c r="B7" s="24">
        <f>COUNTIFS(업무일지!$B$5:$B$1004,"&gt;="&amp;DATE($B$3,1,1),업무일지!$B$5:$B$1004,"&lt;"&amp;DATE($B$3,1+1,1),업무일지!$D$5:$D$1004,"출장")</f>
        <v/>
      </c>
      <c r="C7" s="24">
        <f>COUNTIFS(업무일지!$B$5:$B$1004,"&gt;="&amp;DATE($B$3,1,1),업무일지!$B$5:$B$1004,"&lt;"&amp;DATE($B$3,1+1,1),업무일지!$D$5:$D$1004,"분석")</f>
        <v/>
      </c>
      <c r="D7" s="63">
        <f>B7+C7</f>
        <v/>
      </c>
      <c r="E7" s="24">
        <f>SUMIFS(업무일지!$U$5:$U$1004,업무일지!$B$5:$B$1004,"&gt;="&amp;DATE($B$3,1,1),업무일지!$B$5:$B$1004,"&lt;"&amp;DATE($B$3,1+1,1),업무일지!$D$5:$D$1004,"출장")</f>
        <v/>
      </c>
      <c r="F7" s="24">
        <f>SUMIFS(업무일지!$O$5:$O$1004,업무일지!$B$5:$B$1004,"&gt;="&amp;DATE($B$3,1,1),업무일지!$B$5:$B$1004,"&lt;"&amp;DATE($B$3,1+1,1))</f>
        <v/>
      </c>
      <c r="G7" s="25">
        <f>SUMIFS(업무일지!$W$5:$W$1004,업무일지!$B$5:$B$1004,"&gt;="&amp;DATE($B$3,1,1),업무일지!$B$5:$B$1004,"&lt;"&amp;DATE($B$3,1+1,1))</f>
        <v/>
      </c>
      <c r="H7" s="24">
        <f>SUMIFS(업무일지!$S$5:$S$1004,업무일지!$B$5:$B$1004,"&gt;="&amp;DATE($B$3,1,1),업무일지!$B$5:$B$1004,"&lt;"&amp;DATE($B$3,1+1,1))</f>
        <v/>
      </c>
      <c r="I7" s="24">
        <f>COUNTIFS(일일실시사항!$B$5:$B$1004,"&gt;="&amp;DATE($B$3,1,1),일일실시사항!$B$5:$B$1004,"&lt;"&amp;DATE($B$3,1+1,1))</f>
        <v/>
      </c>
      <c r="J7" s="67">
        <f>IFERROR(G7/D7,0)</f>
        <v/>
      </c>
    </row>
    <row r="8">
      <c r="A8" s="8" t="inlineStr">
        <is>
          <t>2월</t>
        </is>
      </c>
      <c r="B8" s="24">
        <f>COUNTIFS(업무일지!$B$5:$B$1004,"&gt;="&amp;DATE($B$3,2,1),업무일지!$B$5:$B$1004,"&lt;"&amp;DATE($B$3,2+1,1),업무일지!$D$5:$D$1004,"출장")</f>
        <v/>
      </c>
      <c r="C8" s="24">
        <f>COUNTIFS(업무일지!$B$5:$B$1004,"&gt;="&amp;DATE($B$3,2,1),업무일지!$B$5:$B$1004,"&lt;"&amp;DATE($B$3,2+1,1),업무일지!$D$5:$D$1004,"분석")</f>
        <v/>
      </c>
      <c r="D8" s="63">
        <f>B8+C8</f>
        <v/>
      </c>
      <c r="E8" s="24">
        <f>SUMIFS(업무일지!$U$5:$U$1004,업무일지!$B$5:$B$1004,"&gt;="&amp;DATE($B$3,2,1),업무일지!$B$5:$B$1004,"&lt;"&amp;DATE($B$3,2+1,1),업무일지!$D$5:$D$1004,"출장")</f>
        <v/>
      </c>
      <c r="F8" s="24">
        <f>SUMIFS(업무일지!$O$5:$O$1004,업무일지!$B$5:$B$1004,"&gt;="&amp;DATE($B$3,2,1),업무일지!$B$5:$B$1004,"&lt;"&amp;DATE($B$3,2+1,1))</f>
        <v/>
      </c>
      <c r="G8" s="25">
        <f>SUMIFS(업무일지!$W$5:$W$1004,업무일지!$B$5:$B$1004,"&gt;="&amp;DATE($B$3,2,1),업무일지!$B$5:$B$1004,"&lt;"&amp;DATE($B$3,2+1,1))</f>
        <v/>
      </c>
      <c r="H8" s="24">
        <f>SUMIFS(업무일지!$S$5:$S$1004,업무일지!$B$5:$B$1004,"&gt;="&amp;DATE($B$3,2,1),업무일지!$B$5:$B$1004,"&lt;"&amp;DATE($B$3,2+1,1))</f>
        <v/>
      </c>
      <c r="I8" s="24">
        <f>COUNTIFS(일일실시사항!$B$5:$B$1004,"&gt;="&amp;DATE($B$3,2,1),일일실시사항!$B$5:$B$1004,"&lt;"&amp;DATE($B$3,2+1,1))</f>
        <v/>
      </c>
      <c r="J8" s="67">
        <f>IFERROR(G8/D8,0)</f>
        <v/>
      </c>
    </row>
    <row r="9">
      <c r="A9" s="8" t="inlineStr">
        <is>
          <t>3월</t>
        </is>
      </c>
      <c r="B9" s="24">
        <f>COUNTIFS(업무일지!$B$5:$B$1004,"&gt;="&amp;DATE($B$3,3,1),업무일지!$B$5:$B$1004,"&lt;"&amp;DATE($B$3,3+1,1),업무일지!$D$5:$D$1004,"출장")</f>
        <v/>
      </c>
      <c r="C9" s="24">
        <f>COUNTIFS(업무일지!$B$5:$B$1004,"&gt;="&amp;DATE($B$3,3,1),업무일지!$B$5:$B$1004,"&lt;"&amp;DATE($B$3,3+1,1),업무일지!$D$5:$D$1004,"분석")</f>
        <v/>
      </c>
      <c r="D9" s="63">
        <f>B9+C9</f>
        <v/>
      </c>
      <c r="E9" s="24">
        <f>SUMIFS(업무일지!$U$5:$U$1004,업무일지!$B$5:$B$1004,"&gt;="&amp;DATE($B$3,3,1),업무일지!$B$5:$B$1004,"&lt;"&amp;DATE($B$3,3+1,1),업무일지!$D$5:$D$1004,"출장")</f>
        <v/>
      </c>
      <c r="F9" s="24">
        <f>SUMIFS(업무일지!$O$5:$O$1004,업무일지!$B$5:$B$1004,"&gt;="&amp;DATE($B$3,3,1),업무일지!$B$5:$B$1004,"&lt;"&amp;DATE($B$3,3+1,1))</f>
        <v/>
      </c>
      <c r="G9" s="25">
        <f>SUMIFS(업무일지!$W$5:$W$1004,업무일지!$B$5:$B$1004,"&gt;="&amp;DATE($B$3,3,1),업무일지!$B$5:$B$1004,"&lt;"&amp;DATE($B$3,3+1,1))</f>
        <v/>
      </c>
      <c r="H9" s="24">
        <f>SUMIFS(업무일지!$S$5:$S$1004,업무일지!$B$5:$B$1004,"&gt;="&amp;DATE($B$3,3,1),업무일지!$B$5:$B$1004,"&lt;"&amp;DATE($B$3,3+1,1))</f>
        <v/>
      </c>
      <c r="I9" s="24">
        <f>COUNTIFS(일일실시사항!$B$5:$B$1004,"&gt;="&amp;DATE($B$3,3,1),일일실시사항!$B$5:$B$1004,"&lt;"&amp;DATE($B$3,3+1,1))</f>
        <v/>
      </c>
      <c r="J9" s="67">
        <f>IFERROR(G9/D9,0)</f>
        <v/>
      </c>
    </row>
    <row r="10">
      <c r="A10" s="8" t="inlineStr">
        <is>
          <t>4월</t>
        </is>
      </c>
      <c r="B10" s="24">
        <f>COUNTIFS(업무일지!$B$5:$B$1004,"&gt;="&amp;DATE($B$3,4,1),업무일지!$B$5:$B$1004,"&lt;"&amp;DATE($B$3,4+1,1),업무일지!$D$5:$D$1004,"출장")</f>
        <v/>
      </c>
      <c r="C10" s="24">
        <f>COUNTIFS(업무일지!$B$5:$B$1004,"&gt;="&amp;DATE($B$3,4,1),업무일지!$B$5:$B$1004,"&lt;"&amp;DATE($B$3,4+1,1),업무일지!$D$5:$D$1004,"분석")</f>
        <v/>
      </c>
      <c r="D10" s="63">
        <f>B10+C10</f>
        <v/>
      </c>
      <c r="E10" s="24">
        <f>SUMIFS(업무일지!$U$5:$U$1004,업무일지!$B$5:$B$1004,"&gt;="&amp;DATE($B$3,4,1),업무일지!$B$5:$B$1004,"&lt;"&amp;DATE($B$3,4+1,1),업무일지!$D$5:$D$1004,"출장")</f>
        <v/>
      </c>
      <c r="F10" s="24">
        <f>SUMIFS(업무일지!$O$5:$O$1004,업무일지!$B$5:$B$1004,"&gt;="&amp;DATE($B$3,4,1),업무일지!$B$5:$B$1004,"&lt;"&amp;DATE($B$3,4+1,1))</f>
        <v/>
      </c>
      <c r="G10" s="25">
        <f>SUMIFS(업무일지!$W$5:$W$1004,업무일지!$B$5:$B$1004,"&gt;="&amp;DATE($B$3,4,1),업무일지!$B$5:$B$1004,"&lt;"&amp;DATE($B$3,4+1,1))</f>
        <v/>
      </c>
      <c r="H10" s="24">
        <f>SUMIFS(업무일지!$S$5:$S$1004,업무일지!$B$5:$B$1004,"&gt;="&amp;DATE($B$3,4,1),업무일지!$B$5:$B$1004,"&lt;"&amp;DATE($B$3,4+1,1))</f>
        <v/>
      </c>
      <c r="I10" s="24">
        <f>COUNTIFS(일일실시사항!$B$5:$B$1004,"&gt;="&amp;DATE($B$3,4,1),일일실시사항!$B$5:$B$1004,"&lt;"&amp;DATE($B$3,4+1,1))</f>
        <v/>
      </c>
      <c r="J10" s="67">
        <f>IFERROR(G10/D10,0)</f>
        <v/>
      </c>
    </row>
    <row r="11">
      <c r="A11" s="8" t="inlineStr">
        <is>
          <t>5월</t>
        </is>
      </c>
      <c r="B11" s="24">
        <f>COUNTIFS(업무일지!$B$5:$B$1004,"&gt;="&amp;DATE($B$3,5,1),업무일지!$B$5:$B$1004,"&lt;"&amp;DATE($B$3,5+1,1),업무일지!$D$5:$D$1004,"출장")</f>
        <v/>
      </c>
      <c r="C11" s="24">
        <f>COUNTIFS(업무일지!$B$5:$B$1004,"&gt;="&amp;DATE($B$3,5,1),업무일지!$B$5:$B$1004,"&lt;"&amp;DATE($B$3,5+1,1),업무일지!$D$5:$D$1004,"분석")</f>
        <v/>
      </c>
      <c r="D11" s="63">
        <f>B11+C11</f>
        <v/>
      </c>
      <c r="E11" s="24">
        <f>SUMIFS(업무일지!$U$5:$U$1004,업무일지!$B$5:$B$1004,"&gt;="&amp;DATE($B$3,5,1),업무일지!$B$5:$B$1004,"&lt;"&amp;DATE($B$3,5+1,1),업무일지!$D$5:$D$1004,"출장")</f>
        <v/>
      </c>
      <c r="F11" s="24">
        <f>SUMIFS(업무일지!$O$5:$O$1004,업무일지!$B$5:$B$1004,"&gt;="&amp;DATE($B$3,5,1),업무일지!$B$5:$B$1004,"&lt;"&amp;DATE($B$3,5+1,1))</f>
        <v/>
      </c>
      <c r="G11" s="25">
        <f>SUMIFS(업무일지!$W$5:$W$1004,업무일지!$B$5:$B$1004,"&gt;="&amp;DATE($B$3,5,1),업무일지!$B$5:$B$1004,"&lt;"&amp;DATE($B$3,5+1,1))</f>
        <v/>
      </c>
      <c r="H11" s="24">
        <f>SUMIFS(업무일지!$S$5:$S$1004,업무일지!$B$5:$B$1004,"&gt;="&amp;DATE($B$3,5,1),업무일지!$B$5:$B$1004,"&lt;"&amp;DATE($B$3,5+1,1))</f>
        <v/>
      </c>
      <c r="I11" s="24">
        <f>COUNTIFS(일일실시사항!$B$5:$B$1004,"&gt;="&amp;DATE($B$3,5,1),일일실시사항!$B$5:$B$1004,"&lt;"&amp;DATE($B$3,5+1,1))</f>
        <v/>
      </c>
      <c r="J11" s="67">
        <f>IFERROR(G11/D11,0)</f>
        <v/>
      </c>
    </row>
    <row r="12">
      <c r="A12" s="8" t="inlineStr">
        <is>
          <t>6월</t>
        </is>
      </c>
      <c r="B12" s="24">
        <f>COUNTIFS(업무일지!$B$5:$B$1004,"&gt;="&amp;DATE($B$3,6,1),업무일지!$B$5:$B$1004,"&lt;"&amp;DATE($B$3,6+1,1),업무일지!$D$5:$D$1004,"출장")</f>
        <v/>
      </c>
      <c r="C12" s="24">
        <f>COUNTIFS(업무일지!$B$5:$B$1004,"&gt;="&amp;DATE($B$3,6,1),업무일지!$B$5:$B$1004,"&lt;"&amp;DATE($B$3,6+1,1),업무일지!$D$5:$D$1004,"분석")</f>
        <v/>
      </c>
      <c r="D12" s="63">
        <f>B12+C12</f>
        <v/>
      </c>
      <c r="E12" s="24">
        <f>SUMIFS(업무일지!$U$5:$U$1004,업무일지!$B$5:$B$1004,"&gt;="&amp;DATE($B$3,6,1),업무일지!$B$5:$B$1004,"&lt;"&amp;DATE($B$3,6+1,1),업무일지!$D$5:$D$1004,"출장")</f>
        <v/>
      </c>
      <c r="F12" s="24">
        <f>SUMIFS(업무일지!$O$5:$O$1004,업무일지!$B$5:$B$1004,"&gt;="&amp;DATE($B$3,6,1),업무일지!$B$5:$B$1004,"&lt;"&amp;DATE($B$3,6+1,1))</f>
        <v/>
      </c>
      <c r="G12" s="25">
        <f>SUMIFS(업무일지!$W$5:$W$1004,업무일지!$B$5:$B$1004,"&gt;="&amp;DATE($B$3,6,1),업무일지!$B$5:$B$1004,"&lt;"&amp;DATE($B$3,6+1,1))</f>
        <v/>
      </c>
      <c r="H12" s="24">
        <f>SUMIFS(업무일지!$S$5:$S$1004,업무일지!$B$5:$B$1004,"&gt;="&amp;DATE($B$3,6,1),업무일지!$B$5:$B$1004,"&lt;"&amp;DATE($B$3,6+1,1))</f>
        <v/>
      </c>
      <c r="I12" s="24">
        <f>COUNTIFS(일일실시사항!$B$5:$B$1004,"&gt;="&amp;DATE($B$3,6,1),일일실시사항!$B$5:$B$1004,"&lt;"&amp;DATE($B$3,6+1,1))</f>
        <v/>
      </c>
      <c r="J12" s="67">
        <f>IFERROR(G12/D12,0)</f>
        <v/>
      </c>
    </row>
    <row r="13">
      <c r="A13" s="8" t="inlineStr">
        <is>
          <t>7월</t>
        </is>
      </c>
      <c r="B13" s="24">
        <f>COUNTIFS(업무일지!$B$5:$B$1004,"&gt;="&amp;DATE($B$3,7,1),업무일지!$B$5:$B$1004,"&lt;"&amp;DATE($B$3,7+1,1),업무일지!$D$5:$D$1004,"출장")</f>
        <v/>
      </c>
      <c r="C13" s="24">
        <f>COUNTIFS(업무일지!$B$5:$B$1004,"&gt;="&amp;DATE($B$3,7,1),업무일지!$B$5:$B$1004,"&lt;"&amp;DATE($B$3,7+1,1),업무일지!$D$5:$D$1004,"분석")</f>
        <v/>
      </c>
      <c r="D13" s="63">
        <f>B13+C13</f>
        <v/>
      </c>
      <c r="E13" s="24">
        <f>SUMIFS(업무일지!$U$5:$U$1004,업무일지!$B$5:$B$1004,"&gt;="&amp;DATE($B$3,7,1),업무일지!$B$5:$B$1004,"&lt;"&amp;DATE($B$3,7+1,1),업무일지!$D$5:$D$1004,"출장")</f>
        <v/>
      </c>
      <c r="F13" s="24">
        <f>SUMIFS(업무일지!$O$5:$O$1004,업무일지!$B$5:$B$1004,"&gt;="&amp;DATE($B$3,7,1),업무일지!$B$5:$B$1004,"&lt;"&amp;DATE($B$3,7+1,1))</f>
        <v/>
      </c>
      <c r="G13" s="25">
        <f>SUMIFS(업무일지!$W$5:$W$1004,업무일지!$B$5:$B$1004,"&gt;="&amp;DATE($B$3,7,1),업무일지!$B$5:$B$1004,"&lt;"&amp;DATE($B$3,7+1,1))</f>
        <v/>
      </c>
      <c r="H13" s="24">
        <f>SUMIFS(업무일지!$S$5:$S$1004,업무일지!$B$5:$B$1004,"&gt;="&amp;DATE($B$3,7,1),업무일지!$B$5:$B$1004,"&lt;"&amp;DATE($B$3,7+1,1))</f>
        <v/>
      </c>
      <c r="I13" s="24">
        <f>COUNTIFS(일일실시사항!$B$5:$B$1004,"&gt;="&amp;DATE($B$3,7,1),일일실시사항!$B$5:$B$1004,"&lt;"&amp;DATE($B$3,7+1,1))</f>
        <v/>
      </c>
      <c r="J13" s="67">
        <f>IFERROR(G13/D13,0)</f>
        <v/>
      </c>
    </row>
    <row r="14">
      <c r="A14" s="8" t="inlineStr">
        <is>
          <t>8월</t>
        </is>
      </c>
      <c r="B14" s="24">
        <f>COUNTIFS(업무일지!$B$5:$B$1004,"&gt;="&amp;DATE($B$3,8,1),업무일지!$B$5:$B$1004,"&lt;"&amp;DATE($B$3,8+1,1),업무일지!$D$5:$D$1004,"출장")</f>
        <v/>
      </c>
      <c r="C14" s="24">
        <f>COUNTIFS(업무일지!$B$5:$B$1004,"&gt;="&amp;DATE($B$3,8,1),업무일지!$B$5:$B$1004,"&lt;"&amp;DATE($B$3,8+1,1),업무일지!$D$5:$D$1004,"분석")</f>
        <v/>
      </c>
      <c r="D14" s="63">
        <f>B14+C14</f>
        <v/>
      </c>
      <c r="E14" s="24">
        <f>SUMIFS(업무일지!$U$5:$U$1004,업무일지!$B$5:$B$1004,"&gt;="&amp;DATE($B$3,8,1),업무일지!$B$5:$B$1004,"&lt;"&amp;DATE($B$3,8+1,1),업무일지!$D$5:$D$1004,"출장")</f>
        <v/>
      </c>
      <c r="F14" s="24">
        <f>SUMIFS(업무일지!$O$5:$O$1004,업무일지!$B$5:$B$1004,"&gt;="&amp;DATE($B$3,8,1),업무일지!$B$5:$B$1004,"&lt;"&amp;DATE($B$3,8+1,1))</f>
        <v/>
      </c>
      <c r="G14" s="25">
        <f>SUMIFS(업무일지!$W$5:$W$1004,업무일지!$B$5:$B$1004,"&gt;="&amp;DATE($B$3,8,1),업무일지!$B$5:$B$1004,"&lt;"&amp;DATE($B$3,8+1,1))</f>
        <v/>
      </c>
      <c r="H14" s="24">
        <f>SUMIFS(업무일지!$S$5:$S$1004,업무일지!$B$5:$B$1004,"&gt;="&amp;DATE($B$3,8,1),업무일지!$B$5:$B$1004,"&lt;"&amp;DATE($B$3,8+1,1))</f>
        <v/>
      </c>
      <c r="I14" s="24">
        <f>COUNTIFS(일일실시사항!$B$5:$B$1004,"&gt;="&amp;DATE($B$3,8,1),일일실시사항!$B$5:$B$1004,"&lt;"&amp;DATE($B$3,8+1,1))</f>
        <v/>
      </c>
      <c r="J14" s="67">
        <f>IFERROR(G14/D14,0)</f>
        <v/>
      </c>
    </row>
    <row r="15">
      <c r="A15" s="8" t="inlineStr">
        <is>
          <t>9월</t>
        </is>
      </c>
      <c r="B15" s="24">
        <f>COUNTIFS(업무일지!$B$5:$B$1004,"&gt;="&amp;DATE($B$3,9,1),업무일지!$B$5:$B$1004,"&lt;"&amp;DATE($B$3,9+1,1),업무일지!$D$5:$D$1004,"출장")</f>
        <v/>
      </c>
      <c r="C15" s="24">
        <f>COUNTIFS(업무일지!$B$5:$B$1004,"&gt;="&amp;DATE($B$3,9,1),업무일지!$B$5:$B$1004,"&lt;"&amp;DATE($B$3,9+1,1),업무일지!$D$5:$D$1004,"분석")</f>
        <v/>
      </c>
      <c r="D15" s="63">
        <f>B15+C15</f>
        <v/>
      </c>
      <c r="E15" s="24">
        <f>SUMIFS(업무일지!$U$5:$U$1004,업무일지!$B$5:$B$1004,"&gt;="&amp;DATE($B$3,9,1),업무일지!$B$5:$B$1004,"&lt;"&amp;DATE($B$3,9+1,1),업무일지!$D$5:$D$1004,"출장")</f>
        <v/>
      </c>
      <c r="F15" s="24">
        <f>SUMIFS(업무일지!$O$5:$O$1004,업무일지!$B$5:$B$1004,"&gt;="&amp;DATE($B$3,9,1),업무일지!$B$5:$B$1004,"&lt;"&amp;DATE($B$3,9+1,1))</f>
        <v/>
      </c>
      <c r="G15" s="25">
        <f>SUMIFS(업무일지!$W$5:$W$1004,업무일지!$B$5:$B$1004,"&gt;="&amp;DATE($B$3,9,1),업무일지!$B$5:$B$1004,"&lt;"&amp;DATE($B$3,9+1,1))</f>
        <v/>
      </c>
      <c r="H15" s="24">
        <f>SUMIFS(업무일지!$S$5:$S$1004,업무일지!$B$5:$B$1004,"&gt;="&amp;DATE($B$3,9,1),업무일지!$B$5:$B$1004,"&lt;"&amp;DATE($B$3,9+1,1))</f>
        <v/>
      </c>
      <c r="I15" s="24">
        <f>COUNTIFS(일일실시사항!$B$5:$B$1004,"&gt;="&amp;DATE($B$3,9,1),일일실시사항!$B$5:$B$1004,"&lt;"&amp;DATE($B$3,9+1,1))</f>
        <v/>
      </c>
      <c r="J15" s="67">
        <f>IFERROR(G15/D15,0)</f>
        <v/>
      </c>
    </row>
    <row r="16">
      <c r="A16" s="8" t="inlineStr">
        <is>
          <t>10월</t>
        </is>
      </c>
      <c r="B16" s="24">
        <f>COUNTIFS(업무일지!$B$5:$B$1004,"&gt;="&amp;DATE($B$3,10,1),업무일지!$B$5:$B$1004,"&lt;"&amp;DATE($B$3,10+1,1),업무일지!$D$5:$D$1004,"출장")</f>
        <v/>
      </c>
      <c r="C16" s="24">
        <f>COUNTIFS(업무일지!$B$5:$B$1004,"&gt;="&amp;DATE($B$3,10,1),업무일지!$B$5:$B$1004,"&lt;"&amp;DATE($B$3,10+1,1),업무일지!$D$5:$D$1004,"분석")</f>
        <v/>
      </c>
      <c r="D16" s="63">
        <f>B16+C16</f>
        <v/>
      </c>
      <c r="E16" s="24">
        <f>SUMIFS(업무일지!$U$5:$U$1004,업무일지!$B$5:$B$1004,"&gt;="&amp;DATE($B$3,10,1),업무일지!$B$5:$B$1004,"&lt;"&amp;DATE($B$3,10+1,1),업무일지!$D$5:$D$1004,"출장")</f>
        <v/>
      </c>
      <c r="F16" s="24">
        <f>SUMIFS(업무일지!$O$5:$O$1004,업무일지!$B$5:$B$1004,"&gt;="&amp;DATE($B$3,10,1),업무일지!$B$5:$B$1004,"&lt;"&amp;DATE($B$3,10+1,1))</f>
        <v/>
      </c>
      <c r="G16" s="25">
        <f>SUMIFS(업무일지!$W$5:$W$1004,업무일지!$B$5:$B$1004,"&gt;="&amp;DATE($B$3,10,1),업무일지!$B$5:$B$1004,"&lt;"&amp;DATE($B$3,10+1,1))</f>
        <v/>
      </c>
      <c r="H16" s="24">
        <f>SUMIFS(업무일지!$S$5:$S$1004,업무일지!$B$5:$B$1004,"&gt;="&amp;DATE($B$3,10,1),업무일지!$B$5:$B$1004,"&lt;"&amp;DATE($B$3,10+1,1))</f>
        <v/>
      </c>
      <c r="I16" s="24">
        <f>COUNTIFS(일일실시사항!$B$5:$B$1004,"&gt;="&amp;DATE($B$3,10,1),일일실시사항!$B$5:$B$1004,"&lt;"&amp;DATE($B$3,10+1,1))</f>
        <v/>
      </c>
      <c r="J16" s="67">
        <f>IFERROR(G16/D16,0)</f>
        <v/>
      </c>
    </row>
    <row r="17">
      <c r="A17" s="8" t="inlineStr">
        <is>
          <t>11월</t>
        </is>
      </c>
      <c r="B17" s="24">
        <f>COUNTIFS(업무일지!$B$5:$B$1004,"&gt;="&amp;DATE($B$3,11,1),업무일지!$B$5:$B$1004,"&lt;"&amp;DATE($B$3,11+1,1),업무일지!$D$5:$D$1004,"출장")</f>
        <v/>
      </c>
      <c r="C17" s="24">
        <f>COUNTIFS(업무일지!$B$5:$B$1004,"&gt;="&amp;DATE($B$3,11,1),업무일지!$B$5:$B$1004,"&lt;"&amp;DATE($B$3,11+1,1),업무일지!$D$5:$D$1004,"분석")</f>
        <v/>
      </c>
      <c r="D17" s="63">
        <f>B17+C17</f>
        <v/>
      </c>
      <c r="E17" s="24">
        <f>SUMIFS(업무일지!$U$5:$U$1004,업무일지!$B$5:$B$1004,"&gt;="&amp;DATE($B$3,11,1),업무일지!$B$5:$B$1004,"&lt;"&amp;DATE($B$3,11+1,1),업무일지!$D$5:$D$1004,"출장")</f>
        <v/>
      </c>
      <c r="F17" s="24">
        <f>SUMIFS(업무일지!$O$5:$O$1004,업무일지!$B$5:$B$1004,"&gt;="&amp;DATE($B$3,11,1),업무일지!$B$5:$B$1004,"&lt;"&amp;DATE($B$3,11+1,1))</f>
        <v/>
      </c>
      <c r="G17" s="25">
        <f>SUMIFS(업무일지!$W$5:$W$1004,업무일지!$B$5:$B$1004,"&gt;="&amp;DATE($B$3,11,1),업무일지!$B$5:$B$1004,"&lt;"&amp;DATE($B$3,11+1,1))</f>
        <v/>
      </c>
      <c r="H17" s="24">
        <f>SUMIFS(업무일지!$S$5:$S$1004,업무일지!$B$5:$B$1004,"&gt;="&amp;DATE($B$3,11,1),업무일지!$B$5:$B$1004,"&lt;"&amp;DATE($B$3,11+1,1))</f>
        <v/>
      </c>
      <c r="I17" s="24">
        <f>COUNTIFS(일일실시사항!$B$5:$B$1004,"&gt;="&amp;DATE($B$3,11,1),일일실시사항!$B$5:$B$1004,"&lt;"&amp;DATE($B$3,11+1,1))</f>
        <v/>
      </c>
      <c r="J17" s="67">
        <f>IFERROR(G17/D17,0)</f>
        <v/>
      </c>
    </row>
    <row r="18">
      <c r="A18" s="8" t="inlineStr">
        <is>
          <t>12월</t>
        </is>
      </c>
      <c r="B18" s="24">
        <f>COUNTIFS(업무일지!$B$5:$B$1004,"&gt;="&amp;DATE($B$3,12,1),업무일지!$B$5:$B$1004,"&lt;"&amp;DATE($B$3,12+1,1),업무일지!$D$5:$D$1004,"출장")</f>
        <v/>
      </c>
      <c r="C18" s="24">
        <f>COUNTIFS(업무일지!$B$5:$B$1004,"&gt;="&amp;DATE($B$3,12,1),업무일지!$B$5:$B$1004,"&lt;"&amp;DATE($B$3,12+1,1),업무일지!$D$5:$D$1004,"분석")</f>
        <v/>
      </c>
      <c r="D18" s="63">
        <f>B18+C18</f>
        <v/>
      </c>
      <c r="E18" s="24">
        <f>SUMIFS(업무일지!$U$5:$U$1004,업무일지!$B$5:$B$1004,"&gt;="&amp;DATE($B$3,12,1),업무일지!$B$5:$B$1004,"&lt;"&amp;DATE($B$3,12+1,1),업무일지!$D$5:$D$1004,"출장")</f>
        <v/>
      </c>
      <c r="F18" s="24">
        <f>SUMIFS(업무일지!$O$5:$O$1004,업무일지!$B$5:$B$1004,"&gt;="&amp;DATE($B$3,12,1),업무일지!$B$5:$B$1004,"&lt;"&amp;DATE($B$3,12+1,1))</f>
        <v/>
      </c>
      <c r="G18" s="25">
        <f>SUMIFS(업무일지!$W$5:$W$1004,업무일지!$B$5:$B$1004,"&gt;="&amp;DATE($B$3,12,1),업무일지!$B$5:$B$1004,"&lt;"&amp;DATE($B$3,12+1,1))</f>
        <v/>
      </c>
      <c r="H18" s="24">
        <f>SUMIFS(업무일지!$S$5:$S$1004,업무일지!$B$5:$B$1004,"&gt;="&amp;DATE($B$3,12,1),업무일지!$B$5:$B$1004,"&lt;"&amp;DATE($B$3,12+1,1))</f>
        <v/>
      </c>
      <c r="I18" s="24">
        <f>COUNTIFS(일일실시사항!$B$5:$B$1004,"&gt;="&amp;DATE($B$3,12,1),일일실시사항!$B$5:$B$1004,"&lt;"&amp;DATE($B$3,12+1,1))</f>
        <v/>
      </c>
      <c r="J18" s="67">
        <f>IFERROR(G18/D18,0)</f>
        <v/>
      </c>
    </row>
    <row r="19">
      <c r="A19" s="28" t="inlineStr">
        <is>
          <t>합계</t>
        </is>
      </c>
      <c r="B19" s="29">
        <f>SUM(B7:B18)</f>
        <v/>
      </c>
      <c r="C19" s="29">
        <f>SUM(C7:C18)</f>
        <v/>
      </c>
      <c r="D19" s="29">
        <f>SUM(D7:D18)</f>
        <v/>
      </c>
      <c r="E19" s="29">
        <f>SUM(E7:E18)</f>
        <v/>
      </c>
      <c r="F19" s="29">
        <f>SUM(F7:F18)</f>
        <v/>
      </c>
      <c r="G19" s="30">
        <f>SUM(G7:G18)</f>
        <v/>
      </c>
      <c r="H19" s="29">
        <f>SUM(H7:H18)</f>
        <v/>
      </c>
      <c r="I19" s="29">
        <f>SUM(I7:I18)</f>
        <v/>
      </c>
      <c r="J19" s="30">
        <f>IFERROR(G19/D19,0)</f>
        <v/>
      </c>
    </row>
    <row r="21" ht="20" customHeight="1">
      <c r="A21" s="21" t="inlineStr">
        <is>
          <t>2.  직무구분 · 세부유형별 현황 (연간 누계)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</row>
    <row r="22" ht="32" customHeight="1">
      <c r="A22" s="23" t="inlineStr">
        <is>
          <t>직무구분</t>
        </is>
      </c>
      <c r="B22" s="23" t="inlineStr">
        <is>
          <t>세부유형</t>
        </is>
      </c>
      <c r="C22" s="23" t="inlineStr">
        <is>
          <t>건수</t>
        </is>
      </c>
      <c r="D22" s="23" t="inlineStr">
        <is>
          <t>비중</t>
        </is>
      </c>
      <c r="E22" s="23" t="inlineStr">
        <is>
          <t>연인원(명)</t>
        </is>
      </c>
      <c r="F22" s="23" t="inlineStr">
        <is>
          <t>총 인시(H)</t>
        </is>
      </c>
      <c r="G22" s="23" t="inlineStr">
        <is>
          <t>대상매체(건)</t>
        </is>
      </c>
      <c r="H22" s="23" t="inlineStr">
        <is>
          <t>데이터량(GB)</t>
        </is>
      </c>
      <c r="I22" s="23" t="inlineStr">
        <is>
          <t>평균 소요일수</t>
        </is>
      </c>
    </row>
    <row r="23">
      <c r="A23" s="68">
        <f>IF(코드설정!$A5="","",코드설정!$A5)</f>
        <v/>
      </c>
      <c r="B23" s="69">
        <f>IF(코드설정!$B5="","",코드설정!$B5)</f>
        <v/>
      </c>
      <c r="C23" s="24">
        <f>IF($B23="","",COUNTIFS(업무일지!$B$5:$B$1004,"&gt;="&amp;DATE($B$3,1,1),업무일지!$B$5:$B$1004,"&lt;"&amp;DATE($B$3+1,1,1),업무일지!$E$5:$E$1004,$B23))</f>
        <v/>
      </c>
      <c r="D23" s="70">
        <f>IFERROR(C23/$C$36,0)</f>
        <v/>
      </c>
      <c r="E23" s="24">
        <f>IF($B23="","",SUMIFS(업무일지!$O$5:$O$1004,업무일지!$B$5:$B$1004,"&gt;="&amp;DATE($B$3,1,1),업무일지!$B$5:$B$1004,"&lt;"&amp;DATE($B$3+1,1,1),업무일지!$E$5:$E$1004,$B23))</f>
        <v/>
      </c>
      <c r="F23" s="25">
        <f>IF($B23="","",SUMIFS(업무일지!$W$5:$W$1004,업무일지!$B$5:$B$1004,"&gt;="&amp;DATE($B$3,1,1),업무일지!$B$5:$B$1004,"&lt;"&amp;DATE($B$3+1,1,1),업무일지!$E$5:$E$1004,$B23))</f>
        <v/>
      </c>
      <c r="G23" s="24">
        <f>IF($B23="","",SUMIFS(업무일지!$S$5:$S$1004,업무일지!$B$5:$B$1004,"&gt;="&amp;DATE($B$3,1,1),업무일지!$B$5:$B$1004,"&lt;"&amp;DATE($B$3+1,1,1),업무일지!$E$5:$E$1004,$B23))</f>
        <v/>
      </c>
      <c r="H23" s="26">
        <f>IF($B23="","",SUMIFS(업무일지!$T$5:$T$1004,업무일지!$B$5:$B$1004,"&gt;="&amp;DATE($B$3,1,1),업무일지!$B$5:$B$1004,"&lt;"&amp;DATE($B$3+1,1,1),업무일지!$E$5:$E$1004,$B23))</f>
        <v/>
      </c>
      <c r="I23" s="67">
        <f>IFERROR(SUMIFS(업무일지!$U$5:$U$1004,업무일지!$B$5:$B$1004,"&gt;="&amp;DATE($B$3,1,1),업무일지!$B$5:$B$1004,"&lt;"&amp;DATE($B$3+1,1,1),업무일지!$E$5:$E$1004,$B23)/C23,0)</f>
        <v/>
      </c>
    </row>
    <row r="24">
      <c r="A24" s="68">
        <f>IF(코드설정!$A6="","",코드설정!$A6)</f>
        <v/>
      </c>
      <c r="B24" s="69">
        <f>IF(코드설정!$B6="","",코드설정!$B6)</f>
        <v/>
      </c>
      <c r="C24" s="24">
        <f>IF($B24="","",COUNTIFS(업무일지!$B$5:$B$1004,"&gt;="&amp;DATE($B$3,1,1),업무일지!$B$5:$B$1004,"&lt;"&amp;DATE($B$3+1,1,1),업무일지!$E$5:$E$1004,$B24))</f>
        <v/>
      </c>
      <c r="D24" s="70">
        <f>IFERROR(C24/$C$36,0)</f>
        <v/>
      </c>
      <c r="E24" s="24">
        <f>IF($B24="","",SUMIFS(업무일지!$O$5:$O$1004,업무일지!$B$5:$B$1004,"&gt;="&amp;DATE($B$3,1,1),업무일지!$B$5:$B$1004,"&lt;"&amp;DATE($B$3+1,1,1),업무일지!$E$5:$E$1004,$B24))</f>
        <v/>
      </c>
      <c r="F24" s="25">
        <f>IF($B24="","",SUMIFS(업무일지!$W$5:$W$1004,업무일지!$B$5:$B$1004,"&gt;="&amp;DATE($B$3,1,1),업무일지!$B$5:$B$1004,"&lt;"&amp;DATE($B$3+1,1,1),업무일지!$E$5:$E$1004,$B24))</f>
        <v/>
      </c>
      <c r="G24" s="24">
        <f>IF($B24="","",SUMIFS(업무일지!$S$5:$S$1004,업무일지!$B$5:$B$1004,"&gt;="&amp;DATE($B$3,1,1),업무일지!$B$5:$B$1004,"&lt;"&amp;DATE($B$3+1,1,1),업무일지!$E$5:$E$1004,$B24))</f>
        <v/>
      </c>
      <c r="H24" s="26">
        <f>IF($B24="","",SUMIFS(업무일지!$T$5:$T$1004,업무일지!$B$5:$B$1004,"&gt;="&amp;DATE($B$3,1,1),업무일지!$B$5:$B$1004,"&lt;"&amp;DATE($B$3+1,1,1),업무일지!$E$5:$E$1004,$B24))</f>
        <v/>
      </c>
      <c r="I24" s="67">
        <f>IFERROR(SUMIFS(업무일지!$U$5:$U$1004,업무일지!$B$5:$B$1004,"&gt;="&amp;DATE($B$3,1,1),업무일지!$B$5:$B$1004,"&lt;"&amp;DATE($B$3+1,1,1),업무일지!$E$5:$E$1004,$B24)/C24,0)</f>
        <v/>
      </c>
    </row>
    <row r="25">
      <c r="A25" s="68">
        <f>IF(코드설정!$A7="","",코드설정!$A7)</f>
        <v/>
      </c>
      <c r="B25" s="69">
        <f>IF(코드설정!$B7="","",코드설정!$B7)</f>
        <v/>
      </c>
      <c r="C25" s="24">
        <f>IF($B25="","",COUNTIFS(업무일지!$B$5:$B$1004,"&gt;="&amp;DATE($B$3,1,1),업무일지!$B$5:$B$1004,"&lt;"&amp;DATE($B$3+1,1,1),업무일지!$E$5:$E$1004,$B25))</f>
        <v/>
      </c>
      <c r="D25" s="70">
        <f>IFERROR(C25/$C$36,0)</f>
        <v/>
      </c>
      <c r="E25" s="24">
        <f>IF($B25="","",SUMIFS(업무일지!$O$5:$O$1004,업무일지!$B$5:$B$1004,"&gt;="&amp;DATE($B$3,1,1),업무일지!$B$5:$B$1004,"&lt;"&amp;DATE($B$3+1,1,1),업무일지!$E$5:$E$1004,$B25))</f>
        <v/>
      </c>
      <c r="F25" s="25">
        <f>IF($B25="","",SUMIFS(업무일지!$W$5:$W$1004,업무일지!$B$5:$B$1004,"&gt;="&amp;DATE($B$3,1,1),업무일지!$B$5:$B$1004,"&lt;"&amp;DATE($B$3+1,1,1),업무일지!$E$5:$E$1004,$B25))</f>
        <v/>
      </c>
      <c r="G25" s="24">
        <f>IF($B25="","",SUMIFS(업무일지!$S$5:$S$1004,업무일지!$B$5:$B$1004,"&gt;="&amp;DATE($B$3,1,1),업무일지!$B$5:$B$1004,"&lt;"&amp;DATE($B$3+1,1,1),업무일지!$E$5:$E$1004,$B25))</f>
        <v/>
      </c>
      <c r="H25" s="26">
        <f>IF($B25="","",SUMIFS(업무일지!$T$5:$T$1004,업무일지!$B$5:$B$1004,"&gt;="&amp;DATE($B$3,1,1),업무일지!$B$5:$B$1004,"&lt;"&amp;DATE($B$3+1,1,1),업무일지!$E$5:$E$1004,$B25))</f>
        <v/>
      </c>
      <c r="I25" s="67">
        <f>IFERROR(SUMIFS(업무일지!$U$5:$U$1004,업무일지!$B$5:$B$1004,"&gt;="&amp;DATE($B$3,1,1),업무일지!$B$5:$B$1004,"&lt;"&amp;DATE($B$3+1,1,1),업무일지!$E$5:$E$1004,$B25)/C25,0)</f>
        <v/>
      </c>
    </row>
    <row r="26">
      <c r="A26" s="68">
        <f>IF(코드설정!$A8="","",코드설정!$A8)</f>
        <v/>
      </c>
      <c r="B26" s="69">
        <f>IF(코드설정!$B8="","",코드설정!$B8)</f>
        <v/>
      </c>
      <c r="C26" s="24">
        <f>IF($B26="","",COUNTIFS(업무일지!$B$5:$B$1004,"&gt;="&amp;DATE($B$3,1,1),업무일지!$B$5:$B$1004,"&lt;"&amp;DATE($B$3+1,1,1),업무일지!$E$5:$E$1004,$B26))</f>
        <v/>
      </c>
      <c r="D26" s="70">
        <f>IFERROR(C26/$C$36,0)</f>
        <v/>
      </c>
      <c r="E26" s="24">
        <f>IF($B26="","",SUMIFS(업무일지!$O$5:$O$1004,업무일지!$B$5:$B$1004,"&gt;="&amp;DATE($B$3,1,1),업무일지!$B$5:$B$1004,"&lt;"&amp;DATE($B$3+1,1,1),업무일지!$E$5:$E$1004,$B26))</f>
        <v/>
      </c>
      <c r="F26" s="25">
        <f>IF($B26="","",SUMIFS(업무일지!$W$5:$W$1004,업무일지!$B$5:$B$1004,"&gt;="&amp;DATE($B$3,1,1),업무일지!$B$5:$B$1004,"&lt;"&amp;DATE($B$3+1,1,1),업무일지!$E$5:$E$1004,$B26))</f>
        <v/>
      </c>
      <c r="G26" s="24">
        <f>IF($B26="","",SUMIFS(업무일지!$S$5:$S$1004,업무일지!$B$5:$B$1004,"&gt;="&amp;DATE($B$3,1,1),업무일지!$B$5:$B$1004,"&lt;"&amp;DATE($B$3+1,1,1),업무일지!$E$5:$E$1004,$B26))</f>
        <v/>
      </c>
      <c r="H26" s="26">
        <f>IF($B26="","",SUMIFS(업무일지!$T$5:$T$1004,업무일지!$B$5:$B$1004,"&gt;="&amp;DATE($B$3,1,1),업무일지!$B$5:$B$1004,"&lt;"&amp;DATE($B$3+1,1,1),업무일지!$E$5:$E$1004,$B26))</f>
        <v/>
      </c>
      <c r="I26" s="67">
        <f>IFERROR(SUMIFS(업무일지!$U$5:$U$1004,업무일지!$B$5:$B$1004,"&gt;="&amp;DATE($B$3,1,1),업무일지!$B$5:$B$1004,"&lt;"&amp;DATE($B$3+1,1,1),업무일지!$E$5:$E$1004,$B26)/C26,0)</f>
        <v/>
      </c>
    </row>
    <row r="27">
      <c r="A27" s="68">
        <f>IF(코드설정!$A9="","",코드설정!$A9)</f>
        <v/>
      </c>
      <c r="B27" s="69">
        <f>IF(코드설정!$B9="","",코드설정!$B9)</f>
        <v/>
      </c>
      <c r="C27" s="24">
        <f>IF($B27="","",COUNTIFS(업무일지!$B$5:$B$1004,"&gt;="&amp;DATE($B$3,1,1),업무일지!$B$5:$B$1004,"&lt;"&amp;DATE($B$3+1,1,1),업무일지!$E$5:$E$1004,$B27))</f>
        <v/>
      </c>
      <c r="D27" s="70">
        <f>IFERROR(C27/$C$36,0)</f>
        <v/>
      </c>
      <c r="E27" s="24">
        <f>IF($B27="","",SUMIFS(업무일지!$O$5:$O$1004,업무일지!$B$5:$B$1004,"&gt;="&amp;DATE($B$3,1,1),업무일지!$B$5:$B$1004,"&lt;"&amp;DATE($B$3+1,1,1),업무일지!$E$5:$E$1004,$B27))</f>
        <v/>
      </c>
      <c r="F27" s="25">
        <f>IF($B27="","",SUMIFS(업무일지!$W$5:$W$1004,업무일지!$B$5:$B$1004,"&gt;="&amp;DATE($B$3,1,1),업무일지!$B$5:$B$1004,"&lt;"&amp;DATE($B$3+1,1,1),업무일지!$E$5:$E$1004,$B27))</f>
        <v/>
      </c>
      <c r="G27" s="24">
        <f>IF($B27="","",SUMIFS(업무일지!$S$5:$S$1004,업무일지!$B$5:$B$1004,"&gt;="&amp;DATE($B$3,1,1),업무일지!$B$5:$B$1004,"&lt;"&amp;DATE($B$3+1,1,1),업무일지!$E$5:$E$1004,$B27))</f>
        <v/>
      </c>
      <c r="H27" s="26">
        <f>IF($B27="","",SUMIFS(업무일지!$T$5:$T$1004,업무일지!$B$5:$B$1004,"&gt;="&amp;DATE($B$3,1,1),업무일지!$B$5:$B$1004,"&lt;"&amp;DATE($B$3+1,1,1),업무일지!$E$5:$E$1004,$B27))</f>
        <v/>
      </c>
      <c r="I27" s="67">
        <f>IFERROR(SUMIFS(업무일지!$U$5:$U$1004,업무일지!$B$5:$B$1004,"&gt;="&amp;DATE($B$3,1,1),업무일지!$B$5:$B$1004,"&lt;"&amp;DATE($B$3+1,1,1),업무일지!$E$5:$E$1004,$B27)/C27,0)</f>
        <v/>
      </c>
    </row>
    <row r="28">
      <c r="A28" s="68">
        <f>IF(코드설정!$A10="","",코드설정!$A10)</f>
        <v/>
      </c>
      <c r="B28" s="69">
        <f>IF(코드설정!$B10="","",코드설정!$B10)</f>
        <v/>
      </c>
      <c r="C28" s="24">
        <f>IF($B28="","",COUNTIFS(업무일지!$B$5:$B$1004,"&gt;="&amp;DATE($B$3,1,1),업무일지!$B$5:$B$1004,"&lt;"&amp;DATE($B$3+1,1,1),업무일지!$E$5:$E$1004,$B28))</f>
        <v/>
      </c>
      <c r="D28" s="70">
        <f>IFERROR(C28/$C$36,0)</f>
        <v/>
      </c>
      <c r="E28" s="24">
        <f>IF($B28="","",SUMIFS(업무일지!$O$5:$O$1004,업무일지!$B$5:$B$1004,"&gt;="&amp;DATE($B$3,1,1),업무일지!$B$5:$B$1004,"&lt;"&amp;DATE($B$3+1,1,1),업무일지!$E$5:$E$1004,$B28))</f>
        <v/>
      </c>
      <c r="F28" s="25">
        <f>IF($B28="","",SUMIFS(업무일지!$W$5:$W$1004,업무일지!$B$5:$B$1004,"&gt;="&amp;DATE($B$3,1,1),업무일지!$B$5:$B$1004,"&lt;"&amp;DATE($B$3+1,1,1),업무일지!$E$5:$E$1004,$B28))</f>
        <v/>
      </c>
      <c r="G28" s="24">
        <f>IF($B28="","",SUMIFS(업무일지!$S$5:$S$1004,업무일지!$B$5:$B$1004,"&gt;="&amp;DATE($B$3,1,1),업무일지!$B$5:$B$1004,"&lt;"&amp;DATE($B$3+1,1,1),업무일지!$E$5:$E$1004,$B28))</f>
        <v/>
      </c>
      <c r="H28" s="26">
        <f>IF($B28="","",SUMIFS(업무일지!$T$5:$T$1004,업무일지!$B$5:$B$1004,"&gt;="&amp;DATE($B$3,1,1),업무일지!$B$5:$B$1004,"&lt;"&amp;DATE($B$3+1,1,1),업무일지!$E$5:$E$1004,$B28))</f>
        <v/>
      </c>
      <c r="I28" s="67">
        <f>IFERROR(SUMIFS(업무일지!$U$5:$U$1004,업무일지!$B$5:$B$1004,"&gt;="&amp;DATE($B$3,1,1),업무일지!$B$5:$B$1004,"&lt;"&amp;DATE($B$3+1,1,1),업무일지!$E$5:$E$1004,$B28)/C28,0)</f>
        <v/>
      </c>
    </row>
    <row r="29">
      <c r="A29" s="68">
        <f>IF(코드설정!$A11="","",코드설정!$A11)</f>
        <v/>
      </c>
      <c r="B29" s="69">
        <f>IF(코드설정!$B11="","",코드설정!$B11)</f>
        <v/>
      </c>
      <c r="C29" s="24">
        <f>IF($B29="","",COUNTIFS(업무일지!$B$5:$B$1004,"&gt;="&amp;DATE($B$3,1,1),업무일지!$B$5:$B$1004,"&lt;"&amp;DATE($B$3+1,1,1),업무일지!$E$5:$E$1004,$B29))</f>
        <v/>
      </c>
      <c r="D29" s="70">
        <f>IFERROR(C29/$C$36,0)</f>
        <v/>
      </c>
      <c r="E29" s="24">
        <f>IF($B29="","",SUMIFS(업무일지!$O$5:$O$1004,업무일지!$B$5:$B$1004,"&gt;="&amp;DATE($B$3,1,1),업무일지!$B$5:$B$1004,"&lt;"&amp;DATE($B$3+1,1,1),업무일지!$E$5:$E$1004,$B29))</f>
        <v/>
      </c>
      <c r="F29" s="25">
        <f>IF($B29="","",SUMIFS(업무일지!$W$5:$W$1004,업무일지!$B$5:$B$1004,"&gt;="&amp;DATE($B$3,1,1),업무일지!$B$5:$B$1004,"&lt;"&amp;DATE($B$3+1,1,1),업무일지!$E$5:$E$1004,$B29))</f>
        <v/>
      </c>
      <c r="G29" s="24">
        <f>IF($B29="","",SUMIFS(업무일지!$S$5:$S$1004,업무일지!$B$5:$B$1004,"&gt;="&amp;DATE($B$3,1,1),업무일지!$B$5:$B$1004,"&lt;"&amp;DATE($B$3+1,1,1),업무일지!$E$5:$E$1004,$B29))</f>
        <v/>
      </c>
      <c r="H29" s="26">
        <f>IF($B29="","",SUMIFS(업무일지!$T$5:$T$1004,업무일지!$B$5:$B$1004,"&gt;="&amp;DATE($B$3,1,1),업무일지!$B$5:$B$1004,"&lt;"&amp;DATE($B$3+1,1,1),업무일지!$E$5:$E$1004,$B29))</f>
        <v/>
      </c>
      <c r="I29" s="67">
        <f>IFERROR(SUMIFS(업무일지!$U$5:$U$1004,업무일지!$B$5:$B$1004,"&gt;="&amp;DATE($B$3,1,1),업무일지!$B$5:$B$1004,"&lt;"&amp;DATE($B$3+1,1,1),업무일지!$E$5:$E$1004,$B29)/C29,0)</f>
        <v/>
      </c>
    </row>
    <row r="30">
      <c r="A30" s="68">
        <f>IF(코드설정!$A12="","",코드설정!$A12)</f>
        <v/>
      </c>
      <c r="B30" s="69">
        <f>IF(코드설정!$B12="","",코드설정!$B12)</f>
        <v/>
      </c>
      <c r="C30" s="24">
        <f>IF($B30="","",COUNTIFS(업무일지!$B$5:$B$1004,"&gt;="&amp;DATE($B$3,1,1),업무일지!$B$5:$B$1004,"&lt;"&amp;DATE($B$3+1,1,1),업무일지!$E$5:$E$1004,$B30))</f>
        <v/>
      </c>
      <c r="D30" s="70">
        <f>IFERROR(C30/$C$36,0)</f>
        <v/>
      </c>
      <c r="E30" s="24">
        <f>IF($B30="","",SUMIFS(업무일지!$O$5:$O$1004,업무일지!$B$5:$B$1004,"&gt;="&amp;DATE($B$3,1,1),업무일지!$B$5:$B$1004,"&lt;"&amp;DATE($B$3+1,1,1),업무일지!$E$5:$E$1004,$B30))</f>
        <v/>
      </c>
      <c r="F30" s="25">
        <f>IF($B30="","",SUMIFS(업무일지!$W$5:$W$1004,업무일지!$B$5:$B$1004,"&gt;="&amp;DATE($B$3,1,1),업무일지!$B$5:$B$1004,"&lt;"&amp;DATE($B$3+1,1,1),업무일지!$E$5:$E$1004,$B30))</f>
        <v/>
      </c>
      <c r="G30" s="24">
        <f>IF($B30="","",SUMIFS(업무일지!$S$5:$S$1004,업무일지!$B$5:$B$1004,"&gt;="&amp;DATE($B$3,1,1),업무일지!$B$5:$B$1004,"&lt;"&amp;DATE($B$3+1,1,1),업무일지!$E$5:$E$1004,$B30))</f>
        <v/>
      </c>
      <c r="H30" s="26">
        <f>IF($B30="","",SUMIFS(업무일지!$T$5:$T$1004,업무일지!$B$5:$B$1004,"&gt;="&amp;DATE($B$3,1,1),업무일지!$B$5:$B$1004,"&lt;"&amp;DATE($B$3+1,1,1),업무일지!$E$5:$E$1004,$B30))</f>
        <v/>
      </c>
      <c r="I30" s="67">
        <f>IFERROR(SUMIFS(업무일지!$U$5:$U$1004,업무일지!$B$5:$B$1004,"&gt;="&amp;DATE($B$3,1,1),업무일지!$B$5:$B$1004,"&lt;"&amp;DATE($B$3+1,1,1),업무일지!$E$5:$E$1004,$B30)/C30,0)</f>
        <v/>
      </c>
    </row>
    <row r="31">
      <c r="A31" s="68">
        <f>IF(코드설정!$A13="","",코드설정!$A13)</f>
        <v/>
      </c>
      <c r="B31" s="69">
        <f>IF(코드설정!$B13="","",코드설정!$B13)</f>
        <v/>
      </c>
      <c r="C31" s="24">
        <f>IF($B31="","",COUNTIFS(업무일지!$B$5:$B$1004,"&gt;="&amp;DATE($B$3,1,1),업무일지!$B$5:$B$1004,"&lt;"&amp;DATE($B$3+1,1,1),업무일지!$E$5:$E$1004,$B31))</f>
        <v/>
      </c>
      <c r="D31" s="70">
        <f>IFERROR(C31/$C$36,0)</f>
        <v/>
      </c>
      <c r="E31" s="24">
        <f>IF($B31="","",SUMIFS(업무일지!$O$5:$O$1004,업무일지!$B$5:$B$1004,"&gt;="&amp;DATE($B$3,1,1),업무일지!$B$5:$B$1004,"&lt;"&amp;DATE($B$3+1,1,1),업무일지!$E$5:$E$1004,$B31))</f>
        <v/>
      </c>
      <c r="F31" s="25">
        <f>IF($B31="","",SUMIFS(업무일지!$W$5:$W$1004,업무일지!$B$5:$B$1004,"&gt;="&amp;DATE($B$3,1,1),업무일지!$B$5:$B$1004,"&lt;"&amp;DATE($B$3+1,1,1),업무일지!$E$5:$E$1004,$B31))</f>
        <v/>
      </c>
      <c r="G31" s="24">
        <f>IF($B31="","",SUMIFS(업무일지!$S$5:$S$1004,업무일지!$B$5:$B$1004,"&gt;="&amp;DATE($B$3,1,1),업무일지!$B$5:$B$1004,"&lt;"&amp;DATE($B$3+1,1,1),업무일지!$E$5:$E$1004,$B31))</f>
        <v/>
      </c>
      <c r="H31" s="26">
        <f>IF($B31="","",SUMIFS(업무일지!$T$5:$T$1004,업무일지!$B$5:$B$1004,"&gt;="&amp;DATE($B$3,1,1),업무일지!$B$5:$B$1004,"&lt;"&amp;DATE($B$3+1,1,1),업무일지!$E$5:$E$1004,$B31))</f>
        <v/>
      </c>
      <c r="I31" s="67">
        <f>IFERROR(SUMIFS(업무일지!$U$5:$U$1004,업무일지!$B$5:$B$1004,"&gt;="&amp;DATE($B$3,1,1),업무일지!$B$5:$B$1004,"&lt;"&amp;DATE($B$3+1,1,1),업무일지!$E$5:$E$1004,$B31)/C31,0)</f>
        <v/>
      </c>
    </row>
    <row r="32">
      <c r="A32" s="68">
        <f>IF(코드설정!$A14="","",코드설정!$A14)</f>
        <v/>
      </c>
      <c r="B32" s="69">
        <f>IF(코드설정!$B14="","",코드설정!$B14)</f>
        <v/>
      </c>
      <c r="C32" s="24">
        <f>IF($B32="","",COUNTIFS(업무일지!$B$5:$B$1004,"&gt;="&amp;DATE($B$3,1,1),업무일지!$B$5:$B$1004,"&lt;"&amp;DATE($B$3+1,1,1),업무일지!$E$5:$E$1004,$B32))</f>
        <v/>
      </c>
      <c r="D32" s="70">
        <f>IFERROR(C32/$C$36,0)</f>
        <v/>
      </c>
      <c r="E32" s="24">
        <f>IF($B32="","",SUMIFS(업무일지!$O$5:$O$1004,업무일지!$B$5:$B$1004,"&gt;="&amp;DATE($B$3,1,1),업무일지!$B$5:$B$1004,"&lt;"&amp;DATE($B$3+1,1,1),업무일지!$E$5:$E$1004,$B32))</f>
        <v/>
      </c>
      <c r="F32" s="25">
        <f>IF($B32="","",SUMIFS(업무일지!$W$5:$W$1004,업무일지!$B$5:$B$1004,"&gt;="&amp;DATE($B$3,1,1),업무일지!$B$5:$B$1004,"&lt;"&amp;DATE($B$3+1,1,1),업무일지!$E$5:$E$1004,$B32))</f>
        <v/>
      </c>
      <c r="G32" s="24">
        <f>IF($B32="","",SUMIFS(업무일지!$S$5:$S$1004,업무일지!$B$5:$B$1004,"&gt;="&amp;DATE($B$3,1,1),업무일지!$B$5:$B$1004,"&lt;"&amp;DATE($B$3+1,1,1),업무일지!$E$5:$E$1004,$B32))</f>
        <v/>
      </c>
      <c r="H32" s="26">
        <f>IF($B32="","",SUMIFS(업무일지!$T$5:$T$1004,업무일지!$B$5:$B$1004,"&gt;="&amp;DATE($B$3,1,1),업무일지!$B$5:$B$1004,"&lt;"&amp;DATE($B$3+1,1,1),업무일지!$E$5:$E$1004,$B32))</f>
        <v/>
      </c>
      <c r="I32" s="67">
        <f>IFERROR(SUMIFS(업무일지!$U$5:$U$1004,업무일지!$B$5:$B$1004,"&gt;="&amp;DATE($B$3,1,1),업무일지!$B$5:$B$1004,"&lt;"&amp;DATE($B$3+1,1,1),업무일지!$E$5:$E$1004,$B32)/C32,0)</f>
        <v/>
      </c>
    </row>
    <row r="33">
      <c r="A33" s="68">
        <f>IF(코드설정!$A15="","",코드설정!$A15)</f>
        <v/>
      </c>
      <c r="B33" s="69">
        <f>IF(코드설정!$B15="","",코드설정!$B15)</f>
        <v/>
      </c>
      <c r="C33" s="24">
        <f>IF($B33="","",COUNTIFS(업무일지!$B$5:$B$1004,"&gt;="&amp;DATE($B$3,1,1),업무일지!$B$5:$B$1004,"&lt;"&amp;DATE($B$3+1,1,1),업무일지!$E$5:$E$1004,$B33))</f>
        <v/>
      </c>
      <c r="D33" s="70">
        <f>IFERROR(C33/$C$36,0)</f>
        <v/>
      </c>
      <c r="E33" s="24">
        <f>IF($B33="","",SUMIFS(업무일지!$O$5:$O$1004,업무일지!$B$5:$B$1004,"&gt;="&amp;DATE($B$3,1,1),업무일지!$B$5:$B$1004,"&lt;"&amp;DATE($B$3+1,1,1),업무일지!$E$5:$E$1004,$B33))</f>
        <v/>
      </c>
      <c r="F33" s="25">
        <f>IF($B33="","",SUMIFS(업무일지!$W$5:$W$1004,업무일지!$B$5:$B$1004,"&gt;="&amp;DATE($B$3,1,1),업무일지!$B$5:$B$1004,"&lt;"&amp;DATE($B$3+1,1,1),업무일지!$E$5:$E$1004,$B33))</f>
        <v/>
      </c>
      <c r="G33" s="24">
        <f>IF($B33="","",SUMIFS(업무일지!$S$5:$S$1004,업무일지!$B$5:$B$1004,"&gt;="&amp;DATE($B$3,1,1),업무일지!$B$5:$B$1004,"&lt;"&amp;DATE($B$3+1,1,1),업무일지!$E$5:$E$1004,$B33))</f>
        <v/>
      </c>
      <c r="H33" s="26">
        <f>IF($B33="","",SUMIFS(업무일지!$T$5:$T$1004,업무일지!$B$5:$B$1004,"&gt;="&amp;DATE($B$3,1,1),업무일지!$B$5:$B$1004,"&lt;"&amp;DATE($B$3+1,1,1),업무일지!$E$5:$E$1004,$B33))</f>
        <v/>
      </c>
      <c r="I33" s="67">
        <f>IFERROR(SUMIFS(업무일지!$U$5:$U$1004,업무일지!$B$5:$B$1004,"&gt;="&amp;DATE($B$3,1,1),업무일지!$B$5:$B$1004,"&lt;"&amp;DATE($B$3+1,1,1),업무일지!$E$5:$E$1004,$B33)/C33,0)</f>
        <v/>
      </c>
    </row>
    <row r="34">
      <c r="A34" s="68">
        <f>IF(코드설정!$A16="","",코드설정!$A16)</f>
        <v/>
      </c>
      <c r="B34" s="69">
        <f>IF(코드설정!$B16="","",코드설정!$B16)</f>
        <v/>
      </c>
      <c r="C34" s="24">
        <f>IF($B34="","",COUNTIFS(업무일지!$B$5:$B$1004,"&gt;="&amp;DATE($B$3,1,1),업무일지!$B$5:$B$1004,"&lt;"&amp;DATE($B$3+1,1,1),업무일지!$E$5:$E$1004,$B34))</f>
        <v/>
      </c>
      <c r="D34" s="70">
        <f>IFERROR(C34/$C$36,0)</f>
        <v/>
      </c>
      <c r="E34" s="24">
        <f>IF($B34="","",SUMIFS(업무일지!$O$5:$O$1004,업무일지!$B$5:$B$1004,"&gt;="&amp;DATE($B$3,1,1),업무일지!$B$5:$B$1004,"&lt;"&amp;DATE($B$3+1,1,1),업무일지!$E$5:$E$1004,$B34))</f>
        <v/>
      </c>
      <c r="F34" s="25">
        <f>IF($B34="","",SUMIFS(업무일지!$W$5:$W$1004,업무일지!$B$5:$B$1004,"&gt;="&amp;DATE($B$3,1,1),업무일지!$B$5:$B$1004,"&lt;"&amp;DATE($B$3+1,1,1),업무일지!$E$5:$E$1004,$B34))</f>
        <v/>
      </c>
      <c r="G34" s="24">
        <f>IF($B34="","",SUMIFS(업무일지!$S$5:$S$1004,업무일지!$B$5:$B$1004,"&gt;="&amp;DATE($B$3,1,1),업무일지!$B$5:$B$1004,"&lt;"&amp;DATE($B$3+1,1,1),업무일지!$E$5:$E$1004,$B34))</f>
        <v/>
      </c>
      <c r="H34" s="26">
        <f>IF($B34="","",SUMIFS(업무일지!$T$5:$T$1004,업무일지!$B$5:$B$1004,"&gt;="&amp;DATE($B$3,1,1),업무일지!$B$5:$B$1004,"&lt;"&amp;DATE($B$3+1,1,1),업무일지!$E$5:$E$1004,$B34))</f>
        <v/>
      </c>
      <c r="I34" s="67">
        <f>IFERROR(SUMIFS(업무일지!$U$5:$U$1004,업무일지!$B$5:$B$1004,"&gt;="&amp;DATE($B$3,1,1),업무일지!$B$5:$B$1004,"&lt;"&amp;DATE($B$3+1,1,1),업무일지!$E$5:$E$1004,$B34)/C34,0)</f>
        <v/>
      </c>
    </row>
    <row r="35">
      <c r="A35" s="68">
        <f>IF(코드설정!$A17="","",코드설정!$A17)</f>
        <v/>
      </c>
      <c r="B35" s="69">
        <f>IF(코드설정!$B17="","",코드설정!$B17)</f>
        <v/>
      </c>
      <c r="C35" s="24">
        <f>IF($B35="","",COUNTIFS(업무일지!$B$5:$B$1004,"&gt;="&amp;DATE($B$3,1,1),업무일지!$B$5:$B$1004,"&lt;"&amp;DATE($B$3+1,1,1),업무일지!$E$5:$E$1004,$B35))</f>
        <v/>
      </c>
      <c r="D35" s="70">
        <f>IFERROR(C35/$C$36,0)</f>
        <v/>
      </c>
      <c r="E35" s="24">
        <f>IF($B35="","",SUMIFS(업무일지!$O$5:$O$1004,업무일지!$B$5:$B$1004,"&gt;="&amp;DATE($B$3,1,1),업무일지!$B$5:$B$1004,"&lt;"&amp;DATE($B$3+1,1,1),업무일지!$E$5:$E$1004,$B35))</f>
        <v/>
      </c>
      <c r="F35" s="25">
        <f>IF($B35="","",SUMIFS(업무일지!$W$5:$W$1004,업무일지!$B$5:$B$1004,"&gt;="&amp;DATE($B$3,1,1),업무일지!$B$5:$B$1004,"&lt;"&amp;DATE($B$3+1,1,1),업무일지!$E$5:$E$1004,$B35))</f>
        <v/>
      </c>
      <c r="G35" s="24">
        <f>IF($B35="","",SUMIFS(업무일지!$S$5:$S$1004,업무일지!$B$5:$B$1004,"&gt;="&amp;DATE($B$3,1,1),업무일지!$B$5:$B$1004,"&lt;"&amp;DATE($B$3+1,1,1),업무일지!$E$5:$E$1004,$B35))</f>
        <v/>
      </c>
      <c r="H35" s="26">
        <f>IF($B35="","",SUMIFS(업무일지!$T$5:$T$1004,업무일지!$B$5:$B$1004,"&gt;="&amp;DATE($B$3,1,1),업무일지!$B$5:$B$1004,"&lt;"&amp;DATE($B$3+1,1,1),업무일지!$E$5:$E$1004,$B35))</f>
        <v/>
      </c>
      <c r="I35" s="67">
        <f>IFERROR(SUMIFS(업무일지!$U$5:$U$1004,업무일지!$B$5:$B$1004,"&gt;="&amp;DATE($B$3,1,1),업무일지!$B$5:$B$1004,"&lt;"&amp;DATE($B$3+1,1,1),업무일지!$E$5:$E$1004,$B35)/C35,0)</f>
        <v/>
      </c>
    </row>
    <row r="36">
      <c r="A36" s="28" t="inlineStr">
        <is>
          <t>합계</t>
        </is>
      </c>
      <c r="B36" s="28" t="inlineStr"/>
      <c r="C36" s="29">
        <f>SUM(C23:C35)</f>
        <v/>
      </c>
      <c r="D36" s="71">
        <f>IFERROR(C36/$C$36,0)</f>
        <v/>
      </c>
      <c r="E36" s="29">
        <f>SUM(E23:E35)</f>
        <v/>
      </c>
      <c r="F36" s="30">
        <f>SUM(F23:F35)</f>
        <v/>
      </c>
      <c r="G36" s="29">
        <f>SUM(G23:G35)</f>
        <v/>
      </c>
      <c r="H36" s="31">
        <f>SUM(H23:H35)</f>
        <v/>
      </c>
      <c r="I36" s="30">
        <f>IFERROR(SUMIFS(업무일지!$U$5:$U$1004,업무일지!$B$5:$B$1004,"&gt;="&amp;DATE($B$3,1,1),업무일지!$B$5:$B$1004,"&lt;"&amp;DATE($B$3+1,1,1))/C36,0)</f>
        <v/>
      </c>
    </row>
    <row r="38" ht="20" customHeight="1">
      <c r="A38" s="21" t="inlineStr">
        <is>
          <t>3.  팀별 현황 (연간 누계)   ※ 주담당자의 소속팀 기준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</row>
    <row r="39" ht="32" customHeight="1">
      <c r="A39" s="23" t="inlineStr">
        <is>
          <t>소속팀</t>
        </is>
      </c>
      <c r="B39" s="23" t="inlineStr">
        <is>
          <t>출장 건수</t>
        </is>
      </c>
      <c r="C39" s="23" t="inlineStr">
        <is>
          <t>분석 건수</t>
        </is>
      </c>
      <c r="D39" s="23" t="inlineStr">
        <is>
          <t>전체 건수</t>
        </is>
      </c>
      <c r="E39" s="23" t="inlineStr">
        <is>
          <t>출장 소요일수</t>
        </is>
      </c>
      <c r="F39" s="23" t="inlineStr">
        <is>
          <t>연인원(명)</t>
        </is>
      </c>
      <c r="G39" s="23" t="inlineStr">
        <is>
          <t>총 인시(H)</t>
        </is>
      </c>
      <c r="H39" s="23" t="inlineStr">
        <is>
          <t>대상매체(건)</t>
        </is>
      </c>
      <c r="I39" s="23" t="inlineStr">
        <is>
          <t>진행중 건</t>
        </is>
      </c>
    </row>
    <row r="40">
      <c r="A40" s="68">
        <f>IF(코드설정!$I5="","",코드설정!$I5)</f>
        <v/>
      </c>
      <c r="B40" s="24">
        <f>IF($A40="","",COUNTIFS(업무일지!$B$5:$B$1004,"&gt;="&amp;DATE($B$3,1,1),업무일지!$B$5:$B$1004,"&lt;"&amp;DATE($B$3+1,1,1),업무일지!$Q$5:$Q$1004,$A40,업무일지!$D$5:$D$1004,"출장"))</f>
        <v/>
      </c>
      <c r="C40" s="24">
        <f>IF($A40="","",COUNTIFS(업무일지!$B$5:$B$1004,"&gt;="&amp;DATE($B$3,1,1),업무일지!$B$5:$B$1004,"&lt;"&amp;DATE($B$3+1,1,1),업무일지!$Q$5:$Q$1004,$A40,업무일지!$D$5:$D$1004,"분석"))</f>
        <v/>
      </c>
      <c r="D40" s="63">
        <f>IF($A40="","",B40+C40)</f>
        <v/>
      </c>
      <c r="E40" s="24">
        <f>IF($A40="","",SUMIFS(업무일지!$U$5:$U$1004,업무일지!$B$5:$B$1004,"&gt;="&amp;DATE($B$3,1,1),업무일지!$B$5:$B$1004,"&lt;"&amp;DATE($B$3+1,1,1),업무일지!$Q$5:$Q$1004,$A40,업무일지!$D$5:$D$1004,"출장"))</f>
        <v/>
      </c>
      <c r="F40" s="24">
        <f>IF($A40="","",SUMIFS(업무일지!$O$5:$O$1004,업무일지!$B$5:$B$1004,"&gt;="&amp;DATE($B$3,1,1),업무일지!$B$5:$B$1004,"&lt;"&amp;DATE($B$3+1,1,1),업무일지!$Q$5:$Q$1004,$A40))</f>
        <v/>
      </c>
      <c r="G40" s="25">
        <f>IF($A40="","",SUMIFS(업무일지!$W$5:$W$1004,업무일지!$B$5:$B$1004,"&gt;="&amp;DATE($B$3,1,1),업무일지!$B$5:$B$1004,"&lt;"&amp;DATE($B$3+1,1,1),업무일지!$Q$5:$Q$1004,$A40))</f>
        <v/>
      </c>
      <c r="H40" s="24">
        <f>IF($A40="","",SUMIFS(업무일지!$S$5:$S$1004,업무일지!$B$5:$B$1004,"&gt;="&amp;DATE($B$3,1,1),업무일지!$B$5:$B$1004,"&lt;"&amp;DATE($B$3+1,1,1),업무일지!$Q$5:$Q$1004,$A40))</f>
        <v/>
      </c>
      <c r="I40" s="24">
        <f>IF($A40="","",COUNTIFS(업무일지!$B$5:$B$1004,"&gt;="&amp;DATE($B$3,1,1),업무일지!$B$5:$B$1004,"&lt;"&amp;DATE($B$3+1,1,1),업무일지!$Q$5:$Q$1004,$A40,업무일지!$X$5:$X$1004,"진행중"))</f>
        <v/>
      </c>
    </row>
    <row r="41">
      <c r="A41" s="68">
        <f>IF(코드설정!$I6="","",코드설정!$I6)</f>
        <v/>
      </c>
      <c r="B41" s="24">
        <f>IF($A41="","",COUNTIFS(업무일지!$B$5:$B$1004,"&gt;="&amp;DATE($B$3,1,1),업무일지!$B$5:$B$1004,"&lt;"&amp;DATE($B$3+1,1,1),업무일지!$Q$5:$Q$1004,$A41,업무일지!$D$5:$D$1004,"출장"))</f>
        <v/>
      </c>
      <c r="C41" s="24">
        <f>IF($A41="","",COUNTIFS(업무일지!$B$5:$B$1004,"&gt;="&amp;DATE($B$3,1,1),업무일지!$B$5:$B$1004,"&lt;"&amp;DATE($B$3+1,1,1),업무일지!$Q$5:$Q$1004,$A41,업무일지!$D$5:$D$1004,"분석"))</f>
        <v/>
      </c>
      <c r="D41" s="63">
        <f>IF($A41="","",B41+C41)</f>
        <v/>
      </c>
      <c r="E41" s="24">
        <f>IF($A41="","",SUMIFS(업무일지!$U$5:$U$1004,업무일지!$B$5:$B$1004,"&gt;="&amp;DATE($B$3,1,1),업무일지!$B$5:$B$1004,"&lt;"&amp;DATE($B$3+1,1,1),업무일지!$Q$5:$Q$1004,$A41,업무일지!$D$5:$D$1004,"출장"))</f>
        <v/>
      </c>
      <c r="F41" s="24">
        <f>IF($A41="","",SUMIFS(업무일지!$O$5:$O$1004,업무일지!$B$5:$B$1004,"&gt;="&amp;DATE($B$3,1,1),업무일지!$B$5:$B$1004,"&lt;"&amp;DATE($B$3+1,1,1),업무일지!$Q$5:$Q$1004,$A41))</f>
        <v/>
      </c>
      <c r="G41" s="25">
        <f>IF($A41="","",SUMIFS(업무일지!$W$5:$W$1004,업무일지!$B$5:$B$1004,"&gt;="&amp;DATE($B$3,1,1),업무일지!$B$5:$B$1004,"&lt;"&amp;DATE($B$3+1,1,1),업무일지!$Q$5:$Q$1004,$A41))</f>
        <v/>
      </c>
      <c r="H41" s="24">
        <f>IF($A41="","",SUMIFS(업무일지!$S$5:$S$1004,업무일지!$B$5:$B$1004,"&gt;="&amp;DATE($B$3,1,1),업무일지!$B$5:$B$1004,"&lt;"&amp;DATE($B$3+1,1,1),업무일지!$Q$5:$Q$1004,$A41))</f>
        <v/>
      </c>
      <c r="I41" s="24">
        <f>IF($A41="","",COUNTIFS(업무일지!$B$5:$B$1004,"&gt;="&amp;DATE($B$3,1,1),업무일지!$B$5:$B$1004,"&lt;"&amp;DATE($B$3+1,1,1),업무일지!$Q$5:$Q$1004,$A41,업무일지!$X$5:$X$1004,"진행중"))</f>
        <v/>
      </c>
    </row>
    <row r="42">
      <c r="A42" s="68">
        <f>IF(코드설정!$I7="","",코드설정!$I7)</f>
        <v/>
      </c>
      <c r="B42" s="24">
        <f>IF($A42="","",COUNTIFS(업무일지!$B$5:$B$1004,"&gt;="&amp;DATE($B$3,1,1),업무일지!$B$5:$B$1004,"&lt;"&amp;DATE($B$3+1,1,1),업무일지!$Q$5:$Q$1004,$A42,업무일지!$D$5:$D$1004,"출장"))</f>
        <v/>
      </c>
      <c r="C42" s="24">
        <f>IF($A42="","",COUNTIFS(업무일지!$B$5:$B$1004,"&gt;="&amp;DATE($B$3,1,1),업무일지!$B$5:$B$1004,"&lt;"&amp;DATE($B$3+1,1,1),업무일지!$Q$5:$Q$1004,$A42,업무일지!$D$5:$D$1004,"분석"))</f>
        <v/>
      </c>
      <c r="D42" s="63">
        <f>IF($A42="","",B42+C42)</f>
        <v/>
      </c>
      <c r="E42" s="24">
        <f>IF($A42="","",SUMIFS(업무일지!$U$5:$U$1004,업무일지!$B$5:$B$1004,"&gt;="&amp;DATE($B$3,1,1),업무일지!$B$5:$B$1004,"&lt;"&amp;DATE($B$3+1,1,1),업무일지!$Q$5:$Q$1004,$A42,업무일지!$D$5:$D$1004,"출장"))</f>
        <v/>
      </c>
      <c r="F42" s="24">
        <f>IF($A42="","",SUMIFS(업무일지!$O$5:$O$1004,업무일지!$B$5:$B$1004,"&gt;="&amp;DATE($B$3,1,1),업무일지!$B$5:$B$1004,"&lt;"&amp;DATE($B$3+1,1,1),업무일지!$Q$5:$Q$1004,$A42))</f>
        <v/>
      </c>
      <c r="G42" s="25">
        <f>IF($A42="","",SUMIFS(업무일지!$W$5:$W$1004,업무일지!$B$5:$B$1004,"&gt;="&amp;DATE($B$3,1,1),업무일지!$B$5:$B$1004,"&lt;"&amp;DATE($B$3+1,1,1),업무일지!$Q$5:$Q$1004,$A42))</f>
        <v/>
      </c>
      <c r="H42" s="24">
        <f>IF($A42="","",SUMIFS(업무일지!$S$5:$S$1004,업무일지!$B$5:$B$1004,"&gt;="&amp;DATE($B$3,1,1),업무일지!$B$5:$B$1004,"&lt;"&amp;DATE($B$3+1,1,1),업무일지!$Q$5:$Q$1004,$A42))</f>
        <v/>
      </c>
      <c r="I42" s="24">
        <f>IF($A42="","",COUNTIFS(업무일지!$B$5:$B$1004,"&gt;="&amp;DATE($B$3,1,1),업무일지!$B$5:$B$1004,"&lt;"&amp;DATE($B$3+1,1,1),업무일지!$Q$5:$Q$1004,$A42,업무일지!$X$5:$X$1004,"진행중"))</f>
        <v/>
      </c>
    </row>
    <row r="43">
      <c r="A43" s="68">
        <f>IF(코드설정!$I8="","",코드설정!$I8)</f>
        <v/>
      </c>
      <c r="B43" s="24">
        <f>IF($A43="","",COUNTIFS(업무일지!$B$5:$B$1004,"&gt;="&amp;DATE($B$3,1,1),업무일지!$B$5:$B$1004,"&lt;"&amp;DATE($B$3+1,1,1),업무일지!$Q$5:$Q$1004,$A43,업무일지!$D$5:$D$1004,"출장"))</f>
        <v/>
      </c>
      <c r="C43" s="24">
        <f>IF($A43="","",COUNTIFS(업무일지!$B$5:$B$1004,"&gt;="&amp;DATE($B$3,1,1),업무일지!$B$5:$B$1004,"&lt;"&amp;DATE($B$3+1,1,1),업무일지!$Q$5:$Q$1004,$A43,업무일지!$D$5:$D$1004,"분석"))</f>
        <v/>
      </c>
      <c r="D43" s="63">
        <f>IF($A43="","",B43+C43)</f>
        <v/>
      </c>
      <c r="E43" s="24">
        <f>IF($A43="","",SUMIFS(업무일지!$U$5:$U$1004,업무일지!$B$5:$B$1004,"&gt;="&amp;DATE($B$3,1,1),업무일지!$B$5:$B$1004,"&lt;"&amp;DATE($B$3+1,1,1),업무일지!$Q$5:$Q$1004,$A43,업무일지!$D$5:$D$1004,"출장"))</f>
        <v/>
      </c>
      <c r="F43" s="24">
        <f>IF($A43="","",SUMIFS(업무일지!$O$5:$O$1004,업무일지!$B$5:$B$1004,"&gt;="&amp;DATE($B$3,1,1),업무일지!$B$5:$B$1004,"&lt;"&amp;DATE($B$3+1,1,1),업무일지!$Q$5:$Q$1004,$A43))</f>
        <v/>
      </c>
      <c r="G43" s="25">
        <f>IF($A43="","",SUMIFS(업무일지!$W$5:$W$1004,업무일지!$B$5:$B$1004,"&gt;="&amp;DATE($B$3,1,1),업무일지!$B$5:$B$1004,"&lt;"&amp;DATE($B$3+1,1,1),업무일지!$Q$5:$Q$1004,$A43))</f>
        <v/>
      </c>
      <c r="H43" s="24">
        <f>IF($A43="","",SUMIFS(업무일지!$S$5:$S$1004,업무일지!$B$5:$B$1004,"&gt;="&amp;DATE($B$3,1,1),업무일지!$B$5:$B$1004,"&lt;"&amp;DATE($B$3+1,1,1),업무일지!$Q$5:$Q$1004,$A43))</f>
        <v/>
      </c>
      <c r="I43" s="24">
        <f>IF($A43="","",COUNTIFS(업무일지!$B$5:$B$1004,"&gt;="&amp;DATE($B$3,1,1),업무일지!$B$5:$B$1004,"&lt;"&amp;DATE($B$3+1,1,1),업무일지!$Q$5:$Q$1004,$A43,업무일지!$X$5:$X$1004,"진행중"))</f>
        <v/>
      </c>
    </row>
    <row r="44">
      <c r="A44" s="68">
        <f>IF(코드설정!$I9="","",코드설정!$I9)</f>
        <v/>
      </c>
      <c r="B44" s="24">
        <f>IF($A44="","",COUNTIFS(업무일지!$B$5:$B$1004,"&gt;="&amp;DATE($B$3,1,1),업무일지!$B$5:$B$1004,"&lt;"&amp;DATE($B$3+1,1,1),업무일지!$Q$5:$Q$1004,$A44,업무일지!$D$5:$D$1004,"출장"))</f>
        <v/>
      </c>
      <c r="C44" s="24">
        <f>IF($A44="","",COUNTIFS(업무일지!$B$5:$B$1004,"&gt;="&amp;DATE($B$3,1,1),업무일지!$B$5:$B$1004,"&lt;"&amp;DATE($B$3+1,1,1),업무일지!$Q$5:$Q$1004,$A44,업무일지!$D$5:$D$1004,"분석"))</f>
        <v/>
      </c>
      <c r="D44" s="63">
        <f>IF($A44="","",B44+C44)</f>
        <v/>
      </c>
      <c r="E44" s="24">
        <f>IF($A44="","",SUMIFS(업무일지!$U$5:$U$1004,업무일지!$B$5:$B$1004,"&gt;="&amp;DATE($B$3,1,1),업무일지!$B$5:$B$1004,"&lt;"&amp;DATE($B$3+1,1,1),업무일지!$Q$5:$Q$1004,$A44,업무일지!$D$5:$D$1004,"출장"))</f>
        <v/>
      </c>
      <c r="F44" s="24">
        <f>IF($A44="","",SUMIFS(업무일지!$O$5:$O$1004,업무일지!$B$5:$B$1004,"&gt;="&amp;DATE($B$3,1,1),업무일지!$B$5:$B$1004,"&lt;"&amp;DATE($B$3+1,1,1),업무일지!$Q$5:$Q$1004,$A44))</f>
        <v/>
      </c>
      <c r="G44" s="25">
        <f>IF($A44="","",SUMIFS(업무일지!$W$5:$W$1004,업무일지!$B$5:$B$1004,"&gt;="&amp;DATE($B$3,1,1),업무일지!$B$5:$B$1004,"&lt;"&amp;DATE($B$3+1,1,1),업무일지!$Q$5:$Q$1004,$A44))</f>
        <v/>
      </c>
      <c r="H44" s="24">
        <f>IF($A44="","",SUMIFS(업무일지!$S$5:$S$1004,업무일지!$B$5:$B$1004,"&gt;="&amp;DATE($B$3,1,1),업무일지!$B$5:$B$1004,"&lt;"&amp;DATE($B$3+1,1,1),업무일지!$Q$5:$Q$1004,$A44))</f>
        <v/>
      </c>
      <c r="I44" s="24">
        <f>IF($A44="","",COUNTIFS(업무일지!$B$5:$B$1004,"&gt;="&amp;DATE($B$3,1,1),업무일지!$B$5:$B$1004,"&lt;"&amp;DATE($B$3+1,1,1),업무일지!$Q$5:$Q$1004,$A44,업무일지!$X$5:$X$1004,"진행중"))</f>
        <v/>
      </c>
    </row>
    <row r="45">
      <c r="A45" s="68">
        <f>IF(코드설정!$I10="","",코드설정!$I10)</f>
        <v/>
      </c>
      <c r="B45" s="24">
        <f>IF($A45="","",COUNTIFS(업무일지!$B$5:$B$1004,"&gt;="&amp;DATE($B$3,1,1),업무일지!$B$5:$B$1004,"&lt;"&amp;DATE($B$3+1,1,1),업무일지!$Q$5:$Q$1004,$A45,업무일지!$D$5:$D$1004,"출장"))</f>
        <v/>
      </c>
      <c r="C45" s="24">
        <f>IF($A45="","",COUNTIFS(업무일지!$B$5:$B$1004,"&gt;="&amp;DATE($B$3,1,1),업무일지!$B$5:$B$1004,"&lt;"&amp;DATE($B$3+1,1,1),업무일지!$Q$5:$Q$1004,$A45,업무일지!$D$5:$D$1004,"분석"))</f>
        <v/>
      </c>
      <c r="D45" s="63">
        <f>IF($A45="","",B45+C45)</f>
        <v/>
      </c>
      <c r="E45" s="24">
        <f>IF($A45="","",SUMIFS(업무일지!$U$5:$U$1004,업무일지!$B$5:$B$1004,"&gt;="&amp;DATE($B$3,1,1),업무일지!$B$5:$B$1004,"&lt;"&amp;DATE($B$3+1,1,1),업무일지!$Q$5:$Q$1004,$A45,업무일지!$D$5:$D$1004,"출장"))</f>
        <v/>
      </c>
      <c r="F45" s="24">
        <f>IF($A45="","",SUMIFS(업무일지!$O$5:$O$1004,업무일지!$B$5:$B$1004,"&gt;="&amp;DATE($B$3,1,1),업무일지!$B$5:$B$1004,"&lt;"&amp;DATE($B$3+1,1,1),업무일지!$Q$5:$Q$1004,$A45))</f>
        <v/>
      </c>
      <c r="G45" s="25">
        <f>IF($A45="","",SUMIFS(업무일지!$W$5:$W$1004,업무일지!$B$5:$B$1004,"&gt;="&amp;DATE($B$3,1,1),업무일지!$B$5:$B$1004,"&lt;"&amp;DATE($B$3+1,1,1),업무일지!$Q$5:$Q$1004,$A45))</f>
        <v/>
      </c>
      <c r="H45" s="24">
        <f>IF($A45="","",SUMIFS(업무일지!$S$5:$S$1004,업무일지!$B$5:$B$1004,"&gt;="&amp;DATE($B$3,1,1),업무일지!$B$5:$B$1004,"&lt;"&amp;DATE($B$3+1,1,1),업무일지!$Q$5:$Q$1004,$A45))</f>
        <v/>
      </c>
      <c r="I45" s="24">
        <f>IF($A45="","",COUNTIFS(업무일지!$B$5:$B$1004,"&gt;="&amp;DATE($B$3,1,1),업무일지!$B$5:$B$1004,"&lt;"&amp;DATE($B$3+1,1,1),업무일지!$Q$5:$Q$1004,$A45,업무일지!$X$5:$X$1004,"진행중"))</f>
        <v/>
      </c>
    </row>
    <row r="46">
      <c r="A46" s="68">
        <f>IF(코드설정!$I11="","",코드설정!$I11)</f>
        <v/>
      </c>
      <c r="B46" s="24">
        <f>IF($A46="","",COUNTIFS(업무일지!$B$5:$B$1004,"&gt;="&amp;DATE($B$3,1,1),업무일지!$B$5:$B$1004,"&lt;"&amp;DATE($B$3+1,1,1),업무일지!$Q$5:$Q$1004,$A46,업무일지!$D$5:$D$1004,"출장"))</f>
        <v/>
      </c>
      <c r="C46" s="24">
        <f>IF($A46="","",COUNTIFS(업무일지!$B$5:$B$1004,"&gt;="&amp;DATE($B$3,1,1),업무일지!$B$5:$B$1004,"&lt;"&amp;DATE($B$3+1,1,1),업무일지!$Q$5:$Q$1004,$A46,업무일지!$D$5:$D$1004,"분석"))</f>
        <v/>
      </c>
      <c r="D46" s="63">
        <f>IF($A46="","",B46+C46)</f>
        <v/>
      </c>
      <c r="E46" s="24">
        <f>IF($A46="","",SUMIFS(업무일지!$U$5:$U$1004,업무일지!$B$5:$B$1004,"&gt;="&amp;DATE($B$3,1,1),업무일지!$B$5:$B$1004,"&lt;"&amp;DATE($B$3+1,1,1),업무일지!$Q$5:$Q$1004,$A46,업무일지!$D$5:$D$1004,"출장"))</f>
        <v/>
      </c>
      <c r="F46" s="24">
        <f>IF($A46="","",SUMIFS(업무일지!$O$5:$O$1004,업무일지!$B$5:$B$1004,"&gt;="&amp;DATE($B$3,1,1),업무일지!$B$5:$B$1004,"&lt;"&amp;DATE($B$3+1,1,1),업무일지!$Q$5:$Q$1004,$A46))</f>
        <v/>
      </c>
      <c r="G46" s="25">
        <f>IF($A46="","",SUMIFS(업무일지!$W$5:$W$1004,업무일지!$B$5:$B$1004,"&gt;="&amp;DATE($B$3,1,1),업무일지!$B$5:$B$1004,"&lt;"&amp;DATE($B$3+1,1,1),업무일지!$Q$5:$Q$1004,$A46))</f>
        <v/>
      </c>
      <c r="H46" s="24">
        <f>IF($A46="","",SUMIFS(업무일지!$S$5:$S$1004,업무일지!$B$5:$B$1004,"&gt;="&amp;DATE($B$3,1,1),업무일지!$B$5:$B$1004,"&lt;"&amp;DATE($B$3+1,1,1),업무일지!$Q$5:$Q$1004,$A46))</f>
        <v/>
      </c>
      <c r="I46" s="24">
        <f>IF($A46="","",COUNTIFS(업무일지!$B$5:$B$1004,"&gt;="&amp;DATE($B$3,1,1),업무일지!$B$5:$B$1004,"&lt;"&amp;DATE($B$3+1,1,1),업무일지!$Q$5:$Q$1004,$A46,업무일지!$X$5:$X$1004,"진행중"))</f>
        <v/>
      </c>
    </row>
    <row r="47">
      <c r="A47" s="68">
        <f>IF(코드설정!$I12="","",코드설정!$I12)</f>
        <v/>
      </c>
      <c r="B47" s="24">
        <f>IF($A47="","",COUNTIFS(업무일지!$B$5:$B$1004,"&gt;="&amp;DATE($B$3,1,1),업무일지!$B$5:$B$1004,"&lt;"&amp;DATE($B$3+1,1,1),업무일지!$Q$5:$Q$1004,$A47,업무일지!$D$5:$D$1004,"출장"))</f>
        <v/>
      </c>
      <c r="C47" s="24">
        <f>IF($A47="","",COUNTIFS(업무일지!$B$5:$B$1004,"&gt;="&amp;DATE($B$3,1,1),업무일지!$B$5:$B$1004,"&lt;"&amp;DATE($B$3+1,1,1),업무일지!$Q$5:$Q$1004,$A47,업무일지!$D$5:$D$1004,"분석"))</f>
        <v/>
      </c>
      <c r="D47" s="63">
        <f>IF($A47="","",B47+C47)</f>
        <v/>
      </c>
      <c r="E47" s="24">
        <f>IF($A47="","",SUMIFS(업무일지!$U$5:$U$1004,업무일지!$B$5:$B$1004,"&gt;="&amp;DATE($B$3,1,1),업무일지!$B$5:$B$1004,"&lt;"&amp;DATE($B$3+1,1,1),업무일지!$Q$5:$Q$1004,$A47,업무일지!$D$5:$D$1004,"출장"))</f>
        <v/>
      </c>
      <c r="F47" s="24">
        <f>IF($A47="","",SUMIFS(업무일지!$O$5:$O$1004,업무일지!$B$5:$B$1004,"&gt;="&amp;DATE($B$3,1,1),업무일지!$B$5:$B$1004,"&lt;"&amp;DATE($B$3+1,1,1),업무일지!$Q$5:$Q$1004,$A47))</f>
        <v/>
      </c>
      <c r="G47" s="25">
        <f>IF($A47="","",SUMIFS(업무일지!$W$5:$W$1004,업무일지!$B$5:$B$1004,"&gt;="&amp;DATE($B$3,1,1),업무일지!$B$5:$B$1004,"&lt;"&amp;DATE($B$3+1,1,1),업무일지!$Q$5:$Q$1004,$A47))</f>
        <v/>
      </c>
      <c r="H47" s="24">
        <f>IF($A47="","",SUMIFS(업무일지!$S$5:$S$1004,업무일지!$B$5:$B$1004,"&gt;="&amp;DATE($B$3,1,1),업무일지!$B$5:$B$1004,"&lt;"&amp;DATE($B$3+1,1,1),업무일지!$Q$5:$Q$1004,$A47))</f>
        <v/>
      </c>
      <c r="I47" s="24">
        <f>IF($A47="","",COUNTIFS(업무일지!$B$5:$B$1004,"&gt;="&amp;DATE($B$3,1,1),업무일지!$B$5:$B$1004,"&lt;"&amp;DATE($B$3+1,1,1),업무일지!$Q$5:$Q$1004,$A47,업무일지!$X$5:$X$1004,"진행중"))</f>
        <v/>
      </c>
    </row>
    <row r="48">
      <c r="A48" s="68">
        <f>IF(코드설정!$I13="","",코드설정!$I13)</f>
        <v/>
      </c>
      <c r="B48" s="24">
        <f>IF($A48="","",COUNTIFS(업무일지!$B$5:$B$1004,"&gt;="&amp;DATE($B$3,1,1),업무일지!$B$5:$B$1004,"&lt;"&amp;DATE($B$3+1,1,1),업무일지!$Q$5:$Q$1004,$A48,업무일지!$D$5:$D$1004,"출장"))</f>
        <v/>
      </c>
      <c r="C48" s="24">
        <f>IF($A48="","",COUNTIFS(업무일지!$B$5:$B$1004,"&gt;="&amp;DATE($B$3,1,1),업무일지!$B$5:$B$1004,"&lt;"&amp;DATE($B$3+1,1,1),업무일지!$Q$5:$Q$1004,$A48,업무일지!$D$5:$D$1004,"분석"))</f>
        <v/>
      </c>
      <c r="D48" s="63">
        <f>IF($A48="","",B48+C48)</f>
        <v/>
      </c>
      <c r="E48" s="24">
        <f>IF($A48="","",SUMIFS(업무일지!$U$5:$U$1004,업무일지!$B$5:$B$1004,"&gt;="&amp;DATE($B$3,1,1),업무일지!$B$5:$B$1004,"&lt;"&amp;DATE($B$3+1,1,1),업무일지!$Q$5:$Q$1004,$A48,업무일지!$D$5:$D$1004,"출장"))</f>
        <v/>
      </c>
      <c r="F48" s="24">
        <f>IF($A48="","",SUMIFS(업무일지!$O$5:$O$1004,업무일지!$B$5:$B$1004,"&gt;="&amp;DATE($B$3,1,1),업무일지!$B$5:$B$1004,"&lt;"&amp;DATE($B$3+1,1,1),업무일지!$Q$5:$Q$1004,$A48))</f>
        <v/>
      </c>
      <c r="G48" s="25">
        <f>IF($A48="","",SUMIFS(업무일지!$W$5:$W$1004,업무일지!$B$5:$B$1004,"&gt;="&amp;DATE($B$3,1,1),업무일지!$B$5:$B$1004,"&lt;"&amp;DATE($B$3+1,1,1),업무일지!$Q$5:$Q$1004,$A48))</f>
        <v/>
      </c>
      <c r="H48" s="24">
        <f>IF($A48="","",SUMIFS(업무일지!$S$5:$S$1004,업무일지!$B$5:$B$1004,"&gt;="&amp;DATE($B$3,1,1),업무일지!$B$5:$B$1004,"&lt;"&amp;DATE($B$3+1,1,1),업무일지!$Q$5:$Q$1004,$A48))</f>
        <v/>
      </c>
      <c r="I48" s="24">
        <f>IF($A48="","",COUNTIFS(업무일지!$B$5:$B$1004,"&gt;="&amp;DATE($B$3,1,1),업무일지!$B$5:$B$1004,"&lt;"&amp;DATE($B$3+1,1,1),업무일지!$Q$5:$Q$1004,$A48,업무일지!$X$5:$X$1004,"진행중"))</f>
        <v/>
      </c>
    </row>
    <row r="49">
      <c r="A49" s="68">
        <f>IF(코드설정!$I14="","",코드설정!$I14)</f>
        <v/>
      </c>
      <c r="B49" s="24">
        <f>IF($A49="","",COUNTIFS(업무일지!$B$5:$B$1004,"&gt;="&amp;DATE($B$3,1,1),업무일지!$B$5:$B$1004,"&lt;"&amp;DATE($B$3+1,1,1),업무일지!$Q$5:$Q$1004,$A49,업무일지!$D$5:$D$1004,"출장"))</f>
        <v/>
      </c>
      <c r="C49" s="24">
        <f>IF($A49="","",COUNTIFS(업무일지!$B$5:$B$1004,"&gt;="&amp;DATE($B$3,1,1),업무일지!$B$5:$B$1004,"&lt;"&amp;DATE($B$3+1,1,1),업무일지!$Q$5:$Q$1004,$A49,업무일지!$D$5:$D$1004,"분석"))</f>
        <v/>
      </c>
      <c r="D49" s="63">
        <f>IF($A49="","",B49+C49)</f>
        <v/>
      </c>
      <c r="E49" s="24">
        <f>IF($A49="","",SUMIFS(업무일지!$U$5:$U$1004,업무일지!$B$5:$B$1004,"&gt;="&amp;DATE($B$3,1,1),업무일지!$B$5:$B$1004,"&lt;"&amp;DATE($B$3+1,1,1),업무일지!$Q$5:$Q$1004,$A49,업무일지!$D$5:$D$1004,"출장"))</f>
        <v/>
      </c>
      <c r="F49" s="24">
        <f>IF($A49="","",SUMIFS(업무일지!$O$5:$O$1004,업무일지!$B$5:$B$1004,"&gt;="&amp;DATE($B$3,1,1),업무일지!$B$5:$B$1004,"&lt;"&amp;DATE($B$3+1,1,1),업무일지!$Q$5:$Q$1004,$A49))</f>
        <v/>
      </c>
      <c r="G49" s="25">
        <f>IF($A49="","",SUMIFS(업무일지!$W$5:$W$1004,업무일지!$B$5:$B$1004,"&gt;="&amp;DATE($B$3,1,1),업무일지!$B$5:$B$1004,"&lt;"&amp;DATE($B$3+1,1,1),업무일지!$Q$5:$Q$1004,$A49))</f>
        <v/>
      </c>
      <c r="H49" s="24">
        <f>IF($A49="","",SUMIFS(업무일지!$S$5:$S$1004,업무일지!$B$5:$B$1004,"&gt;="&amp;DATE($B$3,1,1),업무일지!$B$5:$B$1004,"&lt;"&amp;DATE($B$3+1,1,1),업무일지!$Q$5:$Q$1004,$A49))</f>
        <v/>
      </c>
      <c r="I49" s="24">
        <f>IF($A49="","",COUNTIFS(업무일지!$B$5:$B$1004,"&gt;="&amp;DATE($B$3,1,1),업무일지!$B$5:$B$1004,"&lt;"&amp;DATE($B$3+1,1,1),업무일지!$Q$5:$Q$1004,$A49,업무일지!$X$5:$X$1004,"진행중"))</f>
        <v/>
      </c>
    </row>
    <row r="50">
      <c r="A50" s="28" t="inlineStr">
        <is>
          <t>합계</t>
        </is>
      </c>
      <c r="B50" s="29">
        <f>SUM(B40:B49)</f>
        <v/>
      </c>
      <c r="C50" s="29">
        <f>SUM(C40:C49)</f>
        <v/>
      </c>
      <c r="D50" s="29">
        <f>SUM(D40:D49)</f>
        <v/>
      </c>
      <c r="E50" s="29">
        <f>SUM(E40:E49)</f>
        <v/>
      </c>
      <c r="F50" s="29">
        <f>SUM(F40:F49)</f>
        <v/>
      </c>
      <c r="G50" s="30">
        <f>SUM(G40:G49)</f>
        <v/>
      </c>
      <c r="H50" s="29">
        <f>SUM(H40:H49)</f>
        <v/>
      </c>
      <c r="I50" s="29">
        <f>SUM(I40:I49)</f>
        <v/>
      </c>
    </row>
    <row r="52" ht="20" customHeight="1">
      <c r="A52" s="21" t="inlineStr">
        <is>
          <t>4.  진행상태별 · 요청·의뢰처별 현황 (연간 누계)</t>
        </is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</row>
    <row r="53" ht="32" customHeight="1">
      <c r="A53" s="23" t="inlineStr">
        <is>
          <t>진행상태</t>
        </is>
      </c>
      <c r="B53" s="23" t="inlineStr">
        <is>
          <t>출장</t>
        </is>
      </c>
      <c r="C53" s="23" t="inlineStr">
        <is>
          <t>분석</t>
        </is>
      </c>
      <c r="D53" s="23" t="inlineStr">
        <is>
          <t>합계</t>
        </is>
      </c>
      <c r="E53" s="72" t="inlineStr"/>
      <c r="F53" s="23" t="inlineStr">
        <is>
          <t>요청·의뢰처</t>
        </is>
      </c>
      <c r="G53" s="23" t="inlineStr">
        <is>
          <t>출장</t>
        </is>
      </c>
      <c r="H53" s="23" t="inlineStr">
        <is>
          <t>분석</t>
        </is>
      </c>
      <c r="I53" s="23" t="inlineStr">
        <is>
          <t>합계</t>
        </is>
      </c>
      <c r="J53" s="23" t="inlineStr">
        <is>
          <t>총 인시(H)</t>
        </is>
      </c>
    </row>
    <row r="54">
      <c r="A54" s="68">
        <f>IF(코드설정!$F5="","",코드설정!$F5)</f>
        <v/>
      </c>
      <c r="B54" s="24">
        <f>IF($A54="","",COUNTIFS(업무일지!$B$5:$B$1004,"&gt;="&amp;DATE($B$3,1,1),업무일지!$B$5:$B$1004,"&lt;"&amp;DATE($B$3+1,1,1),업무일지!$X$5:$X$1004,$A54,업무일지!$D$5:$D$1004,"출장"))</f>
        <v/>
      </c>
      <c r="C54" s="24">
        <f>IF($A54="","",COUNTIFS(업무일지!$B$5:$B$1004,"&gt;="&amp;DATE($B$3,1,1),업무일지!$B$5:$B$1004,"&lt;"&amp;DATE($B$3+1,1,1),업무일지!$X$5:$X$1004,$A54,업무일지!$D$5:$D$1004,"분석"))</f>
        <v/>
      </c>
      <c r="D54" s="63">
        <f>IF($A54="","",B54+C54)</f>
        <v/>
      </c>
      <c r="F54" s="69">
        <f>IF(코드설정!$E5="","",코드설정!$E5)</f>
        <v/>
      </c>
      <c r="G54" s="24">
        <f>IF($F54="","",COUNTIFS(업무일지!$B$5:$B$1004,"&gt;="&amp;DATE($B$3,1,1),업무일지!$B$5:$B$1004,"&lt;"&amp;DATE($B$3+1,1,1),업무일지!$H$5:$H$1004,$F54,업무일지!$D$5:$D$1004,"출장"))</f>
        <v/>
      </c>
      <c r="H54" s="24">
        <f>IF($F54="","",COUNTIFS(업무일지!$B$5:$B$1004,"&gt;="&amp;DATE($B$3,1,1),업무일지!$B$5:$B$1004,"&lt;"&amp;DATE($B$3+1,1,1),업무일지!$H$5:$H$1004,$F54,업무일지!$D$5:$D$1004,"분석"))</f>
        <v/>
      </c>
      <c r="I54" s="63">
        <f>IF($F54="","",G54+H54)</f>
        <v/>
      </c>
      <c r="J54" s="25">
        <f>IF($F54="","",SUMIFS(업무일지!$W$5:$W$1004,업무일지!$B$5:$B$1004,"&gt;="&amp;DATE($B$3,1,1),업무일지!$B$5:$B$1004,"&lt;"&amp;DATE($B$3+1,1,1),업무일지!$H$5:$H$1004,$F54))</f>
        <v/>
      </c>
    </row>
    <row r="55">
      <c r="A55" s="68">
        <f>IF(코드설정!$F6="","",코드설정!$F6)</f>
        <v/>
      </c>
      <c r="B55" s="24">
        <f>IF($A55="","",COUNTIFS(업무일지!$B$5:$B$1004,"&gt;="&amp;DATE($B$3,1,1),업무일지!$B$5:$B$1004,"&lt;"&amp;DATE($B$3+1,1,1),업무일지!$X$5:$X$1004,$A55,업무일지!$D$5:$D$1004,"출장"))</f>
        <v/>
      </c>
      <c r="C55" s="24">
        <f>IF($A55="","",COUNTIFS(업무일지!$B$5:$B$1004,"&gt;="&amp;DATE($B$3,1,1),업무일지!$B$5:$B$1004,"&lt;"&amp;DATE($B$3+1,1,1),업무일지!$X$5:$X$1004,$A55,업무일지!$D$5:$D$1004,"분석"))</f>
        <v/>
      </c>
      <c r="D55" s="63">
        <f>IF($A55="","",B55+C55)</f>
        <v/>
      </c>
      <c r="F55" s="69">
        <f>IF(코드설정!$E6="","",코드설정!$E6)</f>
        <v/>
      </c>
      <c r="G55" s="24">
        <f>IF($F55="","",COUNTIFS(업무일지!$B$5:$B$1004,"&gt;="&amp;DATE($B$3,1,1),업무일지!$B$5:$B$1004,"&lt;"&amp;DATE($B$3+1,1,1),업무일지!$H$5:$H$1004,$F55,업무일지!$D$5:$D$1004,"출장"))</f>
        <v/>
      </c>
      <c r="H55" s="24">
        <f>IF($F55="","",COUNTIFS(업무일지!$B$5:$B$1004,"&gt;="&amp;DATE($B$3,1,1),업무일지!$B$5:$B$1004,"&lt;"&amp;DATE($B$3+1,1,1),업무일지!$H$5:$H$1004,$F55,업무일지!$D$5:$D$1004,"분석"))</f>
        <v/>
      </c>
      <c r="I55" s="63">
        <f>IF($F55="","",G55+H55)</f>
        <v/>
      </c>
      <c r="J55" s="25">
        <f>IF($F55="","",SUMIFS(업무일지!$W$5:$W$1004,업무일지!$B$5:$B$1004,"&gt;="&amp;DATE($B$3,1,1),업무일지!$B$5:$B$1004,"&lt;"&amp;DATE($B$3+1,1,1),업무일지!$H$5:$H$1004,$F55))</f>
        <v/>
      </c>
    </row>
    <row r="56">
      <c r="A56" s="68">
        <f>IF(코드설정!$F7="","",코드설정!$F7)</f>
        <v/>
      </c>
      <c r="B56" s="24">
        <f>IF($A56="","",COUNTIFS(업무일지!$B$5:$B$1004,"&gt;="&amp;DATE($B$3,1,1),업무일지!$B$5:$B$1004,"&lt;"&amp;DATE($B$3+1,1,1),업무일지!$X$5:$X$1004,$A56,업무일지!$D$5:$D$1004,"출장"))</f>
        <v/>
      </c>
      <c r="C56" s="24">
        <f>IF($A56="","",COUNTIFS(업무일지!$B$5:$B$1004,"&gt;="&amp;DATE($B$3,1,1),업무일지!$B$5:$B$1004,"&lt;"&amp;DATE($B$3+1,1,1),업무일지!$X$5:$X$1004,$A56,업무일지!$D$5:$D$1004,"분석"))</f>
        <v/>
      </c>
      <c r="D56" s="63">
        <f>IF($A56="","",B56+C56)</f>
        <v/>
      </c>
      <c r="F56" s="69">
        <f>IF(코드설정!$E7="","",코드설정!$E7)</f>
        <v/>
      </c>
      <c r="G56" s="24">
        <f>IF($F56="","",COUNTIFS(업무일지!$B$5:$B$1004,"&gt;="&amp;DATE($B$3,1,1),업무일지!$B$5:$B$1004,"&lt;"&amp;DATE($B$3+1,1,1),업무일지!$H$5:$H$1004,$F56,업무일지!$D$5:$D$1004,"출장"))</f>
        <v/>
      </c>
      <c r="H56" s="24">
        <f>IF($F56="","",COUNTIFS(업무일지!$B$5:$B$1004,"&gt;="&amp;DATE($B$3,1,1),업무일지!$B$5:$B$1004,"&lt;"&amp;DATE($B$3+1,1,1),업무일지!$H$5:$H$1004,$F56,업무일지!$D$5:$D$1004,"분석"))</f>
        <v/>
      </c>
      <c r="I56" s="63">
        <f>IF($F56="","",G56+H56)</f>
        <v/>
      </c>
      <c r="J56" s="25">
        <f>IF($F56="","",SUMIFS(업무일지!$W$5:$W$1004,업무일지!$B$5:$B$1004,"&gt;="&amp;DATE($B$3,1,1),업무일지!$B$5:$B$1004,"&lt;"&amp;DATE($B$3+1,1,1),업무일지!$H$5:$H$1004,$F56))</f>
        <v/>
      </c>
    </row>
    <row r="57">
      <c r="F57" s="69">
        <f>IF(코드설정!$E8="","",코드설정!$E8)</f>
        <v/>
      </c>
      <c r="G57" s="24">
        <f>IF($F57="","",COUNTIFS(업무일지!$B$5:$B$1004,"&gt;="&amp;DATE($B$3,1,1),업무일지!$B$5:$B$1004,"&lt;"&amp;DATE($B$3+1,1,1),업무일지!$H$5:$H$1004,$F57,업무일지!$D$5:$D$1004,"출장"))</f>
        <v/>
      </c>
      <c r="H57" s="24">
        <f>IF($F57="","",COUNTIFS(업무일지!$B$5:$B$1004,"&gt;="&amp;DATE($B$3,1,1),업무일지!$B$5:$B$1004,"&lt;"&amp;DATE($B$3+1,1,1),업무일지!$H$5:$H$1004,$F57,업무일지!$D$5:$D$1004,"분석"))</f>
        <v/>
      </c>
      <c r="I57" s="63">
        <f>IF($F57="","",G57+H57)</f>
        <v/>
      </c>
      <c r="J57" s="25">
        <f>IF($F57="","",SUMIFS(업무일지!$W$5:$W$1004,업무일지!$B$5:$B$1004,"&gt;="&amp;DATE($B$3,1,1),업무일지!$B$5:$B$1004,"&lt;"&amp;DATE($B$3+1,1,1),업무일지!$H$5:$H$1004,$F57))</f>
        <v/>
      </c>
    </row>
    <row r="58">
      <c r="F58" s="69">
        <f>IF(코드설정!$E9="","",코드설정!$E9)</f>
        <v/>
      </c>
      <c r="G58" s="24">
        <f>IF($F58="","",COUNTIFS(업무일지!$B$5:$B$1004,"&gt;="&amp;DATE($B$3,1,1),업무일지!$B$5:$B$1004,"&lt;"&amp;DATE($B$3+1,1,1),업무일지!$H$5:$H$1004,$F58,업무일지!$D$5:$D$1004,"출장"))</f>
        <v/>
      </c>
      <c r="H58" s="24">
        <f>IF($F58="","",COUNTIFS(업무일지!$B$5:$B$1004,"&gt;="&amp;DATE($B$3,1,1),업무일지!$B$5:$B$1004,"&lt;"&amp;DATE($B$3+1,1,1),업무일지!$H$5:$H$1004,$F58,업무일지!$D$5:$D$1004,"분석"))</f>
        <v/>
      </c>
      <c r="I58" s="63">
        <f>IF($F58="","",G58+H58)</f>
        <v/>
      </c>
      <c r="J58" s="25">
        <f>IF($F58="","",SUMIFS(업무일지!$W$5:$W$1004,업무일지!$B$5:$B$1004,"&gt;="&amp;DATE($B$3,1,1),업무일지!$B$5:$B$1004,"&lt;"&amp;DATE($B$3+1,1,1),업무일지!$H$5:$H$1004,$F58))</f>
        <v/>
      </c>
    </row>
    <row r="59">
      <c r="F59" s="69">
        <f>IF(코드설정!$E10="","",코드설정!$E10)</f>
        <v/>
      </c>
      <c r="G59" s="24">
        <f>IF($F59="","",COUNTIFS(업무일지!$B$5:$B$1004,"&gt;="&amp;DATE($B$3,1,1),업무일지!$B$5:$B$1004,"&lt;"&amp;DATE($B$3+1,1,1),업무일지!$H$5:$H$1004,$F59,업무일지!$D$5:$D$1004,"출장"))</f>
        <v/>
      </c>
      <c r="H59" s="24">
        <f>IF($F59="","",COUNTIFS(업무일지!$B$5:$B$1004,"&gt;="&amp;DATE($B$3,1,1),업무일지!$B$5:$B$1004,"&lt;"&amp;DATE($B$3+1,1,1),업무일지!$H$5:$H$1004,$F59,업무일지!$D$5:$D$1004,"분석"))</f>
        <v/>
      </c>
      <c r="I59" s="63">
        <f>IF($F59="","",G59+H59)</f>
        <v/>
      </c>
      <c r="J59" s="25">
        <f>IF($F59="","",SUMIFS(업무일지!$W$5:$W$1004,업무일지!$B$5:$B$1004,"&gt;="&amp;DATE($B$3,1,1),업무일지!$B$5:$B$1004,"&lt;"&amp;DATE($B$3+1,1,1),업무일지!$H$5:$H$1004,$F59))</f>
        <v/>
      </c>
    </row>
    <row r="60">
      <c r="F60" s="69">
        <f>IF(코드설정!$E11="","",코드설정!$E11)</f>
        <v/>
      </c>
      <c r="G60" s="24">
        <f>IF($F60="","",COUNTIFS(업무일지!$B$5:$B$1004,"&gt;="&amp;DATE($B$3,1,1),업무일지!$B$5:$B$1004,"&lt;"&amp;DATE($B$3+1,1,1),업무일지!$H$5:$H$1004,$F60,업무일지!$D$5:$D$1004,"출장"))</f>
        <v/>
      </c>
      <c r="H60" s="24">
        <f>IF($F60="","",COUNTIFS(업무일지!$B$5:$B$1004,"&gt;="&amp;DATE($B$3,1,1),업무일지!$B$5:$B$1004,"&lt;"&amp;DATE($B$3+1,1,1),업무일지!$H$5:$H$1004,$F60,업무일지!$D$5:$D$1004,"분석"))</f>
        <v/>
      </c>
      <c r="I60" s="63">
        <f>IF($F60="","",G60+H60)</f>
        <v/>
      </c>
      <c r="J60" s="25">
        <f>IF($F60="","",SUMIFS(업무일지!$W$5:$W$1004,업무일지!$B$5:$B$1004,"&gt;="&amp;DATE($B$3,1,1),업무일지!$B$5:$B$1004,"&lt;"&amp;DATE($B$3+1,1,1),업무일지!$H$5:$H$1004,$F60))</f>
        <v/>
      </c>
    </row>
    <row r="61">
      <c r="F61" s="69">
        <f>IF(코드설정!$E12="","",코드설정!$E12)</f>
        <v/>
      </c>
      <c r="G61" s="24">
        <f>IF($F61="","",COUNTIFS(업무일지!$B$5:$B$1004,"&gt;="&amp;DATE($B$3,1,1),업무일지!$B$5:$B$1004,"&lt;"&amp;DATE($B$3+1,1,1),업무일지!$H$5:$H$1004,$F61,업무일지!$D$5:$D$1004,"출장"))</f>
        <v/>
      </c>
      <c r="H61" s="24">
        <f>IF($F61="","",COUNTIFS(업무일지!$B$5:$B$1004,"&gt;="&amp;DATE($B$3,1,1),업무일지!$B$5:$B$1004,"&lt;"&amp;DATE($B$3+1,1,1),업무일지!$H$5:$H$1004,$F61,업무일지!$D$5:$D$1004,"분석"))</f>
        <v/>
      </c>
      <c r="I61" s="63">
        <f>IF($F61="","",G61+H61)</f>
        <v/>
      </c>
      <c r="J61" s="25">
        <f>IF($F61="","",SUMIFS(업무일지!$W$5:$W$1004,업무일지!$B$5:$B$1004,"&gt;="&amp;DATE($B$3,1,1),업무일지!$B$5:$B$1004,"&lt;"&amp;DATE($B$3+1,1,1),업무일지!$H$5:$H$1004,$F61))</f>
        <v/>
      </c>
    </row>
    <row r="62">
      <c r="F62" s="69">
        <f>IF(코드설정!$E13="","",코드설정!$E13)</f>
        <v/>
      </c>
      <c r="G62" s="24">
        <f>IF($F62="","",COUNTIFS(업무일지!$B$5:$B$1004,"&gt;="&amp;DATE($B$3,1,1),업무일지!$B$5:$B$1004,"&lt;"&amp;DATE($B$3+1,1,1),업무일지!$H$5:$H$1004,$F62,업무일지!$D$5:$D$1004,"출장"))</f>
        <v/>
      </c>
      <c r="H62" s="24">
        <f>IF($F62="","",COUNTIFS(업무일지!$B$5:$B$1004,"&gt;="&amp;DATE($B$3,1,1),업무일지!$B$5:$B$1004,"&lt;"&amp;DATE($B$3+1,1,1),업무일지!$H$5:$H$1004,$F62,업무일지!$D$5:$D$1004,"분석"))</f>
        <v/>
      </c>
      <c r="I62" s="63">
        <f>IF($F62="","",G62+H62)</f>
        <v/>
      </c>
      <c r="J62" s="25">
        <f>IF($F62="","",SUMIFS(업무일지!$W$5:$W$1004,업무일지!$B$5:$B$1004,"&gt;="&amp;DATE($B$3,1,1),업무일지!$B$5:$B$1004,"&lt;"&amp;DATE($B$3+1,1,1),업무일지!$H$5:$H$1004,$F62))</f>
        <v/>
      </c>
    </row>
    <row r="63">
      <c r="F63" s="69">
        <f>IF(코드설정!$E14="","",코드설정!$E14)</f>
        <v/>
      </c>
      <c r="G63" s="24">
        <f>IF($F63="","",COUNTIFS(업무일지!$B$5:$B$1004,"&gt;="&amp;DATE($B$3,1,1),업무일지!$B$5:$B$1004,"&lt;"&amp;DATE($B$3+1,1,1),업무일지!$H$5:$H$1004,$F63,업무일지!$D$5:$D$1004,"출장"))</f>
        <v/>
      </c>
      <c r="H63" s="24">
        <f>IF($F63="","",COUNTIFS(업무일지!$B$5:$B$1004,"&gt;="&amp;DATE($B$3,1,1),업무일지!$B$5:$B$1004,"&lt;"&amp;DATE($B$3+1,1,1),업무일지!$H$5:$H$1004,$F63,업무일지!$D$5:$D$1004,"분석"))</f>
        <v/>
      </c>
      <c r="I63" s="63">
        <f>IF($F63="","",G63+H63)</f>
        <v/>
      </c>
      <c r="J63" s="25">
        <f>IF($F63="","",SUMIFS(업무일지!$W$5:$W$1004,업무일지!$B$5:$B$1004,"&gt;="&amp;DATE($B$3,1,1),업무일지!$B$5:$B$1004,"&lt;"&amp;DATE($B$3+1,1,1),업무일지!$H$5:$H$1004,$F63))</f>
        <v/>
      </c>
    </row>
    <row r="65" ht="20" customHeight="1">
      <c r="A65" s="21" t="inlineStr">
        <is>
          <t>5.  일일 실시사항 요약 (연간 누계)</t>
        </is>
      </c>
      <c r="B65" s="22" t="n"/>
      <c r="C65" s="22" t="n"/>
      <c r="D65" s="22" t="n"/>
      <c r="E65" s="22" t="n"/>
    </row>
    <row r="66" ht="32" customHeight="1">
      <c r="A66" s="23" t="inlineStr">
        <is>
          <t>업무구분</t>
        </is>
      </c>
      <c r="B66" s="23" t="inlineStr">
        <is>
          <t>건수</t>
        </is>
      </c>
      <c r="C66" s="23" t="inlineStr">
        <is>
          <t>투입시간(H)</t>
        </is>
      </c>
      <c r="D66" s="23" t="inlineStr">
        <is>
          <t>비중</t>
        </is>
      </c>
      <c r="E66" s="23" t="inlineStr">
        <is>
          <t>진행중 건</t>
        </is>
      </c>
    </row>
    <row r="67">
      <c r="A67" s="69">
        <f>IF(코드설정!$G5="","",코드설정!$G5)</f>
        <v/>
      </c>
      <c r="B67" s="24">
        <f>IF($A67="","",COUNTIFS(일일실시사항!$B$5:$B$1004,"&gt;="&amp;DATE($B$3,1,1),일일실시사항!$B$5:$B$1004,"&lt;"&amp;DATE($B$3+1,1,1),일일실시사항!$F$5:$F$1004,$A67))</f>
        <v/>
      </c>
      <c r="C67" s="25">
        <f>IF($A67="","",SUMIFS(일일실시사항!$J$5:$J$1004,일일실시사항!$B$5:$B$1004,"&gt;="&amp;DATE($B$3,1,1),일일실시사항!$B$5:$B$1004,"&lt;"&amp;DATE($B$3+1,1,1),일일실시사항!$F$5:$F$1004,$A67))</f>
        <v/>
      </c>
      <c r="D67" s="70">
        <f>IFERROR(B67/$B$77,0)</f>
        <v/>
      </c>
      <c r="E67" s="24">
        <f>IF($A67="","",COUNTIFS(일일실시사항!$B$5:$B$1004,"&gt;="&amp;DATE($B$3,1,1),일일실시사항!$B$5:$B$1004,"&lt;"&amp;DATE($B$3+1,1,1),일일실시사항!$F$5:$F$1004,$A67,일일실시사항!$K$5:$K$1004,"진행중"))</f>
        <v/>
      </c>
    </row>
    <row r="68">
      <c r="A68" s="69">
        <f>IF(코드설정!$G6="","",코드설정!$G6)</f>
        <v/>
      </c>
      <c r="B68" s="24">
        <f>IF($A68="","",COUNTIFS(일일실시사항!$B$5:$B$1004,"&gt;="&amp;DATE($B$3,1,1),일일실시사항!$B$5:$B$1004,"&lt;"&amp;DATE($B$3+1,1,1),일일실시사항!$F$5:$F$1004,$A68))</f>
        <v/>
      </c>
      <c r="C68" s="25">
        <f>IF($A68="","",SUMIFS(일일실시사항!$J$5:$J$1004,일일실시사항!$B$5:$B$1004,"&gt;="&amp;DATE($B$3,1,1),일일실시사항!$B$5:$B$1004,"&lt;"&amp;DATE($B$3+1,1,1),일일실시사항!$F$5:$F$1004,$A68))</f>
        <v/>
      </c>
      <c r="D68" s="70">
        <f>IFERROR(B68/$B$77,0)</f>
        <v/>
      </c>
      <c r="E68" s="24">
        <f>IF($A68="","",COUNTIFS(일일실시사항!$B$5:$B$1004,"&gt;="&amp;DATE($B$3,1,1),일일실시사항!$B$5:$B$1004,"&lt;"&amp;DATE($B$3+1,1,1),일일실시사항!$F$5:$F$1004,$A68,일일실시사항!$K$5:$K$1004,"진행중"))</f>
        <v/>
      </c>
    </row>
    <row r="69">
      <c r="A69" s="69">
        <f>IF(코드설정!$G7="","",코드설정!$G7)</f>
        <v/>
      </c>
      <c r="B69" s="24">
        <f>IF($A69="","",COUNTIFS(일일실시사항!$B$5:$B$1004,"&gt;="&amp;DATE($B$3,1,1),일일실시사항!$B$5:$B$1004,"&lt;"&amp;DATE($B$3+1,1,1),일일실시사항!$F$5:$F$1004,$A69))</f>
        <v/>
      </c>
      <c r="C69" s="25">
        <f>IF($A69="","",SUMIFS(일일실시사항!$J$5:$J$1004,일일실시사항!$B$5:$B$1004,"&gt;="&amp;DATE($B$3,1,1),일일실시사항!$B$5:$B$1004,"&lt;"&amp;DATE($B$3+1,1,1),일일실시사항!$F$5:$F$1004,$A69))</f>
        <v/>
      </c>
      <c r="D69" s="70">
        <f>IFERROR(B69/$B$77,0)</f>
        <v/>
      </c>
      <c r="E69" s="24">
        <f>IF($A69="","",COUNTIFS(일일실시사항!$B$5:$B$1004,"&gt;="&amp;DATE($B$3,1,1),일일실시사항!$B$5:$B$1004,"&lt;"&amp;DATE($B$3+1,1,1),일일실시사항!$F$5:$F$1004,$A69,일일실시사항!$K$5:$K$1004,"진행중"))</f>
        <v/>
      </c>
    </row>
    <row r="70">
      <c r="A70" s="69">
        <f>IF(코드설정!$G8="","",코드설정!$G8)</f>
        <v/>
      </c>
      <c r="B70" s="24">
        <f>IF($A70="","",COUNTIFS(일일실시사항!$B$5:$B$1004,"&gt;="&amp;DATE($B$3,1,1),일일실시사항!$B$5:$B$1004,"&lt;"&amp;DATE($B$3+1,1,1),일일실시사항!$F$5:$F$1004,$A70))</f>
        <v/>
      </c>
      <c r="C70" s="25">
        <f>IF($A70="","",SUMIFS(일일실시사항!$J$5:$J$1004,일일실시사항!$B$5:$B$1004,"&gt;="&amp;DATE($B$3,1,1),일일실시사항!$B$5:$B$1004,"&lt;"&amp;DATE($B$3+1,1,1),일일실시사항!$F$5:$F$1004,$A70))</f>
        <v/>
      </c>
      <c r="D70" s="70">
        <f>IFERROR(B70/$B$77,0)</f>
        <v/>
      </c>
      <c r="E70" s="24">
        <f>IF($A70="","",COUNTIFS(일일실시사항!$B$5:$B$1004,"&gt;="&amp;DATE($B$3,1,1),일일실시사항!$B$5:$B$1004,"&lt;"&amp;DATE($B$3+1,1,1),일일실시사항!$F$5:$F$1004,$A70,일일실시사항!$K$5:$K$1004,"진행중"))</f>
        <v/>
      </c>
    </row>
    <row r="71">
      <c r="A71" s="69">
        <f>IF(코드설정!$G9="","",코드설정!$G9)</f>
        <v/>
      </c>
      <c r="B71" s="24">
        <f>IF($A71="","",COUNTIFS(일일실시사항!$B$5:$B$1004,"&gt;="&amp;DATE($B$3,1,1),일일실시사항!$B$5:$B$1004,"&lt;"&amp;DATE($B$3+1,1,1),일일실시사항!$F$5:$F$1004,$A71))</f>
        <v/>
      </c>
      <c r="C71" s="25">
        <f>IF($A71="","",SUMIFS(일일실시사항!$J$5:$J$1004,일일실시사항!$B$5:$B$1004,"&gt;="&amp;DATE($B$3,1,1),일일실시사항!$B$5:$B$1004,"&lt;"&amp;DATE($B$3+1,1,1),일일실시사항!$F$5:$F$1004,$A71))</f>
        <v/>
      </c>
      <c r="D71" s="70">
        <f>IFERROR(B71/$B$77,0)</f>
        <v/>
      </c>
      <c r="E71" s="24">
        <f>IF($A71="","",COUNTIFS(일일실시사항!$B$5:$B$1004,"&gt;="&amp;DATE($B$3,1,1),일일실시사항!$B$5:$B$1004,"&lt;"&amp;DATE($B$3+1,1,1),일일실시사항!$F$5:$F$1004,$A71,일일실시사항!$K$5:$K$1004,"진행중"))</f>
        <v/>
      </c>
    </row>
    <row r="72">
      <c r="A72" s="69">
        <f>IF(코드설정!$G10="","",코드설정!$G10)</f>
        <v/>
      </c>
      <c r="B72" s="24">
        <f>IF($A72="","",COUNTIFS(일일실시사항!$B$5:$B$1004,"&gt;="&amp;DATE($B$3,1,1),일일실시사항!$B$5:$B$1004,"&lt;"&amp;DATE($B$3+1,1,1),일일실시사항!$F$5:$F$1004,$A72))</f>
        <v/>
      </c>
      <c r="C72" s="25">
        <f>IF($A72="","",SUMIFS(일일실시사항!$J$5:$J$1004,일일실시사항!$B$5:$B$1004,"&gt;="&amp;DATE($B$3,1,1),일일실시사항!$B$5:$B$1004,"&lt;"&amp;DATE($B$3+1,1,1),일일실시사항!$F$5:$F$1004,$A72))</f>
        <v/>
      </c>
      <c r="D72" s="70">
        <f>IFERROR(B72/$B$77,0)</f>
        <v/>
      </c>
      <c r="E72" s="24">
        <f>IF($A72="","",COUNTIFS(일일실시사항!$B$5:$B$1004,"&gt;="&amp;DATE($B$3,1,1),일일실시사항!$B$5:$B$1004,"&lt;"&amp;DATE($B$3+1,1,1),일일실시사항!$F$5:$F$1004,$A72,일일실시사항!$K$5:$K$1004,"진행중"))</f>
        <v/>
      </c>
    </row>
    <row r="73">
      <c r="A73" s="69">
        <f>IF(코드설정!$G11="","",코드설정!$G11)</f>
        <v/>
      </c>
      <c r="B73" s="24">
        <f>IF($A73="","",COUNTIFS(일일실시사항!$B$5:$B$1004,"&gt;="&amp;DATE($B$3,1,1),일일실시사항!$B$5:$B$1004,"&lt;"&amp;DATE($B$3+1,1,1),일일실시사항!$F$5:$F$1004,$A73))</f>
        <v/>
      </c>
      <c r="C73" s="25">
        <f>IF($A73="","",SUMIFS(일일실시사항!$J$5:$J$1004,일일실시사항!$B$5:$B$1004,"&gt;="&amp;DATE($B$3,1,1),일일실시사항!$B$5:$B$1004,"&lt;"&amp;DATE($B$3+1,1,1),일일실시사항!$F$5:$F$1004,$A73))</f>
        <v/>
      </c>
      <c r="D73" s="70">
        <f>IFERROR(B73/$B$77,0)</f>
        <v/>
      </c>
      <c r="E73" s="24">
        <f>IF($A73="","",COUNTIFS(일일실시사항!$B$5:$B$1004,"&gt;="&amp;DATE($B$3,1,1),일일실시사항!$B$5:$B$1004,"&lt;"&amp;DATE($B$3+1,1,1),일일실시사항!$F$5:$F$1004,$A73,일일실시사항!$K$5:$K$1004,"진행중"))</f>
        <v/>
      </c>
    </row>
    <row r="74">
      <c r="A74" s="69">
        <f>IF(코드설정!$G12="","",코드설정!$G12)</f>
        <v/>
      </c>
      <c r="B74" s="24">
        <f>IF($A74="","",COUNTIFS(일일실시사항!$B$5:$B$1004,"&gt;="&amp;DATE($B$3,1,1),일일실시사항!$B$5:$B$1004,"&lt;"&amp;DATE($B$3+1,1,1),일일실시사항!$F$5:$F$1004,$A74))</f>
        <v/>
      </c>
      <c r="C74" s="25">
        <f>IF($A74="","",SUMIFS(일일실시사항!$J$5:$J$1004,일일실시사항!$B$5:$B$1004,"&gt;="&amp;DATE($B$3,1,1),일일실시사항!$B$5:$B$1004,"&lt;"&amp;DATE($B$3+1,1,1),일일실시사항!$F$5:$F$1004,$A74))</f>
        <v/>
      </c>
      <c r="D74" s="70">
        <f>IFERROR(B74/$B$77,0)</f>
        <v/>
      </c>
      <c r="E74" s="24">
        <f>IF($A74="","",COUNTIFS(일일실시사항!$B$5:$B$1004,"&gt;="&amp;DATE($B$3,1,1),일일실시사항!$B$5:$B$1004,"&lt;"&amp;DATE($B$3+1,1,1),일일실시사항!$F$5:$F$1004,$A74,일일실시사항!$K$5:$K$1004,"진행중"))</f>
        <v/>
      </c>
    </row>
    <row r="75">
      <c r="A75" s="69">
        <f>IF(코드설정!$G13="","",코드설정!$G13)</f>
        <v/>
      </c>
      <c r="B75" s="24">
        <f>IF($A75="","",COUNTIFS(일일실시사항!$B$5:$B$1004,"&gt;="&amp;DATE($B$3,1,1),일일실시사항!$B$5:$B$1004,"&lt;"&amp;DATE($B$3+1,1,1),일일실시사항!$F$5:$F$1004,$A75))</f>
        <v/>
      </c>
      <c r="C75" s="25">
        <f>IF($A75="","",SUMIFS(일일실시사항!$J$5:$J$1004,일일실시사항!$B$5:$B$1004,"&gt;="&amp;DATE($B$3,1,1),일일실시사항!$B$5:$B$1004,"&lt;"&amp;DATE($B$3+1,1,1),일일실시사항!$F$5:$F$1004,$A75))</f>
        <v/>
      </c>
      <c r="D75" s="70">
        <f>IFERROR(B75/$B$77,0)</f>
        <v/>
      </c>
      <c r="E75" s="24">
        <f>IF($A75="","",COUNTIFS(일일실시사항!$B$5:$B$1004,"&gt;="&amp;DATE($B$3,1,1),일일실시사항!$B$5:$B$1004,"&lt;"&amp;DATE($B$3+1,1,1),일일실시사항!$F$5:$F$1004,$A75,일일실시사항!$K$5:$K$1004,"진행중"))</f>
        <v/>
      </c>
    </row>
    <row r="76">
      <c r="A76" s="69">
        <f>IF(코드설정!$G14="","",코드설정!$G14)</f>
        <v/>
      </c>
      <c r="B76" s="24">
        <f>IF($A76="","",COUNTIFS(일일실시사항!$B$5:$B$1004,"&gt;="&amp;DATE($B$3,1,1),일일실시사항!$B$5:$B$1004,"&lt;"&amp;DATE($B$3+1,1,1),일일실시사항!$F$5:$F$1004,$A76))</f>
        <v/>
      </c>
      <c r="C76" s="25">
        <f>IF($A76="","",SUMIFS(일일실시사항!$J$5:$J$1004,일일실시사항!$B$5:$B$1004,"&gt;="&amp;DATE($B$3,1,1),일일실시사항!$B$5:$B$1004,"&lt;"&amp;DATE($B$3+1,1,1),일일실시사항!$F$5:$F$1004,$A76))</f>
        <v/>
      </c>
      <c r="D76" s="70">
        <f>IFERROR(B76/$B$77,0)</f>
        <v/>
      </c>
      <c r="E76" s="24">
        <f>IF($A76="","",COUNTIFS(일일실시사항!$B$5:$B$1004,"&gt;="&amp;DATE($B$3,1,1),일일실시사항!$B$5:$B$1004,"&lt;"&amp;DATE($B$3+1,1,1),일일실시사항!$F$5:$F$1004,$A76,일일실시사항!$K$5:$K$1004,"진행중"))</f>
        <v/>
      </c>
    </row>
    <row r="77">
      <c r="A77" s="28" t="inlineStr">
        <is>
          <t>합계</t>
        </is>
      </c>
      <c r="B77" s="29">
        <f>SUM(B67:B76)</f>
        <v/>
      </c>
      <c r="C77" s="30">
        <f>SUM(C67:C76)</f>
        <v/>
      </c>
      <c r="D77" s="71">
        <f>IFERROR(B77/$B$77,0)</f>
        <v/>
      </c>
      <c r="E77" s="29">
        <f>SUM(E67:E76)</f>
        <v/>
      </c>
    </row>
    <row r="79">
      <c r="A79" s="7" t="inlineStr">
        <is>
          <t>※ 연인원 = 각 건의 투입인원을 그대로 합산한 값(같은 사람이 여러 건에 참여하면 중복 계상)입니다.</t>
        </is>
      </c>
    </row>
    <row r="80">
      <c r="A80" s="7" t="inlineStr">
        <is>
          <t>※ 팀별 현황은 주담당자의 소속팀 기준이므로, 다른 팀 인원이 참여자로 함께 나간 건은 주담당 팀에 집계됩니다.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Q9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3" customWidth="1" min="15" max="15"/>
    <col width="12" customWidth="1" min="16" max="16"/>
    <col width="11" customWidth="1" min="17" max="17"/>
  </cols>
  <sheetData>
    <row r="1" ht="24" customHeight="1">
      <c r="A1" s="6" t="inlineStr">
        <is>
          <t>사건별 현황  ·  사건번호 기준 통합</t>
        </is>
      </c>
    </row>
    <row r="2" ht="26" customHeight="1">
      <c r="A2" s="7" t="inlineStr">
        <is>
          <t>※ [사건마스터]에 등록한 사건이 그대로 내려옵니다 — 여기에 따로 입력할 것은 없습니다.  ※ 연도 구분 없이 전체 기간 누계입니다(해를 넘긴 사건도 한 줄).  ※ 배정인원은 [사건마스터]의 배정표 기준입니다.</t>
        </is>
      </c>
    </row>
    <row r="4" ht="20" customHeight="1">
      <c r="A4" s="21" t="inlineStr">
        <is>
          <t>1.  사건별 종합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</row>
    <row r="5" ht="32" customHeight="1">
      <c r="A5" s="23" t="inlineStr">
        <is>
          <t>사건번호</t>
        </is>
      </c>
      <c r="B5" s="23" t="inlineStr">
        <is>
          <t>사건명</t>
        </is>
      </c>
      <c r="C5" s="23" t="inlineStr">
        <is>
          <t>요청·의뢰처</t>
        </is>
      </c>
      <c r="D5" s="23" t="inlineStr">
        <is>
          <t>주담당</t>
        </is>
      </c>
      <c r="E5" s="23" t="inlineStr">
        <is>
          <t>배정인원(명)</t>
        </is>
      </c>
      <c r="F5" s="23" t="inlineStr">
        <is>
          <t>출장 건수</t>
        </is>
      </c>
      <c r="G5" s="23" t="inlineStr">
        <is>
          <t>분석 건수</t>
        </is>
      </c>
      <c r="H5" s="23" t="inlineStr">
        <is>
          <t>전체 건수</t>
        </is>
      </c>
      <c r="I5" s="23" t="inlineStr">
        <is>
          <t>출장 소요일수</t>
        </is>
      </c>
      <c r="J5" s="23" t="inlineStr">
        <is>
          <t>총 인시(H)</t>
        </is>
      </c>
      <c r="K5" s="23" t="inlineStr">
        <is>
          <t>대상매체(건)</t>
        </is>
      </c>
      <c r="L5" s="23" t="inlineStr">
        <is>
          <t>데이터량(GB)</t>
        </is>
      </c>
      <c r="M5" s="23" t="inlineStr">
        <is>
          <t>일일지원(건)</t>
        </is>
      </c>
      <c r="N5" s="23" t="inlineStr">
        <is>
          <t>최초 착수일</t>
        </is>
      </c>
      <c r="O5" s="23" t="inlineStr">
        <is>
          <t>최종 종료일</t>
        </is>
      </c>
      <c r="P5" s="23" t="inlineStr">
        <is>
          <t>처리기간(일)</t>
        </is>
      </c>
      <c r="Q5" s="23" t="inlineStr">
        <is>
          <t>진행상태</t>
        </is>
      </c>
    </row>
    <row r="6">
      <c r="A6" s="68">
        <f>IF(사건마스터!$A5="","",사건마스터!$A5)</f>
        <v/>
      </c>
      <c r="B6" s="73">
        <f>IF($A6="","",사건마스터!$B5)</f>
        <v/>
      </c>
      <c r="C6" s="73">
        <f>IF($A6="","",사건마스터!$C5)</f>
        <v/>
      </c>
      <c r="D6" s="74">
        <f>IF($A6="","",사건마스터!$H5)</f>
        <v/>
      </c>
      <c r="E6" s="24">
        <f>IF($A6="","",사건마스터!$G5)</f>
        <v/>
      </c>
      <c r="F6" s="24">
        <f>IF($A6="","",COUNTIFS(업무일지!$F$5:$F$1004,$A6,업무일지!$D$5:$D$1004,"출장"))</f>
        <v/>
      </c>
      <c r="G6" s="24">
        <f>IF($A6="","",COUNTIFS(업무일지!$F$5:$F$1004,$A6,업무일지!$D$5:$D$1004,"분석"))</f>
        <v/>
      </c>
      <c r="H6" s="63">
        <f>IF($A6="","",F6+G6)</f>
        <v/>
      </c>
      <c r="I6" s="24">
        <f>IF($A6="","",SUMIFS(업무일지!$U$5:$U$1004,업무일지!$F$5:$F$1004,$A6,업무일지!$D$5:$D$1004,"출장"))</f>
        <v/>
      </c>
      <c r="J6" s="25">
        <f>IF($A6="","",SUMIFS(업무일지!$W$5:$W$1004,업무일지!$F$5:$F$1004,$A6))</f>
        <v/>
      </c>
      <c r="K6" s="24">
        <f>IF($A6="","",SUMIFS(업무일지!$S$5:$S$1004,업무일지!$F$5:$F$1004,$A6))</f>
        <v/>
      </c>
      <c r="L6" s="26">
        <f>IF($A6="","",SUMIFS(업무일지!$T$5:$T$1004,업무일지!$F$5:$F$1004,$A6))</f>
        <v/>
      </c>
      <c r="M6" s="24">
        <f>IF($A6="","",COUNTIFS(일일실시사항!$G$5:$G$1004,$A6))</f>
        <v/>
      </c>
      <c r="N6" s="75">
        <f>IF($A6="","",IFERROR(IF(_xlfn.MINIFS(업무일지!$B$5:$B$1004,업무일지!$F$5:$F$1004,$A6)=0,"",_xlfn.MINIFS(업무일지!$B$5:$B$1004,업무일지!$F$5:$F$1004,$A6)),""))</f>
        <v/>
      </c>
      <c r="O6" s="75">
        <f>IF($A6="","",IFERROR(IF(_xlfn.MAXIFS(업무일지!$C$5:$C$1004,업무일지!$F$5:$F$1004,$A6)=0,"",_xlfn.MAXIFS(업무일지!$C$5:$C$1004,업무일지!$F$5:$F$1004,$A6)),""))</f>
        <v/>
      </c>
      <c r="P6" s="63">
        <f>IF(OR($N6="",$O6=""),"",$O6-$N6+1)</f>
        <v/>
      </c>
      <c r="Q6" s="74">
        <f>IF($A6="","",사건마스터!$E5)</f>
        <v/>
      </c>
    </row>
    <row r="7">
      <c r="A7" s="68">
        <f>IF(사건마스터!$A6="","",사건마스터!$A6)</f>
        <v/>
      </c>
      <c r="B7" s="73">
        <f>IF($A7="","",사건마스터!$B6)</f>
        <v/>
      </c>
      <c r="C7" s="73">
        <f>IF($A7="","",사건마스터!$C6)</f>
        <v/>
      </c>
      <c r="D7" s="74">
        <f>IF($A7="","",사건마스터!$H6)</f>
        <v/>
      </c>
      <c r="E7" s="24">
        <f>IF($A7="","",사건마스터!$G6)</f>
        <v/>
      </c>
      <c r="F7" s="24">
        <f>IF($A7="","",COUNTIFS(업무일지!$F$5:$F$1004,$A7,업무일지!$D$5:$D$1004,"출장"))</f>
        <v/>
      </c>
      <c r="G7" s="24">
        <f>IF($A7="","",COUNTIFS(업무일지!$F$5:$F$1004,$A7,업무일지!$D$5:$D$1004,"분석"))</f>
        <v/>
      </c>
      <c r="H7" s="63">
        <f>IF($A7="","",F7+G7)</f>
        <v/>
      </c>
      <c r="I7" s="24">
        <f>IF($A7="","",SUMIFS(업무일지!$U$5:$U$1004,업무일지!$F$5:$F$1004,$A7,업무일지!$D$5:$D$1004,"출장"))</f>
        <v/>
      </c>
      <c r="J7" s="25">
        <f>IF($A7="","",SUMIFS(업무일지!$W$5:$W$1004,업무일지!$F$5:$F$1004,$A7))</f>
        <v/>
      </c>
      <c r="K7" s="24">
        <f>IF($A7="","",SUMIFS(업무일지!$S$5:$S$1004,업무일지!$F$5:$F$1004,$A7))</f>
        <v/>
      </c>
      <c r="L7" s="26">
        <f>IF($A7="","",SUMIFS(업무일지!$T$5:$T$1004,업무일지!$F$5:$F$1004,$A7))</f>
        <v/>
      </c>
      <c r="M7" s="24">
        <f>IF($A7="","",COUNTIFS(일일실시사항!$G$5:$G$1004,$A7))</f>
        <v/>
      </c>
      <c r="N7" s="75">
        <f>IF($A7="","",IFERROR(IF(_xlfn.MINIFS(업무일지!$B$5:$B$1004,업무일지!$F$5:$F$1004,$A7)=0,"",_xlfn.MINIFS(업무일지!$B$5:$B$1004,업무일지!$F$5:$F$1004,$A7)),""))</f>
        <v/>
      </c>
      <c r="O7" s="75">
        <f>IF($A7="","",IFERROR(IF(_xlfn.MAXIFS(업무일지!$C$5:$C$1004,업무일지!$F$5:$F$1004,$A7)=0,"",_xlfn.MAXIFS(업무일지!$C$5:$C$1004,업무일지!$F$5:$F$1004,$A7)),""))</f>
        <v/>
      </c>
      <c r="P7" s="63">
        <f>IF(OR($N7="",$O7=""),"",$O7-$N7+1)</f>
        <v/>
      </c>
      <c r="Q7" s="74">
        <f>IF($A7="","",사건마스터!$E6)</f>
        <v/>
      </c>
    </row>
    <row r="8">
      <c r="A8" s="68">
        <f>IF(사건마스터!$A7="","",사건마스터!$A7)</f>
        <v/>
      </c>
      <c r="B8" s="73">
        <f>IF($A8="","",사건마스터!$B7)</f>
        <v/>
      </c>
      <c r="C8" s="73">
        <f>IF($A8="","",사건마스터!$C7)</f>
        <v/>
      </c>
      <c r="D8" s="74">
        <f>IF($A8="","",사건마스터!$H7)</f>
        <v/>
      </c>
      <c r="E8" s="24">
        <f>IF($A8="","",사건마스터!$G7)</f>
        <v/>
      </c>
      <c r="F8" s="24">
        <f>IF($A8="","",COUNTIFS(업무일지!$F$5:$F$1004,$A8,업무일지!$D$5:$D$1004,"출장"))</f>
        <v/>
      </c>
      <c r="G8" s="24">
        <f>IF($A8="","",COUNTIFS(업무일지!$F$5:$F$1004,$A8,업무일지!$D$5:$D$1004,"분석"))</f>
        <v/>
      </c>
      <c r="H8" s="63">
        <f>IF($A8="","",F8+G8)</f>
        <v/>
      </c>
      <c r="I8" s="24">
        <f>IF($A8="","",SUMIFS(업무일지!$U$5:$U$1004,업무일지!$F$5:$F$1004,$A8,업무일지!$D$5:$D$1004,"출장"))</f>
        <v/>
      </c>
      <c r="J8" s="25">
        <f>IF($A8="","",SUMIFS(업무일지!$W$5:$W$1004,업무일지!$F$5:$F$1004,$A8))</f>
        <v/>
      </c>
      <c r="K8" s="24">
        <f>IF($A8="","",SUMIFS(업무일지!$S$5:$S$1004,업무일지!$F$5:$F$1004,$A8))</f>
        <v/>
      </c>
      <c r="L8" s="26">
        <f>IF($A8="","",SUMIFS(업무일지!$T$5:$T$1004,업무일지!$F$5:$F$1004,$A8))</f>
        <v/>
      </c>
      <c r="M8" s="24">
        <f>IF($A8="","",COUNTIFS(일일실시사항!$G$5:$G$1004,$A8))</f>
        <v/>
      </c>
      <c r="N8" s="75">
        <f>IF($A8="","",IFERROR(IF(_xlfn.MINIFS(업무일지!$B$5:$B$1004,업무일지!$F$5:$F$1004,$A8)=0,"",_xlfn.MINIFS(업무일지!$B$5:$B$1004,업무일지!$F$5:$F$1004,$A8)),""))</f>
        <v/>
      </c>
      <c r="O8" s="75">
        <f>IF($A8="","",IFERROR(IF(_xlfn.MAXIFS(업무일지!$C$5:$C$1004,업무일지!$F$5:$F$1004,$A8)=0,"",_xlfn.MAXIFS(업무일지!$C$5:$C$1004,업무일지!$F$5:$F$1004,$A8)),""))</f>
        <v/>
      </c>
      <c r="P8" s="63">
        <f>IF(OR($N8="",$O8=""),"",$O8-$N8+1)</f>
        <v/>
      </c>
      <c r="Q8" s="74">
        <f>IF($A8="","",사건마스터!$E7)</f>
        <v/>
      </c>
    </row>
    <row r="9">
      <c r="A9" s="68">
        <f>IF(사건마스터!$A8="","",사건마스터!$A8)</f>
        <v/>
      </c>
      <c r="B9" s="73">
        <f>IF($A9="","",사건마스터!$B8)</f>
        <v/>
      </c>
      <c r="C9" s="73">
        <f>IF($A9="","",사건마스터!$C8)</f>
        <v/>
      </c>
      <c r="D9" s="74">
        <f>IF($A9="","",사건마스터!$H8)</f>
        <v/>
      </c>
      <c r="E9" s="24">
        <f>IF($A9="","",사건마스터!$G8)</f>
        <v/>
      </c>
      <c r="F9" s="24">
        <f>IF($A9="","",COUNTIFS(업무일지!$F$5:$F$1004,$A9,업무일지!$D$5:$D$1004,"출장"))</f>
        <v/>
      </c>
      <c r="G9" s="24">
        <f>IF($A9="","",COUNTIFS(업무일지!$F$5:$F$1004,$A9,업무일지!$D$5:$D$1004,"분석"))</f>
        <v/>
      </c>
      <c r="H9" s="63">
        <f>IF($A9="","",F9+G9)</f>
        <v/>
      </c>
      <c r="I9" s="24">
        <f>IF($A9="","",SUMIFS(업무일지!$U$5:$U$1004,업무일지!$F$5:$F$1004,$A9,업무일지!$D$5:$D$1004,"출장"))</f>
        <v/>
      </c>
      <c r="J9" s="25">
        <f>IF($A9="","",SUMIFS(업무일지!$W$5:$W$1004,업무일지!$F$5:$F$1004,$A9))</f>
        <v/>
      </c>
      <c r="K9" s="24">
        <f>IF($A9="","",SUMIFS(업무일지!$S$5:$S$1004,업무일지!$F$5:$F$1004,$A9))</f>
        <v/>
      </c>
      <c r="L9" s="26">
        <f>IF($A9="","",SUMIFS(업무일지!$T$5:$T$1004,업무일지!$F$5:$F$1004,$A9))</f>
        <v/>
      </c>
      <c r="M9" s="24">
        <f>IF($A9="","",COUNTIFS(일일실시사항!$G$5:$G$1004,$A9))</f>
        <v/>
      </c>
      <c r="N9" s="75">
        <f>IF($A9="","",IFERROR(IF(_xlfn.MINIFS(업무일지!$B$5:$B$1004,업무일지!$F$5:$F$1004,$A9)=0,"",_xlfn.MINIFS(업무일지!$B$5:$B$1004,업무일지!$F$5:$F$1004,$A9)),""))</f>
        <v/>
      </c>
      <c r="O9" s="75">
        <f>IF($A9="","",IFERROR(IF(_xlfn.MAXIFS(업무일지!$C$5:$C$1004,업무일지!$F$5:$F$1004,$A9)=0,"",_xlfn.MAXIFS(업무일지!$C$5:$C$1004,업무일지!$F$5:$F$1004,$A9)),""))</f>
        <v/>
      </c>
      <c r="P9" s="63">
        <f>IF(OR($N9="",$O9=""),"",$O9-$N9+1)</f>
        <v/>
      </c>
      <c r="Q9" s="74">
        <f>IF($A9="","",사건마스터!$E8)</f>
        <v/>
      </c>
    </row>
    <row r="10">
      <c r="A10" s="68">
        <f>IF(사건마스터!$A9="","",사건마스터!$A9)</f>
        <v/>
      </c>
      <c r="B10" s="73">
        <f>IF($A10="","",사건마스터!$B9)</f>
        <v/>
      </c>
      <c r="C10" s="73">
        <f>IF($A10="","",사건마스터!$C9)</f>
        <v/>
      </c>
      <c r="D10" s="74">
        <f>IF($A10="","",사건마스터!$H9)</f>
        <v/>
      </c>
      <c r="E10" s="24">
        <f>IF($A10="","",사건마스터!$G9)</f>
        <v/>
      </c>
      <c r="F10" s="24">
        <f>IF($A10="","",COUNTIFS(업무일지!$F$5:$F$1004,$A10,업무일지!$D$5:$D$1004,"출장"))</f>
        <v/>
      </c>
      <c r="G10" s="24">
        <f>IF($A10="","",COUNTIFS(업무일지!$F$5:$F$1004,$A10,업무일지!$D$5:$D$1004,"분석"))</f>
        <v/>
      </c>
      <c r="H10" s="63">
        <f>IF($A10="","",F10+G10)</f>
        <v/>
      </c>
      <c r="I10" s="24">
        <f>IF($A10="","",SUMIFS(업무일지!$U$5:$U$1004,업무일지!$F$5:$F$1004,$A10,업무일지!$D$5:$D$1004,"출장"))</f>
        <v/>
      </c>
      <c r="J10" s="25">
        <f>IF($A10="","",SUMIFS(업무일지!$W$5:$W$1004,업무일지!$F$5:$F$1004,$A10))</f>
        <v/>
      </c>
      <c r="K10" s="24">
        <f>IF($A10="","",SUMIFS(업무일지!$S$5:$S$1004,업무일지!$F$5:$F$1004,$A10))</f>
        <v/>
      </c>
      <c r="L10" s="26">
        <f>IF($A10="","",SUMIFS(업무일지!$T$5:$T$1004,업무일지!$F$5:$F$1004,$A10))</f>
        <v/>
      </c>
      <c r="M10" s="24">
        <f>IF($A10="","",COUNTIFS(일일실시사항!$G$5:$G$1004,$A10))</f>
        <v/>
      </c>
      <c r="N10" s="75">
        <f>IF($A10="","",IFERROR(IF(_xlfn.MINIFS(업무일지!$B$5:$B$1004,업무일지!$F$5:$F$1004,$A10)=0,"",_xlfn.MINIFS(업무일지!$B$5:$B$1004,업무일지!$F$5:$F$1004,$A10)),""))</f>
        <v/>
      </c>
      <c r="O10" s="75">
        <f>IF($A10="","",IFERROR(IF(_xlfn.MAXIFS(업무일지!$C$5:$C$1004,업무일지!$F$5:$F$1004,$A10)=0,"",_xlfn.MAXIFS(업무일지!$C$5:$C$1004,업무일지!$F$5:$F$1004,$A10)),""))</f>
        <v/>
      </c>
      <c r="P10" s="63">
        <f>IF(OR($N10="",$O10=""),"",$O10-$N10+1)</f>
        <v/>
      </c>
      <c r="Q10" s="74">
        <f>IF($A10="","",사건마스터!$E9)</f>
        <v/>
      </c>
    </row>
    <row r="11">
      <c r="A11" s="68">
        <f>IF(사건마스터!$A10="","",사건마스터!$A10)</f>
        <v/>
      </c>
      <c r="B11" s="73">
        <f>IF($A11="","",사건마스터!$B10)</f>
        <v/>
      </c>
      <c r="C11" s="73">
        <f>IF($A11="","",사건마스터!$C10)</f>
        <v/>
      </c>
      <c r="D11" s="74">
        <f>IF($A11="","",사건마스터!$H10)</f>
        <v/>
      </c>
      <c r="E11" s="24">
        <f>IF($A11="","",사건마스터!$G10)</f>
        <v/>
      </c>
      <c r="F11" s="24">
        <f>IF($A11="","",COUNTIFS(업무일지!$F$5:$F$1004,$A11,업무일지!$D$5:$D$1004,"출장"))</f>
        <v/>
      </c>
      <c r="G11" s="24">
        <f>IF($A11="","",COUNTIFS(업무일지!$F$5:$F$1004,$A11,업무일지!$D$5:$D$1004,"분석"))</f>
        <v/>
      </c>
      <c r="H11" s="63">
        <f>IF($A11="","",F11+G11)</f>
        <v/>
      </c>
      <c r="I11" s="24">
        <f>IF($A11="","",SUMIFS(업무일지!$U$5:$U$1004,업무일지!$F$5:$F$1004,$A11,업무일지!$D$5:$D$1004,"출장"))</f>
        <v/>
      </c>
      <c r="J11" s="25">
        <f>IF($A11="","",SUMIFS(업무일지!$W$5:$W$1004,업무일지!$F$5:$F$1004,$A11))</f>
        <v/>
      </c>
      <c r="K11" s="24">
        <f>IF($A11="","",SUMIFS(업무일지!$S$5:$S$1004,업무일지!$F$5:$F$1004,$A11))</f>
        <v/>
      </c>
      <c r="L11" s="26">
        <f>IF($A11="","",SUMIFS(업무일지!$T$5:$T$1004,업무일지!$F$5:$F$1004,$A11))</f>
        <v/>
      </c>
      <c r="M11" s="24">
        <f>IF($A11="","",COUNTIFS(일일실시사항!$G$5:$G$1004,$A11))</f>
        <v/>
      </c>
      <c r="N11" s="75">
        <f>IF($A11="","",IFERROR(IF(_xlfn.MINIFS(업무일지!$B$5:$B$1004,업무일지!$F$5:$F$1004,$A11)=0,"",_xlfn.MINIFS(업무일지!$B$5:$B$1004,업무일지!$F$5:$F$1004,$A11)),""))</f>
        <v/>
      </c>
      <c r="O11" s="75">
        <f>IF($A11="","",IFERROR(IF(_xlfn.MAXIFS(업무일지!$C$5:$C$1004,업무일지!$F$5:$F$1004,$A11)=0,"",_xlfn.MAXIFS(업무일지!$C$5:$C$1004,업무일지!$F$5:$F$1004,$A11)),""))</f>
        <v/>
      </c>
      <c r="P11" s="63">
        <f>IF(OR($N11="",$O11=""),"",$O11-$N11+1)</f>
        <v/>
      </c>
      <c r="Q11" s="74">
        <f>IF($A11="","",사건마스터!$E10)</f>
        <v/>
      </c>
    </row>
    <row r="12">
      <c r="A12" s="68">
        <f>IF(사건마스터!$A11="","",사건마스터!$A11)</f>
        <v/>
      </c>
      <c r="B12" s="73">
        <f>IF($A12="","",사건마스터!$B11)</f>
        <v/>
      </c>
      <c r="C12" s="73">
        <f>IF($A12="","",사건마스터!$C11)</f>
        <v/>
      </c>
      <c r="D12" s="74">
        <f>IF($A12="","",사건마스터!$H11)</f>
        <v/>
      </c>
      <c r="E12" s="24">
        <f>IF($A12="","",사건마스터!$G11)</f>
        <v/>
      </c>
      <c r="F12" s="24">
        <f>IF($A12="","",COUNTIFS(업무일지!$F$5:$F$1004,$A12,업무일지!$D$5:$D$1004,"출장"))</f>
        <v/>
      </c>
      <c r="G12" s="24">
        <f>IF($A12="","",COUNTIFS(업무일지!$F$5:$F$1004,$A12,업무일지!$D$5:$D$1004,"분석"))</f>
        <v/>
      </c>
      <c r="H12" s="63">
        <f>IF($A12="","",F12+G12)</f>
        <v/>
      </c>
      <c r="I12" s="24">
        <f>IF($A12="","",SUMIFS(업무일지!$U$5:$U$1004,업무일지!$F$5:$F$1004,$A12,업무일지!$D$5:$D$1004,"출장"))</f>
        <v/>
      </c>
      <c r="J12" s="25">
        <f>IF($A12="","",SUMIFS(업무일지!$W$5:$W$1004,업무일지!$F$5:$F$1004,$A12))</f>
        <v/>
      </c>
      <c r="K12" s="24">
        <f>IF($A12="","",SUMIFS(업무일지!$S$5:$S$1004,업무일지!$F$5:$F$1004,$A12))</f>
        <v/>
      </c>
      <c r="L12" s="26">
        <f>IF($A12="","",SUMIFS(업무일지!$T$5:$T$1004,업무일지!$F$5:$F$1004,$A12))</f>
        <v/>
      </c>
      <c r="M12" s="24">
        <f>IF($A12="","",COUNTIFS(일일실시사항!$G$5:$G$1004,$A12))</f>
        <v/>
      </c>
      <c r="N12" s="75">
        <f>IF($A12="","",IFERROR(IF(_xlfn.MINIFS(업무일지!$B$5:$B$1004,업무일지!$F$5:$F$1004,$A12)=0,"",_xlfn.MINIFS(업무일지!$B$5:$B$1004,업무일지!$F$5:$F$1004,$A12)),""))</f>
        <v/>
      </c>
      <c r="O12" s="75">
        <f>IF($A12="","",IFERROR(IF(_xlfn.MAXIFS(업무일지!$C$5:$C$1004,업무일지!$F$5:$F$1004,$A12)=0,"",_xlfn.MAXIFS(업무일지!$C$5:$C$1004,업무일지!$F$5:$F$1004,$A12)),""))</f>
        <v/>
      </c>
      <c r="P12" s="63">
        <f>IF(OR($N12="",$O12=""),"",$O12-$N12+1)</f>
        <v/>
      </c>
      <c r="Q12" s="74">
        <f>IF($A12="","",사건마스터!$E11)</f>
        <v/>
      </c>
    </row>
    <row r="13">
      <c r="A13" s="68">
        <f>IF(사건마스터!$A12="","",사건마스터!$A12)</f>
        <v/>
      </c>
      <c r="B13" s="73">
        <f>IF($A13="","",사건마스터!$B12)</f>
        <v/>
      </c>
      <c r="C13" s="73">
        <f>IF($A13="","",사건마스터!$C12)</f>
        <v/>
      </c>
      <c r="D13" s="74">
        <f>IF($A13="","",사건마스터!$H12)</f>
        <v/>
      </c>
      <c r="E13" s="24">
        <f>IF($A13="","",사건마스터!$G12)</f>
        <v/>
      </c>
      <c r="F13" s="24">
        <f>IF($A13="","",COUNTIFS(업무일지!$F$5:$F$1004,$A13,업무일지!$D$5:$D$1004,"출장"))</f>
        <v/>
      </c>
      <c r="G13" s="24">
        <f>IF($A13="","",COUNTIFS(업무일지!$F$5:$F$1004,$A13,업무일지!$D$5:$D$1004,"분석"))</f>
        <v/>
      </c>
      <c r="H13" s="63">
        <f>IF($A13="","",F13+G13)</f>
        <v/>
      </c>
      <c r="I13" s="24">
        <f>IF($A13="","",SUMIFS(업무일지!$U$5:$U$1004,업무일지!$F$5:$F$1004,$A13,업무일지!$D$5:$D$1004,"출장"))</f>
        <v/>
      </c>
      <c r="J13" s="25">
        <f>IF($A13="","",SUMIFS(업무일지!$W$5:$W$1004,업무일지!$F$5:$F$1004,$A13))</f>
        <v/>
      </c>
      <c r="K13" s="24">
        <f>IF($A13="","",SUMIFS(업무일지!$S$5:$S$1004,업무일지!$F$5:$F$1004,$A13))</f>
        <v/>
      </c>
      <c r="L13" s="26">
        <f>IF($A13="","",SUMIFS(업무일지!$T$5:$T$1004,업무일지!$F$5:$F$1004,$A13))</f>
        <v/>
      </c>
      <c r="M13" s="24">
        <f>IF($A13="","",COUNTIFS(일일실시사항!$G$5:$G$1004,$A13))</f>
        <v/>
      </c>
      <c r="N13" s="75">
        <f>IF($A13="","",IFERROR(IF(_xlfn.MINIFS(업무일지!$B$5:$B$1004,업무일지!$F$5:$F$1004,$A13)=0,"",_xlfn.MINIFS(업무일지!$B$5:$B$1004,업무일지!$F$5:$F$1004,$A13)),""))</f>
        <v/>
      </c>
      <c r="O13" s="75">
        <f>IF($A13="","",IFERROR(IF(_xlfn.MAXIFS(업무일지!$C$5:$C$1004,업무일지!$F$5:$F$1004,$A13)=0,"",_xlfn.MAXIFS(업무일지!$C$5:$C$1004,업무일지!$F$5:$F$1004,$A13)),""))</f>
        <v/>
      </c>
      <c r="P13" s="63">
        <f>IF(OR($N13="",$O13=""),"",$O13-$N13+1)</f>
        <v/>
      </c>
      <c r="Q13" s="74">
        <f>IF($A13="","",사건마스터!$E12)</f>
        <v/>
      </c>
    </row>
    <row r="14">
      <c r="A14" s="68">
        <f>IF(사건마스터!$A13="","",사건마스터!$A13)</f>
        <v/>
      </c>
      <c r="B14" s="73">
        <f>IF($A14="","",사건마스터!$B13)</f>
        <v/>
      </c>
      <c r="C14" s="73">
        <f>IF($A14="","",사건마스터!$C13)</f>
        <v/>
      </c>
      <c r="D14" s="74">
        <f>IF($A14="","",사건마스터!$H13)</f>
        <v/>
      </c>
      <c r="E14" s="24">
        <f>IF($A14="","",사건마스터!$G13)</f>
        <v/>
      </c>
      <c r="F14" s="24">
        <f>IF($A14="","",COUNTIFS(업무일지!$F$5:$F$1004,$A14,업무일지!$D$5:$D$1004,"출장"))</f>
        <v/>
      </c>
      <c r="G14" s="24">
        <f>IF($A14="","",COUNTIFS(업무일지!$F$5:$F$1004,$A14,업무일지!$D$5:$D$1004,"분석"))</f>
        <v/>
      </c>
      <c r="H14" s="63">
        <f>IF($A14="","",F14+G14)</f>
        <v/>
      </c>
      <c r="I14" s="24">
        <f>IF($A14="","",SUMIFS(업무일지!$U$5:$U$1004,업무일지!$F$5:$F$1004,$A14,업무일지!$D$5:$D$1004,"출장"))</f>
        <v/>
      </c>
      <c r="J14" s="25">
        <f>IF($A14="","",SUMIFS(업무일지!$W$5:$W$1004,업무일지!$F$5:$F$1004,$A14))</f>
        <v/>
      </c>
      <c r="K14" s="24">
        <f>IF($A14="","",SUMIFS(업무일지!$S$5:$S$1004,업무일지!$F$5:$F$1004,$A14))</f>
        <v/>
      </c>
      <c r="L14" s="26">
        <f>IF($A14="","",SUMIFS(업무일지!$T$5:$T$1004,업무일지!$F$5:$F$1004,$A14))</f>
        <v/>
      </c>
      <c r="M14" s="24">
        <f>IF($A14="","",COUNTIFS(일일실시사항!$G$5:$G$1004,$A14))</f>
        <v/>
      </c>
      <c r="N14" s="75">
        <f>IF($A14="","",IFERROR(IF(_xlfn.MINIFS(업무일지!$B$5:$B$1004,업무일지!$F$5:$F$1004,$A14)=0,"",_xlfn.MINIFS(업무일지!$B$5:$B$1004,업무일지!$F$5:$F$1004,$A14)),""))</f>
        <v/>
      </c>
      <c r="O14" s="75">
        <f>IF($A14="","",IFERROR(IF(_xlfn.MAXIFS(업무일지!$C$5:$C$1004,업무일지!$F$5:$F$1004,$A14)=0,"",_xlfn.MAXIFS(업무일지!$C$5:$C$1004,업무일지!$F$5:$F$1004,$A14)),""))</f>
        <v/>
      </c>
      <c r="P14" s="63">
        <f>IF(OR($N14="",$O14=""),"",$O14-$N14+1)</f>
        <v/>
      </c>
      <c r="Q14" s="74">
        <f>IF($A14="","",사건마스터!$E13)</f>
        <v/>
      </c>
    </row>
    <row r="15">
      <c r="A15" s="68">
        <f>IF(사건마스터!$A14="","",사건마스터!$A14)</f>
        <v/>
      </c>
      <c r="B15" s="73">
        <f>IF($A15="","",사건마스터!$B14)</f>
        <v/>
      </c>
      <c r="C15" s="73">
        <f>IF($A15="","",사건마스터!$C14)</f>
        <v/>
      </c>
      <c r="D15" s="74">
        <f>IF($A15="","",사건마스터!$H14)</f>
        <v/>
      </c>
      <c r="E15" s="24">
        <f>IF($A15="","",사건마스터!$G14)</f>
        <v/>
      </c>
      <c r="F15" s="24">
        <f>IF($A15="","",COUNTIFS(업무일지!$F$5:$F$1004,$A15,업무일지!$D$5:$D$1004,"출장"))</f>
        <v/>
      </c>
      <c r="G15" s="24">
        <f>IF($A15="","",COUNTIFS(업무일지!$F$5:$F$1004,$A15,업무일지!$D$5:$D$1004,"분석"))</f>
        <v/>
      </c>
      <c r="H15" s="63">
        <f>IF($A15="","",F15+G15)</f>
        <v/>
      </c>
      <c r="I15" s="24">
        <f>IF($A15="","",SUMIFS(업무일지!$U$5:$U$1004,업무일지!$F$5:$F$1004,$A15,업무일지!$D$5:$D$1004,"출장"))</f>
        <v/>
      </c>
      <c r="J15" s="25">
        <f>IF($A15="","",SUMIFS(업무일지!$W$5:$W$1004,업무일지!$F$5:$F$1004,$A15))</f>
        <v/>
      </c>
      <c r="K15" s="24">
        <f>IF($A15="","",SUMIFS(업무일지!$S$5:$S$1004,업무일지!$F$5:$F$1004,$A15))</f>
        <v/>
      </c>
      <c r="L15" s="26">
        <f>IF($A15="","",SUMIFS(업무일지!$T$5:$T$1004,업무일지!$F$5:$F$1004,$A15))</f>
        <v/>
      </c>
      <c r="M15" s="24">
        <f>IF($A15="","",COUNTIFS(일일실시사항!$G$5:$G$1004,$A15))</f>
        <v/>
      </c>
      <c r="N15" s="75">
        <f>IF($A15="","",IFERROR(IF(_xlfn.MINIFS(업무일지!$B$5:$B$1004,업무일지!$F$5:$F$1004,$A15)=0,"",_xlfn.MINIFS(업무일지!$B$5:$B$1004,업무일지!$F$5:$F$1004,$A15)),""))</f>
        <v/>
      </c>
      <c r="O15" s="75">
        <f>IF($A15="","",IFERROR(IF(_xlfn.MAXIFS(업무일지!$C$5:$C$1004,업무일지!$F$5:$F$1004,$A15)=0,"",_xlfn.MAXIFS(업무일지!$C$5:$C$1004,업무일지!$F$5:$F$1004,$A15)),""))</f>
        <v/>
      </c>
      <c r="P15" s="63">
        <f>IF(OR($N15="",$O15=""),"",$O15-$N15+1)</f>
        <v/>
      </c>
      <c r="Q15" s="74">
        <f>IF($A15="","",사건마스터!$E14)</f>
        <v/>
      </c>
    </row>
    <row r="16">
      <c r="A16" s="68">
        <f>IF(사건마스터!$A15="","",사건마스터!$A15)</f>
        <v/>
      </c>
      <c r="B16" s="73">
        <f>IF($A16="","",사건마스터!$B15)</f>
        <v/>
      </c>
      <c r="C16" s="73">
        <f>IF($A16="","",사건마스터!$C15)</f>
        <v/>
      </c>
      <c r="D16" s="74">
        <f>IF($A16="","",사건마스터!$H15)</f>
        <v/>
      </c>
      <c r="E16" s="24">
        <f>IF($A16="","",사건마스터!$G15)</f>
        <v/>
      </c>
      <c r="F16" s="24">
        <f>IF($A16="","",COUNTIFS(업무일지!$F$5:$F$1004,$A16,업무일지!$D$5:$D$1004,"출장"))</f>
        <v/>
      </c>
      <c r="G16" s="24">
        <f>IF($A16="","",COUNTIFS(업무일지!$F$5:$F$1004,$A16,업무일지!$D$5:$D$1004,"분석"))</f>
        <v/>
      </c>
      <c r="H16" s="63">
        <f>IF($A16="","",F16+G16)</f>
        <v/>
      </c>
      <c r="I16" s="24">
        <f>IF($A16="","",SUMIFS(업무일지!$U$5:$U$1004,업무일지!$F$5:$F$1004,$A16,업무일지!$D$5:$D$1004,"출장"))</f>
        <v/>
      </c>
      <c r="J16" s="25">
        <f>IF($A16="","",SUMIFS(업무일지!$W$5:$W$1004,업무일지!$F$5:$F$1004,$A16))</f>
        <v/>
      </c>
      <c r="K16" s="24">
        <f>IF($A16="","",SUMIFS(업무일지!$S$5:$S$1004,업무일지!$F$5:$F$1004,$A16))</f>
        <v/>
      </c>
      <c r="L16" s="26">
        <f>IF($A16="","",SUMIFS(업무일지!$T$5:$T$1004,업무일지!$F$5:$F$1004,$A16))</f>
        <v/>
      </c>
      <c r="M16" s="24">
        <f>IF($A16="","",COUNTIFS(일일실시사항!$G$5:$G$1004,$A16))</f>
        <v/>
      </c>
      <c r="N16" s="75">
        <f>IF($A16="","",IFERROR(IF(_xlfn.MINIFS(업무일지!$B$5:$B$1004,업무일지!$F$5:$F$1004,$A16)=0,"",_xlfn.MINIFS(업무일지!$B$5:$B$1004,업무일지!$F$5:$F$1004,$A16)),""))</f>
        <v/>
      </c>
      <c r="O16" s="75">
        <f>IF($A16="","",IFERROR(IF(_xlfn.MAXIFS(업무일지!$C$5:$C$1004,업무일지!$F$5:$F$1004,$A16)=0,"",_xlfn.MAXIFS(업무일지!$C$5:$C$1004,업무일지!$F$5:$F$1004,$A16)),""))</f>
        <v/>
      </c>
      <c r="P16" s="63">
        <f>IF(OR($N16="",$O16=""),"",$O16-$N16+1)</f>
        <v/>
      </c>
      <c r="Q16" s="74">
        <f>IF($A16="","",사건마스터!$E15)</f>
        <v/>
      </c>
    </row>
    <row r="17">
      <c r="A17" s="68">
        <f>IF(사건마스터!$A16="","",사건마스터!$A16)</f>
        <v/>
      </c>
      <c r="B17" s="73">
        <f>IF($A17="","",사건마스터!$B16)</f>
        <v/>
      </c>
      <c r="C17" s="73">
        <f>IF($A17="","",사건마스터!$C16)</f>
        <v/>
      </c>
      <c r="D17" s="74">
        <f>IF($A17="","",사건마스터!$H16)</f>
        <v/>
      </c>
      <c r="E17" s="24">
        <f>IF($A17="","",사건마스터!$G16)</f>
        <v/>
      </c>
      <c r="F17" s="24">
        <f>IF($A17="","",COUNTIFS(업무일지!$F$5:$F$1004,$A17,업무일지!$D$5:$D$1004,"출장"))</f>
        <v/>
      </c>
      <c r="G17" s="24">
        <f>IF($A17="","",COUNTIFS(업무일지!$F$5:$F$1004,$A17,업무일지!$D$5:$D$1004,"분석"))</f>
        <v/>
      </c>
      <c r="H17" s="63">
        <f>IF($A17="","",F17+G17)</f>
        <v/>
      </c>
      <c r="I17" s="24">
        <f>IF($A17="","",SUMIFS(업무일지!$U$5:$U$1004,업무일지!$F$5:$F$1004,$A17,업무일지!$D$5:$D$1004,"출장"))</f>
        <v/>
      </c>
      <c r="J17" s="25">
        <f>IF($A17="","",SUMIFS(업무일지!$W$5:$W$1004,업무일지!$F$5:$F$1004,$A17))</f>
        <v/>
      </c>
      <c r="K17" s="24">
        <f>IF($A17="","",SUMIFS(업무일지!$S$5:$S$1004,업무일지!$F$5:$F$1004,$A17))</f>
        <v/>
      </c>
      <c r="L17" s="26">
        <f>IF($A17="","",SUMIFS(업무일지!$T$5:$T$1004,업무일지!$F$5:$F$1004,$A17))</f>
        <v/>
      </c>
      <c r="M17" s="24">
        <f>IF($A17="","",COUNTIFS(일일실시사항!$G$5:$G$1004,$A17))</f>
        <v/>
      </c>
      <c r="N17" s="75">
        <f>IF($A17="","",IFERROR(IF(_xlfn.MINIFS(업무일지!$B$5:$B$1004,업무일지!$F$5:$F$1004,$A17)=0,"",_xlfn.MINIFS(업무일지!$B$5:$B$1004,업무일지!$F$5:$F$1004,$A17)),""))</f>
        <v/>
      </c>
      <c r="O17" s="75">
        <f>IF($A17="","",IFERROR(IF(_xlfn.MAXIFS(업무일지!$C$5:$C$1004,업무일지!$F$5:$F$1004,$A17)=0,"",_xlfn.MAXIFS(업무일지!$C$5:$C$1004,업무일지!$F$5:$F$1004,$A17)),""))</f>
        <v/>
      </c>
      <c r="P17" s="63">
        <f>IF(OR($N17="",$O17=""),"",$O17-$N17+1)</f>
        <v/>
      </c>
      <c r="Q17" s="74">
        <f>IF($A17="","",사건마스터!$E16)</f>
        <v/>
      </c>
    </row>
    <row r="18">
      <c r="A18" s="68">
        <f>IF(사건마스터!$A17="","",사건마스터!$A17)</f>
        <v/>
      </c>
      <c r="B18" s="73">
        <f>IF($A18="","",사건마스터!$B17)</f>
        <v/>
      </c>
      <c r="C18" s="73">
        <f>IF($A18="","",사건마스터!$C17)</f>
        <v/>
      </c>
      <c r="D18" s="74">
        <f>IF($A18="","",사건마스터!$H17)</f>
        <v/>
      </c>
      <c r="E18" s="24">
        <f>IF($A18="","",사건마스터!$G17)</f>
        <v/>
      </c>
      <c r="F18" s="24">
        <f>IF($A18="","",COUNTIFS(업무일지!$F$5:$F$1004,$A18,업무일지!$D$5:$D$1004,"출장"))</f>
        <v/>
      </c>
      <c r="G18" s="24">
        <f>IF($A18="","",COUNTIFS(업무일지!$F$5:$F$1004,$A18,업무일지!$D$5:$D$1004,"분석"))</f>
        <v/>
      </c>
      <c r="H18" s="63">
        <f>IF($A18="","",F18+G18)</f>
        <v/>
      </c>
      <c r="I18" s="24">
        <f>IF($A18="","",SUMIFS(업무일지!$U$5:$U$1004,업무일지!$F$5:$F$1004,$A18,업무일지!$D$5:$D$1004,"출장"))</f>
        <v/>
      </c>
      <c r="J18" s="25">
        <f>IF($A18="","",SUMIFS(업무일지!$W$5:$W$1004,업무일지!$F$5:$F$1004,$A18))</f>
        <v/>
      </c>
      <c r="K18" s="24">
        <f>IF($A18="","",SUMIFS(업무일지!$S$5:$S$1004,업무일지!$F$5:$F$1004,$A18))</f>
        <v/>
      </c>
      <c r="L18" s="26">
        <f>IF($A18="","",SUMIFS(업무일지!$T$5:$T$1004,업무일지!$F$5:$F$1004,$A18))</f>
        <v/>
      </c>
      <c r="M18" s="24">
        <f>IF($A18="","",COUNTIFS(일일실시사항!$G$5:$G$1004,$A18))</f>
        <v/>
      </c>
      <c r="N18" s="75">
        <f>IF($A18="","",IFERROR(IF(_xlfn.MINIFS(업무일지!$B$5:$B$1004,업무일지!$F$5:$F$1004,$A18)=0,"",_xlfn.MINIFS(업무일지!$B$5:$B$1004,업무일지!$F$5:$F$1004,$A18)),""))</f>
        <v/>
      </c>
      <c r="O18" s="75">
        <f>IF($A18="","",IFERROR(IF(_xlfn.MAXIFS(업무일지!$C$5:$C$1004,업무일지!$F$5:$F$1004,$A18)=0,"",_xlfn.MAXIFS(업무일지!$C$5:$C$1004,업무일지!$F$5:$F$1004,$A18)),""))</f>
        <v/>
      </c>
      <c r="P18" s="63">
        <f>IF(OR($N18="",$O18=""),"",$O18-$N18+1)</f>
        <v/>
      </c>
      <c r="Q18" s="74">
        <f>IF($A18="","",사건마스터!$E17)</f>
        <v/>
      </c>
    </row>
    <row r="19">
      <c r="A19" s="68">
        <f>IF(사건마스터!$A18="","",사건마스터!$A18)</f>
        <v/>
      </c>
      <c r="B19" s="73">
        <f>IF($A19="","",사건마스터!$B18)</f>
        <v/>
      </c>
      <c r="C19" s="73">
        <f>IF($A19="","",사건마스터!$C18)</f>
        <v/>
      </c>
      <c r="D19" s="74">
        <f>IF($A19="","",사건마스터!$H18)</f>
        <v/>
      </c>
      <c r="E19" s="24">
        <f>IF($A19="","",사건마스터!$G18)</f>
        <v/>
      </c>
      <c r="F19" s="24">
        <f>IF($A19="","",COUNTIFS(업무일지!$F$5:$F$1004,$A19,업무일지!$D$5:$D$1004,"출장"))</f>
        <v/>
      </c>
      <c r="G19" s="24">
        <f>IF($A19="","",COUNTIFS(업무일지!$F$5:$F$1004,$A19,업무일지!$D$5:$D$1004,"분석"))</f>
        <v/>
      </c>
      <c r="H19" s="63">
        <f>IF($A19="","",F19+G19)</f>
        <v/>
      </c>
      <c r="I19" s="24">
        <f>IF($A19="","",SUMIFS(업무일지!$U$5:$U$1004,업무일지!$F$5:$F$1004,$A19,업무일지!$D$5:$D$1004,"출장"))</f>
        <v/>
      </c>
      <c r="J19" s="25">
        <f>IF($A19="","",SUMIFS(업무일지!$W$5:$W$1004,업무일지!$F$5:$F$1004,$A19))</f>
        <v/>
      </c>
      <c r="K19" s="24">
        <f>IF($A19="","",SUMIFS(업무일지!$S$5:$S$1004,업무일지!$F$5:$F$1004,$A19))</f>
        <v/>
      </c>
      <c r="L19" s="26">
        <f>IF($A19="","",SUMIFS(업무일지!$T$5:$T$1004,업무일지!$F$5:$F$1004,$A19))</f>
        <v/>
      </c>
      <c r="M19" s="24">
        <f>IF($A19="","",COUNTIFS(일일실시사항!$G$5:$G$1004,$A19))</f>
        <v/>
      </c>
      <c r="N19" s="75">
        <f>IF($A19="","",IFERROR(IF(_xlfn.MINIFS(업무일지!$B$5:$B$1004,업무일지!$F$5:$F$1004,$A19)=0,"",_xlfn.MINIFS(업무일지!$B$5:$B$1004,업무일지!$F$5:$F$1004,$A19)),""))</f>
        <v/>
      </c>
      <c r="O19" s="75">
        <f>IF($A19="","",IFERROR(IF(_xlfn.MAXIFS(업무일지!$C$5:$C$1004,업무일지!$F$5:$F$1004,$A19)=0,"",_xlfn.MAXIFS(업무일지!$C$5:$C$1004,업무일지!$F$5:$F$1004,$A19)),""))</f>
        <v/>
      </c>
      <c r="P19" s="63">
        <f>IF(OR($N19="",$O19=""),"",$O19-$N19+1)</f>
        <v/>
      </c>
      <c r="Q19" s="74">
        <f>IF($A19="","",사건마스터!$E18)</f>
        <v/>
      </c>
    </row>
    <row r="20">
      <c r="A20" s="68">
        <f>IF(사건마스터!$A19="","",사건마스터!$A19)</f>
        <v/>
      </c>
      <c r="B20" s="73">
        <f>IF($A20="","",사건마스터!$B19)</f>
        <v/>
      </c>
      <c r="C20" s="73">
        <f>IF($A20="","",사건마스터!$C19)</f>
        <v/>
      </c>
      <c r="D20" s="74">
        <f>IF($A20="","",사건마스터!$H19)</f>
        <v/>
      </c>
      <c r="E20" s="24">
        <f>IF($A20="","",사건마스터!$G19)</f>
        <v/>
      </c>
      <c r="F20" s="24">
        <f>IF($A20="","",COUNTIFS(업무일지!$F$5:$F$1004,$A20,업무일지!$D$5:$D$1004,"출장"))</f>
        <v/>
      </c>
      <c r="G20" s="24">
        <f>IF($A20="","",COUNTIFS(업무일지!$F$5:$F$1004,$A20,업무일지!$D$5:$D$1004,"분석"))</f>
        <v/>
      </c>
      <c r="H20" s="63">
        <f>IF($A20="","",F20+G20)</f>
        <v/>
      </c>
      <c r="I20" s="24">
        <f>IF($A20="","",SUMIFS(업무일지!$U$5:$U$1004,업무일지!$F$5:$F$1004,$A20,업무일지!$D$5:$D$1004,"출장"))</f>
        <v/>
      </c>
      <c r="J20" s="25">
        <f>IF($A20="","",SUMIFS(업무일지!$W$5:$W$1004,업무일지!$F$5:$F$1004,$A20))</f>
        <v/>
      </c>
      <c r="K20" s="24">
        <f>IF($A20="","",SUMIFS(업무일지!$S$5:$S$1004,업무일지!$F$5:$F$1004,$A20))</f>
        <v/>
      </c>
      <c r="L20" s="26">
        <f>IF($A20="","",SUMIFS(업무일지!$T$5:$T$1004,업무일지!$F$5:$F$1004,$A20))</f>
        <v/>
      </c>
      <c r="M20" s="24">
        <f>IF($A20="","",COUNTIFS(일일실시사항!$G$5:$G$1004,$A20))</f>
        <v/>
      </c>
      <c r="N20" s="75">
        <f>IF($A20="","",IFERROR(IF(_xlfn.MINIFS(업무일지!$B$5:$B$1004,업무일지!$F$5:$F$1004,$A20)=0,"",_xlfn.MINIFS(업무일지!$B$5:$B$1004,업무일지!$F$5:$F$1004,$A20)),""))</f>
        <v/>
      </c>
      <c r="O20" s="75">
        <f>IF($A20="","",IFERROR(IF(_xlfn.MAXIFS(업무일지!$C$5:$C$1004,업무일지!$F$5:$F$1004,$A20)=0,"",_xlfn.MAXIFS(업무일지!$C$5:$C$1004,업무일지!$F$5:$F$1004,$A20)),""))</f>
        <v/>
      </c>
      <c r="P20" s="63">
        <f>IF(OR($N20="",$O20=""),"",$O20-$N20+1)</f>
        <v/>
      </c>
      <c r="Q20" s="74">
        <f>IF($A20="","",사건마스터!$E19)</f>
        <v/>
      </c>
    </row>
    <row r="21">
      <c r="A21" s="68">
        <f>IF(사건마스터!$A20="","",사건마스터!$A20)</f>
        <v/>
      </c>
      <c r="B21" s="73">
        <f>IF($A21="","",사건마스터!$B20)</f>
        <v/>
      </c>
      <c r="C21" s="73">
        <f>IF($A21="","",사건마스터!$C20)</f>
        <v/>
      </c>
      <c r="D21" s="74">
        <f>IF($A21="","",사건마스터!$H20)</f>
        <v/>
      </c>
      <c r="E21" s="24">
        <f>IF($A21="","",사건마스터!$G20)</f>
        <v/>
      </c>
      <c r="F21" s="24">
        <f>IF($A21="","",COUNTIFS(업무일지!$F$5:$F$1004,$A21,업무일지!$D$5:$D$1004,"출장"))</f>
        <v/>
      </c>
      <c r="G21" s="24">
        <f>IF($A21="","",COUNTIFS(업무일지!$F$5:$F$1004,$A21,업무일지!$D$5:$D$1004,"분석"))</f>
        <v/>
      </c>
      <c r="H21" s="63">
        <f>IF($A21="","",F21+G21)</f>
        <v/>
      </c>
      <c r="I21" s="24">
        <f>IF($A21="","",SUMIFS(업무일지!$U$5:$U$1004,업무일지!$F$5:$F$1004,$A21,업무일지!$D$5:$D$1004,"출장"))</f>
        <v/>
      </c>
      <c r="J21" s="25">
        <f>IF($A21="","",SUMIFS(업무일지!$W$5:$W$1004,업무일지!$F$5:$F$1004,$A21))</f>
        <v/>
      </c>
      <c r="K21" s="24">
        <f>IF($A21="","",SUMIFS(업무일지!$S$5:$S$1004,업무일지!$F$5:$F$1004,$A21))</f>
        <v/>
      </c>
      <c r="L21" s="26">
        <f>IF($A21="","",SUMIFS(업무일지!$T$5:$T$1004,업무일지!$F$5:$F$1004,$A21))</f>
        <v/>
      </c>
      <c r="M21" s="24">
        <f>IF($A21="","",COUNTIFS(일일실시사항!$G$5:$G$1004,$A21))</f>
        <v/>
      </c>
      <c r="N21" s="75">
        <f>IF($A21="","",IFERROR(IF(_xlfn.MINIFS(업무일지!$B$5:$B$1004,업무일지!$F$5:$F$1004,$A21)=0,"",_xlfn.MINIFS(업무일지!$B$5:$B$1004,업무일지!$F$5:$F$1004,$A21)),""))</f>
        <v/>
      </c>
      <c r="O21" s="75">
        <f>IF($A21="","",IFERROR(IF(_xlfn.MAXIFS(업무일지!$C$5:$C$1004,업무일지!$F$5:$F$1004,$A21)=0,"",_xlfn.MAXIFS(업무일지!$C$5:$C$1004,업무일지!$F$5:$F$1004,$A21)),""))</f>
        <v/>
      </c>
      <c r="P21" s="63">
        <f>IF(OR($N21="",$O21=""),"",$O21-$N21+1)</f>
        <v/>
      </c>
      <c r="Q21" s="74">
        <f>IF($A21="","",사건마스터!$E20)</f>
        <v/>
      </c>
    </row>
    <row r="22">
      <c r="A22" s="68">
        <f>IF(사건마스터!$A21="","",사건마스터!$A21)</f>
        <v/>
      </c>
      <c r="B22" s="73">
        <f>IF($A22="","",사건마스터!$B21)</f>
        <v/>
      </c>
      <c r="C22" s="73">
        <f>IF($A22="","",사건마스터!$C21)</f>
        <v/>
      </c>
      <c r="D22" s="74">
        <f>IF($A22="","",사건마스터!$H21)</f>
        <v/>
      </c>
      <c r="E22" s="24">
        <f>IF($A22="","",사건마스터!$G21)</f>
        <v/>
      </c>
      <c r="F22" s="24">
        <f>IF($A22="","",COUNTIFS(업무일지!$F$5:$F$1004,$A22,업무일지!$D$5:$D$1004,"출장"))</f>
        <v/>
      </c>
      <c r="G22" s="24">
        <f>IF($A22="","",COUNTIFS(업무일지!$F$5:$F$1004,$A22,업무일지!$D$5:$D$1004,"분석"))</f>
        <v/>
      </c>
      <c r="H22" s="63">
        <f>IF($A22="","",F22+G22)</f>
        <v/>
      </c>
      <c r="I22" s="24">
        <f>IF($A22="","",SUMIFS(업무일지!$U$5:$U$1004,업무일지!$F$5:$F$1004,$A22,업무일지!$D$5:$D$1004,"출장"))</f>
        <v/>
      </c>
      <c r="J22" s="25">
        <f>IF($A22="","",SUMIFS(업무일지!$W$5:$W$1004,업무일지!$F$5:$F$1004,$A22))</f>
        <v/>
      </c>
      <c r="K22" s="24">
        <f>IF($A22="","",SUMIFS(업무일지!$S$5:$S$1004,업무일지!$F$5:$F$1004,$A22))</f>
        <v/>
      </c>
      <c r="L22" s="26">
        <f>IF($A22="","",SUMIFS(업무일지!$T$5:$T$1004,업무일지!$F$5:$F$1004,$A22))</f>
        <v/>
      </c>
      <c r="M22" s="24">
        <f>IF($A22="","",COUNTIFS(일일실시사항!$G$5:$G$1004,$A22))</f>
        <v/>
      </c>
      <c r="N22" s="75">
        <f>IF($A22="","",IFERROR(IF(_xlfn.MINIFS(업무일지!$B$5:$B$1004,업무일지!$F$5:$F$1004,$A22)=0,"",_xlfn.MINIFS(업무일지!$B$5:$B$1004,업무일지!$F$5:$F$1004,$A22)),""))</f>
        <v/>
      </c>
      <c r="O22" s="75">
        <f>IF($A22="","",IFERROR(IF(_xlfn.MAXIFS(업무일지!$C$5:$C$1004,업무일지!$F$5:$F$1004,$A22)=0,"",_xlfn.MAXIFS(업무일지!$C$5:$C$1004,업무일지!$F$5:$F$1004,$A22)),""))</f>
        <v/>
      </c>
      <c r="P22" s="63">
        <f>IF(OR($N22="",$O22=""),"",$O22-$N22+1)</f>
        <v/>
      </c>
      <c r="Q22" s="74">
        <f>IF($A22="","",사건마스터!$E21)</f>
        <v/>
      </c>
    </row>
    <row r="23">
      <c r="A23" s="68">
        <f>IF(사건마스터!$A22="","",사건마스터!$A22)</f>
        <v/>
      </c>
      <c r="B23" s="73">
        <f>IF($A23="","",사건마스터!$B22)</f>
        <v/>
      </c>
      <c r="C23" s="73">
        <f>IF($A23="","",사건마스터!$C22)</f>
        <v/>
      </c>
      <c r="D23" s="74">
        <f>IF($A23="","",사건마스터!$H22)</f>
        <v/>
      </c>
      <c r="E23" s="24">
        <f>IF($A23="","",사건마스터!$G22)</f>
        <v/>
      </c>
      <c r="F23" s="24">
        <f>IF($A23="","",COUNTIFS(업무일지!$F$5:$F$1004,$A23,업무일지!$D$5:$D$1004,"출장"))</f>
        <v/>
      </c>
      <c r="G23" s="24">
        <f>IF($A23="","",COUNTIFS(업무일지!$F$5:$F$1004,$A23,업무일지!$D$5:$D$1004,"분석"))</f>
        <v/>
      </c>
      <c r="H23" s="63">
        <f>IF($A23="","",F23+G23)</f>
        <v/>
      </c>
      <c r="I23" s="24">
        <f>IF($A23="","",SUMIFS(업무일지!$U$5:$U$1004,업무일지!$F$5:$F$1004,$A23,업무일지!$D$5:$D$1004,"출장"))</f>
        <v/>
      </c>
      <c r="J23" s="25">
        <f>IF($A23="","",SUMIFS(업무일지!$W$5:$W$1004,업무일지!$F$5:$F$1004,$A23))</f>
        <v/>
      </c>
      <c r="K23" s="24">
        <f>IF($A23="","",SUMIFS(업무일지!$S$5:$S$1004,업무일지!$F$5:$F$1004,$A23))</f>
        <v/>
      </c>
      <c r="L23" s="26">
        <f>IF($A23="","",SUMIFS(업무일지!$T$5:$T$1004,업무일지!$F$5:$F$1004,$A23))</f>
        <v/>
      </c>
      <c r="M23" s="24">
        <f>IF($A23="","",COUNTIFS(일일실시사항!$G$5:$G$1004,$A23))</f>
        <v/>
      </c>
      <c r="N23" s="75">
        <f>IF($A23="","",IFERROR(IF(_xlfn.MINIFS(업무일지!$B$5:$B$1004,업무일지!$F$5:$F$1004,$A23)=0,"",_xlfn.MINIFS(업무일지!$B$5:$B$1004,업무일지!$F$5:$F$1004,$A23)),""))</f>
        <v/>
      </c>
      <c r="O23" s="75">
        <f>IF($A23="","",IFERROR(IF(_xlfn.MAXIFS(업무일지!$C$5:$C$1004,업무일지!$F$5:$F$1004,$A23)=0,"",_xlfn.MAXIFS(업무일지!$C$5:$C$1004,업무일지!$F$5:$F$1004,$A23)),""))</f>
        <v/>
      </c>
      <c r="P23" s="63">
        <f>IF(OR($N23="",$O23=""),"",$O23-$N23+1)</f>
        <v/>
      </c>
      <c r="Q23" s="74">
        <f>IF($A23="","",사건마스터!$E22)</f>
        <v/>
      </c>
    </row>
    <row r="24">
      <c r="A24" s="68">
        <f>IF(사건마스터!$A23="","",사건마스터!$A23)</f>
        <v/>
      </c>
      <c r="B24" s="73">
        <f>IF($A24="","",사건마스터!$B23)</f>
        <v/>
      </c>
      <c r="C24" s="73">
        <f>IF($A24="","",사건마스터!$C23)</f>
        <v/>
      </c>
      <c r="D24" s="74">
        <f>IF($A24="","",사건마스터!$H23)</f>
        <v/>
      </c>
      <c r="E24" s="24">
        <f>IF($A24="","",사건마스터!$G23)</f>
        <v/>
      </c>
      <c r="F24" s="24">
        <f>IF($A24="","",COUNTIFS(업무일지!$F$5:$F$1004,$A24,업무일지!$D$5:$D$1004,"출장"))</f>
        <v/>
      </c>
      <c r="G24" s="24">
        <f>IF($A24="","",COUNTIFS(업무일지!$F$5:$F$1004,$A24,업무일지!$D$5:$D$1004,"분석"))</f>
        <v/>
      </c>
      <c r="H24" s="63">
        <f>IF($A24="","",F24+G24)</f>
        <v/>
      </c>
      <c r="I24" s="24">
        <f>IF($A24="","",SUMIFS(업무일지!$U$5:$U$1004,업무일지!$F$5:$F$1004,$A24,업무일지!$D$5:$D$1004,"출장"))</f>
        <v/>
      </c>
      <c r="J24" s="25">
        <f>IF($A24="","",SUMIFS(업무일지!$W$5:$W$1004,업무일지!$F$5:$F$1004,$A24))</f>
        <v/>
      </c>
      <c r="K24" s="24">
        <f>IF($A24="","",SUMIFS(업무일지!$S$5:$S$1004,업무일지!$F$5:$F$1004,$A24))</f>
        <v/>
      </c>
      <c r="L24" s="26">
        <f>IF($A24="","",SUMIFS(업무일지!$T$5:$T$1004,업무일지!$F$5:$F$1004,$A24))</f>
        <v/>
      </c>
      <c r="M24" s="24">
        <f>IF($A24="","",COUNTIFS(일일실시사항!$G$5:$G$1004,$A24))</f>
        <v/>
      </c>
      <c r="N24" s="75">
        <f>IF($A24="","",IFERROR(IF(_xlfn.MINIFS(업무일지!$B$5:$B$1004,업무일지!$F$5:$F$1004,$A24)=0,"",_xlfn.MINIFS(업무일지!$B$5:$B$1004,업무일지!$F$5:$F$1004,$A24)),""))</f>
        <v/>
      </c>
      <c r="O24" s="75">
        <f>IF($A24="","",IFERROR(IF(_xlfn.MAXIFS(업무일지!$C$5:$C$1004,업무일지!$F$5:$F$1004,$A24)=0,"",_xlfn.MAXIFS(업무일지!$C$5:$C$1004,업무일지!$F$5:$F$1004,$A24)),""))</f>
        <v/>
      </c>
      <c r="P24" s="63">
        <f>IF(OR($N24="",$O24=""),"",$O24-$N24+1)</f>
        <v/>
      </c>
      <c r="Q24" s="74">
        <f>IF($A24="","",사건마스터!$E23)</f>
        <v/>
      </c>
    </row>
    <row r="25">
      <c r="A25" s="68">
        <f>IF(사건마스터!$A24="","",사건마스터!$A24)</f>
        <v/>
      </c>
      <c r="B25" s="73">
        <f>IF($A25="","",사건마스터!$B24)</f>
        <v/>
      </c>
      <c r="C25" s="73">
        <f>IF($A25="","",사건마스터!$C24)</f>
        <v/>
      </c>
      <c r="D25" s="74">
        <f>IF($A25="","",사건마스터!$H24)</f>
        <v/>
      </c>
      <c r="E25" s="24">
        <f>IF($A25="","",사건마스터!$G24)</f>
        <v/>
      </c>
      <c r="F25" s="24">
        <f>IF($A25="","",COUNTIFS(업무일지!$F$5:$F$1004,$A25,업무일지!$D$5:$D$1004,"출장"))</f>
        <v/>
      </c>
      <c r="G25" s="24">
        <f>IF($A25="","",COUNTIFS(업무일지!$F$5:$F$1004,$A25,업무일지!$D$5:$D$1004,"분석"))</f>
        <v/>
      </c>
      <c r="H25" s="63">
        <f>IF($A25="","",F25+G25)</f>
        <v/>
      </c>
      <c r="I25" s="24">
        <f>IF($A25="","",SUMIFS(업무일지!$U$5:$U$1004,업무일지!$F$5:$F$1004,$A25,업무일지!$D$5:$D$1004,"출장"))</f>
        <v/>
      </c>
      <c r="J25" s="25">
        <f>IF($A25="","",SUMIFS(업무일지!$W$5:$W$1004,업무일지!$F$5:$F$1004,$A25))</f>
        <v/>
      </c>
      <c r="K25" s="24">
        <f>IF($A25="","",SUMIFS(업무일지!$S$5:$S$1004,업무일지!$F$5:$F$1004,$A25))</f>
        <v/>
      </c>
      <c r="L25" s="26">
        <f>IF($A25="","",SUMIFS(업무일지!$T$5:$T$1004,업무일지!$F$5:$F$1004,$A25))</f>
        <v/>
      </c>
      <c r="M25" s="24">
        <f>IF($A25="","",COUNTIFS(일일실시사항!$G$5:$G$1004,$A25))</f>
        <v/>
      </c>
      <c r="N25" s="75">
        <f>IF($A25="","",IFERROR(IF(_xlfn.MINIFS(업무일지!$B$5:$B$1004,업무일지!$F$5:$F$1004,$A25)=0,"",_xlfn.MINIFS(업무일지!$B$5:$B$1004,업무일지!$F$5:$F$1004,$A25)),""))</f>
        <v/>
      </c>
      <c r="O25" s="75">
        <f>IF($A25="","",IFERROR(IF(_xlfn.MAXIFS(업무일지!$C$5:$C$1004,업무일지!$F$5:$F$1004,$A25)=0,"",_xlfn.MAXIFS(업무일지!$C$5:$C$1004,업무일지!$F$5:$F$1004,$A25)),""))</f>
        <v/>
      </c>
      <c r="P25" s="63">
        <f>IF(OR($N25="",$O25=""),"",$O25-$N25+1)</f>
        <v/>
      </c>
      <c r="Q25" s="74">
        <f>IF($A25="","",사건마스터!$E24)</f>
        <v/>
      </c>
    </row>
    <row r="26">
      <c r="A26" s="68">
        <f>IF(사건마스터!$A25="","",사건마스터!$A25)</f>
        <v/>
      </c>
      <c r="B26" s="73">
        <f>IF($A26="","",사건마스터!$B25)</f>
        <v/>
      </c>
      <c r="C26" s="73">
        <f>IF($A26="","",사건마스터!$C25)</f>
        <v/>
      </c>
      <c r="D26" s="74">
        <f>IF($A26="","",사건마스터!$H25)</f>
        <v/>
      </c>
      <c r="E26" s="24">
        <f>IF($A26="","",사건마스터!$G25)</f>
        <v/>
      </c>
      <c r="F26" s="24">
        <f>IF($A26="","",COUNTIFS(업무일지!$F$5:$F$1004,$A26,업무일지!$D$5:$D$1004,"출장"))</f>
        <v/>
      </c>
      <c r="G26" s="24">
        <f>IF($A26="","",COUNTIFS(업무일지!$F$5:$F$1004,$A26,업무일지!$D$5:$D$1004,"분석"))</f>
        <v/>
      </c>
      <c r="H26" s="63">
        <f>IF($A26="","",F26+G26)</f>
        <v/>
      </c>
      <c r="I26" s="24">
        <f>IF($A26="","",SUMIFS(업무일지!$U$5:$U$1004,업무일지!$F$5:$F$1004,$A26,업무일지!$D$5:$D$1004,"출장"))</f>
        <v/>
      </c>
      <c r="J26" s="25">
        <f>IF($A26="","",SUMIFS(업무일지!$W$5:$W$1004,업무일지!$F$5:$F$1004,$A26))</f>
        <v/>
      </c>
      <c r="K26" s="24">
        <f>IF($A26="","",SUMIFS(업무일지!$S$5:$S$1004,업무일지!$F$5:$F$1004,$A26))</f>
        <v/>
      </c>
      <c r="L26" s="26">
        <f>IF($A26="","",SUMIFS(업무일지!$T$5:$T$1004,업무일지!$F$5:$F$1004,$A26))</f>
        <v/>
      </c>
      <c r="M26" s="24">
        <f>IF($A26="","",COUNTIFS(일일실시사항!$G$5:$G$1004,$A26))</f>
        <v/>
      </c>
      <c r="N26" s="75">
        <f>IF($A26="","",IFERROR(IF(_xlfn.MINIFS(업무일지!$B$5:$B$1004,업무일지!$F$5:$F$1004,$A26)=0,"",_xlfn.MINIFS(업무일지!$B$5:$B$1004,업무일지!$F$5:$F$1004,$A26)),""))</f>
        <v/>
      </c>
      <c r="O26" s="75">
        <f>IF($A26="","",IFERROR(IF(_xlfn.MAXIFS(업무일지!$C$5:$C$1004,업무일지!$F$5:$F$1004,$A26)=0,"",_xlfn.MAXIFS(업무일지!$C$5:$C$1004,업무일지!$F$5:$F$1004,$A26)),""))</f>
        <v/>
      </c>
      <c r="P26" s="63">
        <f>IF(OR($N26="",$O26=""),"",$O26-$N26+1)</f>
        <v/>
      </c>
      <c r="Q26" s="74">
        <f>IF($A26="","",사건마스터!$E25)</f>
        <v/>
      </c>
    </row>
    <row r="27">
      <c r="A27" s="68">
        <f>IF(사건마스터!$A26="","",사건마스터!$A26)</f>
        <v/>
      </c>
      <c r="B27" s="73">
        <f>IF($A27="","",사건마스터!$B26)</f>
        <v/>
      </c>
      <c r="C27" s="73">
        <f>IF($A27="","",사건마스터!$C26)</f>
        <v/>
      </c>
      <c r="D27" s="74">
        <f>IF($A27="","",사건마스터!$H26)</f>
        <v/>
      </c>
      <c r="E27" s="24">
        <f>IF($A27="","",사건마스터!$G26)</f>
        <v/>
      </c>
      <c r="F27" s="24">
        <f>IF($A27="","",COUNTIFS(업무일지!$F$5:$F$1004,$A27,업무일지!$D$5:$D$1004,"출장"))</f>
        <v/>
      </c>
      <c r="G27" s="24">
        <f>IF($A27="","",COUNTIFS(업무일지!$F$5:$F$1004,$A27,업무일지!$D$5:$D$1004,"분석"))</f>
        <v/>
      </c>
      <c r="H27" s="63">
        <f>IF($A27="","",F27+G27)</f>
        <v/>
      </c>
      <c r="I27" s="24">
        <f>IF($A27="","",SUMIFS(업무일지!$U$5:$U$1004,업무일지!$F$5:$F$1004,$A27,업무일지!$D$5:$D$1004,"출장"))</f>
        <v/>
      </c>
      <c r="J27" s="25">
        <f>IF($A27="","",SUMIFS(업무일지!$W$5:$W$1004,업무일지!$F$5:$F$1004,$A27))</f>
        <v/>
      </c>
      <c r="K27" s="24">
        <f>IF($A27="","",SUMIFS(업무일지!$S$5:$S$1004,업무일지!$F$5:$F$1004,$A27))</f>
        <v/>
      </c>
      <c r="L27" s="26">
        <f>IF($A27="","",SUMIFS(업무일지!$T$5:$T$1004,업무일지!$F$5:$F$1004,$A27))</f>
        <v/>
      </c>
      <c r="M27" s="24">
        <f>IF($A27="","",COUNTIFS(일일실시사항!$G$5:$G$1004,$A27))</f>
        <v/>
      </c>
      <c r="N27" s="75">
        <f>IF($A27="","",IFERROR(IF(_xlfn.MINIFS(업무일지!$B$5:$B$1004,업무일지!$F$5:$F$1004,$A27)=0,"",_xlfn.MINIFS(업무일지!$B$5:$B$1004,업무일지!$F$5:$F$1004,$A27)),""))</f>
        <v/>
      </c>
      <c r="O27" s="75">
        <f>IF($A27="","",IFERROR(IF(_xlfn.MAXIFS(업무일지!$C$5:$C$1004,업무일지!$F$5:$F$1004,$A27)=0,"",_xlfn.MAXIFS(업무일지!$C$5:$C$1004,업무일지!$F$5:$F$1004,$A27)),""))</f>
        <v/>
      </c>
      <c r="P27" s="63">
        <f>IF(OR($N27="",$O27=""),"",$O27-$N27+1)</f>
        <v/>
      </c>
      <c r="Q27" s="74">
        <f>IF($A27="","",사건마스터!$E26)</f>
        <v/>
      </c>
    </row>
    <row r="28">
      <c r="A28" s="68">
        <f>IF(사건마스터!$A27="","",사건마스터!$A27)</f>
        <v/>
      </c>
      <c r="B28" s="73">
        <f>IF($A28="","",사건마스터!$B27)</f>
        <v/>
      </c>
      <c r="C28" s="73">
        <f>IF($A28="","",사건마스터!$C27)</f>
        <v/>
      </c>
      <c r="D28" s="74">
        <f>IF($A28="","",사건마스터!$H27)</f>
        <v/>
      </c>
      <c r="E28" s="24">
        <f>IF($A28="","",사건마스터!$G27)</f>
        <v/>
      </c>
      <c r="F28" s="24">
        <f>IF($A28="","",COUNTIFS(업무일지!$F$5:$F$1004,$A28,업무일지!$D$5:$D$1004,"출장"))</f>
        <v/>
      </c>
      <c r="G28" s="24">
        <f>IF($A28="","",COUNTIFS(업무일지!$F$5:$F$1004,$A28,업무일지!$D$5:$D$1004,"분석"))</f>
        <v/>
      </c>
      <c r="H28" s="63">
        <f>IF($A28="","",F28+G28)</f>
        <v/>
      </c>
      <c r="I28" s="24">
        <f>IF($A28="","",SUMIFS(업무일지!$U$5:$U$1004,업무일지!$F$5:$F$1004,$A28,업무일지!$D$5:$D$1004,"출장"))</f>
        <v/>
      </c>
      <c r="J28" s="25">
        <f>IF($A28="","",SUMIFS(업무일지!$W$5:$W$1004,업무일지!$F$5:$F$1004,$A28))</f>
        <v/>
      </c>
      <c r="K28" s="24">
        <f>IF($A28="","",SUMIFS(업무일지!$S$5:$S$1004,업무일지!$F$5:$F$1004,$A28))</f>
        <v/>
      </c>
      <c r="L28" s="26">
        <f>IF($A28="","",SUMIFS(업무일지!$T$5:$T$1004,업무일지!$F$5:$F$1004,$A28))</f>
        <v/>
      </c>
      <c r="M28" s="24">
        <f>IF($A28="","",COUNTIFS(일일실시사항!$G$5:$G$1004,$A28))</f>
        <v/>
      </c>
      <c r="N28" s="75">
        <f>IF($A28="","",IFERROR(IF(_xlfn.MINIFS(업무일지!$B$5:$B$1004,업무일지!$F$5:$F$1004,$A28)=0,"",_xlfn.MINIFS(업무일지!$B$5:$B$1004,업무일지!$F$5:$F$1004,$A28)),""))</f>
        <v/>
      </c>
      <c r="O28" s="75">
        <f>IF($A28="","",IFERROR(IF(_xlfn.MAXIFS(업무일지!$C$5:$C$1004,업무일지!$F$5:$F$1004,$A28)=0,"",_xlfn.MAXIFS(업무일지!$C$5:$C$1004,업무일지!$F$5:$F$1004,$A28)),""))</f>
        <v/>
      </c>
      <c r="P28" s="63">
        <f>IF(OR($N28="",$O28=""),"",$O28-$N28+1)</f>
        <v/>
      </c>
      <c r="Q28" s="74">
        <f>IF($A28="","",사건마스터!$E27)</f>
        <v/>
      </c>
    </row>
    <row r="29">
      <c r="A29" s="68">
        <f>IF(사건마스터!$A28="","",사건마스터!$A28)</f>
        <v/>
      </c>
      <c r="B29" s="73">
        <f>IF($A29="","",사건마스터!$B28)</f>
        <v/>
      </c>
      <c r="C29" s="73">
        <f>IF($A29="","",사건마스터!$C28)</f>
        <v/>
      </c>
      <c r="D29" s="74">
        <f>IF($A29="","",사건마스터!$H28)</f>
        <v/>
      </c>
      <c r="E29" s="24">
        <f>IF($A29="","",사건마스터!$G28)</f>
        <v/>
      </c>
      <c r="F29" s="24">
        <f>IF($A29="","",COUNTIFS(업무일지!$F$5:$F$1004,$A29,업무일지!$D$5:$D$1004,"출장"))</f>
        <v/>
      </c>
      <c r="G29" s="24">
        <f>IF($A29="","",COUNTIFS(업무일지!$F$5:$F$1004,$A29,업무일지!$D$5:$D$1004,"분석"))</f>
        <v/>
      </c>
      <c r="H29" s="63">
        <f>IF($A29="","",F29+G29)</f>
        <v/>
      </c>
      <c r="I29" s="24">
        <f>IF($A29="","",SUMIFS(업무일지!$U$5:$U$1004,업무일지!$F$5:$F$1004,$A29,업무일지!$D$5:$D$1004,"출장"))</f>
        <v/>
      </c>
      <c r="J29" s="25">
        <f>IF($A29="","",SUMIFS(업무일지!$W$5:$W$1004,업무일지!$F$5:$F$1004,$A29))</f>
        <v/>
      </c>
      <c r="K29" s="24">
        <f>IF($A29="","",SUMIFS(업무일지!$S$5:$S$1004,업무일지!$F$5:$F$1004,$A29))</f>
        <v/>
      </c>
      <c r="L29" s="26">
        <f>IF($A29="","",SUMIFS(업무일지!$T$5:$T$1004,업무일지!$F$5:$F$1004,$A29))</f>
        <v/>
      </c>
      <c r="M29" s="24">
        <f>IF($A29="","",COUNTIFS(일일실시사항!$G$5:$G$1004,$A29))</f>
        <v/>
      </c>
      <c r="N29" s="75">
        <f>IF($A29="","",IFERROR(IF(_xlfn.MINIFS(업무일지!$B$5:$B$1004,업무일지!$F$5:$F$1004,$A29)=0,"",_xlfn.MINIFS(업무일지!$B$5:$B$1004,업무일지!$F$5:$F$1004,$A29)),""))</f>
        <v/>
      </c>
      <c r="O29" s="75">
        <f>IF($A29="","",IFERROR(IF(_xlfn.MAXIFS(업무일지!$C$5:$C$1004,업무일지!$F$5:$F$1004,$A29)=0,"",_xlfn.MAXIFS(업무일지!$C$5:$C$1004,업무일지!$F$5:$F$1004,$A29)),""))</f>
        <v/>
      </c>
      <c r="P29" s="63">
        <f>IF(OR($N29="",$O29=""),"",$O29-$N29+1)</f>
        <v/>
      </c>
      <c r="Q29" s="74">
        <f>IF($A29="","",사건마스터!$E28)</f>
        <v/>
      </c>
    </row>
    <row r="30">
      <c r="A30" s="68">
        <f>IF(사건마스터!$A29="","",사건마스터!$A29)</f>
        <v/>
      </c>
      <c r="B30" s="73">
        <f>IF($A30="","",사건마스터!$B29)</f>
        <v/>
      </c>
      <c r="C30" s="73">
        <f>IF($A30="","",사건마스터!$C29)</f>
        <v/>
      </c>
      <c r="D30" s="74">
        <f>IF($A30="","",사건마스터!$H29)</f>
        <v/>
      </c>
      <c r="E30" s="24">
        <f>IF($A30="","",사건마스터!$G29)</f>
        <v/>
      </c>
      <c r="F30" s="24">
        <f>IF($A30="","",COUNTIFS(업무일지!$F$5:$F$1004,$A30,업무일지!$D$5:$D$1004,"출장"))</f>
        <v/>
      </c>
      <c r="G30" s="24">
        <f>IF($A30="","",COUNTIFS(업무일지!$F$5:$F$1004,$A30,업무일지!$D$5:$D$1004,"분석"))</f>
        <v/>
      </c>
      <c r="H30" s="63">
        <f>IF($A30="","",F30+G30)</f>
        <v/>
      </c>
      <c r="I30" s="24">
        <f>IF($A30="","",SUMIFS(업무일지!$U$5:$U$1004,업무일지!$F$5:$F$1004,$A30,업무일지!$D$5:$D$1004,"출장"))</f>
        <v/>
      </c>
      <c r="J30" s="25">
        <f>IF($A30="","",SUMIFS(업무일지!$W$5:$W$1004,업무일지!$F$5:$F$1004,$A30))</f>
        <v/>
      </c>
      <c r="K30" s="24">
        <f>IF($A30="","",SUMIFS(업무일지!$S$5:$S$1004,업무일지!$F$5:$F$1004,$A30))</f>
        <v/>
      </c>
      <c r="L30" s="26">
        <f>IF($A30="","",SUMIFS(업무일지!$T$5:$T$1004,업무일지!$F$5:$F$1004,$A30))</f>
        <v/>
      </c>
      <c r="M30" s="24">
        <f>IF($A30="","",COUNTIFS(일일실시사항!$G$5:$G$1004,$A30))</f>
        <v/>
      </c>
      <c r="N30" s="75">
        <f>IF($A30="","",IFERROR(IF(_xlfn.MINIFS(업무일지!$B$5:$B$1004,업무일지!$F$5:$F$1004,$A30)=0,"",_xlfn.MINIFS(업무일지!$B$5:$B$1004,업무일지!$F$5:$F$1004,$A30)),""))</f>
        <v/>
      </c>
      <c r="O30" s="75">
        <f>IF($A30="","",IFERROR(IF(_xlfn.MAXIFS(업무일지!$C$5:$C$1004,업무일지!$F$5:$F$1004,$A30)=0,"",_xlfn.MAXIFS(업무일지!$C$5:$C$1004,업무일지!$F$5:$F$1004,$A30)),""))</f>
        <v/>
      </c>
      <c r="P30" s="63">
        <f>IF(OR($N30="",$O30=""),"",$O30-$N30+1)</f>
        <v/>
      </c>
      <c r="Q30" s="74">
        <f>IF($A30="","",사건마스터!$E29)</f>
        <v/>
      </c>
    </row>
    <row r="31">
      <c r="A31" s="68">
        <f>IF(사건마스터!$A30="","",사건마스터!$A30)</f>
        <v/>
      </c>
      <c r="B31" s="73">
        <f>IF($A31="","",사건마스터!$B30)</f>
        <v/>
      </c>
      <c r="C31" s="73">
        <f>IF($A31="","",사건마스터!$C30)</f>
        <v/>
      </c>
      <c r="D31" s="74">
        <f>IF($A31="","",사건마스터!$H30)</f>
        <v/>
      </c>
      <c r="E31" s="24">
        <f>IF($A31="","",사건마스터!$G30)</f>
        <v/>
      </c>
      <c r="F31" s="24">
        <f>IF($A31="","",COUNTIFS(업무일지!$F$5:$F$1004,$A31,업무일지!$D$5:$D$1004,"출장"))</f>
        <v/>
      </c>
      <c r="G31" s="24">
        <f>IF($A31="","",COUNTIFS(업무일지!$F$5:$F$1004,$A31,업무일지!$D$5:$D$1004,"분석"))</f>
        <v/>
      </c>
      <c r="H31" s="63">
        <f>IF($A31="","",F31+G31)</f>
        <v/>
      </c>
      <c r="I31" s="24">
        <f>IF($A31="","",SUMIFS(업무일지!$U$5:$U$1004,업무일지!$F$5:$F$1004,$A31,업무일지!$D$5:$D$1004,"출장"))</f>
        <v/>
      </c>
      <c r="J31" s="25">
        <f>IF($A31="","",SUMIFS(업무일지!$W$5:$W$1004,업무일지!$F$5:$F$1004,$A31))</f>
        <v/>
      </c>
      <c r="K31" s="24">
        <f>IF($A31="","",SUMIFS(업무일지!$S$5:$S$1004,업무일지!$F$5:$F$1004,$A31))</f>
        <v/>
      </c>
      <c r="L31" s="26">
        <f>IF($A31="","",SUMIFS(업무일지!$T$5:$T$1004,업무일지!$F$5:$F$1004,$A31))</f>
        <v/>
      </c>
      <c r="M31" s="24">
        <f>IF($A31="","",COUNTIFS(일일실시사항!$G$5:$G$1004,$A31))</f>
        <v/>
      </c>
      <c r="N31" s="75">
        <f>IF($A31="","",IFERROR(IF(_xlfn.MINIFS(업무일지!$B$5:$B$1004,업무일지!$F$5:$F$1004,$A31)=0,"",_xlfn.MINIFS(업무일지!$B$5:$B$1004,업무일지!$F$5:$F$1004,$A31)),""))</f>
        <v/>
      </c>
      <c r="O31" s="75">
        <f>IF($A31="","",IFERROR(IF(_xlfn.MAXIFS(업무일지!$C$5:$C$1004,업무일지!$F$5:$F$1004,$A31)=0,"",_xlfn.MAXIFS(업무일지!$C$5:$C$1004,업무일지!$F$5:$F$1004,$A31)),""))</f>
        <v/>
      </c>
      <c r="P31" s="63">
        <f>IF(OR($N31="",$O31=""),"",$O31-$N31+1)</f>
        <v/>
      </c>
      <c r="Q31" s="74">
        <f>IF($A31="","",사건마스터!$E30)</f>
        <v/>
      </c>
    </row>
    <row r="32">
      <c r="A32" s="68">
        <f>IF(사건마스터!$A31="","",사건마스터!$A31)</f>
        <v/>
      </c>
      <c r="B32" s="73">
        <f>IF($A32="","",사건마스터!$B31)</f>
        <v/>
      </c>
      <c r="C32" s="73">
        <f>IF($A32="","",사건마스터!$C31)</f>
        <v/>
      </c>
      <c r="D32" s="74">
        <f>IF($A32="","",사건마스터!$H31)</f>
        <v/>
      </c>
      <c r="E32" s="24">
        <f>IF($A32="","",사건마스터!$G31)</f>
        <v/>
      </c>
      <c r="F32" s="24">
        <f>IF($A32="","",COUNTIFS(업무일지!$F$5:$F$1004,$A32,업무일지!$D$5:$D$1004,"출장"))</f>
        <v/>
      </c>
      <c r="G32" s="24">
        <f>IF($A32="","",COUNTIFS(업무일지!$F$5:$F$1004,$A32,업무일지!$D$5:$D$1004,"분석"))</f>
        <v/>
      </c>
      <c r="H32" s="63">
        <f>IF($A32="","",F32+G32)</f>
        <v/>
      </c>
      <c r="I32" s="24">
        <f>IF($A32="","",SUMIFS(업무일지!$U$5:$U$1004,업무일지!$F$5:$F$1004,$A32,업무일지!$D$5:$D$1004,"출장"))</f>
        <v/>
      </c>
      <c r="J32" s="25">
        <f>IF($A32="","",SUMIFS(업무일지!$W$5:$W$1004,업무일지!$F$5:$F$1004,$A32))</f>
        <v/>
      </c>
      <c r="K32" s="24">
        <f>IF($A32="","",SUMIFS(업무일지!$S$5:$S$1004,업무일지!$F$5:$F$1004,$A32))</f>
        <v/>
      </c>
      <c r="L32" s="26">
        <f>IF($A32="","",SUMIFS(업무일지!$T$5:$T$1004,업무일지!$F$5:$F$1004,$A32))</f>
        <v/>
      </c>
      <c r="M32" s="24">
        <f>IF($A32="","",COUNTIFS(일일실시사항!$G$5:$G$1004,$A32))</f>
        <v/>
      </c>
      <c r="N32" s="75">
        <f>IF($A32="","",IFERROR(IF(_xlfn.MINIFS(업무일지!$B$5:$B$1004,업무일지!$F$5:$F$1004,$A32)=0,"",_xlfn.MINIFS(업무일지!$B$5:$B$1004,업무일지!$F$5:$F$1004,$A32)),""))</f>
        <v/>
      </c>
      <c r="O32" s="75">
        <f>IF($A32="","",IFERROR(IF(_xlfn.MAXIFS(업무일지!$C$5:$C$1004,업무일지!$F$5:$F$1004,$A32)=0,"",_xlfn.MAXIFS(업무일지!$C$5:$C$1004,업무일지!$F$5:$F$1004,$A32)),""))</f>
        <v/>
      </c>
      <c r="P32" s="63">
        <f>IF(OR($N32="",$O32=""),"",$O32-$N32+1)</f>
        <v/>
      </c>
      <c r="Q32" s="74">
        <f>IF($A32="","",사건마스터!$E31)</f>
        <v/>
      </c>
    </row>
    <row r="33">
      <c r="A33" s="68">
        <f>IF(사건마스터!$A32="","",사건마스터!$A32)</f>
        <v/>
      </c>
      <c r="B33" s="73">
        <f>IF($A33="","",사건마스터!$B32)</f>
        <v/>
      </c>
      <c r="C33" s="73">
        <f>IF($A33="","",사건마스터!$C32)</f>
        <v/>
      </c>
      <c r="D33" s="74">
        <f>IF($A33="","",사건마스터!$H32)</f>
        <v/>
      </c>
      <c r="E33" s="24">
        <f>IF($A33="","",사건마스터!$G32)</f>
        <v/>
      </c>
      <c r="F33" s="24">
        <f>IF($A33="","",COUNTIFS(업무일지!$F$5:$F$1004,$A33,업무일지!$D$5:$D$1004,"출장"))</f>
        <v/>
      </c>
      <c r="G33" s="24">
        <f>IF($A33="","",COUNTIFS(업무일지!$F$5:$F$1004,$A33,업무일지!$D$5:$D$1004,"분석"))</f>
        <v/>
      </c>
      <c r="H33" s="63">
        <f>IF($A33="","",F33+G33)</f>
        <v/>
      </c>
      <c r="I33" s="24">
        <f>IF($A33="","",SUMIFS(업무일지!$U$5:$U$1004,업무일지!$F$5:$F$1004,$A33,업무일지!$D$5:$D$1004,"출장"))</f>
        <v/>
      </c>
      <c r="J33" s="25">
        <f>IF($A33="","",SUMIFS(업무일지!$W$5:$W$1004,업무일지!$F$5:$F$1004,$A33))</f>
        <v/>
      </c>
      <c r="K33" s="24">
        <f>IF($A33="","",SUMIFS(업무일지!$S$5:$S$1004,업무일지!$F$5:$F$1004,$A33))</f>
        <v/>
      </c>
      <c r="L33" s="26">
        <f>IF($A33="","",SUMIFS(업무일지!$T$5:$T$1004,업무일지!$F$5:$F$1004,$A33))</f>
        <v/>
      </c>
      <c r="M33" s="24">
        <f>IF($A33="","",COUNTIFS(일일실시사항!$G$5:$G$1004,$A33))</f>
        <v/>
      </c>
      <c r="N33" s="75">
        <f>IF($A33="","",IFERROR(IF(_xlfn.MINIFS(업무일지!$B$5:$B$1004,업무일지!$F$5:$F$1004,$A33)=0,"",_xlfn.MINIFS(업무일지!$B$5:$B$1004,업무일지!$F$5:$F$1004,$A33)),""))</f>
        <v/>
      </c>
      <c r="O33" s="75">
        <f>IF($A33="","",IFERROR(IF(_xlfn.MAXIFS(업무일지!$C$5:$C$1004,업무일지!$F$5:$F$1004,$A33)=0,"",_xlfn.MAXIFS(업무일지!$C$5:$C$1004,업무일지!$F$5:$F$1004,$A33)),""))</f>
        <v/>
      </c>
      <c r="P33" s="63">
        <f>IF(OR($N33="",$O33=""),"",$O33-$N33+1)</f>
        <v/>
      </c>
      <c r="Q33" s="74">
        <f>IF($A33="","",사건마스터!$E32)</f>
        <v/>
      </c>
    </row>
    <row r="34">
      <c r="A34" s="68">
        <f>IF(사건마스터!$A33="","",사건마스터!$A33)</f>
        <v/>
      </c>
      <c r="B34" s="73">
        <f>IF($A34="","",사건마스터!$B33)</f>
        <v/>
      </c>
      <c r="C34" s="73">
        <f>IF($A34="","",사건마스터!$C33)</f>
        <v/>
      </c>
      <c r="D34" s="74">
        <f>IF($A34="","",사건마스터!$H33)</f>
        <v/>
      </c>
      <c r="E34" s="24">
        <f>IF($A34="","",사건마스터!$G33)</f>
        <v/>
      </c>
      <c r="F34" s="24">
        <f>IF($A34="","",COUNTIFS(업무일지!$F$5:$F$1004,$A34,업무일지!$D$5:$D$1004,"출장"))</f>
        <v/>
      </c>
      <c r="G34" s="24">
        <f>IF($A34="","",COUNTIFS(업무일지!$F$5:$F$1004,$A34,업무일지!$D$5:$D$1004,"분석"))</f>
        <v/>
      </c>
      <c r="H34" s="63">
        <f>IF($A34="","",F34+G34)</f>
        <v/>
      </c>
      <c r="I34" s="24">
        <f>IF($A34="","",SUMIFS(업무일지!$U$5:$U$1004,업무일지!$F$5:$F$1004,$A34,업무일지!$D$5:$D$1004,"출장"))</f>
        <v/>
      </c>
      <c r="J34" s="25">
        <f>IF($A34="","",SUMIFS(업무일지!$W$5:$W$1004,업무일지!$F$5:$F$1004,$A34))</f>
        <v/>
      </c>
      <c r="K34" s="24">
        <f>IF($A34="","",SUMIFS(업무일지!$S$5:$S$1004,업무일지!$F$5:$F$1004,$A34))</f>
        <v/>
      </c>
      <c r="L34" s="26">
        <f>IF($A34="","",SUMIFS(업무일지!$T$5:$T$1004,업무일지!$F$5:$F$1004,$A34))</f>
        <v/>
      </c>
      <c r="M34" s="24">
        <f>IF($A34="","",COUNTIFS(일일실시사항!$G$5:$G$1004,$A34))</f>
        <v/>
      </c>
      <c r="N34" s="75">
        <f>IF($A34="","",IFERROR(IF(_xlfn.MINIFS(업무일지!$B$5:$B$1004,업무일지!$F$5:$F$1004,$A34)=0,"",_xlfn.MINIFS(업무일지!$B$5:$B$1004,업무일지!$F$5:$F$1004,$A34)),""))</f>
        <v/>
      </c>
      <c r="O34" s="75">
        <f>IF($A34="","",IFERROR(IF(_xlfn.MAXIFS(업무일지!$C$5:$C$1004,업무일지!$F$5:$F$1004,$A34)=0,"",_xlfn.MAXIFS(업무일지!$C$5:$C$1004,업무일지!$F$5:$F$1004,$A34)),""))</f>
        <v/>
      </c>
      <c r="P34" s="63">
        <f>IF(OR($N34="",$O34=""),"",$O34-$N34+1)</f>
        <v/>
      </c>
      <c r="Q34" s="74">
        <f>IF($A34="","",사건마스터!$E33)</f>
        <v/>
      </c>
    </row>
    <row r="35">
      <c r="A35" s="68">
        <f>IF(사건마스터!$A34="","",사건마스터!$A34)</f>
        <v/>
      </c>
      <c r="B35" s="73">
        <f>IF($A35="","",사건마스터!$B34)</f>
        <v/>
      </c>
      <c r="C35" s="73">
        <f>IF($A35="","",사건마스터!$C34)</f>
        <v/>
      </c>
      <c r="D35" s="74">
        <f>IF($A35="","",사건마스터!$H34)</f>
        <v/>
      </c>
      <c r="E35" s="24">
        <f>IF($A35="","",사건마스터!$G34)</f>
        <v/>
      </c>
      <c r="F35" s="24">
        <f>IF($A35="","",COUNTIFS(업무일지!$F$5:$F$1004,$A35,업무일지!$D$5:$D$1004,"출장"))</f>
        <v/>
      </c>
      <c r="G35" s="24">
        <f>IF($A35="","",COUNTIFS(업무일지!$F$5:$F$1004,$A35,업무일지!$D$5:$D$1004,"분석"))</f>
        <v/>
      </c>
      <c r="H35" s="63">
        <f>IF($A35="","",F35+G35)</f>
        <v/>
      </c>
      <c r="I35" s="24">
        <f>IF($A35="","",SUMIFS(업무일지!$U$5:$U$1004,업무일지!$F$5:$F$1004,$A35,업무일지!$D$5:$D$1004,"출장"))</f>
        <v/>
      </c>
      <c r="J35" s="25">
        <f>IF($A35="","",SUMIFS(업무일지!$W$5:$W$1004,업무일지!$F$5:$F$1004,$A35))</f>
        <v/>
      </c>
      <c r="K35" s="24">
        <f>IF($A35="","",SUMIFS(업무일지!$S$5:$S$1004,업무일지!$F$5:$F$1004,$A35))</f>
        <v/>
      </c>
      <c r="L35" s="26">
        <f>IF($A35="","",SUMIFS(업무일지!$T$5:$T$1004,업무일지!$F$5:$F$1004,$A35))</f>
        <v/>
      </c>
      <c r="M35" s="24">
        <f>IF($A35="","",COUNTIFS(일일실시사항!$G$5:$G$1004,$A35))</f>
        <v/>
      </c>
      <c r="N35" s="75">
        <f>IF($A35="","",IFERROR(IF(_xlfn.MINIFS(업무일지!$B$5:$B$1004,업무일지!$F$5:$F$1004,$A35)=0,"",_xlfn.MINIFS(업무일지!$B$5:$B$1004,업무일지!$F$5:$F$1004,$A35)),""))</f>
        <v/>
      </c>
      <c r="O35" s="75">
        <f>IF($A35="","",IFERROR(IF(_xlfn.MAXIFS(업무일지!$C$5:$C$1004,업무일지!$F$5:$F$1004,$A35)=0,"",_xlfn.MAXIFS(업무일지!$C$5:$C$1004,업무일지!$F$5:$F$1004,$A35)),""))</f>
        <v/>
      </c>
      <c r="P35" s="63">
        <f>IF(OR($N35="",$O35=""),"",$O35-$N35+1)</f>
        <v/>
      </c>
      <c r="Q35" s="74">
        <f>IF($A35="","",사건마스터!$E34)</f>
        <v/>
      </c>
    </row>
    <row r="36">
      <c r="A36" s="68">
        <f>IF(사건마스터!$A35="","",사건마스터!$A35)</f>
        <v/>
      </c>
      <c r="B36" s="73">
        <f>IF($A36="","",사건마스터!$B35)</f>
        <v/>
      </c>
      <c r="C36" s="73">
        <f>IF($A36="","",사건마스터!$C35)</f>
        <v/>
      </c>
      <c r="D36" s="74">
        <f>IF($A36="","",사건마스터!$H35)</f>
        <v/>
      </c>
      <c r="E36" s="24">
        <f>IF($A36="","",사건마스터!$G35)</f>
        <v/>
      </c>
      <c r="F36" s="24">
        <f>IF($A36="","",COUNTIFS(업무일지!$F$5:$F$1004,$A36,업무일지!$D$5:$D$1004,"출장"))</f>
        <v/>
      </c>
      <c r="G36" s="24">
        <f>IF($A36="","",COUNTIFS(업무일지!$F$5:$F$1004,$A36,업무일지!$D$5:$D$1004,"분석"))</f>
        <v/>
      </c>
      <c r="H36" s="63">
        <f>IF($A36="","",F36+G36)</f>
        <v/>
      </c>
      <c r="I36" s="24">
        <f>IF($A36="","",SUMIFS(업무일지!$U$5:$U$1004,업무일지!$F$5:$F$1004,$A36,업무일지!$D$5:$D$1004,"출장"))</f>
        <v/>
      </c>
      <c r="J36" s="25">
        <f>IF($A36="","",SUMIFS(업무일지!$W$5:$W$1004,업무일지!$F$5:$F$1004,$A36))</f>
        <v/>
      </c>
      <c r="K36" s="24">
        <f>IF($A36="","",SUMIFS(업무일지!$S$5:$S$1004,업무일지!$F$5:$F$1004,$A36))</f>
        <v/>
      </c>
      <c r="L36" s="26">
        <f>IF($A36="","",SUMIFS(업무일지!$T$5:$T$1004,업무일지!$F$5:$F$1004,$A36))</f>
        <v/>
      </c>
      <c r="M36" s="24">
        <f>IF($A36="","",COUNTIFS(일일실시사항!$G$5:$G$1004,$A36))</f>
        <v/>
      </c>
      <c r="N36" s="75">
        <f>IF($A36="","",IFERROR(IF(_xlfn.MINIFS(업무일지!$B$5:$B$1004,업무일지!$F$5:$F$1004,$A36)=0,"",_xlfn.MINIFS(업무일지!$B$5:$B$1004,업무일지!$F$5:$F$1004,$A36)),""))</f>
        <v/>
      </c>
      <c r="O36" s="75">
        <f>IF($A36="","",IFERROR(IF(_xlfn.MAXIFS(업무일지!$C$5:$C$1004,업무일지!$F$5:$F$1004,$A36)=0,"",_xlfn.MAXIFS(업무일지!$C$5:$C$1004,업무일지!$F$5:$F$1004,$A36)),""))</f>
        <v/>
      </c>
      <c r="P36" s="63">
        <f>IF(OR($N36="",$O36=""),"",$O36-$N36+1)</f>
        <v/>
      </c>
      <c r="Q36" s="74">
        <f>IF($A36="","",사건마스터!$E35)</f>
        <v/>
      </c>
    </row>
    <row r="37">
      <c r="A37" s="68">
        <f>IF(사건마스터!$A36="","",사건마스터!$A36)</f>
        <v/>
      </c>
      <c r="B37" s="73">
        <f>IF($A37="","",사건마스터!$B36)</f>
        <v/>
      </c>
      <c r="C37" s="73">
        <f>IF($A37="","",사건마스터!$C36)</f>
        <v/>
      </c>
      <c r="D37" s="74">
        <f>IF($A37="","",사건마스터!$H36)</f>
        <v/>
      </c>
      <c r="E37" s="24">
        <f>IF($A37="","",사건마스터!$G36)</f>
        <v/>
      </c>
      <c r="F37" s="24">
        <f>IF($A37="","",COUNTIFS(업무일지!$F$5:$F$1004,$A37,업무일지!$D$5:$D$1004,"출장"))</f>
        <v/>
      </c>
      <c r="G37" s="24">
        <f>IF($A37="","",COUNTIFS(업무일지!$F$5:$F$1004,$A37,업무일지!$D$5:$D$1004,"분석"))</f>
        <v/>
      </c>
      <c r="H37" s="63">
        <f>IF($A37="","",F37+G37)</f>
        <v/>
      </c>
      <c r="I37" s="24">
        <f>IF($A37="","",SUMIFS(업무일지!$U$5:$U$1004,업무일지!$F$5:$F$1004,$A37,업무일지!$D$5:$D$1004,"출장"))</f>
        <v/>
      </c>
      <c r="J37" s="25">
        <f>IF($A37="","",SUMIFS(업무일지!$W$5:$W$1004,업무일지!$F$5:$F$1004,$A37))</f>
        <v/>
      </c>
      <c r="K37" s="24">
        <f>IF($A37="","",SUMIFS(업무일지!$S$5:$S$1004,업무일지!$F$5:$F$1004,$A37))</f>
        <v/>
      </c>
      <c r="L37" s="26">
        <f>IF($A37="","",SUMIFS(업무일지!$T$5:$T$1004,업무일지!$F$5:$F$1004,$A37))</f>
        <v/>
      </c>
      <c r="M37" s="24">
        <f>IF($A37="","",COUNTIFS(일일실시사항!$G$5:$G$1004,$A37))</f>
        <v/>
      </c>
      <c r="N37" s="75">
        <f>IF($A37="","",IFERROR(IF(_xlfn.MINIFS(업무일지!$B$5:$B$1004,업무일지!$F$5:$F$1004,$A37)=0,"",_xlfn.MINIFS(업무일지!$B$5:$B$1004,업무일지!$F$5:$F$1004,$A37)),""))</f>
        <v/>
      </c>
      <c r="O37" s="75">
        <f>IF($A37="","",IFERROR(IF(_xlfn.MAXIFS(업무일지!$C$5:$C$1004,업무일지!$F$5:$F$1004,$A37)=0,"",_xlfn.MAXIFS(업무일지!$C$5:$C$1004,업무일지!$F$5:$F$1004,$A37)),""))</f>
        <v/>
      </c>
      <c r="P37" s="63">
        <f>IF(OR($N37="",$O37=""),"",$O37-$N37+1)</f>
        <v/>
      </c>
      <c r="Q37" s="74">
        <f>IF($A37="","",사건마스터!$E36)</f>
        <v/>
      </c>
    </row>
    <row r="38">
      <c r="A38" s="68">
        <f>IF(사건마스터!$A37="","",사건마스터!$A37)</f>
        <v/>
      </c>
      <c r="B38" s="73">
        <f>IF($A38="","",사건마스터!$B37)</f>
        <v/>
      </c>
      <c r="C38" s="73">
        <f>IF($A38="","",사건마스터!$C37)</f>
        <v/>
      </c>
      <c r="D38" s="74">
        <f>IF($A38="","",사건마스터!$H37)</f>
        <v/>
      </c>
      <c r="E38" s="24">
        <f>IF($A38="","",사건마스터!$G37)</f>
        <v/>
      </c>
      <c r="F38" s="24">
        <f>IF($A38="","",COUNTIFS(업무일지!$F$5:$F$1004,$A38,업무일지!$D$5:$D$1004,"출장"))</f>
        <v/>
      </c>
      <c r="G38" s="24">
        <f>IF($A38="","",COUNTIFS(업무일지!$F$5:$F$1004,$A38,업무일지!$D$5:$D$1004,"분석"))</f>
        <v/>
      </c>
      <c r="H38" s="63">
        <f>IF($A38="","",F38+G38)</f>
        <v/>
      </c>
      <c r="I38" s="24">
        <f>IF($A38="","",SUMIFS(업무일지!$U$5:$U$1004,업무일지!$F$5:$F$1004,$A38,업무일지!$D$5:$D$1004,"출장"))</f>
        <v/>
      </c>
      <c r="J38" s="25">
        <f>IF($A38="","",SUMIFS(업무일지!$W$5:$W$1004,업무일지!$F$5:$F$1004,$A38))</f>
        <v/>
      </c>
      <c r="K38" s="24">
        <f>IF($A38="","",SUMIFS(업무일지!$S$5:$S$1004,업무일지!$F$5:$F$1004,$A38))</f>
        <v/>
      </c>
      <c r="L38" s="26">
        <f>IF($A38="","",SUMIFS(업무일지!$T$5:$T$1004,업무일지!$F$5:$F$1004,$A38))</f>
        <v/>
      </c>
      <c r="M38" s="24">
        <f>IF($A38="","",COUNTIFS(일일실시사항!$G$5:$G$1004,$A38))</f>
        <v/>
      </c>
      <c r="N38" s="75">
        <f>IF($A38="","",IFERROR(IF(_xlfn.MINIFS(업무일지!$B$5:$B$1004,업무일지!$F$5:$F$1004,$A38)=0,"",_xlfn.MINIFS(업무일지!$B$5:$B$1004,업무일지!$F$5:$F$1004,$A38)),""))</f>
        <v/>
      </c>
      <c r="O38" s="75">
        <f>IF($A38="","",IFERROR(IF(_xlfn.MAXIFS(업무일지!$C$5:$C$1004,업무일지!$F$5:$F$1004,$A38)=0,"",_xlfn.MAXIFS(업무일지!$C$5:$C$1004,업무일지!$F$5:$F$1004,$A38)),""))</f>
        <v/>
      </c>
      <c r="P38" s="63">
        <f>IF(OR($N38="",$O38=""),"",$O38-$N38+1)</f>
        <v/>
      </c>
      <c r="Q38" s="74">
        <f>IF($A38="","",사건마스터!$E37)</f>
        <v/>
      </c>
    </row>
    <row r="39">
      <c r="A39" s="68">
        <f>IF(사건마스터!$A38="","",사건마스터!$A38)</f>
        <v/>
      </c>
      <c r="B39" s="73">
        <f>IF($A39="","",사건마스터!$B38)</f>
        <v/>
      </c>
      <c r="C39" s="73">
        <f>IF($A39="","",사건마스터!$C38)</f>
        <v/>
      </c>
      <c r="D39" s="74">
        <f>IF($A39="","",사건마스터!$H38)</f>
        <v/>
      </c>
      <c r="E39" s="24">
        <f>IF($A39="","",사건마스터!$G38)</f>
        <v/>
      </c>
      <c r="F39" s="24">
        <f>IF($A39="","",COUNTIFS(업무일지!$F$5:$F$1004,$A39,업무일지!$D$5:$D$1004,"출장"))</f>
        <v/>
      </c>
      <c r="G39" s="24">
        <f>IF($A39="","",COUNTIFS(업무일지!$F$5:$F$1004,$A39,업무일지!$D$5:$D$1004,"분석"))</f>
        <v/>
      </c>
      <c r="H39" s="63">
        <f>IF($A39="","",F39+G39)</f>
        <v/>
      </c>
      <c r="I39" s="24">
        <f>IF($A39="","",SUMIFS(업무일지!$U$5:$U$1004,업무일지!$F$5:$F$1004,$A39,업무일지!$D$5:$D$1004,"출장"))</f>
        <v/>
      </c>
      <c r="J39" s="25">
        <f>IF($A39="","",SUMIFS(업무일지!$W$5:$W$1004,업무일지!$F$5:$F$1004,$A39))</f>
        <v/>
      </c>
      <c r="K39" s="24">
        <f>IF($A39="","",SUMIFS(업무일지!$S$5:$S$1004,업무일지!$F$5:$F$1004,$A39))</f>
        <v/>
      </c>
      <c r="L39" s="26">
        <f>IF($A39="","",SUMIFS(업무일지!$T$5:$T$1004,업무일지!$F$5:$F$1004,$A39))</f>
        <v/>
      </c>
      <c r="M39" s="24">
        <f>IF($A39="","",COUNTIFS(일일실시사항!$G$5:$G$1004,$A39))</f>
        <v/>
      </c>
      <c r="N39" s="75">
        <f>IF($A39="","",IFERROR(IF(_xlfn.MINIFS(업무일지!$B$5:$B$1004,업무일지!$F$5:$F$1004,$A39)=0,"",_xlfn.MINIFS(업무일지!$B$5:$B$1004,업무일지!$F$5:$F$1004,$A39)),""))</f>
        <v/>
      </c>
      <c r="O39" s="75">
        <f>IF($A39="","",IFERROR(IF(_xlfn.MAXIFS(업무일지!$C$5:$C$1004,업무일지!$F$5:$F$1004,$A39)=0,"",_xlfn.MAXIFS(업무일지!$C$5:$C$1004,업무일지!$F$5:$F$1004,$A39)),""))</f>
        <v/>
      </c>
      <c r="P39" s="63">
        <f>IF(OR($N39="",$O39=""),"",$O39-$N39+1)</f>
        <v/>
      </c>
      <c r="Q39" s="74">
        <f>IF($A39="","",사건마스터!$E38)</f>
        <v/>
      </c>
    </row>
    <row r="40">
      <c r="A40" s="68">
        <f>IF(사건마스터!$A39="","",사건마스터!$A39)</f>
        <v/>
      </c>
      <c r="B40" s="73">
        <f>IF($A40="","",사건마스터!$B39)</f>
        <v/>
      </c>
      <c r="C40" s="73">
        <f>IF($A40="","",사건마스터!$C39)</f>
        <v/>
      </c>
      <c r="D40" s="74">
        <f>IF($A40="","",사건마스터!$H39)</f>
        <v/>
      </c>
      <c r="E40" s="24">
        <f>IF($A40="","",사건마스터!$G39)</f>
        <v/>
      </c>
      <c r="F40" s="24">
        <f>IF($A40="","",COUNTIFS(업무일지!$F$5:$F$1004,$A40,업무일지!$D$5:$D$1004,"출장"))</f>
        <v/>
      </c>
      <c r="G40" s="24">
        <f>IF($A40="","",COUNTIFS(업무일지!$F$5:$F$1004,$A40,업무일지!$D$5:$D$1004,"분석"))</f>
        <v/>
      </c>
      <c r="H40" s="63">
        <f>IF($A40="","",F40+G40)</f>
        <v/>
      </c>
      <c r="I40" s="24">
        <f>IF($A40="","",SUMIFS(업무일지!$U$5:$U$1004,업무일지!$F$5:$F$1004,$A40,업무일지!$D$5:$D$1004,"출장"))</f>
        <v/>
      </c>
      <c r="J40" s="25">
        <f>IF($A40="","",SUMIFS(업무일지!$W$5:$W$1004,업무일지!$F$5:$F$1004,$A40))</f>
        <v/>
      </c>
      <c r="K40" s="24">
        <f>IF($A40="","",SUMIFS(업무일지!$S$5:$S$1004,업무일지!$F$5:$F$1004,$A40))</f>
        <v/>
      </c>
      <c r="L40" s="26">
        <f>IF($A40="","",SUMIFS(업무일지!$T$5:$T$1004,업무일지!$F$5:$F$1004,$A40))</f>
        <v/>
      </c>
      <c r="M40" s="24">
        <f>IF($A40="","",COUNTIFS(일일실시사항!$G$5:$G$1004,$A40))</f>
        <v/>
      </c>
      <c r="N40" s="75">
        <f>IF($A40="","",IFERROR(IF(_xlfn.MINIFS(업무일지!$B$5:$B$1004,업무일지!$F$5:$F$1004,$A40)=0,"",_xlfn.MINIFS(업무일지!$B$5:$B$1004,업무일지!$F$5:$F$1004,$A40)),""))</f>
        <v/>
      </c>
      <c r="O40" s="75">
        <f>IF($A40="","",IFERROR(IF(_xlfn.MAXIFS(업무일지!$C$5:$C$1004,업무일지!$F$5:$F$1004,$A40)=0,"",_xlfn.MAXIFS(업무일지!$C$5:$C$1004,업무일지!$F$5:$F$1004,$A40)),""))</f>
        <v/>
      </c>
      <c r="P40" s="63">
        <f>IF(OR($N40="",$O40=""),"",$O40-$N40+1)</f>
        <v/>
      </c>
      <c r="Q40" s="74">
        <f>IF($A40="","",사건마스터!$E39)</f>
        <v/>
      </c>
    </row>
    <row r="41">
      <c r="A41" s="68">
        <f>IF(사건마스터!$A40="","",사건마스터!$A40)</f>
        <v/>
      </c>
      <c r="B41" s="73">
        <f>IF($A41="","",사건마스터!$B40)</f>
        <v/>
      </c>
      <c r="C41" s="73">
        <f>IF($A41="","",사건마스터!$C40)</f>
        <v/>
      </c>
      <c r="D41" s="74">
        <f>IF($A41="","",사건마스터!$H40)</f>
        <v/>
      </c>
      <c r="E41" s="24">
        <f>IF($A41="","",사건마스터!$G40)</f>
        <v/>
      </c>
      <c r="F41" s="24">
        <f>IF($A41="","",COUNTIFS(업무일지!$F$5:$F$1004,$A41,업무일지!$D$5:$D$1004,"출장"))</f>
        <v/>
      </c>
      <c r="G41" s="24">
        <f>IF($A41="","",COUNTIFS(업무일지!$F$5:$F$1004,$A41,업무일지!$D$5:$D$1004,"분석"))</f>
        <v/>
      </c>
      <c r="H41" s="63">
        <f>IF($A41="","",F41+G41)</f>
        <v/>
      </c>
      <c r="I41" s="24">
        <f>IF($A41="","",SUMIFS(업무일지!$U$5:$U$1004,업무일지!$F$5:$F$1004,$A41,업무일지!$D$5:$D$1004,"출장"))</f>
        <v/>
      </c>
      <c r="J41" s="25">
        <f>IF($A41="","",SUMIFS(업무일지!$W$5:$W$1004,업무일지!$F$5:$F$1004,$A41))</f>
        <v/>
      </c>
      <c r="K41" s="24">
        <f>IF($A41="","",SUMIFS(업무일지!$S$5:$S$1004,업무일지!$F$5:$F$1004,$A41))</f>
        <v/>
      </c>
      <c r="L41" s="26">
        <f>IF($A41="","",SUMIFS(업무일지!$T$5:$T$1004,업무일지!$F$5:$F$1004,$A41))</f>
        <v/>
      </c>
      <c r="M41" s="24">
        <f>IF($A41="","",COUNTIFS(일일실시사항!$G$5:$G$1004,$A41))</f>
        <v/>
      </c>
      <c r="N41" s="75">
        <f>IF($A41="","",IFERROR(IF(_xlfn.MINIFS(업무일지!$B$5:$B$1004,업무일지!$F$5:$F$1004,$A41)=0,"",_xlfn.MINIFS(업무일지!$B$5:$B$1004,업무일지!$F$5:$F$1004,$A41)),""))</f>
        <v/>
      </c>
      <c r="O41" s="75">
        <f>IF($A41="","",IFERROR(IF(_xlfn.MAXIFS(업무일지!$C$5:$C$1004,업무일지!$F$5:$F$1004,$A41)=0,"",_xlfn.MAXIFS(업무일지!$C$5:$C$1004,업무일지!$F$5:$F$1004,$A41)),""))</f>
        <v/>
      </c>
      <c r="P41" s="63">
        <f>IF(OR($N41="",$O41=""),"",$O41-$N41+1)</f>
        <v/>
      </c>
      <c r="Q41" s="74">
        <f>IF($A41="","",사건마스터!$E40)</f>
        <v/>
      </c>
    </row>
    <row r="42">
      <c r="A42" s="68">
        <f>IF(사건마스터!$A41="","",사건마스터!$A41)</f>
        <v/>
      </c>
      <c r="B42" s="73">
        <f>IF($A42="","",사건마스터!$B41)</f>
        <v/>
      </c>
      <c r="C42" s="73">
        <f>IF($A42="","",사건마스터!$C41)</f>
        <v/>
      </c>
      <c r="D42" s="74">
        <f>IF($A42="","",사건마스터!$H41)</f>
        <v/>
      </c>
      <c r="E42" s="24">
        <f>IF($A42="","",사건마스터!$G41)</f>
        <v/>
      </c>
      <c r="F42" s="24">
        <f>IF($A42="","",COUNTIFS(업무일지!$F$5:$F$1004,$A42,업무일지!$D$5:$D$1004,"출장"))</f>
        <v/>
      </c>
      <c r="G42" s="24">
        <f>IF($A42="","",COUNTIFS(업무일지!$F$5:$F$1004,$A42,업무일지!$D$5:$D$1004,"분석"))</f>
        <v/>
      </c>
      <c r="H42" s="63">
        <f>IF($A42="","",F42+G42)</f>
        <v/>
      </c>
      <c r="I42" s="24">
        <f>IF($A42="","",SUMIFS(업무일지!$U$5:$U$1004,업무일지!$F$5:$F$1004,$A42,업무일지!$D$5:$D$1004,"출장"))</f>
        <v/>
      </c>
      <c r="J42" s="25">
        <f>IF($A42="","",SUMIFS(업무일지!$W$5:$W$1004,업무일지!$F$5:$F$1004,$A42))</f>
        <v/>
      </c>
      <c r="K42" s="24">
        <f>IF($A42="","",SUMIFS(업무일지!$S$5:$S$1004,업무일지!$F$5:$F$1004,$A42))</f>
        <v/>
      </c>
      <c r="L42" s="26">
        <f>IF($A42="","",SUMIFS(업무일지!$T$5:$T$1004,업무일지!$F$5:$F$1004,$A42))</f>
        <v/>
      </c>
      <c r="M42" s="24">
        <f>IF($A42="","",COUNTIFS(일일실시사항!$G$5:$G$1004,$A42))</f>
        <v/>
      </c>
      <c r="N42" s="75">
        <f>IF($A42="","",IFERROR(IF(_xlfn.MINIFS(업무일지!$B$5:$B$1004,업무일지!$F$5:$F$1004,$A42)=0,"",_xlfn.MINIFS(업무일지!$B$5:$B$1004,업무일지!$F$5:$F$1004,$A42)),""))</f>
        <v/>
      </c>
      <c r="O42" s="75">
        <f>IF($A42="","",IFERROR(IF(_xlfn.MAXIFS(업무일지!$C$5:$C$1004,업무일지!$F$5:$F$1004,$A42)=0,"",_xlfn.MAXIFS(업무일지!$C$5:$C$1004,업무일지!$F$5:$F$1004,$A42)),""))</f>
        <v/>
      </c>
      <c r="P42" s="63">
        <f>IF(OR($N42="",$O42=""),"",$O42-$N42+1)</f>
        <v/>
      </c>
      <c r="Q42" s="74">
        <f>IF($A42="","",사건마스터!$E41)</f>
        <v/>
      </c>
    </row>
    <row r="43">
      <c r="A43" s="68">
        <f>IF(사건마스터!$A42="","",사건마스터!$A42)</f>
        <v/>
      </c>
      <c r="B43" s="73">
        <f>IF($A43="","",사건마스터!$B42)</f>
        <v/>
      </c>
      <c r="C43" s="73">
        <f>IF($A43="","",사건마스터!$C42)</f>
        <v/>
      </c>
      <c r="D43" s="74">
        <f>IF($A43="","",사건마스터!$H42)</f>
        <v/>
      </c>
      <c r="E43" s="24">
        <f>IF($A43="","",사건마스터!$G42)</f>
        <v/>
      </c>
      <c r="F43" s="24">
        <f>IF($A43="","",COUNTIFS(업무일지!$F$5:$F$1004,$A43,업무일지!$D$5:$D$1004,"출장"))</f>
        <v/>
      </c>
      <c r="G43" s="24">
        <f>IF($A43="","",COUNTIFS(업무일지!$F$5:$F$1004,$A43,업무일지!$D$5:$D$1004,"분석"))</f>
        <v/>
      </c>
      <c r="H43" s="63">
        <f>IF($A43="","",F43+G43)</f>
        <v/>
      </c>
      <c r="I43" s="24">
        <f>IF($A43="","",SUMIFS(업무일지!$U$5:$U$1004,업무일지!$F$5:$F$1004,$A43,업무일지!$D$5:$D$1004,"출장"))</f>
        <v/>
      </c>
      <c r="J43" s="25">
        <f>IF($A43="","",SUMIFS(업무일지!$W$5:$W$1004,업무일지!$F$5:$F$1004,$A43))</f>
        <v/>
      </c>
      <c r="K43" s="24">
        <f>IF($A43="","",SUMIFS(업무일지!$S$5:$S$1004,업무일지!$F$5:$F$1004,$A43))</f>
        <v/>
      </c>
      <c r="L43" s="26">
        <f>IF($A43="","",SUMIFS(업무일지!$T$5:$T$1004,업무일지!$F$5:$F$1004,$A43))</f>
        <v/>
      </c>
      <c r="M43" s="24">
        <f>IF($A43="","",COUNTIFS(일일실시사항!$G$5:$G$1004,$A43))</f>
        <v/>
      </c>
      <c r="N43" s="75">
        <f>IF($A43="","",IFERROR(IF(_xlfn.MINIFS(업무일지!$B$5:$B$1004,업무일지!$F$5:$F$1004,$A43)=0,"",_xlfn.MINIFS(업무일지!$B$5:$B$1004,업무일지!$F$5:$F$1004,$A43)),""))</f>
        <v/>
      </c>
      <c r="O43" s="75">
        <f>IF($A43="","",IFERROR(IF(_xlfn.MAXIFS(업무일지!$C$5:$C$1004,업무일지!$F$5:$F$1004,$A43)=0,"",_xlfn.MAXIFS(업무일지!$C$5:$C$1004,업무일지!$F$5:$F$1004,$A43)),""))</f>
        <v/>
      </c>
      <c r="P43" s="63">
        <f>IF(OR($N43="",$O43=""),"",$O43-$N43+1)</f>
        <v/>
      </c>
      <c r="Q43" s="74">
        <f>IF($A43="","",사건마스터!$E42)</f>
        <v/>
      </c>
    </row>
    <row r="44">
      <c r="A44" s="68">
        <f>IF(사건마스터!$A43="","",사건마스터!$A43)</f>
        <v/>
      </c>
      <c r="B44" s="73">
        <f>IF($A44="","",사건마스터!$B43)</f>
        <v/>
      </c>
      <c r="C44" s="73">
        <f>IF($A44="","",사건마스터!$C43)</f>
        <v/>
      </c>
      <c r="D44" s="74">
        <f>IF($A44="","",사건마스터!$H43)</f>
        <v/>
      </c>
      <c r="E44" s="24">
        <f>IF($A44="","",사건마스터!$G43)</f>
        <v/>
      </c>
      <c r="F44" s="24">
        <f>IF($A44="","",COUNTIFS(업무일지!$F$5:$F$1004,$A44,업무일지!$D$5:$D$1004,"출장"))</f>
        <v/>
      </c>
      <c r="G44" s="24">
        <f>IF($A44="","",COUNTIFS(업무일지!$F$5:$F$1004,$A44,업무일지!$D$5:$D$1004,"분석"))</f>
        <v/>
      </c>
      <c r="H44" s="63">
        <f>IF($A44="","",F44+G44)</f>
        <v/>
      </c>
      <c r="I44" s="24">
        <f>IF($A44="","",SUMIFS(업무일지!$U$5:$U$1004,업무일지!$F$5:$F$1004,$A44,업무일지!$D$5:$D$1004,"출장"))</f>
        <v/>
      </c>
      <c r="J44" s="25">
        <f>IF($A44="","",SUMIFS(업무일지!$W$5:$W$1004,업무일지!$F$5:$F$1004,$A44))</f>
        <v/>
      </c>
      <c r="K44" s="24">
        <f>IF($A44="","",SUMIFS(업무일지!$S$5:$S$1004,업무일지!$F$5:$F$1004,$A44))</f>
        <v/>
      </c>
      <c r="L44" s="26">
        <f>IF($A44="","",SUMIFS(업무일지!$T$5:$T$1004,업무일지!$F$5:$F$1004,$A44))</f>
        <v/>
      </c>
      <c r="M44" s="24">
        <f>IF($A44="","",COUNTIFS(일일실시사항!$G$5:$G$1004,$A44))</f>
        <v/>
      </c>
      <c r="N44" s="75">
        <f>IF($A44="","",IFERROR(IF(_xlfn.MINIFS(업무일지!$B$5:$B$1004,업무일지!$F$5:$F$1004,$A44)=0,"",_xlfn.MINIFS(업무일지!$B$5:$B$1004,업무일지!$F$5:$F$1004,$A44)),""))</f>
        <v/>
      </c>
      <c r="O44" s="75">
        <f>IF($A44="","",IFERROR(IF(_xlfn.MAXIFS(업무일지!$C$5:$C$1004,업무일지!$F$5:$F$1004,$A44)=0,"",_xlfn.MAXIFS(업무일지!$C$5:$C$1004,업무일지!$F$5:$F$1004,$A44)),""))</f>
        <v/>
      </c>
      <c r="P44" s="63">
        <f>IF(OR($N44="",$O44=""),"",$O44-$N44+1)</f>
        <v/>
      </c>
      <c r="Q44" s="74">
        <f>IF($A44="","",사건마스터!$E43)</f>
        <v/>
      </c>
    </row>
    <row r="45">
      <c r="A45" s="68">
        <f>IF(사건마스터!$A44="","",사건마스터!$A44)</f>
        <v/>
      </c>
      <c r="B45" s="73">
        <f>IF($A45="","",사건마스터!$B44)</f>
        <v/>
      </c>
      <c r="C45" s="73">
        <f>IF($A45="","",사건마스터!$C44)</f>
        <v/>
      </c>
      <c r="D45" s="74">
        <f>IF($A45="","",사건마스터!$H44)</f>
        <v/>
      </c>
      <c r="E45" s="24">
        <f>IF($A45="","",사건마스터!$G44)</f>
        <v/>
      </c>
      <c r="F45" s="24">
        <f>IF($A45="","",COUNTIFS(업무일지!$F$5:$F$1004,$A45,업무일지!$D$5:$D$1004,"출장"))</f>
        <v/>
      </c>
      <c r="G45" s="24">
        <f>IF($A45="","",COUNTIFS(업무일지!$F$5:$F$1004,$A45,업무일지!$D$5:$D$1004,"분석"))</f>
        <v/>
      </c>
      <c r="H45" s="63">
        <f>IF($A45="","",F45+G45)</f>
        <v/>
      </c>
      <c r="I45" s="24">
        <f>IF($A45="","",SUMIFS(업무일지!$U$5:$U$1004,업무일지!$F$5:$F$1004,$A45,업무일지!$D$5:$D$1004,"출장"))</f>
        <v/>
      </c>
      <c r="J45" s="25">
        <f>IF($A45="","",SUMIFS(업무일지!$W$5:$W$1004,업무일지!$F$5:$F$1004,$A45))</f>
        <v/>
      </c>
      <c r="K45" s="24">
        <f>IF($A45="","",SUMIFS(업무일지!$S$5:$S$1004,업무일지!$F$5:$F$1004,$A45))</f>
        <v/>
      </c>
      <c r="L45" s="26">
        <f>IF($A45="","",SUMIFS(업무일지!$T$5:$T$1004,업무일지!$F$5:$F$1004,$A45))</f>
        <v/>
      </c>
      <c r="M45" s="24">
        <f>IF($A45="","",COUNTIFS(일일실시사항!$G$5:$G$1004,$A45))</f>
        <v/>
      </c>
      <c r="N45" s="75">
        <f>IF($A45="","",IFERROR(IF(_xlfn.MINIFS(업무일지!$B$5:$B$1004,업무일지!$F$5:$F$1004,$A45)=0,"",_xlfn.MINIFS(업무일지!$B$5:$B$1004,업무일지!$F$5:$F$1004,$A45)),""))</f>
        <v/>
      </c>
      <c r="O45" s="75">
        <f>IF($A45="","",IFERROR(IF(_xlfn.MAXIFS(업무일지!$C$5:$C$1004,업무일지!$F$5:$F$1004,$A45)=0,"",_xlfn.MAXIFS(업무일지!$C$5:$C$1004,업무일지!$F$5:$F$1004,$A45)),""))</f>
        <v/>
      </c>
      <c r="P45" s="63">
        <f>IF(OR($N45="",$O45=""),"",$O45-$N45+1)</f>
        <v/>
      </c>
      <c r="Q45" s="74">
        <f>IF($A45="","",사건마스터!$E44)</f>
        <v/>
      </c>
    </row>
    <row r="46">
      <c r="A46" s="68">
        <f>IF(사건마스터!$A45="","",사건마스터!$A45)</f>
        <v/>
      </c>
      <c r="B46" s="73">
        <f>IF($A46="","",사건마스터!$B45)</f>
        <v/>
      </c>
      <c r="C46" s="73">
        <f>IF($A46="","",사건마스터!$C45)</f>
        <v/>
      </c>
      <c r="D46" s="74">
        <f>IF($A46="","",사건마스터!$H45)</f>
        <v/>
      </c>
      <c r="E46" s="24">
        <f>IF($A46="","",사건마스터!$G45)</f>
        <v/>
      </c>
      <c r="F46" s="24">
        <f>IF($A46="","",COUNTIFS(업무일지!$F$5:$F$1004,$A46,업무일지!$D$5:$D$1004,"출장"))</f>
        <v/>
      </c>
      <c r="G46" s="24">
        <f>IF($A46="","",COUNTIFS(업무일지!$F$5:$F$1004,$A46,업무일지!$D$5:$D$1004,"분석"))</f>
        <v/>
      </c>
      <c r="H46" s="63">
        <f>IF($A46="","",F46+G46)</f>
        <v/>
      </c>
      <c r="I46" s="24">
        <f>IF($A46="","",SUMIFS(업무일지!$U$5:$U$1004,업무일지!$F$5:$F$1004,$A46,업무일지!$D$5:$D$1004,"출장"))</f>
        <v/>
      </c>
      <c r="J46" s="25">
        <f>IF($A46="","",SUMIFS(업무일지!$W$5:$W$1004,업무일지!$F$5:$F$1004,$A46))</f>
        <v/>
      </c>
      <c r="K46" s="24">
        <f>IF($A46="","",SUMIFS(업무일지!$S$5:$S$1004,업무일지!$F$5:$F$1004,$A46))</f>
        <v/>
      </c>
      <c r="L46" s="26">
        <f>IF($A46="","",SUMIFS(업무일지!$T$5:$T$1004,업무일지!$F$5:$F$1004,$A46))</f>
        <v/>
      </c>
      <c r="M46" s="24">
        <f>IF($A46="","",COUNTIFS(일일실시사항!$G$5:$G$1004,$A46))</f>
        <v/>
      </c>
      <c r="N46" s="75">
        <f>IF($A46="","",IFERROR(IF(_xlfn.MINIFS(업무일지!$B$5:$B$1004,업무일지!$F$5:$F$1004,$A46)=0,"",_xlfn.MINIFS(업무일지!$B$5:$B$1004,업무일지!$F$5:$F$1004,$A46)),""))</f>
        <v/>
      </c>
      <c r="O46" s="75">
        <f>IF($A46="","",IFERROR(IF(_xlfn.MAXIFS(업무일지!$C$5:$C$1004,업무일지!$F$5:$F$1004,$A46)=0,"",_xlfn.MAXIFS(업무일지!$C$5:$C$1004,업무일지!$F$5:$F$1004,$A46)),""))</f>
        <v/>
      </c>
      <c r="P46" s="63">
        <f>IF(OR($N46="",$O46=""),"",$O46-$N46+1)</f>
        <v/>
      </c>
      <c r="Q46" s="74">
        <f>IF($A46="","",사건마스터!$E45)</f>
        <v/>
      </c>
    </row>
    <row r="47">
      <c r="A47" s="68">
        <f>IF(사건마스터!$A46="","",사건마스터!$A46)</f>
        <v/>
      </c>
      <c r="B47" s="73">
        <f>IF($A47="","",사건마스터!$B46)</f>
        <v/>
      </c>
      <c r="C47" s="73">
        <f>IF($A47="","",사건마스터!$C46)</f>
        <v/>
      </c>
      <c r="D47" s="74">
        <f>IF($A47="","",사건마스터!$H46)</f>
        <v/>
      </c>
      <c r="E47" s="24">
        <f>IF($A47="","",사건마스터!$G46)</f>
        <v/>
      </c>
      <c r="F47" s="24">
        <f>IF($A47="","",COUNTIFS(업무일지!$F$5:$F$1004,$A47,업무일지!$D$5:$D$1004,"출장"))</f>
        <v/>
      </c>
      <c r="G47" s="24">
        <f>IF($A47="","",COUNTIFS(업무일지!$F$5:$F$1004,$A47,업무일지!$D$5:$D$1004,"분석"))</f>
        <v/>
      </c>
      <c r="H47" s="63">
        <f>IF($A47="","",F47+G47)</f>
        <v/>
      </c>
      <c r="I47" s="24">
        <f>IF($A47="","",SUMIFS(업무일지!$U$5:$U$1004,업무일지!$F$5:$F$1004,$A47,업무일지!$D$5:$D$1004,"출장"))</f>
        <v/>
      </c>
      <c r="J47" s="25">
        <f>IF($A47="","",SUMIFS(업무일지!$W$5:$W$1004,업무일지!$F$5:$F$1004,$A47))</f>
        <v/>
      </c>
      <c r="K47" s="24">
        <f>IF($A47="","",SUMIFS(업무일지!$S$5:$S$1004,업무일지!$F$5:$F$1004,$A47))</f>
        <v/>
      </c>
      <c r="L47" s="26">
        <f>IF($A47="","",SUMIFS(업무일지!$T$5:$T$1004,업무일지!$F$5:$F$1004,$A47))</f>
        <v/>
      </c>
      <c r="M47" s="24">
        <f>IF($A47="","",COUNTIFS(일일실시사항!$G$5:$G$1004,$A47))</f>
        <v/>
      </c>
      <c r="N47" s="75">
        <f>IF($A47="","",IFERROR(IF(_xlfn.MINIFS(업무일지!$B$5:$B$1004,업무일지!$F$5:$F$1004,$A47)=0,"",_xlfn.MINIFS(업무일지!$B$5:$B$1004,업무일지!$F$5:$F$1004,$A47)),""))</f>
        <v/>
      </c>
      <c r="O47" s="75">
        <f>IF($A47="","",IFERROR(IF(_xlfn.MAXIFS(업무일지!$C$5:$C$1004,업무일지!$F$5:$F$1004,$A47)=0,"",_xlfn.MAXIFS(업무일지!$C$5:$C$1004,업무일지!$F$5:$F$1004,$A47)),""))</f>
        <v/>
      </c>
      <c r="P47" s="63">
        <f>IF(OR($N47="",$O47=""),"",$O47-$N47+1)</f>
        <v/>
      </c>
      <c r="Q47" s="74">
        <f>IF($A47="","",사건마스터!$E46)</f>
        <v/>
      </c>
    </row>
    <row r="48">
      <c r="A48" s="68">
        <f>IF(사건마스터!$A47="","",사건마스터!$A47)</f>
        <v/>
      </c>
      <c r="B48" s="73">
        <f>IF($A48="","",사건마스터!$B47)</f>
        <v/>
      </c>
      <c r="C48" s="73">
        <f>IF($A48="","",사건마스터!$C47)</f>
        <v/>
      </c>
      <c r="D48" s="74">
        <f>IF($A48="","",사건마스터!$H47)</f>
        <v/>
      </c>
      <c r="E48" s="24">
        <f>IF($A48="","",사건마스터!$G47)</f>
        <v/>
      </c>
      <c r="F48" s="24">
        <f>IF($A48="","",COUNTIFS(업무일지!$F$5:$F$1004,$A48,업무일지!$D$5:$D$1004,"출장"))</f>
        <v/>
      </c>
      <c r="G48" s="24">
        <f>IF($A48="","",COUNTIFS(업무일지!$F$5:$F$1004,$A48,업무일지!$D$5:$D$1004,"분석"))</f>
        <v/>
      </c>
      <c r="H48" s="63">
        <f>IF($A48="","",F48+G48)</f>
        <v/>
      </c>
      <c r="I48" s="24">
        <f>IF($A48="","",SUMIFS(업무일지!$U$5:$U$1004,업무일지!$F$5:$F$1004,$A48,업무일지!$D$5:$D$1004,"출장"))</f>
        <v/>
      </c>
      <c r="J48" s="25">
        <f>IF($A48="","",SUMIFS(업무일지!$W$5:$W$1004,업무일지!$F$5:$F$1004,$A48))</f>
        <v/>
      </c>
      <c r="K48" s="24">
        <f>IF($A48="","",SUMIFS(업무일지!$S$5:$S$1004,업무일지!$F$5:$F$1004,$A48))</f>
        <v/>
      </c>
      <c r="L48" s="26">
        <f>IF($A48="","",SUMIFS(업무일지!$T$5:$T$1004,업무일지!$F$5:$F$1004,$A48))</f>
        <v/>
      </c>
      <c r="M48" s="24">
        <f>IF($A48="","",COUNTIFS(일일실시사항!$G$5:$G$1004,$A48))</f>
        <v/>
      </c>
      <c r="N48" s="75">
        <f>IF($A48="","",IFERROR(IF(_xlfn.MINIFS(업무일지!$B$5:$B$1004,업무일지!$F$5:$F$1004,$A48)=0,"",_xlfn.MINIFS(업무일지!$B$5:$B$1004,업무일지!$F$5:$F$1004,$A48)),""))</f>
        <v/>
      </c>
      <c r="O48" s="75">
        <f>IF($A48="","",IFERROR(IF(_xlfn.MAXIFS(업무일지!$C$5:$C$1004,업무일지!$F$5:$F$1004,$A48)=0,"",_xlfn.MAXIFS(업무일지!$C$5:$C$1004,업무일지!$F$5:$F$1004,$A48)),""))</f>
        <v/>
      </c>
      <c r="P48" s="63">
        <f>IF(OR($N48="",$O48=""),"",$O48-$N48+1)</f>
        <v/>
      </c>
      <c r="Q48" s="74">
        <f>IF($A48="","",사건마스터!$E47)</f>
        <v/>
      </c>
    </row>
    <row r="49">
      <c r="A49" s="68">
        <f>IF(사건마스터!$A48="","",사건마스터!$A48)</f>
        <v/>
      </c>
      <c r="B49" s="73">
        <f>IF($A49="","",사건마스터!$B48)</f>
        <v/>
      </c>
      <c r="C49" s="73">
        <f>IF($A49="","",사건마스터!$C48)</f>
        <v/>
      </c>
      <c r="D49" s="74">
        <f>IF($A49="","",사건마스터!$H48)</f>
        <v/>
      </c>
      <c r="E49" s="24">
        <f>IF($A49="","",사건마스터!$G48)</f>
        <v/>
      </c>
      <c r="F49" s="24">
        <f>IF($A49="","",COUNTIFS(업무일지!$F$5:$F$1004,$A49,업무일지!$D$5:$D$1004,"출장"))</f>
        <v/>
      </c>
      <c r="G49" s="24">
        <f>IF($A49="","",COUNTIFS(업무일지!$F$5:$F$1004,$A49,업무일지!$D$5:$D$1004,"분석"))</f>
        <v/>
      </c>
      <c r="H49" s="63">
        <f>IF($A49="","",F49+G49)</f>
        <v/>
      </c>
      <c r="I49" s="24">
        <f>IF($A49="","",SUMIFS(업무일지!$U$5:$U$1004,업무일지!$F$5:$F$1004,$A49,업무일지!$D$5:$D$1004,"출장"))</f>
        <v/>
      </c>
      <c r="J49" s="25">
        <f>IF($A49="","",SUMIFS(업무일지!$W$5:$W$1004,업무일지!$F$5:$F$1004,$A49))</f>
        <v/>
      </c>
      <c r="K49" s="24">
        <f>IF($A49="","",SUMIFS(업무일지!$S$5:$S$1004,업무일지!$F$5:$F$1004,$A49))</f>
        <v/>
      </c>
      <c r="L49" s="26">
        <f>IF($A49="","",SUMIFS(업무일지!$T$5:$T$1004,업무일지!$F$5:$F$1004,$A49))</f>
        <v/>
      </c>
      <c r="M49" s="24">
        <f>IF($A49="","",COUNTIFS(일일실시사항!$G$5:$G$1004,$A49))</f>
        <v/>
      </c>
      <c r="N49" s="75">
        <f>IF($A49="","",IFERROR(IF(_xlfn.MINIFS(업무일지!$B$5:$B$1004,업무일지!$F$5:$F$1004,$A49)=0,"",_xlfn.MINIFS(업무일지!$B$5:$B$1004,업무일지!$F$5:$F$1004,$A49)),""))</f>
        <v/>
      </c>
      <c r="O49" s="75">
        <f>IF($A49="","",IFERROR(IF(_xlfn.MAXIFS(업무일지!$C$5:$C$1004,업무일지!$F$5:$F$1004,$A49)=0,"",_xlfn.MAXIFS(업무일지!$C$5:$C$1004,업무일지!$F$5:$F$1004,$A49)),""))</f>
        <v/>
      </c>
      <c r="P49" s="63">
        <f>IF(OR($N49="",$O49=""),"",$O49-$N49+1)</f>
        <v/>
      </c>
      <c r="Q49" s="74">
        <f>IF($A49="","",사건마스터!$E48)</f>
        <v/>
      </c>
    </row>
    <row r="50">
      <c r="A50" s="68">
        <f>IF(사건마스터!$A49="","",사건마스터!$A49)</f>
        <v/>
      </c>
      <c r="B50" s="73">
        <f>IF($A50="","",사건마스터!$B49)</f>
        <v/>
      </c>
      <c r="C50" s="73">
        <f>IF($A50="","",사건마스터!$C49)</f>
        <v/>
      </c>
      <c r="D50" s="74">
        <f>IF($A50="","",사건마스터!$H49)</f>
        <v/>
      </c>
      <c r="E50" s="24">
        <f>IF($A50="","",사건마스터!$G49)</f>
        <v/>
      </c>
      <c r="F50" s="24">
        <f>IF($A50="","",COUNTIFS(업무일지!$F$5:$F$1004,$A50,업무일지!$D$5:$D$1004,"출장"))</f>
        <v/>
      </c>
      <c r="G50" s="24">
        <f>IF($A50="","",COUNTIFS(업무일지!$F$5:$F$1004,$A50,업무일지!$D$5:$D$1004,"분석"))</f>
        <v/>
      </c>
      <c r="H50" s="63">
        <f>IF($A50="","",F50+G50)</f>
        <v/>
      </c>
      <c r="I50" s="24">
        <f>IF($A50="","",SUMIFS(업무일지!$U$5:$U$1004,업무일지!$F$5:$F$1004,$A50,업무일지!$D$5:$D$1004,"출장"))</f>
        <v/>
      </c>
      <c r="J50" s="25">
        <f>IF($A50="","",SUMIFS(업무일지!$W$5:$W$1004,업무일지!$F$5:$F$1004,$A50))</f>
        <v/>
      </c>
      <c r="K50" s="24">
        <f>IF($A50="","",SUMIFS(업무일지!$S$5:$S$1004,업무일지!$F$5:$F$1004,$A50))</f>
        <v/>
      </c>
      <c r="L50" s="26">
        <f>IF($A50="","",SUMIFS(업무일지!$T$5:$T$1004,업무일지!$F$5:$F$1004,$A50))</f>
        <v/>
      </c>
      <c r="M50" s="24">
        <f>IF($A50="","",COUNTIFS(일일실시사항!$G$5:$G$1004,$A50))</f>
        <v/>
      </c>
      <c r="N50" s="75">
        <f>IF($A50="","",IFERROR(IF(_xlfn.MINIFS(업무일지!$B$5:$B$1004,업무일지!$F$5:$F$1004,$A50)=0,"",_xlfn.MINIFS(업무일지!$B$5:$B$1004,업무일지!$F$5:$F$1004,$A50)),""))</f>
        <v/>
      </c>
      <c r="O50" s="75">
        <f>IF($A50="","",IFERROR(IF(_xlfn.MAXIFS(업무일지!$C$5:$C$1004,업무일지!$F$5:$F$1004,$A50)=0,"",_xlfn.MAXIFS(업무일지!$C$5:$C$1004,업무일지!$F$5:$F$1004,$A50)),""))</f>
        <v/>
      </c>
      <c r="P50" s="63">
        <f>IF(OR($N50="",$O50=""),"",$O50-$N50+1)</f>
        <v/>
      </c>
      <c r="Q50" s="74">
        <f>IF($A50="","",사건마스터!$E49)</f>
        <v/>
      </c>
    </row>
    <row r="51">
      <c r="A51" s="68">
        <f>IF(사건마스터!$A50="","",사건마스터!$A50)</f>
        <v/>
      </c>
      <c r="B51" s="73">
        <f>IF($A51="","",사건마스터!$B50)</f>
        <v/>
      </c>
      <c r="C51" s="73">
        <f>IF($A51="","",사건마스터!$C50)</f>
        <v/>
      </c>
      <c r="D51" s="74">
        <f>IF($A51="","",사건마스터!$H50)</f>
        <v/>
      </c>
      <c r="E51" s="24">
        <f>IF($A51="","",사건마스터!$G50)</f>
        <v/>
      </c>
      <c r="F51" s="24">
        <f>IF($A51="","",COUNTIFS(업무일지!$F$5:$F$1004,$A51,업무일지!$D$5:$D$1004,"출장"))</f>
        <v/>
      </c>
      <c r="G51" s="24">
        <f>IF($A51="","",COUNTIFS(업무일지!$F$5:$F$1004,$A51,업무일지!$D$5:$D$1004,"분석"))</f>
        <v/>
      </c>
      <c r="H51" s="63">
        <f>IF($A51="","",F51+G51)</f>
        <v/>
      </c>
      <c r="I51" s="24">
        <f>IF($A51="","",SUMIFS(업무일지!$U$5:$U$1004,업무일지!$F$5:$F$1004,$A51,업무일지!$D$5:$D$1004,"출장"))</f>
        <v/>
      </c>
      <c r="J51" s="25">
        <f>IF($A51="","",SUMIFS(업무일지!$W$5:$W$1004,업무일지!$F$5:$F$1004,$A51))</f>
        <v/>
      </c>
      <c r="K51" s="24">
        <f>IF($A51="","",SUMIFS(업무일지!$S$5:$S$1004,업무일지!$F$5:$F$1004,$A51))</f>
        <v/>
      </c>
      <c r="L51" s="26">
        <f>IF($A51="","",SUMIFS(업무일지!$T$5:$T$1004,업무일지!$F$5:$F$1004,$A51))</f>
        <v/>
      </c>
      <c r="M51" s="24">
        <f>IF($A51="","",COUNTIFS(일일실시사항!$G$5:$G$1004,$A51))</f>
        <v/>
      </c>
      <c r="N51" s="75">
        <f>IF($A51="","",IFERROR(IF(_xlfn.MINIFS(업무일지!$B$5:$B$1004,업무일지!$F$5:$F$1004,$A51)=0,"",_xlfn.MINIFS(업무일지!$B$5:$B$1004,업무일지!$F$5:$F$1004,$A51)),""))</f>
        <v/>
      </c>
      <c r="O51" s="75">
        <f>IF($A51="","",IFERROR(IF(_xlfn.MAXIFS(업무일지!$C$5:$C$1004,업무일지!$F$5:$F$1004,$A51)=0,"",_xlfn.MAXIFS(업무일지!$C$5:$C$1004,업무일지!$F$5:$F$1004,$A51)),""))</f>
        <v/>
      </c>
      <c r="P51" s="63">
        <f>IF(OR($N51="",$O51=""),"",$O51-$N51+1)</f>
        <v/>
      </c>
      <c r="Q51" s="74">
        <f>IF($A51="","",사건마스터!$E50)</f>
        <v/>
      </c>
    </row>
    <row r="52">
      <c r="A52" s="68">
        <f>IF(사건마스터!$A51="","",사건마스터!$A51)</f>
        <v/>
      </c>
      <c r="B52" s="73">
        <f>IF($A52="","",사건마스터!$B51)</f>
        <v/>
      </c>
      <c r="C52" s="73">
        <f>IF($A52="","",사건마스터!$C51)</f>
        <v/>
      </c>
      <c r="D52" s="74">
        <f>IF($A52="","",사건마스터!$H51)</f>
        <v/>
      </c>
      <c r="E52" s="24">
        <f>IF($A52="","",사건마스터!$G51)</f>
        <v/>
      </c>
      <c r="F52" s="24">
        <f>IF($A52="","",COUNTIFS(업무일지!$F$5:$F$1004,$A52,업무일지!$D$5:$D$1004,"출장"))</f>
        <v/>
      </c>
      <c r="G52" s="24">
        <f>IF($A52="","",COUNTIFS(업무일지!$F$5:$F$1004,$A52,업무일지!$D$5:$D$1004,"분석"))</f>
        <v/>
      </c>
      <c r="H52" s="63">
        <f>IF($A52="","",F52+G52)</f>
        <v/>
      </c>
      <c r="I52" s="24">
        <f>IF($A52="","",SUMIFS(업무일지!$U$5:$U$1004,업무일지!$F$5:$F$1004,$A52,업무일지!$D$5:$D$1004,"출장"))</f>
        <v/>
      </c>
      <c r="J52" s="25">
        <f>IF($A52="","",SUMIFS(업무일지!$W$5:$W$1004,업무일지!$F$5:$F$1004,$A52))</f>
        <v/>
      </c>
      <c r="K52" s="24">
        <f>IF($A52="","",SUMIFS(업무일지!$S$5:$S$1004,업무일지!$F$5:$F$1004,$A52))</f>
        <v/>
      </c>
      <c r="L52" s="26">
        <f>IF($A52="","",SUMIFS(업무일지!$T$5:$T$1004,업무일지!$F$5:$F$1004,$A52))</f>
        <v/>
      </c>
      <c r="M52" s="24">
        <f>IF($A52="","",COUNTIFS(일일실시사항!$G$5:$G$1004,$A52))</f>
        <v/>
      </c>
      <c r="N52" s="75">
        <f>IF($A52="","",IFERROR(IF(_xlfn.MINIFS(업무일지!$B$5:$B$1004,업무일지!$F$5:$F$1004,$A52)=0,"",_xlfn.MINIFS(업무일지!$B$5:$B$1004,업무일지!$F$5:$F$1004,$A52)),""))</f>
        <v/>
      </c>
      <c r="O52" s="75">
        <f>IF($A52="","",IFERROR(IF(_xlfn.MAXIFS(업무일지!$C$5:$C$1004,업무일지!$F$5:$F$1004,$A52)=0,"",_xlfn.MAXIFS(업무일지!$C$5:$C$1004,업무일지!$F$5:$F$1004,$A52)),""))</f>
        <v/>
      </c>
      <c r="P52" s="63">
        <f>IF(OR($N52="",$O52=""),"",$O52-$N52+1)</f>
        <v/>
      </c>
      <c r="Q52" s="74">
        <f>IF($A52="","",사건마스터!$E51)</f>
        <v/>
      </c>
    </row>
    <row r="53">
      <c r="A53" s="68">
        <f>IF(사건마스터!$A52="","",사건마스터!$A52)</f>
        <v/>
      </c>
      <c r="B53" s="73">
        <f>IF($A53="","",사건마스터!$B52)</f>
        <v/>
      </c>
      <c r="C53" s="73">
        <f>IF($A53="","",사건마스터!$C52)</f>
        <v/>
      </c>
      <c r="D53" s="74">
        <f>IF($A53="","",사건마스터!$H52)</f>
        <v/>
      </c>
      <c r="E53" s="24">
        <f>IF($A53="","",사건마스터!$G52)</f>
        <v/>
      </c>
      <c r="F53" s="24">
        <f>IF($A53="","",COUNTIFS(업무일지!$F$5:$F$1004,$A53,업무일지!$D$5:$D$1004,"출장"))</f>
        <v/>
      </c>
      <c r="G53" s="24">
        <f>IF($A53="","",COUNTIFS(업무일지!$F$5:$F$1004,$A53,업무일지!$D$5:$D$1004,"분석"))</f>
        <v/>
      </c>
      <c r="H53" s="63">
        <f>IF($A53="","",F53+G53)</f>
        <v/>
      </c>
      <c r="I53" s="24">
        <f>IF($A53="","",SUMIFS(업무일지!$U$5:$U$1004,업무일지!$F$5:$F$1004,$A53,업무일지!$D$5:$D$1004,"출장"))</f>
        <v/>
      </c>
      <c r="J53" s="25">
        <f>IF($A53="","",SUMIFS(업무일지!$W$5:$W$1004,업무일지!$F$5:$F$1004,$A53))</f>
        <v/>
      </c>
      <c r="K53" s="24">
        <f>IF($A53="","",SUMIFS(업무일지!$S$5:$S$1004,업무일지!$F$5:$F$1004,$A53))</f>
        <v/>
      </c>
      <c r="L53" s="26">
        <f>IF($A53="","",SUMIFS(업무일지!$T$5:$T$1004,업무일지!$F$5:$F$1004,$A53))</f>
        <v/>
      </c>
      <c r="M53" s="24">
        <f>IF($A53="","",COUNTIFS(일일실시사항!$G$5:$G$1004,$A53))</f>
        <v/>
      </c>
      <c r="N53" s="75">
        <f>IF($A53="","",IFERROR(IF(_xlfn.MINIFS(업무일지!$B$5:$B$1004,업무일지!$F$5:$F$1004,$A53)=0,"",_xlfn.MINIFS(업무일지!$B$5:$B$1004,업무일지!$F$5:$F$1004,$A53)),""))</f>
        <v/>
      </c>
      <c r="O53" s="75">
        <f>IF($A53="","",IFERROR(IF(_xlfn.MAXIFS(업무일지!$C$5:$C$1004,업무일지!$F$5:$F$1004,$A53)=0,"",_xlfn.MAXIFS(업무일지!$C$5:$C$1004,업무일지!$F$5:$F$1004,$A53)),""))</f>
        <v/>
      </c>
      <c r="P53" s="63">
        <f>IF(OR($N53="",$O53=""),"",$O53-$N53+1)</f>
        <v/>
      </c>
      <c r="Q53" s="74">
        <f>IF($A53="","",사건마스터!$E52)</f>
        <v/>
      </c>
    </row>
    <row r="54">
      <c r="A54" s="68">
        <f>IF(사건마스터!$A53="","",사건마스터!$A53)</f>
        <v/>
      </c>
      <c r="B54" s="73">
        <f>IF($A54="","",사건마스터!$B53)</f>
        <v/>
      </c>
      <c r="C54" s="73">
        <f>IF($A54="","",사건마스터!$C53)</f>
        <v/>
      </c>
      <c r="D54" s="74">
        <f>IF($A54="","",사건마스터!$H53)</f>
        <v/>
      </c>
      <c r="E54" s="24">
        <f>IF($A54="","",사건마스터!$G53)</f>
        <v/>
      </c>
      <c r="F54" s="24">
        <f>IF($A54="","",COUNTIFS(업무일지!$F$5:$F$1004,$A54,업무일지!$D$5:$D$1004,"출장"))</f>
        <v/>
      </c>
      <c r="G54" s="24">
        <f>IF($A54="","",COUNTIFS(업무일지!$F$5:$F$1004,$A54,업무일지!$D$5:$D$1004,"분석"))</f>
        <v/>
      </c>
      <c r="H54" s="63">
        <f>IF($A54="","",F54+G54)</f>
        <v/>
      </c>
      <c r="I54" s="24">
        <f>IF($A54="","",SUMIFS(업무일지!$U$5:$U$1004,업무일지!$F$5:$F$1004,$A54,업무일지!$D$5:$D$1004,"출장"))</f>
        <v/>
      </c>
      <c r="J54" s="25">
        <f>IF($A54="","",SUMIFS(업무일지!$W$5:$W$1004,업무일지!$F$5:$F$1004,$A54))</f>
        <v/>
      </c>
      <c r="K54" s="24">
        <f>IF($A54="","",SUMIFS(업무일지!$S$5:$S$1004,업무일지!$F$5:$F$1004,$A54))</f>
        <v/>
      </c>
      <c r="L54" s="26">
        <f>IF($A54="","",SUMIFS(업무일지!$T$5:$T$1004,업무일지!$F$5:$F$1004,$A54))</f>
        <v/>
      </c>
      <c r="M54" s="24">
        <f>IF($A54="","",COUNTIFS(일일실시사항!$G$5:$G$1004,$A54))</f>
        <v/>
      </c>
      <c r="N54" s="75">
        <f>IF($A54="","",IFERROR(IF(_xlfn.MINIFS(업무일지!$B$5:$B$1004,업무일지!$F$5:$F$1004,$A54)=0,"",_xlfn.MINIFS(업무일지!$B$5:$B$1004,업무일지!$F$5:$F$1004,$A54)),""))</f>
        <v/>
      </c>
      <c r="O54" s="75">
        <f>IF($A54="","",IFERROR(IF(_xlfn.MAXIFS(업무일지!$C$5:$C$1004,업무일지!$F$5:$F$1004,$A54)=0,"",_xlfn.MAXIFS(업무일지!$C$5:$C$1004,업무일지!$F$5:$F$1004,$A54)),""))</f>
        <v/>
      </c>
      <c r="P54" s="63">
        <f>IF(OR($N54="",$O54=""),"",$O54-$N54+1)</f>
        <v/>
      </c>
      <c r="Q54" s="74">
        <f>IF($A54="","",사건마스터!$E53)</f>
        <v/>
      </c>
    </row>
    <row r="55">
      <c r="A55" s="68">
        <f>IF(사건마스터!$A54="","",사건마스터!$A54)</f>
        <v/>
      </c>
      <c r="B55" s="73">
        <f>IF($A55="","",사건마스터!$B54)</f>
        <v/>
      </c>
      <c r="C55" s="73">
        <f>IF($A55="","",사건마스터!$C54)</f>
        <v/>
      </c>
      <c r="D55" s="74">
        <f>IF($A55="","",사건마스터!$H54)</f>
        <v/>
      </c>
      <c r="E55" s="24">
        <f>IF($A55="","",사건마스터!$G54)</f>
        <v/>
      </c>
      <c r="F55" s="24">
        <f>IF($A55="","",COUNTIFS(업무일지!$F$5:$F$1004,$A55,업무일지!$D$5:$D$1004,"출장"))</f>
        <v/>
      </c>
      <c r="G55" s="24">
        <f>IF($A55="","",COUNTIFS(업무일지!$F$5:$F$1004,$A55,업무일지!$D$5:$D$1004,"분석"))</f>
        <v/>
      </c>
      <c r="H55" s="63">
        <f>IF($A55="","",F55+G55)</f>
        <v/>
      </c>
      <c r="I55" s="24">
        <f>IF($A55="","",SUMIFS(업무일지!$U$5:$U$1004,업무일지!$F$5:$F$1004,$A55,업무일지!$D$5:$D$1004,"출장"))</f>
        <v/>
      </c>
      <c r="J55" s="25">
        <f>IF($A55="","",SUMIFS(업무일지!$W$5:$W$1004,업무일지!$F$5:$F$1004,$A55))</f>
        <v/>
      </c>
      <c r="K55" s="24">
        <f>IF($A55="","",SUMIFS(업무일지!$S$5:$S$1004,업무일지!$F$5:$F$1004,$A55))</f>
        <v/>
      </c>
      <c r="L55" s="26">
        <f>IF($A55="","",SUMIFS(업무일지!$T$5:$T$1004,업무일지!$F$5:$F$1004,$A55))</f>
        <v/>
      </c>
      <c r="M55" s="24">
        <f>IF($A55="","",COUNTIFS(일일실시사항!$G$5:$G$1004,$A55))</f>
        <v/>
      </c>
      <c r="N55" s="75">
        <f>IF($A55="","",IFERROR(IF(_xlfn.MINIFS(업무일지!$B$5:$B$1004,업무일지!$F$5:$F$1004,$A55)=0,"",_xlfn.MINIFS(업무일지!$B$5:$B$1004,업무일지!$F$5:$F$1004,$A55)),""))</f>
        <v/>
      </c>
      <c r="O55" s="75">
        <f>IF($A55="","",IFERROR(IF(_xlfn.MAXIFS(업무일지!$C$5:$C$1004,업무일지!$F$5:$F$1004,$A55)=0,"",_xlfn.MAXIFS(업무일지!$C$5:$C$1004,업무일지!$F$5:$F$1004,$A55)),""))</f>
        <v/>
      </c>
      <c r="P55" s="63">
        <f>IF(OR($N55="",$O55=""),"",$O55-$N55+1)</f>
        <v/>
      </c>
      <c r="Q55" s="74">
        <f>IF($A55="","",사건마스터!$E54)</f>
        <v/>
      </c>
    </row>
    <row r="56">
      <c r="A56" s="68">
        <f>IF(사건마스터!$A55="","",사건마스터!$A55)</f>
        <v/>
      </c>
      <c r="B56" s="73">
        <f>IF($A56="","",사건마스터!$B55)</f>
        <v/>
      </c>
      <c r="C56" s="73">
        <f>IF($A56="","",사건마스터!$C55)</f>
        <v/>
      </c>
      <c r="D56" s="74">
        <f>IF($A56="","",사건마스터!$H55)</f>
        <v/>
      </c>
      <c r="E56" s="24">
        <f>IF($A56="","",사건마스터!$G55)</f>
        <v/>
      </c>
      <c r="F56" s="24">
        <f>IF($A56="","",COUNTIFS(업무일지!$F$5:$F$1004,$A56,업무일지!$D$5:$D$1004,"출장"))</f>
        <v/>
      </c>
      <c r="G56" s="24">
        <f>IF($A56="","",COUNTIFS(업무일지!$F$5:$F$1004,$A56,업무일지!$D$5:$D$1004,"분석"))</f>
        <v/>
      </c>
      <c r="H56" s="63">
        <f>IF($A56="","",F56+G56)</f>
        <v/>
      </c>
      <c r="I56" s="24">
        <f>IF($A56="","",SUMIFS(업무일지!$U$5:$U$1004,업무일지!$F$5:$F$1004,$A56,업무일지!$D$5:$D$1004,"출장"))</f>
        <v/>
      </c>
      <c r="J56" s="25">
        <f>IF($A56="","",SUMIFS(업무일지!$W$5:$W$1004,업무일지!$F$5:$F$1004,$A56))</f>
        <v/>
      </c>
      <c r="K56" s="24">
        <f>IF($A56="","",SUMIFS(업무일지!$S$5:$S$1004,업무일지!$F$5:$F$1004,$A56))</f>
        <v/>
      </c>
      <c r="L56" s="26">
        <f>IF($A56="","",SUMIFS(업무일지!$T$5:$T$1004,업무일지!$F$5:$F$1004,$A56))</f>
        <v/>
      </c>
      <c r="M56" s="24">
        <f>IF($A56="","",COUNTIFS(일일실시사항!$G$5:$G$1004,$A56))</f>
        <v/>
      </c>
      <c r="N56" s="75">
        <f>IF($A56="","",IFERROR(IF(_xlfn.MINIFS(업무일지!$B$5:$B$1004,업무일지!$F$5:$F$1004,$A56)=0,"",_xlfn.MINIFS(업무일지!$B$5:$B$1004,업무일지!$F$5:$F$1004,$A56)),""))</f>
        <v/>
      </c>
      <c r="O56" s="75">
        <f>IF($A56="","",IFERROR(IF(_xlfn.MAXIFS(업무일지!$C$5:$C$1004,업무일지!$F$5:$F$1004,$A56)=0,"",_xlfn.MAXIFS(업무일지!$C$5:$C$1004,업무일지!$F$5:$F$1004,$A56)),""))</f>
        <v/>
      </c>
      <c r="P56" s="63">
        <f>IF(OR($N56="",$O56=""),"",$O56-$N56+1)</f>
        <v/>
      </c>
      <c r="Q56" s="74">
        <f>IF($A56="","",사건마스터!$E55)</f>
        <v/>
      </c>
    </row>
    <row r="57">
      <c r="A57" s="68">
        <f>IF(사건마스터!$A56="","",사건마스터!$A56)</f>
        <v/>
      </c>
      <c r="B57" s="73">
        <f>IF($A57="","",사건마스터!$B56)</f>
        <v/>
      </c>
      <c r="C57" s="73">
        <f>IF($A57="","",사건마스터!$C56)</f>
        <v/>
      </c>
      <c r="D57" s="74">
        <f>IF($A57="","",사건마스터!$H56)</f>
        <v/>
      </c>
      <c r="E57" s="24">
        <f>IF($A57="","",사건마스터!$G56)</f>
        <v/>
      </c>
      <c r="F57" s="24">
        <f>IF($A57="","",COUNTIFS(업무일지!$F$5:$F$1004,$A57,업무일지!$D$5:$D$1004,"출장"))</f>
        <v/>
      </c>
      <c r="G57" s="24">
        <f>IF($A57="","",COUNTIFS(업무일지!$F$5:$F$1004,$A57,업무일지!$D$5:$D$1004,"분석"))</f>
        <v/>
      </c>
      <c r="H57" s="63">
        <f>IF($A57="","",F57+G57)</f>
        <v/>
      </c>
      <c r="I57" s="24">
        <f>IF($A57="","",SUMIFS(업무일지!$U$5:$U$1004,업무일지!$F$5:$F$1004,$A57,업무일지!$D$5:$D$1004,"출장"))</f>
        <v/>
      </c>
      <c r="J57" s="25">
        <f>IF($A57="","",SUMIFS(업무일지!$W$5:$W$1004,업무일지!$F$5:$F$1004,$A57))</f>
        <v/>
      </c>
      <c r="K57" s="24">
        <f>IF($A57="","",SUMIFS(업무일지!$S$5:$S$1004,업무일지!$F$5:$F$1004,$A57))</f>
        <v/>
      </c>
      <c r="L57" s="26">
        <f>IF($A57="","",SUMIFS(업무일지!$T$5:$T$1004,업무일지!$F$5:$F$1004,$A57))</f>
        <v/>
      </c>
      <c r="M57" s="24">
        <f>IF($A57="","",COUNTIFS(일일실시사항!$G$5:$G$1004,$A57))</f>
        <v/>
      </c>
      <c r="N57" s="75">
        <f>IF($A57="","",IFERROR(IF(_xlfn.MINIFS(업무일지!$B$5:$B$1004,업무일지!$F$5:$F$1004,$A57)=0,"",_xlfn.MINIFS(업무일지!$B$5:$B$1004,업무일지!$F$5:$F$1004,$A57)),""))</f>
        <v/>
      </c>
      <c r="O57" s="75">
        <f>IF($A57="","",IFERROR(IF(_xlfn.MAXIFS(업무일지!$C$5:$C$1004,업무일지!$F$5:$F$1004,$A57)=0,"",_xlfn.MAXIFS(업무일지!$C$5:$C$1004,업무일지!$F$5:$F$1004,$A57)),""))</f>
        <v/>
      </c>
      <c r="P57" s="63">
        <f>IF(OR($N57="",$O57=""),"",$O57-$N57+1)</f>
        <v/>
      </c>
      <c r="Q57" s="74">
        <f>IF($A57="","",사건마스터!$E56)</f>
        <v/>
      </c>
    </row>
    <row r="58">
      <c r="A58" s="68">
        <f>IF(사건마스터!$A57="","",사건마스터!$A57)</f>
        <v/>
      </c>
      <c r="B58" s="73">
        <f>IF($A58="","",사건마스터!$B57)</f>
        <v/>
      </c>
      <c r="C58" s="73">
        <f>IF($A58="","",사건마스터!$C57)</f>
        <v/>
      </c>
      <c r="D58" s="74">
        <f>IF($A58="","",사건마스터!$H57)</f>
        <v/>
      </c>
      <c r="E58" s="24">
        <f>IF($A58="","",사건마스터!$G57)</f>
        <v/>
      </c>
      <c r="F58" s="24">
        <f>IF($A58="","",COUNTIFS(업무일지!$F$5:$F$1004,$A58,업무일지!$D$5:$D$1004,"출장"))</f>
        <v/>
      </c>
      <c r="G58" s="24">
        <f>IF($A58="","",COUNTIFS(업무일지!$F$5:$F$1004,$A58,업무일지!$D$5:$D$1004,"분석"))</f>
        <v/>
      </c>
      <c r="H58" s="63">
        <f>IF($A58="","",F58+G58)</f>
        <v/>
      </c>
      <c r="I58" s="24">
        <f>IF($A58="","",SUMIFS(업무일지!$U$5:$U$1004,업무일지!$F$5:$F$1004,$A58,업무일지!$D$5:$D$1004,"출장"))</f>
        <v/>
      </c>
      <c r="J58" s="25">
        <f>IF($A58="","",SUMIFS(업무일지!$W$5:$W$1004,업무일지!$F$5:$F$1004,$A58))</f>
        <v/>
      </c>
      <c r="K58" s="24">
        <f>IF($A58="","",SUMIFS(업무일지!$S$5:$S$1004,업무일지!$F$5:$F$1004,$A58))</f>
        <v/>
      </c>
      <c r="L58" s="26">
        <f>IF($A58="","",SUMIFS(업무일지!$T$5:$T$1004,업무일지!$F$5:$F$1004,$A58))</f>
        <v/>
      </c>
      <c r="M58" s="24">
        <f>IF($A58="","",COUNTIFS(일일실시사항!$G$5:$G$1004,$A58))</f>
        <v/>
      </c>
      <c r="N58" s="75">
        <f>IF($A58="","",IFERROR(IF(_xlfn.MINIFS(업무일지!$B$5:$B$1004,업무일지!$F$5:$F$1004,$A58)=0,"",_xlfn.MINIFS(업무일지!$B$5:$B$1004,업무일지!$F$5:$F$1004,$A58)),""))</f>
        <v/>
      </c>
      <c r="O58" s="75">
        <f>IF($A58="","",IFERROR(IF(_xlfn.MAXIFS(업무일지!$C$5:$C$1004,업무일지!$F$5:$F$1004,$A58)=0,"",_xlfn.MAXIFS(업무일지!$C$5:$C$1004,업무일지!$F$5:$F$1004,$A58)),""))</f>
        <v/>
      </c>
      <c r="P58" s="63">
        <f>IF(OR($N58="",$O58=""),"",$O58-$N58+1)</f>
        <v/>
      </c>
      <c r="Q58" s="74">
        <f>IF($A58="","",사건마스터!$E57)</f>
        <v/>
      </c>
    </row>
    <row r="59">
      <c r="A59" s="68">
        <f>IF(사건마스터!$A58="","",사건마스터!$A58)</f>
        <v/>
      </c>
      <c r="B59" s="73">
        <f>IF($A59="","",사건마스터!$B58)</f>
        <v/>
      </c>
      <c r="C59" s="73">
        <f>IF($A59="","",사건마스터!$C58)</f>
        <v/>
      </c>
      <c r="D59" s="74">
        <f>IF($A59="","",사건마스터!$H58)</f>
        <v/>
      </c>
      <c r="E59" s="24">
        <f>IF($A59="","",사건마스터!$G58)</f>
        <v/>
      </c>
      <c r="F59" s="24">
        <f>IF($A59="","",COUNTIFS(업무일지!$F$5:$F$1004,$A59,업무일지!$D$5:$D$1004,"출장"))</f>
        <v/>
      </c>
      <c r="G59" s="24">
        <f>IF($A59="","",COUNTIFS(업무일지!$F$5:$F$1004,$A59,업무일지!$D$5:$D$1004,"분석"))</f>
        <v/>
      </c>
      <c r="H59" s="63">
        <f>IF($A59="","",F59+G59)</f>
        <v/>
      </c>
      <c r="I59" s="24">
        <f>IF($A59="","",SUMIFS(업무일지!$U$5:$U$1004,업무일지!$F$5:$F$1004,$A59,업무일지!$D$5:$D$1004,"출장"))</f>
        <v/>
      </c>
      <c r="J59" s="25">
        <f>IF($A59="","",SUMIFS(업무일지!$W$5:$W$1004,업무일지!$F$5:$F$1004,$A59))</f>
        <v/>
      </c>
      <c r="K59" s="24">
        <f>IF($A59="","",SUMIFS(업무일지!$S$5:$S$1004,업무일지!$F$5:$F$1004,$A59))</f>
        <v/>
      </c>
      <c r="L59" s="26">
        <f>IF($A59="","",SUMIFS(업무일지!$T$5:$T$1004,업무일지!$F$5:$F$1004,$A59))</f>
        <v/>
      </c>
      <c r="M59" s="24">
        <f>IF($A59="","",COUNTIFS(일일실시사항!$G$5:$G$1004,$A59))</f>
        <v/>
      </c>
      <c r="N59" s="75">
        <f>IF($A59="","",IFERROR(IF(_xlfn.MINIFS(업무일지!$B$5:$B$1004,업무일지!$F$5:$F$1004,$A59)=0,"",_xlfn.MINIFS(업무일지!$B$5:$B$1004,업무일지!$F$5:$F$1004,$A59)),""))</f>
        <v/>
      </c>
      <c r="O59" s="75">
        <f>IF($A59="","",IFERROR(IF(_xlfn.MAXIFS(업무일지!$C$5:$C$1004,업무일지!$F$5:$F$1004,$A59)=0,"",_xlfn.MAXIFS(업무일지!$C$5:$C$1004,업무일지!$F$5:$F$1004,$A59)),""))</f>
        <v/>
      </c>
      <c r="P59" s="63">
        <f>IF(OR($N59="",$O59=""),"",$O59-$N59+1)</f>
        <v/>
      </c>
      <c r="Q59" s="74">
        <f>IF($A59="","",사건마스터!$E58)</f>
        <v/>
      </c>
    </row>
    <row r="60">
      <c r="A60" s="68">
        <f>IF(사건마스터!$A59="","",사건마스터!$A59)</f>
        <v/>
      </c>
      <c r="B60" s="73">
        <f>IF($A60="","",사건마스터!$B59)</f>
        <v/>
      </c>
      <c r="C60" s="73">
        <f>IF($A60="","",사건마스터!$C59)</f>
        <v/>
      </c>
      <c r="D60" s="74">
        <f>IF($A60="","",사건마스터!$H59)</f>
        <v/>
      </c>
      <c r="E60" s="24">
        <f>IF($A60="","",사건마스터!$G59)</f>
        <v/>
      </c>
      <c r="F60" s="24">
        <f>IF($A60="","",COUNTIFS(업무일지!$F$5:$F$1004,$A60,업무일지!$D$5:$D$1004,"출장"))</f>
        <v/>
      </c>
      <c r="G60" s="24">
        <f>IF($A60="","",COUNTIFS(업무일지!$F$5:$F$1004,$A60,업무일지!$D$5:$D$1004,"분석"))</f>
        <v/>
      </c>
      <c r="H60" s="63">
        <f>IF($A60="","",F60+G60)</f>
        <v/>
      </c>
      <c r="I60" s="24">
        <f>IF($A60="","",SUMIFS(업무일지!$U$5:$U$1004,업무일지!$F$5:$F$1004,$A60,업무일지!$D$5:$D$1004,"출장"))</f>
        <v/>
      </c>
      <c r="J60" s="25">
        <f>IF($A60="","",SUMIFS(업무일지!$W$5:$W$1004,업무일지!$F$5:$F$1004,$A60))</f>
        <v/>
      </c>
      <c r="K60" s="24">
        <f>IF($A60="","",SUMIFS(업무일지!$S$5:$S$1004,업무일지!$F$5:$F$1004,$A60))</f>
        <v/>
      </c>
      <c r="L60" s="26">
        <f>IF($A60="","",SUMIFS(업무일지!$T$5:$T$1004,업무일지!$F$5:$F$1004,$A60))</f>
        <v/>
      </c>
      <c r="M60" s="24">
        <f>IF($A60="","",COUNTIFS(일일실시사항!$G$5:$G$1004,$A60))</f>
        <v/>
      </c>
      <c r="N60" s="75">
        <f>IF($A60="","",IFERROR(IF(_xlfn.MINIFS(업무일지!$B$5:$B$1004,업무일지!$F$5:$F$1004,$A60)=0,"",_xlfn.MINIFS(업무일지!$B$5:$B$1004,업무일지!$F$5:$F$1004,$A60)),""))</f>
        <v/>
      </c>
      <c r="O60" s="75">
        <f>IF($A60="","",IFERROR(IF(_xlfn.MAXIFS(업무일지!$C$5:$C$1004,업무일지!$F$5:$F$1004,$A60)=0,"",_xlfn.MAXIFS(업무일지!$C$5:$C$1004,업무일지!$F$5:$F$1004,$A60)),""))</f>
        <v/>
      </c>
      <c r="P60" s="63">
        <f>IF(OR($N60="",$O60=""),"",$O60-$N60+1)</f>
        <v/>
      </c>
      <c r="Q60" s="74">
        <f>IF($A60="","",사건마스터!$E59)</f>
        <v/>
      </c>
    </row>
    <row r="61">
      <c r="A61" s="68">
        <f>IF(사건마스터!$A60="","",사건마스터!$A60)</f>
        <v/>
      </c>
      <c r="B61" s="73">
        <f>IF($A61="","",사건마스터!$B60)</f>
        <v/>
      </c>
      <c r="C61" s="73">
        <f>IF($A61="","",사건마스터!$C60)</f>
        <v/>
      </c>
      <c r="D61" s="74">
        <f>IF($A61="","",사건마스터!$H60)</f>
        <v/>
      </c>
      <c r="E61" s="24">
        <f>IF($A61="","",사건마스터!$G60)</f>
        <v/>
      </c>
      <c r="F61" s="24">
        <f>IF($A61="","",COUNTIFS(업무일지!$F$5:$F$1004,$A61,업무일지!$D$5:$D$1004,"출장"))</f>
        <v/>
      </c>
      <c r="G61" s="24">
        <f>IF($A61="","",COUNTIFS(업무일지!$F$5:$F$1004,$A61,업무일지!$D$5:$D$1004,"분석"))</f>
        <v/>
      </c>
      <c r="H61" s="63">
        <f>IF($A61="","",F61+G61)</f>
        <v/>
      </c>
      <c r="I61" s="24">
        <f>IF($A61="","",SUMIFS(업무일지!$U$5:$U$1004,업무일지!$F$5:$F$1004,$A61,업무일지!$D$5:$D$1004,"출장"))</f>
        <v/>
      </c>
      <c r="J61" s="25">
        <f>IF($A61="","",SUMIFS(업무일지!$W$5:$W$1004,업무일지!$F$5:$F$1004,$A61))</f>
        <v/>
      </c>
      <c r="K61" s="24">
        <f>IF($A61="","",SUMIFS(업무일지!$S$5:$S$1004,업무일지!$F$5:$F$1004,$A61))</f>
        <v/>
      </c>
      <c r="L61" s="26">
        <f>IF($A61="","",SUMIFS(업무일지!$T$5:$T$1004,업무일지!$F$5:$F$1004,$A61))</f>
        <v/>
      </c>
      <c r="M61" s="24">
        <f>IF($A61="","",COUNTIFS(일일실시사항!$G$5:$G$1004,$A61))</f>
        <v/>
      </c>
      <c r="N61" s="75">
        <f>IF($A61="","",IFERROR(IF(_xlfn.MINIFS(업무일지!$B$5:$B$1004,업무일지!$F$5:$F$1004,$A61)=0,"",_xlfn.MINIFS(업무일지!$B$5:$B$1004,업무일지!$F$5:$F$1004,$A61)),""))</f>
        <v/>
      </c>
      <c r="O61" s="75">
        <f>IF($A61="","",IFERROR(IF(_xlfn.MAXIFS(업무일지!$C$5:$C$1004,업무일지!$F$5:$F$1004,$A61)=0,"",_xlfn.MAXIFS(업무일지!$C$5:$C$1004,업무일지!$F$5:$F$1004,$A61)),""))</f>
        <v/>
      </c>
      <c r="P61" s="63">
        <f>IF(OR($N61="",$O61=""),"",$O61-$N61+1)</f>
        <v/>
      </c>
      <c r="Q61" s="74">
        <f>IF($A61="","",사건마스터!$E60)</f>
        <v/>
      </c>
    </row>
    <row r="62">
      <c r="A62" s="68">
        <f>IF(사건마스터!$A61="","",사건마스터!$A61)</f>
        <v/>
      </c>
      <c r="B62" s="73">
        <f>IF($A62="","",사건마스터!$B61)</f>
        <v/>
      </c>
      <c r="C62" s="73">
        <f>IF($A62="","",사건마스터!$C61)</f>
        <v/>
      </c>
      <c r="D62" s="74">
        <f>IF($A62="","",사건마스터!$H61)</f>
        <v/>
      </c>
      <c r="E62" s="24">
        <f>IF($A62="","",사건마스터!$G61)</f>
        <v/>
      </c>
      <c r="F62" s="24">
        <f>IF($A62="","",COUNTIFS(업무일지!$F$5:$F$1004,$A62,업무일지!$D$5:$D$1004,"출장"))</f>
        <v/>
      </c>
      <c r="G62" s="24">
        <f>IF($A62="","",COUNTIFS(업무일지!$F$5:$F$1004,$A62,업무일지!$D$5:$D$1004,"분석"))</f>
        <v/>
      </c>
      <c r="H62" s="63">
        <f>IF($A62="","",F62+G62)</f>
        <v/>
      </c>
      <c r="I62" s="24">
        <f>IF($A62="","",SUMIFS(업무일지!$U$5:$U$1004,업무일지!$F$5:$F$1004,$A62,업무일지!$D$5:$D$1004,"출장"))</f>
        <v/>
      </c>
      <c r="J62" s="25">
        <f>IF($A62="","",SUMIFS(업무일지!$W$5:$W$1004,업무일지!$F$5:$F$1004,$A62))</f>
        <v/>
      </c>
      <c r="K62" s="24">
        <f>IF($A62="","",SUMIFS(업무일지!$S$5:$S$1004,업무일지!$F$5:$F$1004,$A62))</f>
        <v/>
      </c>
      <c r="L62" s="26">
        <f>IF($A62="","",SUMIFS(업무일지!$T$5:$T$1004,업무일지!$F$5:$F$1004,$A62))</f>
        <v/>
      </c>
      <c r="M62" s="24">
        <f>IF($A62="","",COUNTIFS(일일실시사항!$G$5:$G$1004,$A62))</f>
        <v/>
      </c>
      <c r="N62" s="75">
        <f>IF($A62="","",IFERROR(IF(_xlfn.MINIFS(업무일지!$B$5:$B$1004,업무일지!$F$5:$F$1004,$A62)=0,"",_xlfn.MINIFS(업무일지!$B$5:$B$1004,업무일지!$F$5:$F$1004,$A62)),""))</f>
        <v/>
      </c>
      <c r="O62" s="75">
        <f>IF($A62="","",IFERROR(IF(_xlfn.MAXIFS(업무일지!$C$5:$C$1004,업무일지!$F$5:$F$1004,$A62)=0,"",_xlfn.MAXIFS(업무일지!$C$5:$C$1004,업무일지!$F$5:$F$1004,$A62)),""))</f>
        <v/>
      </c>
      <c r="P62" s="63">
        <f>IF(OR($N62="",$O62=""),"",$O62-$N62+1)</f>
        <v/>
      </c>
      <c r="Q62" s="74">
        <f>IF($A62="","",사건마스터!$E61)</f>
        <v/>
      </c>
    </row>
    <row r="63">
      <c r="A63" s="68">
        <f>IF(사건마스터!$A62="","",사건마스터!$A62)</f>
        <v/>
      </c>
      <c r="B63" s="73">
        <f>IF($A63="","",사건마스터!$B62)</f>
        <v/>
      </c>
      <c r="C63" s="73">
        <f>IF($A63="","",사건마스터!$C62)</f>
        <v/>
      </c>
      <c r="D63" s="74">
        <f>IF($A63="","",사건마스터!$H62)</f>
        <v/>
      </c>
      <c r="E63" s="24">
        <f>IF($A63="","",사건마스터!$G62)</f>
        <v/>
      </c>
      <c r="F63" s="24">
        <f>IF($A63="","",COUNTIFS(업무일지!$F$5:$F$1004,$A63,업무일지!$D$5:$D$1004,"출장"))</f>
        <v/>
      </c>
      <c r="G63" s="24">
        <f>IF($A63="","",COUNTIFS(업무일지!$F$5:$F$1004,$A63,업무일지!$D$5:$D$1004,"분석"))</f>
        <v/>
      </c>
      <c r="H63" s="63">
        <f>IF($A63="","",F63+G63)</f>
        <v/>
      </c>
      <c r="I63" s="24">
        <f>IF($A63="","",SUMIFS(업무일지!$U$5:$U$1004,업무일지!$F$5:$F$1004,$A63,업무일지!$D$5:$D$1004,"출장"))</f>
        <v/>
      </c>
      <c r="J63" s="25">
        <f>IF($A63="","",SUMIFS(업무일지!$W$5:$W$1004,업무일지!$F$5:$F$1004,$A63))</f>
        <v/>
      </c>
      <c r="K63" s="24">
        <f>IF($A63="","",SUMIFS(업무일지!$S$5:$S$1004,업무일지!$F$5:$F$1004,$A63))</f>
        <v/>
      </c>
      <c r="L63" s="26">
        <f>IF($A63="","",SUMIFS(업무일지!$T$5:$T$1004,업무일지!$F$5:$F$1004,$A63))</f>
        <v/>
      </c>
      <c r="M63" s="24">
        <f>IF($A63="","",COUNTIFS(일일실시사항!$G$5:$G$1004,$A63))</f>
        <v/>
      </c>
      <c r="N63" s="75">
        <f>IF($A63="","",IFERROR(IF(_xlfn.MINIFS(업무일지!$B$5:$B$1004,업무일지!$F$5:$F$1004,$A63)=0,"",_xlfn.MINIFS(업무일지!$B$5:$B$1004,업무일지!$F$5:$F$1004,$A63)),""))</f>
        <v/>
      </c>
      <c r="O63" s="75">
        <f>IF($A63="","",IFERROR(IF(_xlfn.MAXIFS(업무일지!$C$5:$C$1004,업무일지!$F$5:$F$1004,$A63)=0,"",_xlfn.MAXIFS(업무일지!$C$5:$C$1004,업무일지!$F$5:$F$1004,$A63)),""))</f>
        <v/>
      </c>
      <c r="P63" s="63">
        <f>IF(OR($N63="",$O63=""),"",$O63-$N63+1)</f>
        <v/>
      </c>
      <c r="Q63" s="74">
        <f>IF($A63="","",사건마스터!$E62)</f>
        <v/>
      </c>
    </row>
    <row r="64">
      <c r="A64" s="68">
        <f>IF(사건마스터!$A63="","",사건마스터!$A63)</f>
        <v/>
      </c>
      <c r="B64" s="73">
        <f>IF($A64="","",사건마스터!$B63)</f>
        <v/>
      </c>
      <c r="C64" s="73">
        <f>IF($A64="","",사건마스터!$C63)</f>
        <v/>
      </c>
      <c r="D64" s="74">
        <f>IF($A64="","",사건마스터!$H63)</f>
        <v/>
      </c>
      <c r="E64" s="24">
        <f>IF($A64="","",사건마스터!$G63)</f>
        <v/>
      </c>
      <c r="F64" s="24">
        <f>IF($A64="","",COUNTIFS(업무일지!$F$5:$F$1004,$A64,업무일지!$D$5:$D$1004,"출장"))</f>
        <v/>
      </c>
      <c r="G64" s="24">
        <f>IF($A64="","",COUNTIFS(업무일지!$F$5:$F$1004,$A64,업무일지!$D$5:$D$1004,"분석"))</f>
        <v/>
      </c>
      <c r="H64" s="63">
        <f>IF($A64="","",F64+G64)</f>
        <v/>
      </c>
      <c r="I64" s="24">
        <f>IF($A64="","",SUMIFS(업무일지!$U$5:$U$1004,업무일지!$F$5:$F$1004,$A64,업무일지!$D$5:$D$1004,"출장"))</f>
        <v/>
      </c>
      <c r="J64" s="25">
        <f>IF($A64="","",SUMIFS(업무일지!$W$5:$W$1004,업무일지!$F$5:$F$1004,$A64))</f>
        <v/>
      </c>
      <c r="K64" s="24">
        <f>IF($A64="","",SUMIFS(업무일지!$S$5:$S$1004,업무일지!$F$5:$F$1004,$A64))</f>
        <v/>
      </c>
      <c r="L64" s="26">
        <f>IF($A64="","",SUMIFS(업무일지!$T$5:$T$1004,업무일지!$F$5:$F$1004,$A64))</f>
        <v/>
      </c>
      <c r="M64" s="24">
        <f>IF($A64="","",COUNTIFS(일일실시사항!$G$5:$G$1004,$A64))</f>
        <v/>
      </c>
      <c r="N64" s="75">
        <f>IF($A64="","",IFERROR(IF(_xlfn.MINIFS(업무일지!$B$5:$B$1004,업무일지!$F$5:$F$1004,$A64)=0,"",_xlfn.MINIFS(업무일지!$B$5:$B$1004,업무일지!$F$5:$F$1004,$A64)),""))</f>
        <v/>
      </c>
      <c r="O64" s="75">
        <f>IF($A64="","",IFERROR(IF(_xlfn.MAXIFS(업무일지!$C$5:$C$1004,업무일지!$F$5:$F$1004,$A64)=0,"",_xlfn.MAXIFS(업무일지!$C$5:$C$1004,업무일지!$F$5:$F$1004,$A64)),""))</f>
        <v/>
      </c>
      <c r="P64" s="63">
        <f>IF(OR($N64="",$O64=""),"",$O64-$N64+1)</f>
        <v/>
      </c>
      <c r="Q64" s="74">
        <f>IF($A64="","",사건마스터!$E63)</f>
        <v/>
      </c>
    </row>
    <row r="65">
      <c r="A65" s="68">
        <f>IF(사건마스터!$A64="","",사건마스터!$A64)</f>
        <v/>
      </c>
      <c r="B65" s="73">
        <f>IF($A65="","",사건마스터!$B64)</f>
        <v/>
      </c>
      <c r="C65" s="73">
        <f>IF($A65="","",사건마스터!$C64)</f>
        <v/>
      </c>
      <c r="D65" s="74">
        <f>IF($A65="","",사건마스터!$H64)</f>
        <v/>
      </c>
      <c r="E65" s="24">
        <f>IF($A65="","",사건마스터!$G64)</f>
        <v/>
      </c>
      <c r="F65" s="24">
        <f>IF($A65="","",COUNTIFS(업무일지!$F$5:$F$1004,$A65,업무일지!$D$5:$D$1004,"출장"))</f>
        <v/>
      </c>
      <c r="G65" s="24">
        <f>IF($A65="","",COUNTIFS(업무일지!$F$5:$F$1004,$A65,업무일지!$D$5:$D$1004,"분석"))</f>
        <v/>
      </c>
      <c r="H65" s="63">
        <f>IF($A65="","",F65+G65)</f>
        <v/>
      </c>
      <c r="I65" s="24">
        <f>IF($A65="","",SUMIFS(업무일지!$U$5:$U$1004,업무일지!$F$5:$F$1004,$A65,업무일지!$D$5:$D$1004,"출장"))</f>
        <v/>
      </c>
      <c r="J65" s="25">
        <f>IF($A65="","",SUMIFS(업무일지!$W$5:$W$1004,업무일지!$F$5:$F$1004,$A65))</f>
        <v/>
      </c>
      <c r="K65" s="24">
        <f>IF($A65="","",SUMIFS(업무일지!$S$5:$S$1004,업무일지!$F$5:$F$1004,$A65))</f>
        <v/>
      </c>
      <c r="L65" s="26">
        <f>IF($A65="","",SUMIFS(업무일지!$T$5:$T$1004,업무일지!$F$5:$F$1004,$A65))</f>
        <v/>
      </c>
      <c r="M65" s="24">
        <f>IF($A65="","",COUNTIFS(일일실시사항!$G$5:$G$1004,$A65))</f>
        <v/>
      </c>
      <c r="N65" s="75">
        <f>IF($A65="","",IFERROR(IF(_xlfn.MINIFS(업무일지!$B$5:$B$1004,업무일지!$F$5:$F$1004,$A65)=0,"",_xlfn.MINIFS(업무일지!$B$5:$B$1004,업무일지!$F$5:$F$1004,$A65)),""))</f>
        <v/>
      </c>
      <c r="O65" s="75">
        <f>IF($A65="","",IFERROR(IF(_xlfn.MAXIFS(업무일지!$C$5:$C$1004,업무일지!$F$5:$F$1004,$A65)=0,"",_xlfn.MAXIFS(업무일지!$C$5:$C$1004,업무일지!$F$5:$F$1004,$A65)),""))</f>
        <v/>
      </c>
      <c r="P65" s="63">
        <f>IF(OR($N65="",$O65=""),"",$O65-$N65+1)</f>
        <v/>
      </c>
      <c r="Q65" s="74">
        <f>IF($A65="","",사건마스터!$E64)</f>
        <v/>
      </c>
    </row>
    <row r="66">
      <c r="A66" s="28" t="inlineStr">
        <is>
          <t>합계</t>
        </is>
      </c>
      <c r="B66" s="76">
        <f>COUNTIF(A6:A65,"?*")&amp;" 건 사건"</f>
        <v/>
      </c>
      <c r="C66" s="77" t="inlineStr"/>
      <c r="D66" s="77" t="inlineStr"/>
      <c r="E66" s="29">
        <f>SUM(E6:E65)</f>
        <v/>
      </c>
      <c r="F66" s="29">
        <f>SUM(F6:F65)</f>
        <v/>
      </c>
      <c r="G66" s="29">
        <f>SUM(G6:G65)</f>
        <v/>
      </c>
      <c r="H66" s="29">
        <f>SUM(H6:H65)</f>
        <v/>
      </c>
      <c r="I66" s="29">
        <f>SUM(I6:I65)</f>
        <v/>
      </c>
      <c r="J66" s="30">
        <f>SUM(J6:J65)</f>
        <v/>
      </c>
      <c r="K66" s="29">
        <f>SUM(K6:K65)</f>
        <v/>
      </c>
      <c r="L66" s="31">
        <f>SUM(L6:L65)</f>
        <v/>
      </c>
      <c r="M66" s="29">
        <f>SUM(M6:M65)</f>
        <v/>
      </c>
      <c r="N66" s="77" t="inlineStr"/>
      <c r="O66" s="77" t="inlineStr"/>
      <c r="P66" s="77" t="inlineStr"/>
      <c r="Q66" s="77" t="inlineStr"/>
    </row>
    <row r="68" ht="20" customHeight="1">
      <c r="A68" s="21" t="inlineStr">
        <is>
          <t>2.  사건 상세 조회</t>
        </is>
      </c>
      <c r="B68" s="22" t="n"/>
      <c r="C68" s="22" t="n"/>
      <c r="D68" s="22" t="n"/>
      <c r="E68" s="22" t="n"/>
      <c r="F68" s="22" t="n"/>
      <c r="G68" s="22" t="n"/>
      <c r="H68" s="22" t="n"/>
      <c r="I68" s="22" t="n"/>
    </row>
    <row r="69">
      <c r="A69" s="8" t="inlineStr">
        <is>
          <t>사건번호 선택 →</t>
        </is>
      </c>
      <c r="B69" s="78" t="inlineStr">
        <is>
          <t>2026-형제-1024</t>
        </is>
      </c>
      <c r="C69" s="65">
        <f>IF($B$69="","",IFERROR(INDEX(사건마스터!$B$5:$B$64,MATCH($B$69,사건마스터!$A$5:$A$64,0)),"※ 등록되지 않은 사건번호"))</f>
        <v/>
      </c>
      <c r="D69" s="11" t="n"/>
      <c r="E69" s="12" t="n"/>
    </row>
    <row r="70" ht="32" customHeight="1">
      <c r="A70" s="23" t="inlineStr">
        <is>
          <t>담당자</t>
        </is>
      </c>
      <c r="B70" s="23" t="inlineStr">
        <is>
          <t>주담당 건</t>
        </is>
      </c>
      <c r="C70" s="23" t="inlineStr">
        <is>
          <t>참여 건</t>
        </is>
      </c>
      <c r="D70" s="23" t="inlineStr">
        <is>
          <t>총 참여건</t>
        </is>
      </c>
      <c r="E70" s="23" t="inlineStr">
        <is>
          <t>본인 투입시간(H)</t>
        </is>
      </c>
      <c r="G70" s="23" t="inlineStr">
        <is>
          <t>세부유형</t>
        </is>
      </c>
      <c r="H70" s="23" t="inlineStr">
        <is>
          <t>건수</t>
        </is>
      </c>
      <c r="I70" s="23" t="inlineStr">
        <is>
          <t>총 인시(H)</t>
        </is>
      </c>
    </row>
    <row r="71">
      <c r="A71" s="68">
        <f>IF(코드설정!$C5="","",코드설정!$C5)</f>
        <v/>
      </c>
      <c r="B71" s="24">
        <f>IF($A71="","",COUNTIFS(업무일지!$F$5:$F$1004,$B$69,업무일지!$I$5:$I$1004,$A71))</f>
        <v/>
      </c>
      <c r="C71" s="24">
        <f>IF($A71="","",COUNTIFS(업무일지!$F$5:$F$1004,$B$69,업무일지!$P$5:$P$1004,"*"&amp;$A71&amp;"*")-COUNTIFS(업무일지!$F$5:$F$1004,$B$69,업무일지!$I$5:$I$1004,$A71))</f>
        <v/>
      </c>
      <c r="D71" s="63">
        <f>IF($A71="","",B71+C71)</f>
        <v/>
      </c>
      <c r="E71" s="25">
        <f>IF($A71="","",SUMIFS(업무일지!$V$5:$V$1004,업무일지!$F$5:$F$1004,$B$69,업무일지!$P$5:$P$1004,"*"&amp;$A71&amp;"*"))</f>
        <v/>
      </c>
      <c r="G71" s="69">
        <f>IF(코드설정!$B5="","",코드설정!$B5)</f>
        <v/>
      </c>
      <c r="H71" s="24">
        <f>IF($G71="","",COUNTIFS(업무일지!$F$5:$F$1004,$B$69,업무일지!$E$5:$E$1004,$G71))</f>
        <v/>
      </c>
      <c r="I71" s="25">
        <f>IF($G71="","",SUMIFS(업무일지!$W$5:$W$1004,업무일지!$F$5:$F$1004,$B$69,업무일지!$E$5:$E$1004,$G71))</f>
        <v/>
      </c>
    </row>
    <row r="72">
      <c r="A72" s="68">
        <f>IF(코드설정!$C6="","",코드설정!$C6)</f>
        <v/>
      </c>
      <c r="B72" s="24">
        <f>IF($A72="","",COUNTIFS(업무일지!$F$5:$F$1004,$B$69,업무일지!$I$5:$I$1004,$A72))</f>
        <v/>
      </c>
      <c r="C72" s="24">
        <f>IF($A72="","",COUNTIFS(업무일지!$F$5:$F$1004,$B$69,업무일지!$P$5:$P$1004,"*"&amp;$A72&amp;"*")-COUNTIFS(업무일지!$F$5:$F$1004,$B$69,업무일지!$I$5:$I$1004,$A72))</f>
        <v/>
      </c>
      <c r="D72" s="63">
        <f>IF($A72="","",B72+C72)</f>
        <v/>
      </c>
      <c r="E72" s="25">
        <f>IF($A72="","",SUMIFS(업무일지!$V$5:$V$1004,업무일지!$F$5:$F$1004,$B$69,업무일지!$P$5:$P$1004,"*"&amp;$A72&amp;"*"))</f>
        <v/>
      </c>
      <c r="G72" s="69">
        <f>IF(코드설정!$B6="","",코드설정!$B6)</f>
        <v/>
      </c>
      <c r="H72" s="24">
        <f>IF($G72="","",COUNTIFS(업무일지!$F$5:$F$1004,$B$69,업무일지!$E$5:$E$1004,$G72))</f>
        <v/>
      </c>
      <c r="I72" s="25">
        <f>IF($G72="","",SUMIFS(업무일지!$W$5:$W$1004,업무일지!$F$5:$F$1004,$B$69,업무일지!$E$5:$E$1004,$G72))</f>
        <v/>
      </c>
    </row>
    <row r="73">
      <c r="A73" s="68">
        <f>IF(코드설정!$C7="","",코드설정!$C7)</f>
        <v/>
      </c>
      <c r="B73" s="24">
        <f>IF($A73="","",COUNTIFS(업무일지!$F$5:$F$1004,$B$69,업무일지!$I$5:$I$1004,$A73))</f>
        <v/>
      </c>
      <c r="C73" s="24">
        <f>IF($A73="","",COUNTIFS(업무일지!$F$5:$F$1004,$B$69,업무일지!$P$5:$P$1004,"*"&amp;$A73&amp;"*")-COUNTIFS(업무일지!$F$5:$F$1004,$B$69,업무일지!$I$5:$I$1004,$A73))</f>
        <v/>
      </c>
      <c r="D73" s="63">
        <f>IF($A73="","",B73+C73)</f>
        <v/>
      </c>
      <c r="E73" s="25">
        <f>IF($A73="","",SUMIFS(업무일지!$V$5:$V$1004,업무일지!$F$5:$F$1004,$B$69,업무일지!$P$5:$P$1004,"*"&amp;$A73&amp;"*"))</f>
        <v/>
      </c>
      <c r="G73" s="69">
        <f>IF(코드설정!$B7="","",코드설정!$B7)</f>
        <v/>
      </c>
      <c r="H73" s="24">
        <f>IF($G73="","",COUNTIFS(업무일지!$F$5:$F$1004,$B$69,업무일지!$E$5:$E$1004,$G73))</f>
        <v/>
      </c>
      <c r="I73" s="25">
        <f>IF($G73="","",SUMIFS(업무일지!$W$5:$W$1004,업무일지!$F$5:$F$1004,$B$69,업무일지!$E$5:$E$1004,$G73))</f>
        <v/>
      </c>
    </row>
    <row r="74">
      <c r="A74" s="68">
        <f>IF(코드설정!$C8="","",코드설정!$C8)</f>
        <v/>
      </c>
      <c r="B74" s="24">
        <f>IF($A74="","",COUNTIFS(업무일지!$F$5:$F$1004,$B$69,업무일지!$I$5:$I$1004,$A74))</f>
        <v/>
      </c>
      <c r="C74" s="24">
        <f>IF($A74="","",COUNTIFS(업무일지!$F$5:$F$1004,$B$69,업무일지!$P$5:$P$1004,"*"&amp;$A74&amp;"*")-COUNTIFS(업무일지!$F$5:$F$1004,$B$69,업무일지!$I$5:$I$1004,$A74))</f>
        <v/>
      </c>
      <c r="D74" s="63">
        <f>IF($A74="","",B74+C74)</f>
        <v/>
      </c>
      <c r="E74" s="25">
        <f>IF($A74="","",SUMIFS(업무일지!$V$5:$V$1004,업무일지!$F$5:$F$1004,$B$69,업무일지!$P$5:$P$1004,"*"&amp;$A74&amp;"*"))</f>
        <v/>
      </c>
      <c r="G74" s="69">
        <f>IF(코드설정!$B8="","",코드설정!$B8)</f>
        <v/>
      </c>
      <c r="H74" s="24">
        <f>IF($G74="","",COUNTIFS(업무일지!$F$5:$F$1004,$B$69,업무일지!$E$5:$E$1004,$G74))</f>
        <v/>
      </c>
      <c r="I74" s="25">
        <f>IF($G74="","",SUMIFS(업무일지!$W$5:$W$1004,업무일지!$F$5:$F$1004,$B$69,업무일지!$E$5:$E$1004,$G74))</f>
        <v/>
      </c>
    </row>
    <row r="75">
      <c r="A75" s="68">
        <f>IF(코드설정!$C9="","",코드설정!$C9)</f>
        <v/>
      </c>
      <c r="B75" s="24">
        <f>IF($A75="","",COUNTIFS(업무일지!$F$5:$F$1004,$B$69,업무일지!$I$5:$I$1004,$A75))</f>
        <v/>
      </c>
      <c r="C75" s="24">
        <f>IF($A75="","",COUNTIFS(업무일지!$F$5:$F$1004,$B$69,업무일지!$P$5:$P$1004,"*"&amp;$A75&amp;"*")-COUNTIFS(업무일지!$F$5:$F$1004,$B$69,업무일지!$I$5:$I$1004,$A75))</f>
        <v/>
      </c>
      <c r="D75" s="63">
        <f>IF($A75="","",B75+C75)</f>
        <v/>
      </c>
      <c r="E75" s="25">
        <f>IF($A75="","",SUMIFS(업무일지!$V$5:$V$1004,업무일지!$F$5:$F$1004,$B$69,업무일지!$P$5:$P$1004,"*"&amp;$A75&amp;"*"))</f>
        <v/>
      </c>
      <c r="G75" s="69">
        <f>IF(코드설정!$B9="","",코드설정!$B9)</f>
        <v/>
      </c>
      <c r="H75" s="24">
        <f>IF($G75="","",COUNTIFS(업무일지!$F$5:$F$1004,$B$69,업무일지!$E$5:$E$1004,$G75))</f>
        <v/>
      </c>
      <c r="I75" s="25">
        <f>IF($G75="","",SUMIFS(업무일지!$W$5:$W$1004,업무일지!$F$5:$F$1004,$B$69,업무일지!$E$5:$E$1004,$G75))</f>
        <v/>
      </c>
    </row>
    <row r="76">
      <c r="A76" s="68">
        <f>IF(코드설정!$C10="","",코드설정!$C10)</f>
        <v/>
      </c>
      <c r="B76" s="24">
        <f>IF($A76="","",COUNTIFS(업무일지!$F$5:$F$1004,$B$69,업무일지!$I$5:$I$1004,$A76))</f>
        <v/>
      </c>
      <c r="C76" s="24">
        <f>IF($A76="","",COUNTIFS(업무일지!$F$5:$F$1004,$B$69,업무일지!$P$5:$P$1004,"*"&amp;$A76&amp;"*")-COUNTIFS(업무일지!$F$5:$F$1004,$B$69,업무일지!$I$5:$I$1004,$A76))</f>
        <v/>
      </c>
      <c r="D76" s="63">
        <f>IF($A76="","",B76+C76)</f>
        <v/>
      </c>
      <c r="E76" s="25">
        <f>IF($A76="","",SUMIFS(업무일지!$V$5:$V$1004,업무일지!$F$5:$F$1004,$B$69,업무일지!$P$5:$P$1004,"*"&amp;$A76&amp;"*"))</f>
        <v/>
      </c>
      <c r="G76" s="69">
        <f>IF(코드설정!$B10="","",코드설정!$B10)</f>
        <v/>
      </c>
      <c r="H76" s="24">
        <f>IF($G76="","",COUNTIFS(업무일지!$F$5:$F$1004,$B$69,업무일지!$E$5:$E$1004,$G76))</f>
        <v/>
      </c>
      <c r="I76" s="25">
        <f>IF($G76="","",SUMIFS(업무일지!$W$5:$W$1004,업무일지!$F$5:$F$1004,$B$69,업무일지!$E$5:$E$1004,$G76))</f>
        <v/>
      </c>
    </row>
    <row r="77">
      <c r="A77" s="68">
        <f>IF(코드설정!$C11="","",코드설정!$C11)</f>
        <v/>
      </c>
      <c r="B77" s="24">
        <f>IF($A77="","",COUNTIFS(업무일지!$F$5:$F$1004,$B$69,업무일지!$I$5:$I$1004,$A77))</f>
        <v/>
      </c>
      <c r="C77" s="24">
        <f>IF($A77="","",COUNTIFS(업무일지!$F$5:$F$1004,$B$69,업무일지!$P$5:$P$1004,"*"&amp;$A77&amp;"*")-COUNTIFS(업무일지!$F$5:$F$1004,$B$69,업무일지!$I$5:$I$1004,$A77))</f>
        <v/>
      </c>
      <c r="D77" s="63">
        <f>IF($A77="","",B77+C77)</f>
        <v/>
      </c>
      <c r="E77" s="25">
        <f>IF($A77="","",SUMIFS(업무일지!$V$5:$V$1004,업무일지!$F$5:$F$1004,$B$69,업무일지!$P$5:$P$1004,"*"&amp;$A77&amp;"*"))</f>
        <v/>
      </c>
      <c r="G77" s="69">
        <f>IF(코드설정!$B11="","",코드설정!$B11)</f>
        <v/>
      </c>
      <c r="H77" s="24">
        <f>IF($G77="","",COUNTIFS(업무일지!$F$5:$F$1004,$B$69,업무일지!$E$5:$E$1004,$G77))</f>
        <v/>
      </c>
      <c r="I77" s="25">
        <f>IF($G77="","",SUMIFS(업무일지!$W$5:$W$1004,업무일지!$F$5:$F$1004,$B$69,업무일지!$E$5:$E$1004,$G77))</f>
        <v/>
      </c>
    </row>
    <row r="78">
      <c r="A78" s="68">
        <f>IF(코드설정!$C12="","",코드설정!$C12)</f>
        <v/>
      </c>
      <c r="B78" s="24">
        <f>IF($A78="","",COUNTIFS(업무일지!$F$5:$F$1004,$B$69,업무일지!$I$5:$I$1004,$A78))</f>
        <v/>
      </c>
      <c r="C78" s="24">
        <f>IF($A78="","",COUNTIFS(업무일지!$F$5:$F$1004,$B$69,업무일지!$P$5:$P$1004,"*"&amp;$A78&amp;"*")-COUNTIFS(업무일지!$F$5:$F$1004,$B$69,업무일지!$I$5:$I$1004,$A78))</f>
        <v/>
      </c>
      <c r="D78" s="63">
        <f>IF($A78="","",B78+C78)</f>
        <v/>
      </c>
      <c r="E78" s="25">
        <f>IF($A78="","",SUMIFS(업무일지!$V$5:$V$1004,업무일지!$F$5:$F$1004,$B$69,업무일지!$P$5:$P$1004,"*"&amp;$A78&amp;"*"))</f>
        <v/>
      </c>
      <c r="G78" s="69">
        <f>IF(코드설정!$B12="","",코드설정!$B12)</f>
        <v/>
      </c>
      <c r="H78" s="24">
        <f>IF($G78="","",COUNTIFS(업무일지!$F$5:$F$1004,$B$69,업무일지!$E$5:$E$1004,$G78))</f>
        <v/>
      </c>
      <c r="I78" s="25">
        <f>IF($G78="","",SUMIFS(업무일지!$W$5:$W$1004,업무일지!$F$5:$F$1004,$B$69,업무일지!$E$5:$E$1004,$G78))</f>
        <v/>
      </c>
    </row>
    <row r="79">
      <c r="A79" s="68">
        <f>IF(코드설정!$C13="","",코드설정!$C13)</f>
        <v/>
      </c>
      <c r="B79" s="24">
        <f>IF($A79="","",COUNTIFS(업무일지!$F$5:$F$1004,$B$69,업무일지!$I$5:$I$1004,$A79))</f>
        <v/>
      </c>
      <c r="C79" s="24">
        <f>IF($A79="","",COUNTIFS(업무일지!$F$5:$F$1004,$B$69,업무일지!$P$5:$P$1004,"*"&amp;$A79&amp;"*")-COUNTIFS(업무일지!$F$5:$F$1004,$B$69,업무일지!$I$5:$I$1004,$A79))</f>
        <v/>
      </c>
      <c r="D79" s="63">
        <f>IF($A79="","",B79+C79)</f>
        <v/>
      </c>
      <c r="E79" s="25">
        <f>IF($A79="","",SUMIFS(업무일지!$V$5:$V$1004,업무일지!$F$5:$F$1004,$B$69,업무일지!$P$5:$P$1004,"*"&amp;$A79&amp;"*"))</f>
        <v/>
      </c>
      <c r="G79" s="69">
        <f>IF(코드설정!$B13="","",코드설정!$B13)</f>
        <v/>
      </c>
      <c r="H79" s="24">
        <f>IF($G79="","",COUNTIFS(업무일지!$F$5:$F$1004,$B$69,업무일지!$E$5:$E$1004,$G79))</f>
        <v/>
      </c>
      <c r="I79" s="25">
        <f>IF($G79="","",SUMIFS(업무일지!$W$5:$W$1004,업무일지!$F$5:$F$1004,$B$69,업무일지!$E$5:$E$1004,$G79))</f>
        <v/>
      </c>
    </row>
    <row r="80">
      <c r="A80" s="68">
        <f>IF(코드설정!$C14="","",코드설정!$C14)</f>
        <v/>
      </c>
      <c r="B80" s="24">
        <f>IF($A80="","",COUNTIFS(업무일지!$F$5:$F$1004,$B$69,업무일지!$I$5:$I$1004,$A80))</f>
        <v/>
      </c>
      <c r="C80" s="24">
        <f>IF($A80="","",COUNTIFS(업무일지!$F$5:$F$1004,$B$69,업무일지!$P$5:$P$1004,"*"&amp;$A80&amp;"*")-COUNTIFS(업무일지!$F$5:$F$1004,$B$69,업무일지!$I$5:$I$1004,$A80))</f>
        <v/>
      </c>
      <c r="D80" s="63">
        <f>IF($A80="","",B80+C80)</f>
        <v/>
      </c>
      <c r="E80" s="25">
        <f>IF($A80="","",SUMIFS(업무일지!$V$5:$V$1004,업무일지!$F$5:$F$1004,$B$69,업무일지!$P$5:$P$1004,"*"&amp;$A80&amp;"*"))</f>
        <v/>
      </c>
      <c r="G80" s="69">
        <f>IF(코드설정!$B14="","",코드설정!$B14)</f>
        <v/>
      </c>
      <c r="H80" s="24">
        <f>IF($G80="","",COUNTIFS(업무일지!$F$5:$F$1004,$B$69,업무일지!$E$5:$E$1004,$G80))</f>
        <v/>
      </c>
      <c r="I80" s="25">
        <f>IF($G80="","",SUMIFS(업무일지!$W$5:$W$1004,업무일지!$F$5:$F$1004,$B$69,업무일지!$E$5:$E$1004,$G80))</f>
        <v/>
      </c>
    </row>
    <row r="81">
      <c r="A81" s="68">
        <f>IF(코드설정!$C15="","",코드설정!$C15)</f>
        <v/>
      </c>
      <c r="B81" s="24">
        <f>IF($A81="","",COUNTIFS(업무일지!$F$5:$F$1004,$B$69,업무일지!$I$5:$I$1004,$A81))</f>
        <v/>
      </c>
      <c r="C81" s="24">
        <f>IF($A81="","",COUNTIFS(업무일지!$F$5:$F$1004,$B$69,업무일지!$P$5:$P$1004,"*"&amp;$A81&amp;"*")-COUNTIFS(업무일지!$F$5:$F$1004,$B$69,업무일지!$I$5:$I$1004,$A81))</f>
        <v/>
      </c>
      <c r="D81" s="63">
        <f>IF($A81="","",B81+C81)</f>
        <v/>
      </c>
      <c r="E81" s="25">
        <f>IF($A81="","",SUMIFS(업무일지!$V$5:$V$1004,업무일지!$F$5:$F$1004,$B$69,업무일지!$P$5:$P$1004,"*"&amp;$A81&amp;"*"))</f>
        <v/>
      </c>
      <c r="G81" s="69">
        <f>IF(코드설정!$B15="","",코드설정!$B15)</f>
        <v/>
      </c>
      <c r="H81" s="24">
        <f>IF($G81="","",COUNTIFS(업무일지!$F$5:$F$1004,$B$69,업무일지!$E$5:$E$1004,$G81))</f>
        <v/>
      </c>
      <c r="I81" s="25">
        <f>IF($G81="","",SUMIFS(업무일지!$W$5:$W$1004,업무일지!$F$5:$F$1004,$B$69,업무일지!$E$5:$E$1004,$G81))</f>
        <v/>
      </c>
    </row>
    <row r="82">
      <c r="A82" s="68">
        <f>IF(코드설정!$C16="","",코드설정!$C16)</f>
        <v/>
      </c>
      <c r="B82" s="24">
        <f>IF($A82="","",COUNTIFS(업무일지!$F$5:$F$1004,$B$69,업무일지!$I$5:$I$1004,$A82))</f>
        <v/>
      </c>
      <c r="C82" s="24">
        <f>IF($A82="","",COUNTIFS(업무일지!$F$5:$F$1004,$B$69,업무일지!$P$5:$P$1004,"*"&amp;$A82&amp;"*")-COUNTIFS(업무일지!$F$5:$F$1004,$B$69,업무일지!$I$5:$I$1004,$A82))</f>
        <v/>
      </c>
      <c r="D82" s="63">
        <f>IF($A82="","",B82+C82)</f>
        <v/>
      </c>
      <c r="E82" s="25">
        <f>IF($A82="","",SUMIFS(업무일지!$V$5:$V$1004,업무일지!$F$5:$F$1004,$B$69,업무일지!$P$5:$P$1004,"*"&amp;$A82&amp;"*"))</f>
        <v/>
      </c>
      <c r="G82" s="69">
        <f>IF(코드설정!$B16="","",코드설정!$B16)</f>
        <v/>
      </c>
      <c r="H82" s="24">
        <f>IF($G82="","",COUNTIFS(업무일지!$F$5:$F$1004,$B$69,업무일지!$E$5:$E$1004,$G82))</f>
        <v/>
      </c>
      <c r="I82" s="25">
        <f>IF($G82="","",SUMIFS(업무일지!$W$5:$W$1004,업무일지!$F$5:$F$1004,$B$69,업무일지!$E$5:$E$1004,$G82))</f>
        <v/>
      </c>
    </row>
    <row r="83">
      <c r="A83" s="68">
        <f>IF(코드설정!$C17="","",코드설정!$C17)</f>
        <v/>
      </c>
      <c r="B83" s="24">
        <f>IF($A83="","",COUNTIFS(업무일지!$F$5:$F$1004,$B$69,업무일지!$I$5:$I$1004,$A83))</f>
        <v/>
      </c>
      <c r="C83" s="24">
        <f>IF($A83="","",COUNTIFS(업무일지!$F$5:$F$1004,$B$69,업무일지!$P$5:$P$1004,"*"&amp;$A83&amp;"*")-COUNTIFS(업무일지!$F$5:$F$1004,$B$69,업무일지!$I$5:$I$1004,$A83))</f>
        <v/>
      </c>
      <c r="D83" s="63">
        <f>IF($A83="","",B83+C83)</f>
        <v/>
      </c>
      <c r="E83" s="25">
        <f>IF($A83="","",SUMIFS(업무일지!$V$5:$V$1004,업무일지!$F$5:$F$1004,$B$69,업무일지!$P$5:$P$1004,"*"&amp;$A83&amp;"*"))</f>
        <v/>
      </c>
      <c r="G83" s="69">
        <f>IF(코드설정!$B17="","",코드설정!$B17)</f>
        <v/>
      </c>
      <c r="H83" s="24">
        <f>IF($G83="","",COUNTIFS(업무일지!$F$5:$F$1004,$B$69,업무일지!$E$5:$E$1004,$G83))</f>
        <v/>
      </c>
      <c r="I83" s="25">
        <f>IF($G83="","",SUMIFS(업무일지!$W$5:$W$1004,업무일지!$F$5:$F$1004,$B$69,업무일지!$E$5:$E$1004,$G83))</f>
        <v/>
      </c>
    </row>
    <row r="84">
      <c r="A84" s="68">
        <f>IF(코드설정!$C18="","",코드설정!$C18)</f>
        <v/>
      </c>
      <c r="B84" s="24">
        <f>IF($A84="","",COUNTIFS(업무일지!$F$5:$F$1004,$B$69,업무일지!$I$5:$I$1004,$A84))</f>
        <v/>
      </c>
      <c r="C84" s="24">
        <f>IF($A84="","",COUNTIFS(업무일지!$F$5:$F$1004,$B$69,업무일지!$P$5:$P$1004,"*"&amp;$A84&amp;"*")-COUNTIFS(업무일지!$F$5:$F$1004,$B$69,업무일지!$I$5:$I$1004,$A84))</f>
        <v/>
      </c>
      <c r="D84" s="63">
        <f>IF($A84="","",B84+C84)</f>
        <v/>
      </c>
      <c r="E84" s="25">
        <f>IF($A84="","",SUMIFS(업무일지!$V$5:$V$1004,업무일지!$F$5:$F$1004,$B$69,업무일지!$P$5:$P$1004,"*"&amp;$A84&amp;"*"))</f>
        <v/>
      </c>
    </row>
    <row r="85">
      <c r="A85" s="68">
        <f>IF(코드설정!$C19="","",코드설정!$C19)</f>
        <v/>
      </c>
      <c r="B85" s="24">
        <f>IF($A85="","",COUNTIFS(업무일지!$F$5:$F$1004,$B$69,업무일지!$I$5:$I$1004,$A85))</f>
        <v/>
      </c>
      <c r="C85" s="24">
        <f>IF($A85="","",COUNTIFS(업무일지!$F$5:$F$1004,$B$69,업무일지!$P$5:$P$1004,"*"&amp;$A85&amp;"*")-COUNTIFS(업무일지!$F$5:$F$1004,$B$69,업무일지!$I$5:$I$1004,$A85))</f>
        <v/>
      </c>
      <c r="D85" s="63">
        <f>IF($A85="","",B85+C85)</f>
        <v/>
      </c>
      <c r="E85" s="25">
        <f>IF($A85="","",SUMIFS(업무일지!$V$5:$V$1004,업무일지!$F$5:$F$1004,$B$69,업무일지!$P$5:$P$1004,"*"&amp;$A85&amp;"*"))</f>
        <v/>
      </c>
    </row>
    <row r="86">
      <c r="A86" s="68">
        <f>IF(코드설정!$C20="","",코드설정!$C20)</f>
        <v/>
      </c>
      <c r="B86" s="24">
        <f>IF($A86="","",COUNTIFS(업무일지!$F$5:$F$1004,$B$69,업무일지!$I$5:$I$1004,$A86))</f>
        <v/>
      </c>
      <c r="C86" s="24">
        <f>IF($A86="","",COUNTIFS(업무일지!$F$5:$F$1004,$B$69,업무일지!$P$5:$P$1004,"*"&amp;$A86&amp;"*")-COUNTIFS(업무일지!$F$5:$F$1004,$B$69,업무일지!$I$5:$I$1004,$A86))</f>
        <v/>
      </c>
      <c r="D86" s="63">
        <f>IF($A86="","",B86+C86)</f>
        <v/>
      </c>
      <c r="E86" s="25">
        <f>IF($A86="","",SUMIFS(업무일지!$V$5:$V$1004,업무일지!$F$5:$F$1004,$B$69,업무일지!$P$5:$P$1004,"*"&amp;$A86&amp;"*"))</f>
        <v/>
      </c>
    </row>
    <row r="87">
      <c r="A87" s="68">
        <f>IF(코드설정!$C21="","",코드설정!$C21)</f>
        <v/>
      </c>
      <c r="B87" s="24">
        <f>IF($A87="","",COUNTIFS(업무일지!$F$5:$F$1004,$B$69,업무일지!$I$5:$I$1004,$A87))</f>
        <v/>
      </c>
      <c r="C87" s="24">
        <f>IF($A87="","",COUNTIFS(업무일지!$F$5:$F$1004,$B$69,업무일지!$P$5:$P$1004,"*"&amp;$A87&amp;"*")-COUNTIFS(업무일지!$F$5:$F$1004,$B$69,업무일지!$I$5:$I$1004,$A87))</f>
        <v/>
      </c>
      <c r="D87" s="63">
        <f>IF($A87="","",B87+C87)</f>
        <v/>
      </c>
      <c r="E87" s="25">
        <f>IF($A87="","",SUMIFS(업무일지!$V$5:$V$1004,업무일지!$F$5:$F$1004,$B$69,업무일지!$P$5:$P$1004,"*"&amp;$A87&amp;"*"))</f>
        <v/>
      </c>
    </row>
    <row r="88">
      <c r="A88" s="68">
        <f>IF(코드설정!$C22="","",코드설정!$C22)</f>
        <v/>
      </c>
      <c r="B88" s="24">
        <f>IF($A88="","",COUNTIFS(업무일지!$F$5:$F$1004,$B$69,업무일지!$I$5:$I$1004,$A88))</f>
        <v/>
      </c>
      <c r="C88" s="24">
        <f>IF($A88="","",COUNTIFS(업무일지!$F$5:$F$1004,$B$69,업무일지!$P$5:$P$1004,"*"&amp;$A88&amp;"*")-COUNTIFS(업무일지!$F$5:$F$1004,$B$69,업무일지!$I$5:$I$1004,$A88))</f>
        <v/>
      </c>
      <c r="D88" s="63">
        <f>IF($A88="","",B88+C88)</f>
        <v/>
      </c>
      <c r="E88" s="25">
        <f>IF($A88="","",SUMIFS(업무일지!$V$5:$V$1004,업무일지!$F$5:$F$1004,$B$69,업무일지!$P$5:$P$1004,"*"&amp;$A88&amp;"*"))</f>
        <v/>
      </c>
    </row>
    <row r="89">
      <c r="A89" s="68">
        <f>IF(코드설정!$C23="","",코드설정!$C23)</f>
        <v/>
      </c>
      <c r="B89" s="24">
        <f>IF($A89="","",COUNTIFS(업무일지!$F$5:$F$1004,$B$69,업무일지!$I$5:$I$1004,$A89))</f>
        <v/>
      </c>
      <c r="C89" s="24">
        <f>IF($A89="","",COUNTIFS(업무일지!$F$5:$F$1004,$B$69,업무일지!$P$5:$P$1004,"*"&amp;$A89&amp;"*")-COUNTIFS(업무일지!$F$5:$F$1004,$B$69,업무일지!$I$5:$I$1004,$A89))</f>
        <v/>
      </c>
      <c r="D89" s="63">
        <f>IF($A89="","",B89+C89)</f>
        <v/>
      </c>
      <c r="E89" s="25">
        <f>IF($A89="","",SUMIFS(업무일지!$V$5:$V$1004,업무일지!$F$5:$F$1004,$B$69,업무일지!$P$5:$P$1004,"*"&amp;$A89&amp;"*"))</f>
        <v/>
      </c>
    </row>
    <row r="90">
      <c r="A90" s="68">
        <f>IF(코드설정!$C24="","",코드설정!$C24)</f>
        <v/>
      </c>
      <c r="B90" s="24">
        <f>IF($A90="","",COUNTIFS(업무일지!$F$5:$F$1004,$B$69,업무일지!$I$5:$I$1004,$A90))</f>
        <v/>
      </c>
      <c r="C90" s="24">
        <f>IF($A90="","",COUNTIFS(업무일지!$F$5:$F$1004,$B$69,업무일지!$P$5:$P$1004,"*"&amp;$A90&amp;"*")-COUNTIFS(업무일지!$F$5:$F$1004,$B$69,업무일지!$I$5:$I$1004,$A90))</f>
        <v/>
      </c>
      <c r="D90" s="63">
        <f>IF($A90="","",B90+C90)</f>
        <v/>
      </c>
      <c r="E90" s="25">
        <f>IF($A90="","",SUMIFS(업무일지!$V$5:$V$1004,업무일지!$F$5:$F$1004,$B$69,업무일지!$P$5:$P$1004,"*"&amp;$A90&amp;"*"))</f>
        <v/>
      </c>
    </row>
    <row r="92">
      <c r="A92" s="7" t="inlineStr">
        <is>
          <t>※ '참여 건' = 본인이 주담당이 아니면서 참여자로 이름이 올라간 건입니다.  ※ 동명이인은 이름 부분일치로 잘못 집계되니 [코드설정]에서 반드시 구분해 등록하세요.</t>
        </is>
      </c>
    </row>
  </sheetData>
  <autoFilter ref="A5:Q65"/>
  <mergeCells count="1">
    <mergeCell ref="C69:E69"/>
  </mergeCells>
  <conditionalFormatting sqref="A6:Q65">
    <cfRule type="expression" priority="1" dxfId="2" stopIfTrue="0">
      <formula>$Q6="완료"</formula>
    </cfRule>
    <cfRule type="expression" priority="2" dxfId="3" stopIfTrue="0">
      <formula>$Q6="보류"</formula>
    </cfRule>
  </conditionalFormatting>
  <dataValidations count="1">
    <dataValidation sqref="B69" showDropDown="0" showInputMessage="0" showErrorMessage="0" allowBlank="1" type="list">
      <formula1>사건마스터!$A$5:$A$64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N5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1" customWidth="1" min="4" max="4"/>
    <col width="12" customWidth="1" min="5" max="5"/>
    <col width="11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1" customWidth="1" min="13" max="13"/>
    <col width="11" customWidth="1" min="14" max="14"/>
    <col width="3" customWidth="1" min="15" max="15"/>
  </cols>
  <sheetData>
    <row r="1" ht="24" customHeight="1">
      <c r="A1" s="6" t="inlineStr">
        <is>
          <t>개인별 현황  ·  출장 / 분석 / 일일</t>
        </is>
      </c>
    </row>
    <row r="2" ht="26" customHeight="1">
      <c r="A2" s="7" t="inlineStr">
        <is>
          <t>※ 담당자 명단은 [코드설정]에서 추가하면 자동 반영됩니다.  ※ 참여 건 = 남이 주담당인 건에 함께 투입된 건.  ※ 본인 투입시간은 그 건의 '1인 투입시간'을 합산한 값입니다(총 인시 아님).</t>
        </is>
      </c>
    </row>
    <row r="3">
      <c r="A3" s="8" t="inlineStr">
        <is>
          <t>기준연도</t>
        </is>
      </c>
      <c r="B3" s="79">
        <f>'부서 전체현황'!$B$3</f>
        <v/>
      </c>
      <c r="C3" s="7" t="inlineStr">
        <is>
          <t>← [부서 전체현황]의 기준연도와 연동됩니다</t>
        </is>
      </c>
    </row>
    <row r="5" ht="20" customHeight="1">
      <c r="A5" s="21" t="inlineStr">
        <is>
          <t>1.  담당자별 종합 (연간 누계)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6" ht="32" customHeight="1">
      <c r="A6" s="23" t="inlineStr">
        <is>
          <t>담당자</t>
        </is>
      </c>
      <c r="B6" s="23" t="inlineStr">
        <is>
          <t>소속팀</t>
        </is>
      </c>
      <c r="C6" s="23" t="inlineStr">
        <is>
          <t>출장 주담당</t>
        </is>
      </c>
      <c r="D6" s="23" t="inlineStr">
        <is>
          <t>출장 참여</t>
        </is>
      </c>
      <c r="E6" s="23" t="inlineStr">
        <is>
          <t>분석 주담당</t>
        </is>
      </c>
      <c r="F6" s="23" t="inlineStr">
        <is>
          <t>분석 참여</t>
        </is>
      </c>
      <c r="G6" s="23" t="inlineStr">
        <is>
          <t>총 참여건수</t>
        </is>
      </c>
      <c r="H6" s="23" t="inlineStr">
        <is>
          <t>출장 소요일수</t>
        </is>
      </c>
      <c r="I6" s="23" t="inlineStr">
        <is>
          <t>본인 투입시간(H)</t>
        </is>
      </c>
      <c r="J6" s="23" t="inlineStr">
        <is>
          <t>일일실시 건수</t>
        </is>
      </c>
      <c r="K6" s="23" t="inlineStr">
        <is>
          <t>일일 투입시간(H)</t>
        </is>
      </c>
      <c r="L6" s="23" t="inlineStr">
        <is>
          <t>총 투입시간(H)</t>
        </is>
      </c>
      <c r="M6" s="23" t="inlineStr">
        <is>
          <t>진행중 건</t>
        </is>
      </c>
    </row>
    <row r="7">
      <c r="A7" s="68">
        <f>IF(코드설정!$C5="","",코드설정!$C5)</f>
        <v/>
      </c>
      <c r="B7" s="74">
        <f>IF($A7="","",코드설정!$D5)</f>
        <v/>
      </c>
      <c r="C7" s="24">
        <f>IF($A7="","",COUNTIFS(업무일지!$B$5:$B$1004,"&gt;="&amp;DATE($B$3,1,1),업무일지!$B$5:$B$1004,"&lt;"&amp;DATE($B$3+1,1,1),업무일지!$I$5:$I$1004,$A7,업무일지!$D$5:$D$1004,"출장"))</f>
        <v/>
      </c>
      <c r="D7" s="24">
        <f>IF($A7="","",COUNTIFS(업무일지!$B$5:$B$1004,"&gt;="&amp;DATE($B$3,1,1),업무일지!$B$5:$B$1004,"&lt;"&amp;DATE($B$3+1,1,1),업무일지!$P$5:$P$1004,"*"&amp;$A7&amp;"*",업무일지!$D$5:$D$1004,"출장")-C7)</f>
        <v/>
      </c>
      <c r="E7" s="24">
        <f>IF($A7="","",COUNTIFS(업무일지!$B$5:$B$1004,"&gt;="&amp;DATE($B$3,1,1),업무일지!$B$5:$B$1004,"&lt;"&amp;DATE($B$3+1,1,1),업무일지!$I$5:$I$1004,$A7,업무일지!$D$5:$D$1004,"분석"))</f>
        <v/>
      </c>
      <c r="F7" s="24">
        <f>IF($A7="","",COUNTIFS(업무일지!$B$5:$B$1004,"&gt;="&amp;DATE($B$3,1,1),업무일지!$B$5:$B$1004,"&lt;"&amp;DATE($B$3+1,1,1),업무일지!$P$5:$P$1004,"*"&amp;$A7&amp;"*",업무일지!$D$5:$D$1004,"분석")-E7)</f>
        <v/>
      </c>
      <c r="G7" s="63">
        <f>IF($A7="","",C7+D7+E7+F7)</f>
        <v/>
      </c>
      <c r="H7" s="24">
        <f>IF($A7="","",SUMIFS(업무일지!$U$5:$U$1004,업무일지!$B$5:$B$1004,"&gt;="&amp;DATE($B$3,1,1),업무일지!$B$5:$B$1004,"&lt;"&amp;DATE($B$3+1,1,1),업무일지!$P$5:$P$1004,"*"&amp;$A7&amp;"*",업무일지!$D$5:$D$1004,"출장"))</f>
        <v/>
      </c>
      <c r="I7" s="25">
        <f>IF($A7="","",SUMIFS(업무일지!$V$5:$V$1004,업무일지!$B$5:$B$1004,"&gt;="&amp;DATE($B$3,1,1),업무일지!$B$5:$B$1004,"&lt;"&amp;DATE($B$3+1,1,1),업무일지!$P$5:$P$1004,"*"&amp;$A7&amp;"*"))</f>
        <v/>
      </c>
      <c r="J7" s="24">
        <f>IF($A7="","",COUNTIFS(일일실시사항!$B$5:$B$1004,"&gt;="&amp;DATE($B$3,1,1),일일실시사항!$B$5:$B$1004,"&lt;"&amp;DATE($B$3+1,1,1),일일실시사항!$D$5:$D$1004,$A7))</f>
        <v/>
      </c>
      <c r="K7" s="25">
        <f>IF($A7="","",SUMIFS(일일실시사항!$J$5:$J$1004,일일실시사항!$B$5:$B$1004,"&gt;="&amp;DATE($B$3,1,1),일일실시사항!$B$5:$B$1004,"&lt;"&amp;DATE($B$3+1,1,1),일일실시사항!$D$5:$D$1004,$A7))</f>
        <v/>
      </c>
      <c r="L7" s="67">
        <f>IF($A7="","",I7+K7)</f>
        <v/>
      </c>
      <c r="M7" s="24">
        <f>IF($A7="","",COUNTIFS(업무일지!$B$5:$B$1004,"&gt;="&amp;DATE($B$3,1,1),업무일지!$B$5:$B$1004,"&lt;"&amp;DATE($B$3+1,1,1),업무일지!$P$5:$P$1004,"*"&amp;$A7&amp;"*",업무일지!$X$5:$X$1004,"진행중"))</f>
        <v/>
      </c>
    </row>
    <row r="8">
      <c r="A8" s="68">
        <f>IF(코드설정!$C6="","",코드설정!$C6)</f>
        <v/>
      </c>
      <c r="B8" s="74">
        <f>IF($A8="","",코드설정!$D6)</f>
        <v/>
      </c>
      <c r="C8" s="24">
        <f>IF($A8="","",COUNTIFS(업무일지!$B$5:$B$1004,"&gt;="&amp;DATE($B$3,1,1),업무일지!$B$5:$B$1004,"&lt;"&amp;DATE($B$3+1,1,1),업무일지!$I$5:$I$1004,$A8,업무일지!$D$5:$D$1004,"출장"))</f>
        <v/>
      </c>
      <c r="D8" s="24">
        <f>IF($A8="","",COUNTIFS(업무일지!$B$5:$B$1004,"&gt;="&amp;DATE($B$3,1,1),업무일지!$B$5:$B$1004,"&lt;"&amp;DATE($B$3+1,1,1),업무일지!$P$5:$P$1004,"*"&amp;$A8&amp;"*",업무일지!$D$5:$D$1004,"출장")-C8)</f>
        <v/>
      </c>
      <c r="E8" s="24">
        <f>IF($A8="","",COUNTIFS(업무일지!$B$5:$B$1004,"&gt;="&amp;DATE($B$3,1,1),업무일지!$B$5:$B$1004,"&lt;"&amp;DATE($B$3+1,1,1),업무일지!$I$5:$I$1004,$A8,업무일지!$D$5:$D$1004,"분석"))</f>
        <v/>
      </c>
      <c r="F8" s="24">
        <f>IF($A8="","",COUNTIFS(업무일지!$B$5:$B$1004,"&gt;="&amp;DATE($B$3,1,1),업무일지!$B$5:$B$1004,"&lt;"&amp;DATE($B$3+1,1,1),업무일지!$P$5:$P$1004,"*"&amp;$A8&amp;"*",업무일지!$D$5:$D$1004,"분석")-E8)</f>
        <v/>
      </c>
      <c r="G8" s="63">
        <f>IF($A8="","",C8+D8+E8+F8)</f>
        <v/>
      </c>
      <c r="H8" s="24">
        <f>IF($A8="","",SUMIFS(업무일지!$U$5:$U$1004,업무일지!$B$5:$B$1004,"&gt;="&amp;DATE($B$3,1,1),업무일지!$B$5:$B$1004,"&lt;"&amp;DATE($B$3+1,1,1),업무일지!$P$5:$P$1004,"*"&amp;$A8&amp;"*",업무일지!$D$5:$D$1004,"출장"))</f>
        <v/>
      </c>
      <c r="I8" s="25">
        <f>IF($A8="","",SUMIFS(업무일지!$V$5:$V$1004,업무일지!$B$5:$B$1004,"&gt;="&amp;DATE($B$3,1,1),업무일지!$B$5:$B$1004,"&lt;"&amp;DATE($B$3+1,1,1),업무일지!$P$5:$P$1004,"*"&amp;$A8&amp;"*"))</f>
        <v/>
      </c>
      <c r="J8" s="24">
        <f>IF($A8="","",COUNTIFS(일일실시사항!$B$5:$B$1004,"&gt;="&amp;DATE($B$3,1,1),일일실시사항!$B$5:$B$1004,"&lt;"&amp;DATE($B$3+1,1,1),일일실시사항!$D$5:$D$1004,$A8))</f>
        <v/>
      </c>
      <c r="K8" s="25">
        <f>IF($A8="","",SUMIFS(일일실시사항!$J$5:$J$1004,일일실시사항!$B$5:$B$1004,"&gt;="&amp;DATE($B$3,1,1),일일실시사항!$B$5:$B$1004,"&lt;"&amp;DATE($B$3+1,1,1),일일실시사항!$D$5:$D$1004,$A8))</f>
        <v/>
      </c>
      <c r="L8" s="67">
        <f>IF($A8="","",I8+K8)</f>
        <v/>
      </c>
      <c r="M8" s="24">
        <f>IF($A8="","",COUNTIFS(업무일지!$B$5:$B$1004,"&gt;="&amp;DATE($B$3,1,1),업무일지!$B$5:$B$1004,"&lt;"&amp;DATE($B$3+1,1,1),업무일지!$P$5:$P$1004,"*"&amp;$A8&amp;"*",업무일지!$X$5:$X$1004,"진행중"))</f>
        <v/>
      </c>
    </row>
    <row r="9">
      <c r="A9" s="68">
        <f>IF(코드설정!$C7="","",코드설정!$C7)</f>
        <v/>
      </c>
      <c r="B9" s="74">
        <f>IF($A9="","",코드설정!$D7)</f>
        <v/>
      </c>
      <c r="C9" s="24">
        <f>IF($A9="","",COUNTIFS(업무일지!$B$5:$B$1004,"&gt;="&amp;DATE($B$3,1,1),업무일지!$B$5:$B$1004,"&lt;"&amp;DATE($B$3+1,1,1),업무일지!$I$5:$I$1004,$A9,업무일지!$D$5:$D$1004,"출장"))</f>
        <v/>
      </c>
      <c r="D9" s="24">
        <f>IF($A9="","",COUNTIFS(업무일지!$B$5:$B$1004,"&gt;="&amp;DATE($B$3,1,1),업무일지!$B$5:$B$1004,"&lt;"&amp;DATE($B$3+1,1,1),업무일지!$P$5:$P$1004,"*"&amp;$A9&amp;"*",업무일지!$D$5:$D$1004,"출장")-C9)</f>
        <v/>
      </c>
      <c r="E9" s="24">
        <f>IF($A9="","",COUNTIFS(업무일지!$B$5:$B$1004,"&gt;="&amp;DATE($B$3,1,1),업무일지!$B$5:$B$1004,"&lt;"&amp;DATE($B$3+1,1,1),업무일지!$I$5:$I$1004,$A9,업무일지!$D$5:$D$1004,"분석"))</f>
        <v/>
      </c>
      <c r="F9" s="24">
        <f>IF($A9="","",COUNTIFS(업무일지!$B$5:$B$1004,"&gt;="&amp;DATE($B$3,1,1),업무일지!$B$5:$B$1004,"&lt;"&amp;DATE($B$3+1,1,1),업무일지!$P$5:$P$1004,"*"&amp;$A9&amp;"*",업무일지!$D$5:$D$1004,"분석")-E9)</f>
        <v/>
      </c>
      <c r="G9" s="63">
        <f>IF($A9="","",C9+D9+E9+F9)</f>
        <v/>
      </c>
      <c r="H9" s="24">
        <f>IF($A9="","",SUMIFS(업무일지!$U$5:$U$1004,업무일지!$B$5:$B$1004,"&gt;="&amp;DATE($B$3,1,1),업무일지!$B$5:$B$1004,"&lt;"&amp;DATE($B$3+1,1,1),업무일지!$P$5:$P$1004,"*"&amp;$A9&amp;"*",업무일지!$D$5:$D$1004,"출장"))</f>
        <v/>
      </c>
      <c r="I9" s="25">
        <f>IF($A9="","",SUMIFS(업무일지!$V$5:$V$1004,업무일지!$B$5:$B$1004,"&gt;="&amp;DATE($B$3,1,1),업무일지!$B$5:$B$1004,"&lt;"&amp;DATE($B$3+1,1,1),업무일지!$P$5:$P$1004,"*"&amp;$A9&amp;"*"))</f>
        <v/>
      </c>
      <c r="J9" s="24">
        <f>IF($A9="","",COUNTIFS(일일실시사항!$B$5:$B$1004,"&gt;="&amp;DATE($B$3,1,1),일일실시사항!$B$5:$B$1004,"&lt;"&amp;DATE($B$3+1,1,1),일일실시사항!$D$5:$D$1004,$A9))</f>
        <v/>
      </c>
      <c r="K9" s="25">
        <f>IF($A9="","",SUMIFS(일일실시사항!$J$5:$J$1004,일일실시사항!$B$5:$B$1004,"&gt;="&amp;DATE($B$3,1,1),일일실시사항!$B$5:$B$1004,"&lt;"&amp;DATE($B$3+1,1,1),일일실시사항!$D$5:$D$1004,$A9))</f>
        <v/>
      </c>
      <c r="L9" s="67">
        <f>IF($A9="","",I9+K9)</f>
        <v/>
      </c>
      <c r="M9" s="24">
        <f>IF($A9="","",COUNTIFS(업무일지!$B$5:$B$1004,"&gt;="&amp;DATE($B$3,1,1),업무일지!$B$5:$B$1004,"&lt;"&amp;DATE($B$3+1,1,1),업무일지!$P$5:$P$1004,"*"&amp;$A9&amp;"*",업무일지!$X$5:$X$1004,"진행중"))</f>
        <v/>
      </c>
    </row>
    <row r="10">
      <c r="A10" s="68">
        <f>IF(코드설정!$C8="","",코드설정!$C8)</f>
        <v/>
      </c>
      <c r="B10" s="74">
        <f>IF($A10="","",코드설정!$D8)</f>
        <v/>
      </c>
      <c r="C10" s="24">
        <f>IF($A10="","",COUNTIFS(업무일지!$B$5:$B$1004,"&gt;="&amp;DATE($B$3,1,1),업무일지!$B$5:$B$1004,"&lt;"&amp;DATE($B$3+1,1,1),업무일지!$I$5:$I$1004,$A10,업무일지!$D$5:$D$1004,"출장"))</f>
        <v/>
      </c>
      <c r="D10" s="24">
        <f>IF($A10="","",COUNTIFS(업무일지!$B$5:$B$1004,"&gt;="&amp;DATE($B$3,1,1),업무일지!$B$5:$B$1004,"&lt;"&amp;DATE($B$3+1,1,1),업무일지!$P$5:$P$1004,"*"&amp;$A10&amp;"*",업무일지!$D$5:$D$1004,"출장")-C10)</f>
        <v/>
      </c>
      <c r="E10" s="24">
        <f>IF($A10="","",COUNTIFS(업무일지!$B$5:$B$1004,"&gt;="&amp;DATE($B$3,1,1),업무일지!$B$5:$B$1004,"&lt;"&amp;DATE($B$3+1,1,1),업무일지!$I$5:$I$1004,$A10,업무일지!$D$5:$D$1004,"분석"))</f>
        <v/>
      </c>
      <c r="F10" s="24">
        <f>IF($A10="","",COUNTIFS(업무일지!$B$5:$B$1004,"&gt;="&amp;DATE($B$3,1,1),업무일지!$B$5:$B$1004,"&lt;"&amp;DATE($B$3+1,1,1),업무일지!$P$5:$P$1004,"*"&amp;$A10&amp;"*",업무일지!$D$5:$D$1004,"분석")-E10)</f>
        <v/>
      </c>
      <c r="G10" s="63">
        <f>IF($A10="","",C10+D10+E10+F10)</f>
        <v/>
      </c>
      <c r="H10" s="24">
        <f>IF($A10="","",SUMIFS(업무일지!$U$5:$U$1004,업무일지!$B$5:$B$1004,"&gt;="&amp;DATE($B$3,1,1),업무일지!$B$5:$B$1004,"&lt;"&amp;DATE($B$3+1,1,1),업무일지!$P$5:$P$1004,"*"&amp;$A10&amp;"*",업무일지!$D$5:$D$1004,"출장"))</f>
        <v/>
      </c>
      <c r="I10" s="25">
        <f>IF($A10="","",SUMIFS(업무일지!$V$5:$V$1004,업무일지!$B$5:$B$1004,"&gt;="&amp;DATE($B$3,1,1),업무일지!$B$5:$B$1004,"&lt;"&amp;DATE($B$3+1,1,1),업무일지!$P$5:$P$1004,"*"&amp;$A10&amp;"*"))</f>
        <v/>
      </c>
      <c r="J10" s="24">
        <f>IF($A10="","",COUNTIFS(일일실시사항!$B$5:$B$1004,"&gt;="&amp;DATE($B$3,1,1),일일실시사항!$B$5:$B$1004,"&lt;"&amp;DATE($B$3+1,1,1),일일실시사항!$D$5:$D$1004,$A10))</f>
        <v/>
      </c>
      <c r="K10" s="25">
        <f>IF($A10="","",SUMIFS(일일실시사항!$J$5:$J$1004,일일실시사항!$B$5:$B$1004,"&gt;="&amp;DATE($B$3,1,1),일일실시사항!$B$5:$B$1004,"&lt;"&amp;DATE($B$3+1,1,1),일일실시사항!$D$5:$D$1004,$A10))</f>
        <v/>
      </c>
      <c r="L10" s="67">
        <f>IF($A10="","",I10+K10)</f>
        <v/>
      </c>
      <c r="M10" s="24">
        <f>IF($A10="","",COUNTIFS(업무일지!$B$5:$B$1004,"&gt;="&amp;DATE($B$3,1,1),업무일지!$B$5:$B$1004,"&lt;"&amp;DATE($B$3+1,1,1),업무일지!$P$5:$P$1004,"*"&amp;$A10&amp;"*",업무일지!$X$5:$X$1004,"진행중"))</f>
        <v/>
      </c>
    </row>
    <row r="11">
      <c r="A11" s="68">
        <f>IF(코드설정!$C9="","",코드설정!$C9)</f>
        <v/>
      </c>
      <c r="B11" s="74">
        <f>IF($A11="","",코드설정!$D9)</f>
        <v/>
      </c>
      <c r="C11" s="24">
        <f>IF($A11="","",COUNTIFS(업무일지!$B$5:$B$1004,"&gt;="&amp;DATE($B$3,1,1),업무일지!$B$5:$B$1004,"&lt;"&amp;DATE($B$3+1,1,1),업무일지!$I$5:$I$1004,$A11,업무일지!$D$5:$D$1004,"출장"))</f>
        <v/>
      </c>
      <c r="D11" s="24">
        <f>IF($A11="","",COUNTIFS(업무일지!$B$5:$B$1004,"&gt;="&amp;DATE($B$3,1,1),업무일지!$B$5:$B$1004,"&lt;"&amp;DATE($B$3+1,1,1),업무일지!$P$5:$P$1004,"*"&amp;$A11&amp;"*",업무일지!$D$5:$D$1004,"출장")-C11)</f>
        <v/>
      </c>
      <c r="E11" s="24">
        <f>IF($A11="","",COUNTIFS(업무일지!$B$5:$B$1004,"&gt;="&amp;DATE($B$3,1,1),업무일지!$B$5:$B$1004,"&lt;"&amp;DATE($B$3+1,1,1),업무일지!$I$5:$I$1004,$A11,업무일지!$D$5:$D$1004,"분석"))</f>
        <v/>
      </c>
      <c r="F11" s="24">
        <f>IF($A11="","",COUNTIFS(업무일지!$B$5:$B$1004,"&gt;="&amp;DATE($B$3,1,1),업무일지!$B$5:$B$1004,"&lt;"&amp;DATE($B$3+1,1,1),업무일지!$P$5:$P$1004,"*"&amp;$A11&amp;"*",업무일지!$D$5:$D$1004,"분석")-E11)</f>
        <v/>
      </c>
      <c r="G11" s="63">
        <f>IF($A11="","",C11+D11+E11+F11)</f>
        <v/>
      </c>
      <c r="H11" s="24">
        <f>IF($A11="","",SUMIFS(업무일지!$U$5:$U$1004,업무일지!$B$5:$B$1004,"&gt;="&amp;DATE($B$3,1,1),업무일지!$B$5:$B$1004,"&lt;"&amp;DATE($B$3+1,1,1),업무일지!$P$5:$P$1004,"*"&amp;$A11&amp;"*",업무일지!$D$5:$D$1004,"출장"))</f>
        <v/>
      </c>
      <c r="I11" s="25">
        <f>IF($A11="","",SUMIFS(업무일지!$V$5:$V$1004,업무일지!$B$5:$B$1004,"&gt;="&amp;DATE($B$3,1,1),업무일지!$B$5:$B$1004,"&lt;"&amp;DATE($B$3+1,1,1),업무일지!$P$5:$P$1004,"*"&amp;$A11&amp;"*"))</f>
        <v/>
      </c>
      <c r="J11" s="24">
        <f>IF($A11="","",COUNTIFS(일일실시사항!$B$5:$B$1004,"&gt;="&amp;DATE($B$3,1,1),일일실시사항!$B$5:$B$1004,"&lt;"&amp;DATE($B$3+1,1,1),일일실시사항!$D$5:$D$1004,$A11))</f>
        <v/>
      </c>
      <c r="K11" s="25">
        <f>IF($A11="","",SUMIFS(일일실시사항!$J$5:$J$1004,일일실시사항!$B$5:$B$1004,"&gt;="&amp;DATE($B$3,1,1),일일실시사항!$B$5:$B$1004,"&lt;"&amp;DATE($B$3+1,1,1),일일실시사항!$D$5:$D$1004,$A11))</f>
        <v/>
      </c>
      <c r="L11" s="67">
        <f>IF($A11="","",I11+K11)</f>
        <v/>
      </c>
      <c r="M11" s="24">
        <f>IF($A11="","",COUNTIFS(업무일지!$B$5:$B$1004,"&gt;="&amp;DATE($B$3,1,1),업무일지!$B$5:$B$1004,"&lt;"&amp;DATE($B$3+1,1,1),업무일지!$P$5:$P$1004,"*"&amp;$A11&amp;"*",업무일지!$X$5:$X$1004,"진행중"))</f>
        <v/>
      </c>
    </row>
    <row r="12">
      <c r="A12" s="68">
        <f>IF(코드설정!$C10="","",코드설정!$C10)</f>
        <v/>
      </c>
      <c r="B12" s="74">
        <f>IF($A12="","",코드설정!$D10)</f>
        <v/>
      </c>
      <c r="C12" s="24">
        <f>IF($A12="","",COUNTIFS(업무일지!$B$5:$B$1004,"&gt;="&amp;DATE($B$3,1,1),업무일지!$B$5:$B$1004,"&lt;"&amp;DATE($B$3+1,1,1),업무일지!$I$5:$I$1004,$A12,업무일지!$D$5:$D$1004,"출장"))</f>
        <v/>
      </c>
      <c r="D12" s="24">
        <f>IF($A12="","",COUNTIFS(업무일지!$B$5:$B$1004,"&gt;="&amp;DATE($B$3,1,1),업무일지!$B$5:$B$1004,"&lt;"&amp;DATE($B$3+1,1,1),업무일지!$P$5:$P$1004,"*"&amp;$A12&amp;"*",업무일지!$D$5:$D$1004,"출장")-C12)</f>
        <v/>
      </c>
      <c r="E12" s="24">
        <f>IF($A12="","",COUNTIFS(업무일지!$B$5:$B$1004,"&gt;="&amp;DATE($B$3,1,1),업무일지!$B$5:$B$1004,"&lt;"&amp;DATE($B$3+1,1,1),업무일지!$I$5:$I$1004,$A12,업무일지!$D$5:$D$1004,"분석"))</f>
        <v/>
      </c>
      <c r="F12" s="24">
        <f>IF($A12="","",COUNTIFS(업무일지!$B$5:$B$1004,"&gt;="&amp;DATE($B$3,1,1),업무일지!$B$5:$B$1004,"&lt;"&amp;DATE($B$3+1,1,1),업무일지!$P$5:$P$1004,"*"&amp;$A12&amp;"*",업무일지!$D$5:$D$1004,"분석")-E12)</f>
        <v/>
      </c>
      <c r="G12" s="63">
        <f>IF($A12="","",C12+D12+E12+F12)</f>
        <v/>
      </c>
      <c r="H12" s="24">
        <f>IF($A12="","",SUMIFS(업무일지!$U$5:$U$1004,업무일지!$B$5:$B$1004,"&gt;="&amp;DATE($B$3,1,1),업무일지!$B$5:$B$1004,"&lt;"&amp;DATE($B$3+1,1,1),업무일지!$P$5:$P$1004,"*"&amp;$A12&amp;"*",업무일지!$D$5:$D$1004,"출장"))</f>
        <v/>
      </c>
      <c r="I12" s="25">
        <f>IF($A12="","",SUMIFS(업무일지!$V$5:$V$1004,업무일지!$B$5:$B$1004,"&gt;="&amp;DATE($B$3,1,1),업무일지!$B$5:$B$1004,"&lt;"&amp;DATE($B$3+1,1,1),업무일지!$P$5:$P$1004,"*"&amp;$A12&amp;"*"))</f>
        <v/>
      </c>
      <c r="J12" s="24">
        <f>IF($A12="","",COUNTIFS(일일실시사항!$B$5:$B$1004,"&gt;="&amp;DATE($B$3,1,1),일일실시사항!$B$5:$B$1004,"&lt;"&amp;DATE($B$3+1,1,1),일일실시사항!$D$5:$D$1004,$A12))</f>
        <v/>
      </c>
      <c r="K12" s="25">
        <f>IF($A12="","",SUMIFS(일일실시사항!$J$5:$J$1004,일일실시사항!$B$5:$B$1004,"&gt;="&amp;DATE($B$3,1,1),일일실시사항!$B$5:$B$1004,"&lt;"&amp;DATE($B$3+1,1,1),일일실시사항!$D$5:$D$1004,$A12))</f>
        <v/>
      </c>
      <c r="L12" s="67">
        <f>IF($A12="","",I12+K12)</f>
        <v/>
      </c>
      <c r="M12" s="24">
        <f>IF($A12="","",COUNTIFS(업무일지!$B$5:$B$1004,"&gt;="&amp;DATE($B$3,1,1),업무일지!$B$5:$B$1004,"&lt;"&amp;DATE($B$3+1,1,1),업무일지!$P$5:$P$1004,"*"&amp;$A12&amp;"*",업무일지!$X$5:$X$1004,"진행중"))</f>
        <v/>
      </c>
    </row>
    <row r="13">
      <c r="A13" s="68">
        <f>IF(코드설정!$C11="","",코드설정!$C11)</f>
        <v/>
      </c>
      <c r="B13" s="74">
        <f>IF($A13="","",코드설정!$D11)</f>
        <v/>
      </c>
      <c r="C13" s="24">
        <f>IF($A13="","",COUNTIFS(업무일지!$B$5:$B$1004,"&gt;="&amp;DATE($B$3,1,1),업무일지!$B$5:$B$1004,"&lt;"&amp;DATE($B$3+1,1,1),업무일지!$I$5:$I$1004,$A13,업무일지!$D$5:$D$1004,"출장"))</f>
        <v/>
      </c>
      <c r="D13" s="24">
        <f>IF($A13="","",COUNTIFS(업무일지!$B$5:$B$1004,"&gt;="&amp;DATE($B$3,1,1),업무일지!$B$5:$B$1004,"&lt;"&amp;DATE($B$3+1,1,1),업무일지!$P$5:$P$1004,"*"&amp;$A13&amp;"*",업무일지!$D$5:$D$1004,"출장")-C13)</f>
        <v/>
      </c>
      <c r="E13" s="24">
        <f>IF($A13="","",COUNTIFS(업무일지!$B$5:$B$1004,"&gt;="&amp;DATE($B$3,1,1),업무일지!$B$5:$B$1004,"&lt;"&amp;DATE($B$3+1,1,1),업무일지!$I$5:$I$1004,$A13,업무일지!$D$5:$D$1004,"분석"))</f>
        <v/>
      </c>
      <c r="F13" s="24">
        <f>IF($A13="","",COUNTIFS(업무일지!$B$5:$B$1004,"&gt;="&amp;DATE($B$3,1,1),업무일지!$B$5:$B$1004,"&lt;"&amp;DATE($B$3+1,1,1),업무일지!$P$5:$P$1004,"*"&amp;$A13&amp;"*",업무일지!$D$5:$D$1004,"분석")-E13)</f>
        <v/>
      </c>
      <c r="G13" s="63">
        <f>IF($A13="","",C13+D13+E13+F13)</f>
        <v/>
      </c>
      <c r="H13" s="24">
        <f>IF($A13="","",SUMIFS(업무일지!$U$5:$U$1004,업무일지!$B$5:$B$1004,"&gt;="&amp;DATE($B$3,1,1),업무일지!$B$5:$B$1004,"&lt;"&amp;DATE($B$3+1,1,1),업무일지!$P$5:$P$1004,"*"&amp;$A13&amp;"*",업무일지!$D$5:$D$1004,"출장"))</f>
        <v/>
      </c>
      <c r="I13" s="25">
        <f>IF($A13="","",SUMIFS(업무일지!$V$5:$V$1004,업무일지!$B$5:$B$1004,"&gt;="&amp;DATE($B$3,1,1),업무일지!$B$5:$B$1004,"&lt;"&amp;DATE($B$3+1,1,1),업무일지!$P$5:$P$1004,"*"&amp;$A13&amp;"*"))</f>
        <v/>
      </c>
      <c r="J13" s="24">
        <f>IF($A13="","",COUNTIFS(일일실시사항!$B$5:$B$1004,"&gt;="&amp;DATE($B$3,1,1),일일실시사항!$B$5:$B$1004,"&lt;"&amp;DATE($B$3+1,1,1),일일실시사항!$D$5:$D$1004,$A13))</f>
        <v/>
      </c>
      <c r="K13" s="25">
        <f>IF($A13="","",SUMIFS(일일실시사항!$J$5:$J$1004,일일실시사항!$B$5:$B$1004,"&gt;="&amp;DATE($B$3,1,1),일일실시사항!$B$5:$B$1004,"&lt;"&amp;DATE($B$3+1,1,1),일일실시사항!$D$5:$D$1004,$A13))</f>
        <v/>
      </c>
      <c r="L13" s="67">
        <f>IF($A13="","",I13+K13)</f>
        <v/>
      </c>
      <c r="M13" s="24">
        <f>IF($A13="","",COUNTIFS(업무일지!$B$5:$B$1004,"&gt;="&amp;DATE($B$3,1,1),업무일지!$B$5:$B$1004,"&lt;"&amp;DATE($B$3+1,1,1),업무일지!$P$5:$P$1004,"*"&amp;$A13&amp;"*",업무일지!$X$5:$X$1004,"진행중"))</f>
        <v/>
      </c>
    </row>
    <row r="14">
      <c r="A14" s="68">
        <f>IF(코드설정!$C12="","",코드설정!$C12)</f>
        <v/>
      </c>
      <c r="B14" s="74">
        <f>IF($A14="","",코드설정!$D12)</f>
        <v/>
      </c>
      <c r="C14" s="24">
        <f>IF($A14="","",COUNTIFS(업무일지!$B$5:$B$1004,"&gt;="&amp;DATE($B$3,1,1),업무일지!$B$5:$B$1004,"&lt;"&amp;DATE($B$3+1,1,1),업무일지!$I$5:$I$1004,$A14,업무일지!$D$5:$D$1004,"출장"))</f>
        <v/>
      </c>
      <c r="D14" s="24">
        <f>IF($A14="","",COUNTIFS(업무일지!$B$5:$B$1004,"&gt;="&amp;DATE($B$3,1,1),업무일지!$B$5:$B$1004,"&lt;"&amp;DATE($B$3+1,1,1),업무일지!$P$5:$P$1004,"*"&amp;$A14&amp;"*",업무일지!$D$5:$D$1004,"출장")-C14)</f>
        <v/>
      </c>
      <c r="E14" s="24">
        <f>IF($A14="","",COUNTIFS(업무일지!$B$5:$B$1004,"&gt;="&amp;DATE($B$3,1,1),업무일지!$B$5:$B$1004,"&lt;"&amp;DATE($B$3+1,1,1),업무일지!$I$5:$I$1004,$A14,업무일지!$D$5:$D$1004,"분석"))</f>
        <v/>
      </c>
      <c r="F14" s="24">
        <f>IF($A14="","",COUNTIFS(업무일지!$B$5:$B$1004,"&gt;="&amp;DATE($B$3,1,1),업무일지!$B$5:$B$1004,"&lt;"&amp;DATE($B$3+1,1,1),업무일지!$P$5:$P$1004,"*"&amp;$A14&amp;"*",업무일지!$D$5:$D$1004,"분석")-E14)</f>
        <v/>
      </c>
      <c r="G14" s="63">
        <f>IF($A14="","",C14+D14+E14+F14)</f>
        <v/>
      </c>
      <c r="H14" s="24">
        <f>IF($A14="","",SUMIFS(업무일지!$U$5:$U$1004,업무일지!$B$5:$B$1004,"&gt;="&amp;DATE($B$3,1,1),업무일지!$B$5:$B$1004,"&lt;"&amp;DATE($B$3+1,1,1),업무일지!$P$5:$P$1004,"*"&amp;$A14&amp;"*",업무일지!$D$5:$D$1004,"출장"))</f>
        <v/>
      </c>
      <c r="I14" s="25">
        <f>IF($A14="","",SUMIFS(업무일지!$V$5:$V$1004,업무일지!$B$5:$B$1004,"&gt;="&amp;DATE($B$3,1,1),업무일지!$B$5:$B$1004,"&lt;"&amp;DATE($B$3+1,1,1),업무일지!$P$5:$P$1004,"*"&amp;$A14&amp;"*"))</f>
        <v/>
      </c>
      <c r="J14" s="24">
        <f>IF($A14="","",COUNTIFS(일일실시사항!$B$5:$B$1004,"&gt;="&amp;DATE($B$3,1,1),일일실시사항!$B$5:$B$1004,"&lt;"&amp;DATE($B$3+1,1,1),일일실시사항!$D$5:$D$1004,$A14))</f>
        <v/>
      </c>
      <c r="K14" s="25">
        <f>IF($A14="","",SUMIFS(일일실시사항!$J$5:$J$1004,일일실시사항!$B$5:$B$1004,"&gt;="&amp;DATE($B$3,1,1),일일실시사항!$B$5:$B$1004,"&lt;"&amp;DATE($B$3+1,1,1),일일실시사항!$D$5:$D$1004,$A14))</f>
        <v/>
      </c>
      <c r="L14" s="67">
        <f>IF($A14="","",I14+K14)</f>
        <v/>
      </c>
      <c r="M14" s="24">
        <f>IF($A14="","",COUNTIFS(업무일지!$B$5:$B$1004,"&gt;="&amp;DATE($B$3,1,1),업무일지!$B$5:$B$1004,"&lt;"&amp;DATE($B$3+1,1,1),업무일지!$P$5:$P$1004,"*"&amp;$A14&amp;"*",업무일지!$X$5:$X$1004,"진행중"))</f>
        <v/>
      </c>
    </row>
    <row r="15">
      <c r="A15" s="68">
        <f>IF(코드설정!$C13="","",코드설정!$C13)</f>
        <v/>
      </c>
      <c r="B15" s="74">
        <f>IF($A15="","",코드설정!$D13)</f>
        <v/>
      </c>
      <c r="C15" s="24">
        <f>IF($A15="","",COUNTIFS(업무일지!$B$5:$B$1004,"&gt;="&amp;DATE($B$3,1,1),업무일지!$B$5:$B$1004,"&lt;"&amp;DATE($B$3+1,1,1),업무일지!$I$5:$I$1004,$A15,업무일지!$D$5:$D$1004,"출장"))</f>
        <v/>
      </c>
      <c r="D15" s="24">
        <f>IF($A15="","",COUNTIFS(업무일지!$B$5:$B$1004,"&gt;="&amp;DATE($B$3,1,1),업무일지!$B$5:$B$1004,"&lt;"&amp;DATE($B$3+1,1,1),업무일지!$P$5:$P$1004,"*"&amp;$A15&amp;"*",업무일지!$D$5:$D$1004,"출장")-C15)</f>
        <v/>
      </c>
      <c r="E15" s="24">
        <f>IF($A15="","",COUNTIFS(업무일지!$B$5:$B$1004,"&gt;="&amp;DATE($B$3,1,1),업무일지!$B$5:$B$1004,"&lt;"&amp;DATE($B$3+1,1,1),업무일지!$I$5:$I$1004,$A15,업무일지!$D$5:$D$1004,"분석"))</f>
        <v/>
      </c>
      <c r="F15" s="24">
        <f>IF($A15="","",COUNTIFS(업무일지!$B$5:$B$1004,"&gt;="&amp;DATE($B$3,1,1),업무일지!$B$5:$B$1004,"&lt;"&amp;DATE($B$3+1,1,1),업무일지!$P$5:$P$1004,"*"&amp;$A15&amp;"*",업무일지!$D$5:$D$1004,"분석")-E15)</f>
        <v/>
      </c>
      <c r="G15" s="63">
        <f>IF($A15="","",C15+D15+E15+F15)</f>
        <v/>
      </c>
      <c r="H15" s="24">
        <f>IF($A15="","",SUMIFS(업무일지!$U$5:$U$1004,업무일지!$B$5:$B$1004,"&gt;="&amp;DATE($B$3,1,1),업무일지!$B$5:$B$1004,"&lt;"&amp;DATE($B$3+1,1,1),업무일지!$P$5:$P$1004,"*"&amp;$A15&amp;"*",업무일지!$D$5:$D$1004,"출장"))</f>
        <v/>
      </c>
      <c r="I15" s="25">
        <f>IF($A15="","",SUMIFS(업무일지!$V$5:$V$1004,업무일지!$B$5:$B$1004,"&gt;="&amp;DATE($B$3,1,1),업무일지!$B$5:$B$1004,"&lt;"&amp;DATE($B$3+1,1,1),업무일지!$P$5:$P$1004,"*"&amp;$A15&amp;"*"))</f>
        <v/>
      </c>
      <c r="J15" s="24">
        <f>IF($A15="","",COUNTIFS(일일실시사항!$B$5:$B$1004,"&gt;="&amp;DATE($B$3,1,1),일일실시사항!$B$5:$B$1004,"&lt;"&amp;DATE($B$3+1,1,1),일일실시사항!$D$5:$D$1004,$A15))</f>
        <v/>
      </c>
      <c r="K15" s="25">
        <f>IF($A15="","",SUMIFS(일일실시사항!$J$5:$J$1004,일일실시사항!$B$5:$B$1004,"&gt;="&amp;DATE($B$3,1,1),일일실시사항!$B$5:$B$1004,"&lt;"&amp;DATE($B$3+1,1,1),일일실시사항!$D$5:$D$1004,$A15))</f>
        <v/>
      </c>
      <c r="L15" s="67">
        <f>IF($A15="","",I15+K15)</f>
        <v/>
      </c>
      <c r="M15" s="24">
        <f>IF($A15="","",COUNTIFS(업무일지!$B$5:$B$1004,"&gt;="&amp;DATE($B$3,1,1),업무일지!$B$5:$B$1004,"&lt;"&amp;DATE($B$3+1,1,1),업무일지!$P$5:$P$1004,"*"&amp;$A15&amp;"*",업무일지!$X$5:$X$1004,"진행중"))</f>
        <v/>
      </c>
    </row>
    <row r="16">
      <c r="A16" s="68">
        <f>IF(코드설정!$C14="","",코드설정!$C14)</f>
        <v/>
      </c>
      <c r="B16" s="74">
        <f>IF($A16="","",코드설정!$D14)</f>
        <v/>
      </c>
      <c r="C16" s="24">
        <f>IF($A16="","",COUNTIFS(업무일지!$B$5:$B$1004,"&gt;="&amp;DATE($B$3,1,1),업무일지!$B$5:$B$1004,"&lt;"&amp;DATE($B$3+1,1,1),업무일지!$I$5:$I$1004,$A16,업무일지!$D$5:$D$1004,"출장"))</f>
        <v/>
      </c>
      <c r="D16" s="24">
        <f>IF($A16="","",COUNTIFS(업무일지!$B$5:$B$1004,"&gt;="&amp;DATE($B$3,1,1),업무일지!$B$5:$B$1004,"&lt;"&amp;DATE($B$3+1,1,1),업무일지!$P$5:$P$1004,"*"&amp;$A16&amp;"*",업무일지!$D$5:$D$1004,"출장")-C16)</f>
        <v/>
      </c>
      <c r="E16" s="24">
        <f>IF($A16="","",COUNTIFS(업무일지!$B$5:$B$1004,"&gt;="&amp;DATE($B$3,1,1),업무일지!$B$5:$B$1004,"&lt;"&amp;DATE($B$3+1,1,1),업무일지!$I$5:$I$1004,$A16,업무일지!$D$5:$D$1004,"분석"))</f>
        <v/>
      </c>
      <c r="F16" s="24">
        <f>IF($A16="","",COUNTIFS(업무일지!$B$5:$B$1004,"&gt;="&amp;DATE($B$3,1,1),업무일지!$B$5:$B$1004,"&lt;"&amp;DATE($B$3+1,1,1),업무일지!$P$5:$P$1004,"*"&amp;$A16&amp;"*",업무일지!$D$5:$D$1004,"분석")-E16)</f>
        <v/>
      </c>
      <c r="G16" s="63">
        <f>IF($A16="","",C16+D16+E16+F16)</f>
        <v/>
      </c>
      <c r="H16" s="24">
        <f>IF($A16="","",SUMIFS(업무일지!$U$5:$U$1004,업무일지!$B$5:$B$1004,"&gt;="&amp;DATE($B$3,1,1),업무일지!$B$5:$B$1004,"&lt;"&amp;DATE($B$3+1,1,1),업무일지!$P$5:$P$1004,"*"&amp;$A16&amp;"*",업무일지!$D$5:$D$1004,"출장"))</f>
        <v/>
      </c>
      <c r="I16" s="25">
        <f>IF($A16="","",SUMIFS(업무일지!$V$5:$V$1004,업무일지!$B$5:$B$1004,"&gt;="&amp;DATE($B$3,1,1),업무일지!$B$5:$B$1004,"&lt;"&amp;DATE($B$3+1,1,1),업무일지!$P$5:$P$1004,"*"&amp;$A16&amp;"*"))</f>
        <v/>
      </c>
      <c r="J16" s="24">
        <f>IF($A16="","",COUNTIFS(일일실시사항!$B$5:$B$1004,"&gt;="&amp;DATE($B$3,1,1),일일실시사항!$B$5:$B$1004,"&lt;"&amp;DATE($B$3+1,1,1),일일실시사항!$D$5:$D$1004,$A16))</f>
        <v/>
      </c>
      <c r="K16" s="25">
        <f>IF($A16="","",SUMIFS(일일실시사항!$J$5:$J$1004,일일실시사항!$B$5:$B$1004,"&gt;="&amp;DATE($B$3,1,1),일일실시사항!$B$5:$B$1004,"&lt;"&amp;DATE($B$3+1,1,1),일일실시사항!$D$5:$D$1004,$A16))</f>
        <v/>
      </c>
      <c r="L16" s="67">
        <f>IF($A16="","",I16+K16)</f>
        <v/>
      </c>
      <c r="M16" s="24">
        <f>IF($A16="","",COUNTIFS(업무일지!$B$5:$B$1004,"&gt;="&amp;DATE($B$3,1,1),업무일지!$B$5:$B$1004,"&lt;"&amp;DATE($B$3+1,1,1),업무일지!$P$5:$P$1004,"*"&amp;$A16&amp;"*",업무일지!$X$5:$X$1004,"진행중"))</f>
        <v/>
      </c>
    </row>
    <row r="17">
      <c r="A17" s="68">
        <f>IF(코드설정!$C15="","",코드설정!$C15)</f>
        <v/>
      </c>
      <c r="B17" s="74">
        <f>IF($A17="","",코드설정!$D15)</f>
        <v/>
      </c>
      <c r="C17" s="24">
        <f>IF($A17="","",COUNTIFS(업무일지!$B$5:$B$1004,"&gt;="&amp;DATE($B$3,1,1),업무일지!$B$5:$B$1004,"&lt;"&amp;DATE($B$3+1,1,1),업무일지!$I$5:$I$1004,$A17,업무일지!$D$5:$D$1004,"출장"))</f>
        <v/>
      </c>
      <c r="D17" s="24">
        <f>IF($A17="","",COUNTIFS(업무일지!$B$5:$B$1004,"&gt;="&amp;DATE($B$3,1,1),업무일지!$B$5:$B$1004,"&lt;"&amp;DATE($B$3+1,1,1),업무일지!$P$5:$P$1004,"*"&amp;$A17&amp;"*",업무일지!$D$5:$D$1004,"출장")-C17)</f>
        <v/>
      </c>
      <c r="E17" s="24">
        <f>IF($A17="","",COUNTIFS(업무일지!$B$5:$B$1004,"&gt;="&amp;DATE($B$3,1,1),업무일지!$B$5:$B$1004,"&lt;"&amp;DATE($B$3+1,1,1),업무일지!$I$5:$I$1004,$A17,업무일지!$D$5:$D$1004,"분석"))</f>
        <v/>
      </c>
      <c r="F17" s="24">
        <f>IF($A17="","",COUNTIFS(업무일지!$B$5:$B$1004,"&gt;="&amp;DATE($B$3,1,1),업무일지!$B$5:$B$1004,"&lt;"&amp;DATE($B$3+1,1,1),업무일지!$P$5:$P$1004,"*"&amp;$A17&amp;"*",업무일지!$D$5:$D$1004,"분석")-E17)</f>
        <v/>
      </c>
      <c r="G17" s="63">
        <f>IF($A17="","",C17+D17+E17+F17)</f>
        <v/>
      </c>
      <c r="H17" s="24">
        <f>IF($A17="","",SUMIFS(업무일지!$U$5:$U$1004,업무일지!$B$5:$B$1004,"&gt;="&amp;DATE($B$3,1,1),업무일지!$B$5:$B$1004,"&lt;"&amp;DATE($B$3+1,1,1),업무일지!$P$5:$P$1004,"*"&amp;$A17&amp;"*",업무일지!$D$5:$D$1004,"출장"))</f>
        <v/>
      </c>
      <c r="I17" s="25">
        <f>IF($A17="","",SUMIFS(업무일지!$V$5:$V$1004,업무일지!$B$5:$B$1004,"&gt;="&amp;DATE($B$3,1,1),업무일지!$B$5:$B$1004,"&lt;"&amp;DATE($B$3+1,1,1),업무일지!$P$5:$P$1004,"*"&amp;$A17&amp;"*"))</f>
        <v/>
      </c>
      <c r="J17" s="24">
        <f>IF($A17="","",COUNTIFS(일일실시사항!$B$5:$B$1004,"&gt;="&amp;DATE($B$3,1,1),일일실시사항!$B$5:$B$1004,"&lt;"&amp;DATE($B$3+1,1,1),일일실시사항!$D$5:$D$1004,$A17))</f>
        <v/>
      </c>
      <c r="K17" s="25">
        <f>IF($A17="","",SUMIFS(일일실시사항!$J$5:$J$1004,일일실시사항!$B$5:$B$1004,"&gt;="&amp;DATE($B$3,1,1),일일실시사항!$B$5:$B$1004,"&lt;"&amp;DATE($B$3+1,1,1),일일실시사항!$D$5:$D$1004,$A17))</f>
        <v/>
      </c>
      <c r="L17" s="67">
        <f>IF($A17="","",I17+K17)</f>
        <v/>
      </c>
      <c r="M17" s="24">
        <f>IF($A17="","",COUNTIFS(업무일지!$B$5:$B$1004,"&gt;="&amp;DATE($B$3,1,1),업무일지!$B$5:$B$1004,"&lt;"&amp;DATE($B$3+1,1,1),업무일지!$P$5:$P$1004,"*"&amp;$A17&amp;"*",업무일지!$X$5:$X$1004,"진행중"))</f>
        <v/>
      </c>
    </row>
    <row r="18">
      <c r="A18" s="68">
        <f>IF(코드설정!$C16="","",코드설정!$C16)</f>
        <v/>
      </c>
      <c r="B18" s="74">
        <f>IF($A18="","",코드설정!$D16)</f>
        <v/>
      </c>
      <c r="C18" s="24">
        <f>IF($A18="","",COUNTIFS(업무일지!$B$5:$B$1004,"&gt;="&amp;DATE($B$3,1,1),업무일지!$B$5:$B$1004,"&lt;"&amp;DATE($B$3+1,1,1),업무일지!$I$5:$I$1004,$A18,업무일지!$D$5:$D$1004,"출장"))</f>
        <v/>
      </c>
      <c r="D18" s="24">
        <f>IF($A18="","",COUNTIFS(업무일지!$B$5:$B$1004,"&gt;="&amp;DATE($B$3,1,1),업무일지!$B$5:$B$1004,"&lt;"&amp;DATE($B$3+1,1,1),업무일지!$P$5:$P$1004,"*"&amp;$A18&amp;"*",업무일지!$D$5:$D$1004,"출장")-C18)</f>
        <v/>
      </c>
      <c r="E18" s="24">
        <f>IF($A18="","",COUNTIFS(업무일지!$B$5:$B$1004,"&gt;="&amp;DATE($B$3,1,1),업무일지!$B$5:$B$1004,"&lt;"&amp;DATE($B$3+1,1,1),업무일지!$I$5:$I$1004,$A18,업무일지!$D$5:$D$1004,"분석"))</f>
        <v/>
      </c>
      <c r="F18" s="24">
        <f>IF($A18="","",COUNTIFS(업무일지!$B$5:$B$1004,"&gt;="&amp;DATE($B$3,1,1),업무일지!$B$5:$B$1004,"&lt;"&amp;DATE($B$3+1,1,1),업무일지!$P$5:$P$1004,"*"&amp;$A18&amp;"*",업무일지!$D$5:$D$1004,"분석")-E18)</f>
        <v/>
      </c>
      <c r="G18" s="63">
        <f>IF($A18="","",C18+D18+E18+F18)</f>
        <v/>
      </c>
      <c r="H18" s="24">
        <f>IF($A18="","",SUMIFS(업무일지!$U$5:$U$1004,업무일지!$B$5:$B$1004,"&gt;="&amp;DATE($B$3,1,1),업무일지!$B$5:$B$1004,"&lt;"&amp;DATE($B$3+1,1,1),업무일지!$P$5:$P$1004,"*"&amp;$A18&amp;"*",업무일지!$D$5:$D$1004,"출장"))</f>
        <v/>
      </c>
      <c r="I18" s="25">
        <f>IF($A18="","",SUMIFS(업무일지!$V$5:$V$1004,업무일지!$B$5:$B$1004,"&gt;="&amp;DATE($B$3,1,1),업무일지!$B$5:$B$1004,"&lt;"&amp;DATE($B$3+1,1,1),업무일지!$P$5:$P$1004,"*"&amp;$A18&amp;"*"))</f>
        <v/>
      </c>
      <c r="J18" s="24">
        <f>IF($A18="","",COUNTIFS(일일실시사항!$B$5:$B$1004,"&gt;="&amp;DATE($B$3,1,1),일일실시사항!$B$5:$B$1004,"&lt;"&amp;DATE($B$3+1,1,1),일일실시사항!$D$5:$D$1004,$A18))</f>
        <v/>
      </c>
      <c r="K18" s="25">
        <f>IF($A18="","",SUMIFS(일일실시사항!$J$5:$J$1004,일일실시사항!$B$5:$B$1004,"&gt;="&amp;DATE($B$3,1,1),일일실시사항!$B$5:$B$1004,"&lt;"&amp;DATE($B$3+1,1,1),일일실시사항!$D$5:$D$1004,$A18))</f>
        <v/>
      </c>
      <c r="L18" s="67">
        <f>IF($A18="","",I18+K18)</f>
        <v/>
      </c>
      <c r="M18" s="24">
        <f>IF($A18="","",COUNTIFS(업무일지!$B$5:$B$1004,"&gt;="&amp;DATE($B$3,1,1),업무일지!$B$5:$B$1004,"&lt;"&amp;DATE($B$3+1,1,1),업무일지!$P$5:$P$1004,"*"&amp;$A18&amp;"*",업무일지!$X$5:$X$1004,"진행중"))</f>
        <v/>
      </c>
    </row>
    <row r="19">
      <c r="A19" s="68">
        <f>IF(코드설정!$C17="","",코드설정!$C17)</f>
        <v/>
      </c>
      <c r="B19" s="74">
        <f>IF($A19="","",코드설정!$D17)</f>
        <v/>
      </c>
      <c r="C19" s="24">
        <f>IF($A19="","",COUNTIFS(업무일지!$B$5:$B$1004,"&gt;="&amp;DATE($B$3,1,1),업무일지!$B$5:$B$1004,"&lt;"&amp;DATE($B$3+1,1,1),업무일지!$I$5:$I$1004,$A19,업무일지!$D$5:$D$1004,"출장"))</f>
        <v/>
      </c>
      <c r="D19" s="24">
        <f>IF($A19="","",COUNTIFS(업무일지!$B$5:$B$1004,"&gt;="&amp;DATE($B$3,1,1),업무일지!$B$5:$B$1004,"&lt;"&amp;DATE($B$3+1,1,1),업무일지!$P$5:$P$1004,"*"&amp;$A19&amp;"*",업무일지!$D$5:$D$1004,"출장")-C19)</f>
        <v/>
      </c>
      <c r="E19" s="24">
        <f>IF($A19="","",COUNTIFS(업무일지!$B$5:$B$1004,"&gt;="&amp;DATE($B$3,1,1),업무일지!$B$5:$B$1004,"&lt;"&amp;DATE($B$3+1,1,1),업무일지!$I$5:$I$1004,$A19,업무일지!$D$5:$D$1004,"분석"))</f>
        <v/>
      </c>
      <c r="F19" s="24">
        <f>IF($A19="","",COUNTIFS(업무일지!$B$5:$B$1004,"&gt;="&amp;DATE($B$3,1,1),업무일지!$B$5:$B$1004,"&lt;"&amp;DATE($B$3+1,1,1),업무일지!$P$5:$P$1004,"*"&amp;$A19&amp;"*",업무일지!$D$5:$D$1004,"분석")-E19)</f>
        <v/>
      </c>
      <c r="G19" s="63">
        <f>IF($A19="","",C19+D19+E19+F19)</f>
        <v/>
      </c>
      <c r="H19" s="24">
        <f>IF($A19="","",SUMIFS(업무일지!$U$5:$U$1004,업무일지!$B$5:$B$1004,"&gt;="&amp;DATE($B$3,1,1),업무일지!$B$5:$B$1004,"&lt;"&amp;DATE($B$3+1,1,1),업무일지!$P$5:$P$1004,"*"&amp;$A19&amp;"*",업무일지!$D$5:$D$1004,"출장"))</f>
        <v/>
      </c>
      <c r="I19" s="25">
        <f>IF($A19="","",SUMIFS(업무일지!$V$5:$V$1004,업무일지!$B$5:$B$1004,"&gt;="&amp;DATE($B$3,1,1),업무일지!$B$5:$B$1004,"&lt;"&amp;DATE($B$3+1,1,1),업무일지!$P$5:$P$1004,"*"&amp;$A19&amp;"*"))</f>
        <v/>
      </c>
      <c r="J19" s="24">
        <f>IF($A19="","",COUNTIFS(일일실시사항!$B$5:$B$1004,"&gt;="&amp;DATE($B$3,1,1),일일실시사항!$B$5:$B$1004,"&lt;"&amp;DATE($B$3+1,1,1),일일실시사항!$D$5:$D$1004,$A19))</f>
        <v/>
      </c>
      <c r="K19" s="25">
        <f>IF($A19="","",SUMIFS(일일실시사항!$J$5:$J$1004,일일실시사항!$B$5:$B$1004,"&gt;="&amp;DATE($B$3,1,1),일일실시사항!$B$5:$B$1004,"&lt;"&amp;DATE($B$3+1,1,1),일일실시사항!$D$5:$D$1004,$A19))</f>
        <v/>
      </c>
      <c r="L19" s="67">
        <f>IF($A19="","",I19+K19)</f>
        <v/>
      </c>
      <c r="M19" s="24">
        <f>IF($A19="","",COUNTIFS(업무일지!$B$5:$B$1004,"&gt;="&amp;DATE($B$3,1,1),업무일지!$B$5:$B$1004,"&lt;"&amp;DATE($B$3+1,1,1),업무일지!$P$5:$P$1004,"*"&amp;$A19&amp;"*",업무일지!$X$5:$X$1004,"진행중"))</f>
        <v/>
      </c>
    </row>
    <row r="20">
      <c r="A20" s="68">
        <f>IF(코드설정!$C18="","",코드설정!$C18)</f>
        <v/>
      </c>
      <c r="B20" s="74">
        <f>IF($A20="","",코드설정!$D18)</f>
        <v/>
      </c>
      <c r="C20" s="24">
        <f>IF($A20="","",COUNTIFS(업무일지!$B$5:$B$1004,"&gt;="&amp;DATE($B$3,1,1),업무일지!$B$5:$B$1004,"&lt;"&amp;DATE($B$3+1,1,1),업무일지!$I$5:$I$1004,$A20,업무일지!$D$5:$D$1004,"출장"))</f>
        <v/>
      </c>
      <c r="D20" s="24">
        <f>IF($A20="","",COUNTIFS(업무일지!$B$5:$B$1004,"&gt;="&amp;DATE($B$3,1,1),업무일지!$B$5:$B$1004,"&lt;"&amp;DATE($B$3+1,1,1),업무일지!$P$5:$P$1004,"*"&amp;$A20&amp;"*",업무일지!$D$5:$D$1004,"출장")-C20)</f>
        <v/>
      </c>
      <c r="E20" s="24">
        <f>IF($A20="","",COUNTIFS(업무일지!$B$5:$B$1004,"&gt;="&amp;DATE($B$3,1,1),업무일지!$B$5:$B$1004,"&lt;"&amp;DATE($B$3+1,1,1),업무일지!$I$5:$I$1004,$A20,업무일지!$D$5:$D$1004,"분석"))</f>
        <v/>
      </c>
      <c r="F20" s="24">
        <f>IF($A20="","",COUNTIFS(업무일지!$B$5:$B$1004,"&gt;="&amp;DATE($B$3,1,1),업무일지!$B$5:$B$1004,"&lt;"&amp;DATE($B$3+1,1,1),업무일지!$P$5:$P$1004,"*"&amp;$A20&amp;"*",업무일지!$D$5:$D$1004,"분석")-E20)</f>
        <v/>
      </c>
      <c r="G20" s="63">
        <f>IF($A20="","",C20+D20+E20+F20)</f>
        <v/>
      </c>
      <c r="H20" s="24">
        <f>IF($A20="","",SUMIFS(업무일지!$U$5:$U$1004,업무일지!$B$5:$B$1004,"&gt;="&amp;DATE($B$3,1,1),업무일지!$B$5:$B$1004,"&lt;"&amp;DATE($B$3+1,1,1),업무일지!$P$5:$P$1004,"*"&amp;$A20&amp;"*",업무일지!$D$5:$D$1004,"출장"))</f>
        <v/>
      </c>
      <c r="I20" s="25">
        <f>IF($A20="","",SUMIFS(업무일지!$V$5:$V$1004,업무일지!$B$5:$B$1004,"&gt;="&amp;DATE($B$3,1,1),업무일지!$B$5:$B$1004,"&lt;"&amp;DATE($B$3+1,1,1),업무일지!$P$5:$P$1004,"*"&amp;$A20&amp;"*"))</f>
        <v/>
      </c>
      <c r="J20" s="24">
        <f>IF($A20="","",COUNTIFS(일일실시사항!$B$5:$B$1004,"&gt;="&amp;DATE($B$3,1,1),일일실시사항!$B$5:$B$1004,"&lt;"&amp;DATE($B$3+1,1,1),일일실시사항!$D$5:$D$1004,$A20))</f>
        <v/>
      </c>
      <c r="K20" s="25">
        <f>IF($A20="","",SUMIFS(일일실시사항!$J$5:$J$1004,일일실시사항!$B$5:$B$1004,"&gt;="&amp;DATE($B$3,1,1),일일실시사항!$B$5:$B$1004,"&lt;"&amp;DATE($B$3+1,1,1),일일실시사항!$D$5:$D$1004,$A20))</f>
        <v/>
      </c>
      <c r="L20" s="67">
        <f>IF($A20="","",I20+K20)</f>
        <v/>
      </c>
      <c r="M20" s="24">
        <f>IF($A20="","",COUNTIFS(업무일지!$B$5:$B$1004,"&gt;="&amp;DATE($B$3,1,1),업무일지!$B$5:$B$1004,"&lt;"&amp;DATE($B$3+1,1,1),업무일지!$P$5:$P$1004,"*"&amp;$A20&amp;"*",업무일지!$X$5:$X$1004,"진행중"))</f>
        <v/>
      </c>
    </row>
    <row r="21">
      <c r="A21" s="68">
        <f>IF(코드설정!$C19="","",코드설정!$C19)</f>
        <v/>
      </c>
      <c r="B21" s="74">
        <f>IF($A21="","",코드설정!$D19)</f>
        <v/>
      </c>
      <c r="C21" s="24">
        <f>IF($A21="","",COUNTIFS(업무일지!$B$5:$B$1004,"&gt;="&amp;DATE($B$3,1,1),업무일지!$B$5:$B$1004,"&lt;"&amp;DATE($B$3+1,1,1),업무일지!$I$5:$I$1004,$A21,업무일지!$D$5:$D$1004,"출장"))</f>
        <v/>
      </c>
      <c r="D21" s="24">
        <f>IF($A21="","",COUNTIFS(업무일지!$B$5:$B$1004,"&gt;="&amp;DATE($B$3,1,1),업무일지!$B$5:$B$1004,"&lt;"&amp;DATE($B$3+1,1,1),업무일지!$P$5:$P$1004,"*"&amp;$A21&amp;"*",업무일지!$D$5:$D$1004,"출장")-C21)</f>
        <v/>
      </c>
      <c r="E21" s="24">
        <f>IF($A21="","",COUNTIFS(업무일지!$B$5:$B$1004,"&gt;="&amp;DATE($B$3,1,1),업무일지!$B$5:$B$1004,"&lt;"&amp;DATE($B$3+1,1,1),업무일지!$I$5:$I$1004,$A21,업무일지!$D$5:$D$1004,"분석"))</f>
        <v/>
      </c>
      <c r="F21" s="24">
        <f>IF($A21="","",COUNTIFS(업무일지!$B$5:$B$1004,"&gt;="&amp;DATE($B$3,1,1),업무일지!$B$5:$B$1004,"&lt;"&amp;DATE($B$3+1,1,1),업무일지!$P$5:$P$1004,"*"&amp;$A21&amp;"*",업무일지!$D$5:$D$1004,"분석")-E21)</f>
        <v/>
      </c>
      <c r="G21" s="63">
        <f>IF($A21="","",C21+D21+E21+F21)</f>
        <v/>
      </c>
      <c r="H21" s="24">
        <f>IF($A21="","",SUMIFS(업무일지!$U$5:$U$1004,업무일지!$B$5:$B$1004,"&gt;="&amp;DATE($B$3,1,1),업무일지!$B$5:$B$1004,"&lt;"&amp;DATE($B$3+1,1,1),업무일지!$P$5:$P$1004,"*"&amp;$A21&amp;"*",업무일지!$D$5:$D$1004,"출장"))</f>
        <v/>
      </c>
      <c r="I21" s="25">
        <f>IF($A21="","",SUMIFS(업무일지!$V$5:$V$1004,업무일지!$B$5:$B$1004,"&gt;="&amp;DATE($B$3,1,1),업무일지!$B$5:$B$1004,"&lt;"&amp;DATE($B$3+1,1,1),업무일지!$P$5:$P$1004,"*"&amp;$A21&amp;"*"))</f>
        <v/>
      </c>
      <c r="J21" s="24">
        <f>IF($A21="","",COUNTIFS(일일실시사항!$B$5:$B$1004,"&gt;="&amp;DATE($B$3,1,1),일일실시사항!$B$5:$B$1004,"&lt;"&amp;DATE($B$3+1,1,1),일일실시사항!$D$5:$D$1004,$A21))</f>
        <v/>
      </c>
      <c r="K21" s="25">
        <f>IF($A21="","",SUMIFS(일일실시사항!$J$5:$J$1004,일일실시사항!$B$5:$B$1004,"&gt;="&amp;DATE($B$3,1,1),일일실시사항!$B$5:$B$1004,"&lt;"&amp;DATE($B$3+1,1,1),일일실시사항!$D$5:$D$1004,$A21))</f>
        <v/>
      </c>
      <c r="L21" s="67">
        <f>IF($A21="","",I21+K21)</f>
        <v/>
      </c>
      <c r="M21" s="24">
        <f>IF($A21="","",COUNTIFS(업무일지!$B$5:$B$1004,"&gt;="&amp;DATE($B$3,1,1),업무일지!$B$5:$B$1004,"&lt;"&amp;DATE($B$3+1,1,1),업무일지!$P$5:$P$1004,"*"&amp;$A21&amp;"*",업무일지!$X$5:$X$1004,"진행중"))</f>
        <v/>
      </c>
    </row>
    <row r="22">
      <c r="A22" s="68">
        <f>IF(코드설정!$C20="","",코드설정!$C20)</f>
        <v/>
      </c>
      <c r="B22" s="74">
        <f>IF($A22="","",코드설정!$D20)</f>
        <v/>
      </c>
      <c r="C22" s="24">
        <f>IF($A22="","",COUNTIFS(업무일지!$B$5:$B$1004,"&gt;="&amp;DATE($B$3,1,1),업무일지!$B$5:$B$1004,"&lt;"&amp;DATE($B$3+1,1,1),업무일지!$I$5:$I$1004,$A22,업무일지!$D$5:$D$1004,"출장"))</f>
        <v/>
      </c>
      <c r="D22" s="24">
        <f>IF($A22="","",COUNTIFS(업무일지!$B$5:$B$1004,"&gt;="&amp;DATE($B$3,1,1),업무일지!$B$5:$B$1004,"&lt;"&amp;DATE($B$3+1,1,1),업무일지!$P$5:$P$1004,"*"&amp;$A22&amp;"*",업무일지!$D$5:$D$1004,"출장")-C22)</f>
        <v/>
      </c>
      <c r="E22" s="24">
        <f>IF($A22="","",COUNTIFS(업무일지!$B$5:$B$1004,"&gt;="&amp;DATE($B$3,1,1),업무일지!$B$5:$B$1004,"&lt;"&amp;DATE($B$3+1,1,1),업무일지!$I$5:$I$1004,$A22,업무일지!$D$5:$D$1004,"분석"))</f>
        <v/>
      </c>
      <c r="F22" s="24">
        <f>IF($A22="","",COUNTIFS(업무일지!$B$5:$B$1004,"&gt;="&amp;DATE($B$3,1,1),업무일지!$B$5:$B$1004,"&lt;"&amp;DATE($B$3+1,1,1),업무일지!$P$5:$P$1004,"*"&amp;$A22&amp;"*",업무일지!$D$5:$D$1004,"분석")-E22)</f>
        <v/>
      </c>
      <c r="G22" s="63">
        <f>IF($A22="","",C22+D22+E22+F22)</f>
        <v/>
      </c>
      <c r="H22" s="24">
        <f>IF($A22="","",SUMIFS(업무일지!$U$5:$U$1004,업무일지!$B$5:$B$1004,"&gt;="&amp;DATE($B$3,1,1),업무일지!$B$5:$B$1004,"&lt;"&amp;DATE($B$3+1,1,1),업무일지!$P$5:$P$1004,"*"&amp;$A22&amp;"*",업무일지!$D$5:$D$1004,"출장"))</f>
        <v/>
      </c>
      <c r="I22" s="25">
        <f>IF($A22="","",SUMIFS(업무일지!$V$5:$V$1004,업무일지!$B$5:$B$1004,"&gt;="&amp;DATE($B$3,1,1),업무일지!$B$5:$B$1004,"&lt;"&amp;DATE($B$3+1,1,1),업무일지!$P$5:$P$1004,"*"&amp;$A22&amp;"*"))</f>
        <v/>
      </c>
      <c r="J22" s="24">
        <f>IF($A22="","",COUNTIFS(일일실시사항!$B$5:$B$1004,"&gt;="&amp;DATE($B$3,1,1),일일실시사항!$B$5:$B$1004,"&lt;"&amp;DATE($B$3+1,1,1),일일실시사항!$D$5:$D$1004,$A22))</f>
        <v/>
      </c>
      <c r="K22" s="25">
        <f>IF($A22="","",SUMIFS(일일실시사항!$J$5:$J$1004,일일실시사항!$B$5:$B$1004,"&gt;="&amp;DATE($B$3,1,1),일일실시사항!$B$5:$B$1004,"&lt;"&amp;DATE($B$3+1,1,1),일일실시사항!$D$5:$D$1004,$A22))</f>
        <v/>
      </c>
      <c r="L22" s="67">
        <f>IF($A22="","",I22+K22)</f>
        <v/>
      </c>
      <c r="M22" s="24">
        <f>IF($A22="","",COUNTIFS(업무일지!$B$5:$B$1004,"&gt;="&amp;DATE($B$3,1,1),업무일지!$B$5:$B$1004,"&lt;"&amp;DATE($B$3+1,1,1),업무일지!$P$5:$P$1004,"*"&amp;$A22&amp;"*",업무일지!$X$5:$X$1004,"진행중"))</f>
        <v/>
      </c>
    </row>
    <row r="23">
      <c r="A23" s="68">
        <f>IF(코드설정!$C21="","",코드설정!$C21)</f>
        <v/>
      </c>
      <c r="B23" s="74">
        <f>IF($A23="","",코드설정!$D21)</f>
        <v/>
      </c>
      <c r="C23" s="24">
        <f>IF($A23="","",COUNTIFS(업무일지!$B$5:$B$1004,"&gt;="&amp;DATE($B$3,1,1),업무일지!$B$5:$B$1004,"&lt;"&amp;DATE($B$3+1,1,1),업무일지!$I$5:$I$1004,$A23,업무일지!$D$5:$D$1004,"출장"))</f>
        <v/>
      </c>
      <c r="D23" s="24">
        <f>IF($A23="","",COUNTIFS(업무일지!$B$5:$B$1004,"&gt;="&amp;DATE($B$3,1,1),업무일지!$B$5:$B$1004,"&lt;"&amp;DATE($B$3+1,1,1),업무일지!$P$5:$P$1004,"*"&amp;$A23&amp;"*",업무일지!$D$5:$D$1004,"출장")-C23)</f>
        <v/>
      </c>
      <c r="E23" s="24">
        <f>IF($A23="","",COUNTIFS(업무일지!$B$5:$B$1004,"&gt;="&amp;DATE($B$3,1,1),업무일지!$B$5:$B$1004,"&lt;"&amp;DATE($B$3+1,1,1),업무일지!$I$5:$I$1004,$A23,업무일지!$D$5:$D$1004,"분석"))</f>
        <v/>
      </c>
      <c r="F23" s="24">
        <f>IF($A23="","",COUNTIFS(업무일지!$B$5:$B$1004,"&gt;="&amp;DATE($B$3,1,1),업무일지!$B$5:$B$1004,"&lt;"&amp;DATE($B$3+1,1,1),업무일지!$P$5:$P$1004,"*"&amp;$A23&amp;"*",업무일지!$D$5:$D$1004,"분석")-E23)</f>
        <v/>
      </c>
      <c r="G23" s="63">
        <f>IF($A23="","",C23+D23+E23+F23)</f>
        <v/>
      </c>
      <c r="H23" s="24">
        <f>IF($A23="","",SUMIFS(업무일지!$U$5:$U$1004,업무일지!$B$5:$B$1004,"&gt;="&amp;DATE($B$3,1,1),업무일지!$B$5:$B$1004,"&lt;"&amp;DATE($B$3+1,1,1),업무일지!$P$5:$P$1004,"*"&amp;$A23&amp;"*",업무일지!$D$5:$D$1004,"출장"))</f>
        <v/>
      </c>
      <c r="I23" s="25">
        <f>IF($A23="","",SUMIFS(업무일지!$V$5:$V$1004,업무일지!$B$5:$B$1004,"&gt;="&amp;DATE($B$3,1,1),업무일지!$B$5:$B$1004,"&lt;"&amp;DATE($B$3+1,1,1),업무일지!$P$5:$P$1004,"*"&amp;$A23&amp;"*"))</f>
        <v/>
      </c>
      <c r="J23" s="24">
        <f>IF($A23="","",COUNTIFS(일일실시사항!$B$5:$B$1004,"&gt;="&amp;DATE($B$3,1,1),일일실시사항!$B$5:$B$1004,"&lt;"&amp;DATE($B$3+1,1,1),일일실시사항!$D$5:$D$1004,$A23))</f>
        <v/>
      </c>
      <c r="K23" s="25">
        <f>IF($A23="","",SUMIFS(일일실시사항!$J$5:$J$1004,일일실시사항!$B$5:$B$1004,"&gt;="&amp;DATE($B$3,1,1),일일실시사항!$B$5:$B$1004,"&lt;"&amp;DATE($B$3+1,1,1),일일실시사항!$D$5:$D$1004,$A23))</f>
        <v/>
      </c>
      <c r="L23" s="67">
        <f>IF($A23="","",I23+K23)</f>
        <v/>
      </c>
      <c r="M23" s="24">
        <f>IF($A23="","",COUNTIFS(업무일지!$B$5:$B$1004,"&gt;="&amp;DATE($B$3,1,1),업무일지!$B$5:$B$1004,"&lt;"&amp;DATE($B$3+1,1,1),업무일지!$P$5:$P$1004,"*"&amp;$A23&amp;"*",업무일지!$X$5:$X$1004,"진행중"))</f>
        <v/>
      </c>
    </row>
    <row r="24">
      <c r="A24" s="68">
        <f>IF(코드설정!$C22="","",코드설정!$C22)</f>
        <v/>
      </c>
      <c r="B24" s="74">
        <f>IF($A24="","",코드설정!$D22)</f>
        <v/>
      </c>
      <c r="C24" s="24">
        <f>IF($A24="","",COUNTIFS(업무일지!$B$5:$B$1004,"&gt;="&amp;DATE($B$3,1,1),업무일지!$B$5:$B$1004,"&lt;"&amp;DATE($B$3+1,1,1),업무일지!$I$5:$I$1004,$A24,업무일지!$D$5:$D$1004,"출장"))</f>
        <v/>
      </c>
      <c r="D24" s="24">
        <f>IF($A24="","",COUNTIFS(업무일지!$B$5:$B$1004,"&gt;="&amp;DATE($B$3,1,1),업무일지!$B$5:$B$1004,"&lt;"&amp;DATE($B$3+1,1,1),업무일지!$P$5:$P$1004,"*"&amp;$A24&amp;"*",업무일지!$D$5:$D$1004,"출장")-C24)</f>
        <v/>
      </c>
      <c r="E24" s="24">
        <f>IF($A24="","",COUNTIFS(업무일지!$B$5:$B$1004,"&gt;="&amp;DATE($B$3,1,1),업무일지!$B$5:$B$1004,"&lt;"&amp;DATE($B$3+1,1,1),업무일지!$I$5:$I$1004,$A24,업무일지!$D$5:$D$1004,"분석"))</f>
        <v/>
      </c>
      <c r="F24" s="24">
        <f>IF($A24="","",COUNTIFS(업무일지!$B$5:$B$1004,"&gt;="&amp;DATE($B$3,1,1),업무일지!$B$5:$B$1004,"&lt;"&amp;DATE($B$3+1,1,1),업무일지!$P$5:$P$1004,"*"&amp;$A24&amp;"*",업무일지!$D$5:$D$1004,"분석")-E24)</f>
        <v/>
      </c>
      <c r="G24" s="63">
        <f>IF($A24="","",C24+D24+E24+F24)</f>
        <v/>
      </c>
      <c r="H24" s="24">
        <f>IF($A24="","",SUMIFS(업무일지!$U$5:$U$1004,업무일지!$B$5:$B$1004,"&gt;="&amp;DATE($B$3,1,1),업무일지!$B$5:$B$1004,"&lt;"&amp;DATE($B$3+1,1,1),업무일지!$P$5:$P$1004,"*"&amp;$A24&amp;"*",업무일지!$D$5:$D$1004,"출장"))</f>
        <v/>
      </c>
      <c r="I24" s="25">
        <f>IF($A24="","",SUMIFS(업무일지!$V$5:$V$1004,업무일지!$B$5:$B$1004,"&gt;="&amp;DATE($B$3,1,1),업무일지!$B$5:$B$1004,"&lt;"&amp;DATE($B$3+1,1,1),업무일지!$P$5:$P$1004,"*"&amp;$A24&amp;"*"))</f>
        <v/>
      </c>
      <c r="J24" s="24">
        <f>IF($A24="","",COUNTIFS(일일실시사항!$B$5:$B$1004,"&gt;="&amp;DATE($B$3,1,1),일일실시사항!$B$5:$B$1004,"&lt;"&amp;DATE($B$3+1,1,1),일일실시사항!$D$5:$D$1004,$A24))</f>
        <v/>
      </c>
      <c r="K24" s="25">
        <f>IF($A24="","",SUMIFS(일일실시사항!$J$5:$J$1004,일일실시사항!$B$5:$B$1004,"&gt;="&amp;DATE($B$3,1,1),일일실시사항!$B$5:$B$1004,"&lt;"&amp;DATE($B$3+1,1,1),일일실시사항!$D$5:$D$1004,$A24))</f>
        <v/>
      </c>
      <c r="L24" s="67">
        <f>IF($A24="","",I24+K24)</f>
        <v/>
      </c>
      <c r="M24" s="24">
        <f>IF($A24="","",COUNTIFS(업무일지!$B$5:$B$1004,"&gt;="&amp;DATE($B$3,1,1),업무일지!$B$5:$B$1004,"&lt;"&amp;DATE($B$3+1,1,1),업무일지!$P$5:$P$1004,"*"&amp;$A24&amp;"*",업무일지!$X$5:$X$1004,"진행중"))</f>
        <v/>
      </c>
    </row>
    <row r="25">
      <c r="A25" s="68">
        <f>IF(코드설정!$C23="","",코드설정!$C23)</f>
        <v/>
      </c>
      <c r="B25" s="74">
        <f>IF($A25="","",코드설정!$D23)</f>
        <v/>
      </c>
      <c r="C25" s="24">
        <f>IF($A25="","",COUNTIFS(업무일지!$B$5:$B$1004,"&gt;="&amp;DATE($B$3,1,1),업무일지!$B$5:$B$1004,"&lt;"&amp;DATE($B$3+1,1,1),업무일지!$I$5:$I$1004,$A25,업무일지!$D$5:$D$1004,"출장"))</f>
        <v/>
      </c>
      <c r="D25" s="24">
        <f>IF($A25="","",COUNTIFS(업무일지!$B$5:$B$1004,"&gt;="&amp;DATE($B$3,1,1),업무일지!$B$5:$B$1004,"&lt;"&amp;DATE($B$3+1,1,1),업무일지!$P$5:$P$1004,"*"&amp;$A25&amp;"*",업무일지!$D$5:$D$1004,"출장")-C25)</f>
        <v/>
      </c>
      <c r="E25" s="24">
        <f>IF($A25="","",COUNTIFS(업무일지!$B$5:$B$1004,"&gt;="&amp;DATE($B$3,1,1),업무일지!$B$5:$B$1004,"&lt;"&amp;DATE($B$3+1,1,1),업무일지!$I$5:$I$1004,$A25,업무일지!$D$5:$D$1004,"분석"))</f>
        <v/>
      </c>
      <c r="F25" s="24">
        <f>IF($A25="","",COUNTIFS(업무일지!$B$5:$B$1004,"&gt;="&amp;DATE($B$3,1,1),업무일지!$B$5:$B$1004,"&lt;"&amp;DATE($B$3+1,1,1),업무일지!$P$5:$P$1004,"*"&amp;$A25&amp;"*",업무일지!$D$5:$D$1004,"분석")-E25)</f>
        <v/>
      </c>
      <c r="G25" s="63">
        <f>IF($A25="","",C25+D25+E25+F25)</f>
        <v/>
      </c>
      <c r="H25" s="24">
        <f>IF($A25="","",SUMIFS(업무일지!$U$5:$U$1004,업무일지!$B$5:$B$1004,"&gt;="&amp;DATE($B$3,1,1),업무일지!$B$5:$B$1004,"&lt;"&amp;DATE($B$3+1,1,1),업무일지!$P$5:$P$1004,"*"&amp;$A25&amp;"*",업무일지!$D$5:$D$1004,"출장"))</f>
        <v/>
      </c>
      <c r="I25" s="25">
        <f>IF($A25="","",SUMIFS(업무일지!$V$5:$V$1004,업무일지!$B$5:$B$1004,"&gt;="&amp;DATE($B$3,1,1),업무일지!$B$5:$B$1004,"&lt;"&amp;DATE($B$3+1,1,1),업무일지!$P$5:$P$1004,"*"&amp;$A25&amp;"*"))</f>
        <v/>
      </c>
      <c r="J25" s="24">
        <f>IF($A25="","",COUNTIFS(일일실시사항!$B$5:$B$1004,"&gt;="&amp;DATE($B$3,1,1),일일실시사항!$B$5:$B$1004,"&lt;"&amp;DATE($B$3+1,1,1),일일실시사항!$D$5:$D$1004,$A25))</f>
        <v/>
      </c>
      <c r="K25" s="25">
        <f>IF($A25="","",SUMIFS(일일실시사항!$J$5:$J$1004,일일실시사항!$B$5:$B$1004,"&gt;="&amp;DATE($B$3,1,1),일일실시사항!$B$5:$B$1004,"&lt;"&amp;DATE($B$3+1,1,1),일일실시사항!$D$5:$D$1004,$A25))</f>
        <v/>
      </c>
      <c r="L25" s="67">
        <f>IF($A25="","",I25+K25)</f>
        <v/>
      </c>
      <c r="M25" s="24">
        <f>IF($A25="","",COUNTIFS(업무일지!$B$5:$B$1004,"&gt;="&amp;DATE($B$3,1,1),업무일지!$B$5:$B$1004,"&lt;"&amp;DATE($B$3+1,1,1),업무일지!$P$5:$P$1004,"*"&amp;$A25&amp;"*",업무일지!$X$5:$X$1004,"진행중"))</f>
        <v/>
      </c>
    </row>
    <row r="26">
      <c r="A26" s="68">
        <f>IF(코드설정!$C24="","",코드설정!$C24)</f>
        <v/>
      </c>
      <c r="B26" s="74">
        <f>IF($A26="","",코드설정!$D24)</f>
        <v/>
      </c>
      <c r="C26" s="24">
        <f>IF($A26="","",COUNTIFS(업무일지!$B$5:$B$1004,"&gt;="&amp;DATE($B$3,1,1),업무일지!$B$5:$B$1004,"&lt;"&amp;DATE($B$3+1,1,1),업무일지!$I$5:$I$1004,$A26,업무일지!$D$5:$D$1004,"출장"))</f>
        <v/>
      </c>
      <c r="D26" s="24">
        <f>IF($A26="","",COUNTIFS(업무일지!$B$5:$B$1004,"&gt;="&amp;DATE($B$3,1,1),업무일지!$B$5:$B$1004,"&lt;"&amp;DATE($B$3+1,1,1),업무일지!$P$5:$P$1004,"*"&amp;$A26&amp;"*",업무일지!$D$5:$D$1004,"출장")-C26)</f>
        <v/>
      </c>
      <c r="E26" s="24">
        <f>IF($A26="","",COUNTIFS(업무일지!$B$5:$B$1004,"&gt;="&amp;DATE($B$3,1,1),업무일지!$B$5:$B$1004,"&lt;"&amp;DATE($B$3+1,1,1),업무일지!$I$5:$I$1004,$A26,업무일지!$D$5:$D$1004,"분석"))</f>
        <v/>
      </c>
      <c r="F26" s="24">
        <f>IF($A26="","",COUNTIFS(업무일지!$B$5:$B$1004,"&gt;="&amp;DATE($B$3,1,1),업무일지!$B$5:$B$1004,"&lt;"&amp;DATE($B$3+1,1,1),업무일지!$P$5:$P$1004,"*"&amp;$A26&amp;"*",업무일지!$D$5:$D$1004,"분석")-E26)</f>
        <v/>
      </c>
      <c r="G26" s="63">
        <f>IF($A26="","",C26+D26+E26+F26)</f>
        <v/>
      </c>
      <c r="H26" s="24">
        <f>IF($A26="","",SUMIFS(업무일지!$U$5:$U$1004,업무일지!$B$5:$B$1004,"&gt;="&amp;DATE($B$3,1,1),업무일지!$B$5:$B$1004,"&lt;"&amp;DATE($B$3+1,1,1),업무일지!$P$5:$P$1004,"*"&amp;$A26&amp;"*",업무일지!$D$5:$D$1004,"출장"))</f>
        <v/>
      </c>
      <c r="I26" s="25">
        <f>IF($A26="","",SUMIFS(업무일지!$V$5:$V$1004,업무일지!$B$5:$B$1004,"&gt;="&amp;DATE($B$3,1,1),업무일지!$B$5:$B$1004,"&lt;"&amp;DATE($B$3+1,1,1),업무일지!$P$5:$P$1004,"*"&amp;$A26&amp;"*"))</f>
        <v/>
      </c>
      <c r="J26" s="24">
        <f>IF($A26="","",COUNTIFS(일일실시사항!$B$5:$B$1004,"&gt;="&amp;DATE($B$3,1,1),일일실시사항!$B$5:$B$1004,"&lt;"&amp;DATE($B$3+1,1,1),일일실시사항!$D$5:$D$1004,$A26))</f>
        <v/>
      </c>
      <c r="K26" s="25">
        <f>IF($A26="","",SUMIFS(일일실시사항!$J$5:$J$1004,일일실시사항!$B$5:$B$1004,"&gt;="&amp;DATE($B$3,1,1),일일실시사항!$B$5:$B$1004,"&lt;"&amp;DATE($B$3+1,1,1),일일실시사항!$D$5:$D$1004,$A26))</f>
        <v/>
      </c>
      <c r="L26" s="67">
        <f>IF($A26="","",I26+K26)</f>
        <v/>
      </c>
      <c r="M26" s="24">
        <f>IF($A26="","",COUNTIFS(업무일지!$B$5:$B$1004,"&gt;="&amp;DATE($B$3,1,1),업무일지!$B$5:$B$1004,"&lt;"&amp;DATE($B$3+1,1,1),업무일지!$P$5:$P$1004,"*"&amp;$A26&amp;"*",업무일지!$X$5:$X$1004,"진행중"))</f>
        <v/>
      </c>
    </row>
    <row r="27">
      <c r="A27" s="28" t="inlineStr">
        <is>
          <t>합계</t>
        </is>
      </c>
      <c r="B27" s="28" t="inlineStr"/>
      <c r="C27" s="29">
        <f>SUM(C7:C26)</f>
        <v/>
      </c>
      <c r="D27" s="29">
        <f>SUM(D7:D26)</f>
        <v/>
      </c>
      <c r="E27" s="29">
        <f>SUM(E7:E26)</f>
        <v/>
      </c>
      <c r="F27" s="29">
        <f>SUM(F7:F26)</f>
        <v/>
      </c>
      <c r="G27" s="29">
        <f>SUM(G7:G26)</f>
        <v/>
      </c>
      <c r="H27" s="29">
        <f>SUM(H7:H26)</f>
        <v/>
      </c>
      <c r="I27" s="30">
        <f>SUM(I7:I26)</f>
        <v/>
      </c>
      <c r="J27" s="29">
        <f>SUM(J7:J26)</f>
        <v/>
      </c>
      <c r="K27" s="30">
        <f>SUM(K7:K26)</f>
        <v/>
      </c>
      <c r="L27" s="30">
        <f>SUM(L7:L26)</f>
        <v/>
      </c>
      <c r="M27" s="29">
        <f>SUM(M7:M26)</f>
        <v/>
      </c>
    </row>
    <row r="29" ht="20" customHeight="1">
      <c r="A29" s="21" t="inlineStr">
        <is>
          <t>2.  담당자 × 월별 참여건수 (주담당 + 참여)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</row>
    <row r="30">
      <c r="A30" s="8" t="inlineStr">
        <is>
          <t>직무구분 필터 →</t>
        </is>
      </c>
      <c r="B30" s="78" t="inlineStr">
        <is>
          <t>전체</t>
        </is>
      </c>
    </row>
    <row r="31" ht="32" customHeight="1">
      <c r="A31" s="23" t="inlineStr">
        <is>
          <t>담당자</t>
        </is>
      </c>
      <c r="B31" s="23" t="inlineStr">
        <is>
          <t>1월</t>
        </is>
      </c>
      <c r="C31" s="23" t="inlineStr">
        <is>
          <t>2월</t>
        </is>
      </c>
      <c r="D31" s="23" t="inlineStr">
        <is>
          <t>3월</t>
        </is>
      </c>
      <c r="E31" s="23" t="inlineStr">
        <is>
          <t>4월</t>
        </is>
      </c>
      <c r="F31" s="23" t="inlineStr">
        <is>
          <t>5월</t>
        </is>
      </c>
      <c r="G31" s="23" t="inlineStr">
        <is>
          <t>6월</t>
        </is>
      </c>
      <c r="H31" s="23" t="inlineStr">
        <is>
          <t>7월</t>
        </is>
      </c>
      <c r="I31" s="23" t="inlineStr">
        <is>
          <t>8월</t>
        </is>
      </c>
      <c r="J31" s="23" t="inlineStr">
        <is>
          <t>9월</t>
        </is>
      </c>
      <c r="K31" s="23" t="inlineStr">
        <is>
          <t>10월</t>
        </is>
      </c>
      <c r="L31" s="23" t="inlineStr">
        <is>
          <t>11월</t>
        </is>
      </c>
      <c r="M31" s="23" t="inlineStr">
        <is>
          <t>12월</t>
        </is>
      </c>
      <c r="N31" s="23" t="inlineStr">
        <is>
          <t>합계</t>
        </is>
      </c>
    </row>
    <row r="32">
      <c r="A32" s="68">
        <f>IF($A7="","",$A7)</f>
        <v/>
      </c>
      <c r="B32" s="24">
        <f>IF($A32="","",IF($B$30="전체",COUNTIFS(업무일지!$B$5:$B$1004,"&gt;="&amp;DATE($B$3,1,1),업무일지!$B$5:$B$1004,"&lt;"&amp;DATE($B$3,1+1,1),업무일지!$P$5:$P$1004,"*"&amp;$A32&amp;"*"),COUNTIFS(업무일지!$B$5:$B$1004,"&gt;="&amp;DATE($B$3,1,1),업무일지!$B$5:$B$1004,"&lt;"&amp;DATE($B$3,1+1,1),업무일지!$P$5:$P$1004,"*"&amp;$A32&amp;"*",업무일지!$D$5:$D$1004,$B$30)))</f>
        <v/>
      </c>
      <c r="C32" s="24">
        <f>IF($A32="","",IF($B$30="전체",COUNTIFS(업무일지!$B$5:$B$1004,"&gt;="&amp;DATE($B$3,2,1),업무일지!$B$5:$B$1004,"&lt;"&amp;DATE($B$3,2+1,1),업무일지!$P$5:$P$1004,"*"&amp;$A32&amp;"*"),COUNTIFS(업무일지!$B$5:$B$1004,"&gt;="&amp;DATE($B$3,2,1),업무일지!$B$5:$B$1004,"&lt;"&amp;DATE($B$3,2+1,1),업무일지!$P$5:$P$1004,"*"&amp;$A32&amp;"*",업무일지!$D$5:$D$1004,$B$30)))</f>
        <v/>
      </c>
      <c r="D32" s="24">
        <f>IF($A32="","",IF($B$30="전체",COUNTIFS(업무일지!$B$5:$B$1004,"&gt;="&amp;DATE($B$3,3,1),업무일지!$B$5:$B$1004,"&lt;"&amp;DATE($B$3,3+1,1),업무일지!$P$5:$P$1004,"*"&amp;$A32&amp;"*"),COUNTIFS(업무일지!$B$5:$B$1004,"&gt;="&amp;DATE($B$3,3,1),업무일지!$B$5:$B$1004,"&lt;"&amp;DATE($B$3,3+1,1),업무일지!$P$5:$P$1004,"*"&amp;$A32&amp;"*",업무일지!$D$5:$D$1004,$B$30)))</f>
        <v/>
      </c>
      <c r="E32" s="24">
        <f>IF($A32="","",IF($B$30="전체",COUNTIFS(업무일지!$B$5:$B$1004,"&gt;="&amp;DATE($B$3,4,1),업무일지!$B$5:$B$1004,"&lt;"&amp;DATE($B$3,4+1,1),업무일지!$P$5:$P$1004,"*"&amp;$A32&amp;"*"),COUNTIFS(업무일지!$B$5:$B$1004,"&gt;="&amp;DATE($B$3,4,1),업무일지!$B$5:$B$1004,"&lt;"&amp;DATE($B$3,4+1,1),업무일지!$P$5:$P$1004,"*"&amp;$A32&amp;"*",업무일지!$D$5:$D$1004,$B$30)))</f>
        <v/>
      </c>
      <c r="F32" s="24">
        <f>IF($A32="","",IF($B$30="전체",COUNTIFS(업무일지!$B$5:$B$1004,"&gt;="&amp;DATE($B$3,5,1),업무일지!$B$5:$B$1004,"&lt;"&amp;DATE($B$3,5+1,1),업무일지!$P$5:$P$1004,"*"&amp;$A32&amp;"*"),COUNTIFS(업무일지!$B$5:$B$1004,"&gt;="&amp;DATE($B$3,5,1),업무일지!$B$5:$B$1004,"&lt;"&amp;DATE($B$3,5+1,1),업무일지!$P$5:$P$1004,"*"&amp;$A32&amp;"*",업무일지!$D$5:$D$1004,$B$30)))</f>
        <v/>
      </c>
      <c r="G32" s="24">
        <f>IF($A32="","",IF($B$30="전체",COUNTIFS(업무일지!$B$5:$B$1004,"&gt;="&amp;DATE($B$3,6,1),업무일지!$B$5:$B$1004,"&lt;"&amp;DATE($B$3,6+1,1),업무일지!$P$5:$P$1004,"*"&amp;$A32&amp;"*"),COUNTIFS(업무일지!$B$5:$B$1004,"&gt;="&amp;DATE($B$3,6,1),업무일지!$B$5:$B$1004,"&lt;"&amp;DATE($B$3,6+1,1),업무일지!$P$5:$P$1004,"*"&amp;$A32&amp;"*",업무일지!$D$5:$D$1004,$B$30)))</f>
        <v/>
      </c>
      <c r="H32" s="24">
        <f>IF($A32="","",IF($B$30="전체",COUNTIFS(업무일지!$B$5:$B$1004,"&gt;="&amp;DATE($B$3,7,1),업무일지!$B$5:$B$1004,"&lt;"&amp;DATE($B$3,7+1,1),업무일지!$P$5:$P$1004,"*"&amp;$A32&amp;"*"),COUNTIFS(업무일지!$B$5:$B$1004,"&gt;="&amp;DATE($B$3,7,1),업무일지!$B$5:$B$1004,"&lt;"&amp;DATE($B$3,7+1,1),업무일지!$P$5:$P$1004,"*"&amp;$A32&amp;"*",업무일지!$D$5:$D$1004,$B$30)))</f>
        <v/>
      </c>
      <c r="I32" s="24">
        <f>IF($A32="","",IF($B$30="전체",COUNTIFS(업무일지!$B$5:$B$1004,"&gt;="&amp;DATE($B$3,8,1),업무일지!$B$5:$B$1004,"&lt;"&amp;DATE($B$3,8+1,1),업무일지!$P$5:$P$1004,"*"&amp;$A32&amp;"*"),COUNTIFS(업무일지!$B$5:$B$1004,"&gt;="&amp;DATE($B$3,8,1),업무일지!$B$5:$B$1004,"&lt;"&amp;DATE($B$3,8+1,1),업무일지!$P$5:$P$1004,"*"&amp;$A32&amp;"*",업무일지!$D$5:$D$1004,$B$30)))</f>
        <v/>
      </c>
      <c r="J32" s="24">
        <f>IF($A32="","",IF($B$30="전체",COUNTIFS(업무일지!$B$5:$B$1004,"&gt;="&amp;DATE($B$3,9,1),업무일지!$B$5:$B$1004,"&lt;"&amp;DATE($B$3,9+1,1),업무일지!$P$5:$P$1004,"*"&amp;$A32&amp;"*"),COUNTIFS(업무일지!$B$5:$B$1004,"&gt;="&amp;DATE($B$3,9,1),업무일지!$B$5:$B$1004,"&lt;"&amp;DATE($B$3,9+1,1),업무일지!$P$5:$P$1004,"*"&amp;$A32&amp;"*",업무일지!$D$5:$D$1004,$B$30)))</f>
        <v/>
      </c>
      <c r="K32" s="24">
        <f>IF($A32="","",IF($B$30="전체",COUNTIFS(업무일지!$B$5:$B$1004,"&gt;="&amp;DATE($B$3,10,1),업무일지!$B$5:$B$1004,"&lt;"&amp;DATE($B$3,10+1,1),업무일지!$P$5:$P$1004,"*"&amp;$A32&amp;"*"),COUNTIFS(업무일지!$B$5:$B$1004,"&gt;="&amp;DATE($B$3,10,1),업무일지!$B$5:$B$1004,"&lt;"&amp;DATE($B$3,10+1,1),업무일지!$P$5:$P$1004,"*"&amp;$A32&amp;"*",업무일지!$D$5:$D$1004,$B$30)))</f>
        <v/>
      </c>
      <c r="L32" s="24">
        <f>IF($A32="","",IF($B$30="전체",COUNTIFS(업무일지!$B$5:$B$1004,"&gt;="&amp;DATE($B$3,11,1),업무일지!$B$5:$B$1004,"&lt;"&amp;DATE($B$3,11+1,1),업무일지!$P$5:$P$1004,"*"&amp;$A32&amp;"*"),COUNTIFS(업무일지!$B$5:$B$1004,"&gt;="&amp;DATE($B$3,11,1),업무일지!$B$5:$B$1004,"&lt;"&amp;DATE($B$3,11+1,1),업무일지!$P$5:$P$1004,"*"&amp;$A32&amp;"*",업무일지!$D$5:$D$1004,$B$30)))</f>
        <v/>
      </c>
      <c r="M32" s="24">
        <f>IF($A32="","",IF($B$30="전체",COUNTIFS(업무일지!$B$5:$B$1004,"&gt;="&amp;DATE($B$3,12,1),업무일지!$B$5:$B$1004,"&lt;"&amp;DATE($B$3,12+1,1),업무일지!$P$5:$P$1004,"*"&amp;$A32&amp;"*"),COUNTIFS(업무일지!$B$5:$B$1004,"&gt;="&amp;DATE($B$3,12,1),업무일지!$B$5:$B$1004,"&lt;"&amp;DATE($B$3,12+1,1),업무일지!$P$5:$P$1004,"*"&amp;$A32&amp;"*",업무일지!$D$5:$D$1004,$B$30)))</f>
        <v/>
      </c>
      <c r="N32" s="63">
        <f>IF($A32="","",SUM(B32:M32))</f>
        <v/>
      </c>
    </row>
    <row r="33">
      <c r="A33" s="68">
        <f>IF($A8="","",$A8)</f>
        <v/>
      </c>
      <c r="B33" s="24">
        <f>IF($A33="","",IF($B$30="전체",COUNTIFS(업무일지!$B$5:$B$1004,"&gt;="&amp;DATE($B$3,1,1),업무일지!$B$5:$B$1004,"&lt;"&amp;DATE($B$3,1+1,1),업무일지!$P$5:$P$1004,"*"&amp;$A33&amp;"*"),COUNTIFS(업무일지!$B$5:$B$1004,"&gt;="&amp;DATE($B$3,1,1),업무일지!$B$5:$B$1004,"&lt;"&amp;DATE($B$3,1+1,1),업무일지!$P$5:$P$1004,"*"&amp;$A33&amp;"*",업무일지!$D$5:$D$1004,$B$30)))</f>
        <v/>
      </c>
      <c r="C33" s="24">
        <f>IF($A33="","",IF($B$30="전체",COUNTIFS(업무일지!$B$5:$B$1004,"&gt;="&amp;DATE($B$3,2,1),업무일지!$B$5:$B$1004,"&lt;"&amp;DATE($B$3,2+1,1),업무일지!$P$5:$P$1004,"*"&amp;$A33&amp;"*"),COUNTIFS(업무일지!$B$5:$B$1004,"&gt;="&amp;DATE($B$3,2,1),업무일지!$B$5:$B$1004,"&lt;"&amp;DATE($B$3,2+1,1),업무일지!$P$5:$P$1004,"*"&amp;$A33&amp;"*",업무일지!$D$5:$D$1004,$B$30)))</f>
        <v/>
      </c>
      <c r="D33" s="24">
        <f>IF($A33="","",IF($B$30="전체",COUNTIFS(업무일지!$B$5:$B$1004,"&gt;="&amp;DATE($B$3,3,1),업무일지!$B$5:$B$1004,"&lt;"&amp;DATE($B$3,3+1,1),업무일지!$P$5:$P$1004,"*"&amp;$A33&amp;"*"),COUNTIFS(업무일지!$B$5:$B$1004,"&gt;="&amp;DATE($B$3,3,1),업무일지!$B$5:$B$1004,"&lt;"&amp;DATE($B$3,3+1,1),업무일지!$P$5:$P$1004,"*"&amp;$A33&amp;"*",업무일지!$D$5:$D$1004,$B$30)))</f>
        <v/>
      </c>
      <c r="E33" s="24">
        <f>IF($A33="","",IF($B$30="전체",COUNTIFS(업무일지!$B$5:$B$1004,"&gt;="&amp;DATE($B$3,4,1),업무일지!$B$5:$B$1004,"&lt;"&amp;DATE($B$3,4+1,1),업무일지!$P$5:$P$1004,"*"&amp;$A33&amp;"*"),COUNTIFS(업무일지!$B$5:$B$1004,"&gt;="&amp;DATE($B$3,4,1),업무일지!$B$5:$B$1004,"&lt;"&amp;DATE($B$3,4+1,1),업무일지!$P$5:$P$1004,"*"&amp;$A33&amp;"*",업무일지!$D$5:$D$1004,$B$30)))</f>
        <v/>
      </c>
      <c r="F33" s="24">
        <f>IF($A33="","",IF($B$30="전체",COUNTIFS(업무일지!$B$5:$B$1004,"&gt;="&amp;DATE($B$3,5,1),업무일지!$B$5:$B$1004,"&lt;"&amp;DATE($B$3,5+1,1),업무일지!$P$5:$P$1004,"*"&amp;$A33&amp;"*"),COUNTIFS(업무일지!$B$5:$B$1004,"&gt;="&amp;DATE($B$3,5,1),업무일지!$B$5:$B$1004,"&lt;"&amp;DATE($B$3,5+1,1),업무일지!$P$5:$P$1004,"*"&amp;$A33&amp;"*",업무일지!$D$5:$D$1004,$B$30)))</f>
        <v/>
      </c>
      <c r="G33" s="24">
        <f>IF($A33="","",IF($B$30="전체",COUNTIFS(업무일지!$B$5:$B$1004,"&gt;="&amp;DATE($B$3,6,1),업무일지!$B$5:$B$1004,"&lt;"&amp;DATE($B$3,6+1,1),업무일지!$P$5:$P$1004,"*"&amp;$A33&amp;"*"),COUNTIFS(업무일지!$B$5:$B$1004,"&gt;="&amp;DATE($B$3,6,1),업무일지!$B$5:$B$1004,"&lt;"&amp;DATE($B$3,6+1,1),업무일지!$P$5:$P$1004,"*"&amp;$A33&amp;"*",업무일지!$D$5:$D$1004,$B$30)))</f>
        <v/>
      </c>
      <c r="H33" s="24">
        <f>IF($A33="","",IF($B$30="전체",COUNTIFS(업무일지!$B$5:$B$1004,"&gt;="&amp;DATE($B$3,7,1),업무일지!$B$5:$B$1004,"&lt;"&amp;DATE($B$3,7+1,1),업무일지!$P$5:$P$1004,"*"&amp;$A33&amp;"*"),COUNTIFS(업무일지!$B$5:$B$1004,"&gt;="&amp;DATE($B$3,7,1),업무일지!$B$5:$B$1004,"&lt;"&amp;DATE($B$3,7+1,1),업무일지!$P$5:$P$1004,"*"&amp;$A33&amp;"*",업무일지!$D$5:$D$1004,$B$30)))</f>
        <v/>
      </c>
      <c r="I33" s="24">
        <f>IF($A33="","",IF($B$30="전체",COUNTIFS(업무일지!$B$5:$B$1004,"&gt;="&amp;DATE($B$3,8,1),업무일지!$B$5:$B$1004,"&lt;"&amp;DATE($B$3,8+1,1),업무일지!$P$5:$P$1004,"*"&amp;$A33&amp;"*"),COUNTIFS(업무일지!$B$5:$B$1004,"&gt;="&amp;DATE($B$3,8,1),업무일지!$B$5:$B$1004,"&lt;"&amp;DATE($B$3,8+1,1),업무일지!$P$5:$P$1004,"*"&amp;$A33&amp;"*",업무일지!$D$5:$D$1004,$B$30)))</f>
        <v/>
      </c>
      <c r="J33" s="24">
        <f>IF($A33="","",IF($B$30="전체",COUNTIFS(업무일지!$B$5:$B$1004,"&gt;="&amp;DATE($B$3,9,1),업무일지!$B$5:$B$1004,"&lt;"&amp;DATE($B$3,9+1,1),업무일지!$P$5:$P$1004,"*"&amp;$A33&amp;"*"),COUNTIFS(업무일지!$B$5:$B$1004,"&gt;="&amp;DATE($B$3,9,1),업무일지!$B$5:$B$1004,"&lt;"&amp;DATE($B$3,9+1,1),업무일지!$P$5:$P$1004,"*"&amp;$A33&amp;"*",업무일지!$D$5:$D$1004,$B$30)))</f>
        <v/>
      </c>
      <c r="K33" s="24">
        <f>IF($A33="","",IF($B$30="전체",COUNTIFS(업무일지!$B$5:$B$1004,"&gt;="&amp;DATE($B$3,10,1),업무일지!$B$5:$B$1004,"&lt;"&amp;DATE($B$3,10+1,1),업무일지!$P$5:$P$1004,"*"&amp;$A33&amp;"*"),COUNTIFS(업무일지!$B$5:$B$1004,"&gt;="&amp;DATE($B$3,10,1),업무일지!$B$5:$B$1004,"&lt;"&amp;DATE($B$3,10+1,1),업무일지!$P$5:$P$1004,"*"&amp;$A33&amp;"*",업무일지!$D$5:$D$1004,$B$30)))</f>
        <v/>
      </c>
      <c r="L33" s="24">
        <f>IF($A33="","",IF($B$30="전체",COUNTIFS(업무일지!$B$5:$B$1004,"&gt;="&amp;DATE($B$3,11,1),업무일지!$B$5:$B$1004,"&lt;"&amp;DATE($B$3,11+1,1),업무일지!$P$5:$P$1004,"*"&amp;$A33&amp;"*"),COUNTIFS(업무일지!$B$5:$B$1004,"&gt;="&amp;DATE($B$3,11,1),업무일지!$B$5:$B$1004,"&lt;"&amp;DATE($B$3,11+1,1),업무일지!$P$5:$P$1004,"*"&amp;$A33&amp;"*",업무일지!$D$5:$D$1004,$B$30)))</f>
        <v/>
      </c>
      <c r="M33" s="24">
        <f>IF($A33="","",IF($B$30="전체",COUNTIFS(업무일지!$B$5:$B$1004,"&gt;="&amp;DATE($B$3,12,1),업무일지!$B$5:$B$1004,"&lt;"&amp;DATE($B$3,12+1,1),업무일지!$P$5:$P$1004,"*"&amp;$A33&amp;"*"),COUNTIFS(업무일지!$B$5:$B$1004,"&gt;="&amp;DATE($B$3,12,1),업무일지!$B$5:$B$1004,"&lt;"&amp;DATE($B$3,12+1,1),업무일지!$P$5:$P$1004,"*"&amp;$A33&amp;"*",업무일지!$D$5:$D$1004,$B$30)))</f>
        <v/>
      </c>
      <c r="N33" s="63">
        <f>IF($A33="","",SUM(B33:M33))</f>
        <v/>
      </c>
    </row>
    <row r="34">
      <c r="A34" s="68">
        <f>IF($A9="","",$A9)</f>
        <v/>
      </c>
      <c r="B34" s="24">
        <f>IF($A34="","",IF($B$30="전체",COUNTIFS(업무일지!$B$5:$B$1004,"&gt;="&amp;DATE($B$3,1,1),업무일지!$B$5:$B$1004,"&lt;"&amp;DATE($B$3,1+1,1),업무일지!$P$5:$P$1004,"*"&amp;$A34&amp;"*"),COUNTIFS(업무일지!$B$5:$B$1004,"&gt;="&amp;DATE($B$3,1,1),업무일지!$B$5:$B$1004,"&lt;"&amp;DATE($B$3,1+1,1),업무일지!$P$5:$P$1004,"*"&amp;$A34&amp;"*",업무일지!$D$5:$D$1004,$B$30)))</f>
        <v/>
      </c>
      <c r="C34" s="24">
        <f>IF($A34="","",IF($B$30="전체",COUNTIFS(업무일지!$B$5:$B$1004,"&gt;="&amp;DATE($B$3,2,1),업무일지!$B$5:$B$1004,"&lt;"&amp;DATE($B$3,2+1,1),업무일지!$P$5:$P$1004,"*"&amp;$A34&amp;"*"),COUNTIFS(업무일지!$B$5:$B$1004,"&gt;="&amp;DATE($B$3,2,1),업무일지!$B$5:$B$1004,"&lt;"&amp;DATE($B$3,2+1,1),업무일지!$P$5:$P$1004,"*"&amp;$A34&amp;"*",업무일지!$D$5:$D$1004,$B$30)))</f>
        <v/>
      </c>
      <c r="D34" s="24">
        <f>IF($A34="","",IF($B$30="전체",COUNTIFS(업무일지!$B$5:$B$1004,"&gt;="&amp;DATE($B$3,3,1),업무일지!$B$5:$B$1004,"&lt;"&amp;DATE($B$3,3+1,1),업무일지!$P$5:$P$1004,"*"&amp;$A34&amp;"*"),COUNTIFS(업무일지!$B$5:$B$1004,"&gt;="&amp;DATE($B$3,3,1),업무일지!$B$5:$B$1004,"&lt;"&amp;DATE($B$3,3+1,1),업무일지!$P$5:$P$1004,"*"&amp;$A34&amp;"*",업무일지!$D$5:$D$1004,$B$30)))</f>
        <v/>
      </c>
      <c r="E34" s="24">
        <f>IF($A34="","",IF($B$30="전체",COUNTIFS(업무일지!$B$5:$B$1004,"&gt;="&amp;DATE($B$3,4,1),업무일지!$B$5:$B$1004,"&lt;"&amp;DATE($B$3,4+1,1),업무일지!$P$5:$P$1004,"*"&amp;$A34&amp;"*"),COUNTIFS(업무일지!$B$5:$B$1004,"&gt;="&amp;DATE($B$3,4,1),업무일지!$B$5:$B$1004,"&lt;"&amp;DATE($B$3,4+1,1),업무일지!$P$5:$P$1004,"*"&amp;$A34&amp;"*",업무일지!$D$5:$D$1004,$B$30)))</f>
        <v/>
      </c>
      <c r="F34" s="24">
        <f>IF($A34="","",IF($B$30="전체",COUNTIFS(업무일지!$B$5:$B$1004,"&gt;="&amp;DATE($B$3,5,1),업무일지!$B$5:$B$1004,"&lt;"&amp;DATE($B$3,5+1,1),업무일지!$P$5:$P$1004,"*"&amp;$A34&amp;"*"),COUNTIFS(업무일지!$B$5:$B$1004,"&gt;="&amp;DATE($B$3,5,1),업무일지!$B$5:$B$1004,"&lt;"&amp;DATE($B$3,5+1,1),업무일지!$P$5:$P$1004,"*"&amp;$A34&amp;"*",업무일지!$D$5:$D$1004,$B$30)))</f>
        <v/>
      </c>
      <c r="G34" s="24">
        <f>IF($A34="","",IF($B$30="전체",COUNTIFS(업무일지!$B$5:$B$1004,"&gt;="&amp;DATE($B$3,6,1),업무일지!$B$5:$B$1004,"&lt;"&amp;DATE($B$3,6+1,1),업무일지!$P$5:$P$1004,"*"&amp;$A34&amp;"*"),COUNTIFS(업무일지!$B$5:$B$1004,"&gt;="&amp;DATE($B$3,6,1),업무일지!$B$5:$B$1004,"&lt;"&amp;DATE($B$3,6+1,1),업무일지!$P$5:$P$1004,"*"&amp;$A34&amp;"*",업무일지!$D$5:$D$1004,$B$30)))</f>
        <v/>
      </c>
      <c r="H34" s="24">
        <f>IF($A34="","",IF($B$30="전체",COUNTIFS(업무일지!$B$5:$B$1004,"&gt;="&amp;DATE($B$3,7,1),업무일지!$B$5:$B$1004,"&lt;"&amp;DATE($B$3,7+1,1),업무일지!$P$5:$P$1004,"*"&amp;$A34&amp;"*"),COUNTIFS(업무일지!$B$5:$B$1004,"&gt;="&amp;DATE($B$3,7,1),업무일지!$B$5:$B$1004,"&lt;"&amp;DATE($B$3,7+1,1),업무일지!$P$5:$P$1004,"*"&amp;$A34&amp;"*",업무일지!$D$5:$D$1004,$B$30)))</f>
        <v/>
      </c>
      <c r="I34" s="24">
        <f>IF($A34="","",IF($B$30="전체",COUNTIFS(업무일지!$B$5:$B$1004,"&gt;="&amp;DATE($B$3,8,1),업무일지!$B$5:$B$1004,"&lt;"&amp;DATE($B$3,8+1,1),업무일지!$P$5:$P$1004,"*"&amp;$A34&amp;"*"),COUNTIFS(업무일지!$B$5:$B$1004,"&gt;="&amp;DATE($B$3,8,1),업무일지!$B$5:$B$1004,"&lt;"&amp;DATE($B$3,8+1,1),업무일지!$P$5:$P$1004,"*"&amp;$A34&amp;"*",업무일지!$D$5:$D$1004,$B$30)))</f>
        <v/>
      </c>
      <c r="J34" s="24">
        <f>IF($A34="","",IF($B$30="전체",COUNTIFS(업무일지!$B$5:$B$1004,"&gt;="&amp;DATE($B$3,9,1),업무일지!$B$5:$B$1004,"&lt;"&amp;DATE($B$3,9+1,1),업무일지!$P$5:$P$1004,"*"&amp;$A34&amp;"*"),COUNTIFS(업무일지!$B$5:$B$1004,"&gt;="&amp;DATE($B$3,9,1),업무일지!$B$5:$B$1004,"&lt;"&amp;DATE($B$3,9+1,1),업무일지!$P$5:$P$1004,"*"&amp;$A34&amp;"*",업무일지!$D$5:$D$1004,$B$30)))</f>
        <v/>
      </c>
      <c r="K34" s="24">
        <f>IF($A34="","",IF($B$30="전체",COUNTIFS(업무일지!$B$5:$B$1004,"&gt;="&amp;DATE($B$3,10,1),업무일지!$B$5:$B$1004,"&lt;"&amp;DATE($B$3,10+1,1),업무일지!$P$5:$P$1004,"*"&amp;$A34&amp;"*"),COUNTIFS(업무일지!$B$5:$B$1004,"&gt;="&amp;DATE($B$3,10,1),업무일지!$B$5:$B$1004,"&lt;"&amp;DATE($B$3,10+1,1),업무일지!$P$5:$P$1004,"*"&amp;$A34&amp;"*",업무일지!$D$5:$D$1004,$B$30)))</f>
        <v/>
      </c>
      <c r="L34" s="24">
        <f>IF($A34="","",IF($B$30="전체",COUNTIFS(업무일지!$B$5:$B$1004,"&gt;="&amp;DATE($B$3,11,1),업무일지!$B$5:$B$1004,"&lt;"&amp;DATE($B$3,11+1,1),업무일지!$P$5:$P$1004,"*"&amp;$A34&amp;"*"),COUNTIFS(업무일지!$B$5:$B$1004,"&gt;="&amp;DATE($B$3,11,1),업무일지!$B$5:$B$1004,"&lt;"&amp;DATE($B$3,11+1,1),업무일지!$P$5:$P$1004,"*"&amp;$A34&amp;"*",업무일지!$D$5:$D$1004,$B$30)))</f>
        <v/>
      </c>
      <c r="M34" s="24">
        <f>IF($A34="","",IF($B$30="전체",COUNTIFS(업무일지!$B$5:$B$1004,"&gt;="&amp;DATE($B$3,12,1),업무일지!$B$5:$B$1004,"&lt;"&amp;DATE($B$3,12+1,1),업무일지!$P$5:$P$1004,"*"&amp;$A34&amp;"*"),COUNTIFS(업무일지!$B$5:$B$1004,"&gt;="&amp;DATE($B$3,12,1),업무일지!$B$5:$B$1004,"&lt;"&amp;DATE($B$3,12+1,1),업무일지!$P$5:$P$1004,"*"&amp;$A34&amp;"*",업무일지!$D$5:$D$1004,$B$30)))</f>
        <v/>
      </c>
      <c r="N34" s="63">
        <f>IF($A34="","",SUM(B34:M34))</f>
        <v/>
      </c>
    </row>
    <row r="35">
      <c r="A35" s="68">
        <f>IF($A10="","",$A10)</f>
        <v/>
      </c>
      <c r="B35" s="24">
        <f>IF($A35="","",IF($B$30="전체",COUNTIFS(업무일지!$B$5:$B$1004,"&gt;="&amp;DATE($B$3,1,1),업무일지!$B$5:$B$1004,"&lt;"&amp;DATE($B$3,1+1,1),업무일지!$P$5:$P$1004,"*"&amp;$A35&amp;"*"),COUNTIFS(업무일지!$B$5:$B$1004,"&gt;="&amp;DATE($B$3,1,1),업무일지!$B$5:$B$1004,"&lt;"&amp;DATE($B$3,1+1,1),업무일지!$P$5:$P$1004,"*"&amp;$A35&amp;"*",업무일지!$D$5:$D$1004,$B$30)))</f>
        <v/>
      </c>
      <c r="C35" s="24">
        <f>IF($A35="","",IF($B$30="전체",COUNTIFS(업무일지!$B$5:$B$1004,"&gt;="&amp;DATE($B$3,2,1),업무일지!$B$5:$B$1004,"&lt;"&amp;DATE($B$3,2+1,1),업무일지!$P$5:$P$1004,"*"&amp;$A35&amp;"*"),COUNTIFS(업무일지!$B$5:$B$1004,"&gt;="&amp;DATE($B$3,2,1),업무일지!$B$5:$B$1004,"&lt;"&amp;DATE($B$3,2+1,1),업무일지!$P$5:$P$1004,"*"&amp;$A35&amp;"*",업무일지!$D$5:$D$1004,$B$30)))</f>
        <v/>
      </c>
      <c r="D35" s="24">
        <f>IF($A35="","",IF($B$30="전체",COUNTIFS(업무일지!$B$5:$B$1004,"&gt;="&amp;DATE($B$3,3,1),업무일지!$B$5:$B$1004,"&lt;"&amp;DATE($B$3,3+1,1),업무일지!$P$5:$P$1004,"*"&amp;$A35&amp;"*"),COUNTIFS(업무일지!$B$5:$B$1004,"&gt;="&amp;DATE($B$3,3,1),업무일지!$B$5:$B$1004,"&lt;"&amp;DATE($B$3,3+1,1),업무일지!$P$5:$P$1004,"*"&amp;$A35&amp;"*",업무일지!$D$5:$D$1004,$B$30)))</f>
        <v/>
      </c>
      <c r="E35" s="24">
        <f>IF($A35="","",IF($B$30="전체",COUNTIFS(업무일지!$B$5:$B$1004,"&gt;="&amp;DATE($B$3,4,1),업무일지!$B$5:$B$1004,"&lt;"&amp;DATE($B$3,4+1,1),업무일지!$P$5:$P$1004,"*"&amp;$A35&amp;"*"),COUNTIFS(업무일지!$B$5:$B$1004,"&gt;="&amp;DATE($B$3,4,1),업무일지!$B$5:$B$1004,"&lt;"&amp;DATE($B$3,4+1,1),업무일지!$P$5:$P$1004,"*"&amp;$A35&amp;"*",업무일지!$D$5:$D$1004,$B$30)))</f>
        <v/>
      </c>
      <c r="F35" s="24">
        <f>IF($A35="","",IF($B$30="전체",COUNTIFS(업무일지!$B$5:$B$1004,"&gt;="&amp;DATE($B$3,5,1),업무일지!$B$5:$B$1004,"&lt;"&amp;DATE($B$3,5+1,1),업무일지!$P$5:$P$1004,"*"&amp;$A35&amp;"*"),COUNTIFS(업무일지!$B$5:$B$1004,"&gt;="&amp;DATE($B$3,5,1),업무일지!$B$5:$B$1004,"&lt;"&amp;DATE($B$3,5+1,1),업무일지!$P$5:$P$1004,"*"&amp;$A35&amp;"*",업무일지!$D$5:$D$1004,$B$30)))</f>
        <v/>
      </c>
      <c r="G35" s="24">
        <f>IF($A35="","",IF($B$30="전체",COUNTIFS(업무일지!$B$5:$B$1004,"&gt;="&amp;DATE($B$3,6,1),업무일지!$B$5:$B$1004,"&lt;"&amp;DATE($B$3,6+1,1),업무일지!$P$5:$P$1004,"*"&amp;$A35&amp;"*"),COUNTIFS(업무일지!$B$5:$B$1004,"&gt;="&amp;DATE($B$3,6,1),업무일지!$B$5:$B$1004,"&lt;"&amp;DATE($B$3,6+1,1),업무일지!$P$5:$P$1004,"*"&amp;$A35&amp;"*",업무일지!$D$5:$D$1004,$B$30)))</f>
        <v/>
      </c>
      <c r="H35" s="24">
        <f>IF($A35="","",IF($B$30="전체",COUNTIFS(업무일지!$B$5:$B$1004,"&gt;="&amp;DATE($B$3,7,1),업무일지!$B$5:$B$1004,"&lt;"&amp;DATE($B$3,7+1,1),업무일지!$P$5:$P$1004,"*"&amp;$A35&amp;"*"),COUNTIFS(업무일지!$B$5:$B$1004,"&gt;="&amp;DATE($B$3,7,1),업무일지!$B$5:$B$1004,"&lt;"&amp;DATE($B$3,7+1,1),업무일지!$P$5:$P$1004,"*"&amp;$A35&amp;"*",업무일지!$D$5:$D$1004,$B$30)))</f>
        <v/>
      </c>
      <c r="I35" s="24">
        <f>IF($A35="","",IF($B$30="전체",COUNTIFS(업무일지!$B$5:$B$1004,"&gt;="&amp;DATE($B$3,8,1),업무일지!$B$5:$B$1004,"&lt;"&amp;DATE($B$3,8+1,1),업무일지!$P$5:$P$1004,"*"&amp;$A35&amp;"*"),COUNTIFS(업무일지!$B$5:$B$1004,"&gt;="&amp;DATE($B$3,8,1),업무일지!$B$5:$B$1004,"&lt;"&amp;DATE($B$3,8+1,1),업무일지!$P$5:$P$1004,"*"&amp;$A35&amp;"*",업무일지!$D$5:$D$1004,$B$30)))</f>
        <v/>
      </c>
      <c r="J35" s="24">
        <f>IF($A35="","",IF($B$30="전체",COUNTIFS(업무일지!$B$5:$B$1004,"&gt;="&amp;DATE($B$3,9,1),업무일지!$B$5:$B$1004,"&lt;"&amp;DATE($B$3,9+1,1),업무일지!$P$5:$P$1004,"*"&amp;$A35&amp;"*"),COUNTIFS(업무일지!$B$5:$B$1004,"&gt;="&amp;DATE($B$3,9,1),업무일지!$B$5:$B$1004,"&lt;"&amp;DATE($B$3,9+1,1),업무일지!$P$5:$P$1004,"*"&amp;$A35&amp;"*",업무일지!$D$5:$D$1004,$B$30)))</f>
        <v/>
      </c>
      <c r="K35" s="24">
        <f>IF($A35="","",IF($B$30="전체",COUNTIFS(업무일지!$B$5:$B$1004,"&gt;="&amp;DATE($B$3,10,1),업무일지!$B$5:$B$1004,"&lt;"&amp;DATE($B$3,10+1,1),업무일지!$P$5:$P$1004,"*"&amp;$A35&amp;"*"),COUNTIFS(업무일지!$B$5:$B$1004,"&gt;="&amp;DATE($B$3,10,1),업무일지!$B$5:$B$1004,"&lt;"&amp;DATE($B$3,10+1,1),업무일지!$P$5:$P$1004,"*"&amp;$A35&amp;"*",업무일지!$D$5:$D$1004,$B$30)))</f>
        <v/>
      </c>
      <c r="L35" s="24">
        <f>IF($A35="","",IF($B$30="전체",COUNTIFS(업무일지!$B$5:$B$1004,"&gt;="&amp;DATE($B$3,11,1),업무일지!$B$5:$B$1004,"&lt;"&amp;DATE($B$3,11+1,1),업무일지!$P$5:$P$1004,"*"&amp;$A35&amp;"*"),COUNTIFS(업무일지!$B$5:$B$1004,"&gt;="&amp;DATE($B$3,11,1),업무일지!$B$5:$B$1004,"&lt;"&amp;DATE($B$3,11+1,1),업무일지!$P$5:$P$1004,"*"&amp;$A35&amp;"*",업무일지!$D$5:$D$1004,$B$30)))</f>
        <v/>
      </c>
      <c r="M35" s="24">
        <f>IF($A35="","",IF($B$30="전체",COUNTIFS(업무일지!$B$5:$B$1004,"&gt;="&amp;DATE($B$3,12,1),업무일지!$B$5:$B$1004,"&lt;"&amp;DATE($B$3,12+1,1),업무일지!$P$5:$P$1004,"*"&amp;$A35&amp;"*"),COUNTIFS(업무일지!$B$5:$B$1004,"&gt;="&amp;DATE($B$3,12,1),업무일지!$B$5:$B$1004,"&lt;"&amp;DATE($B$3,12+1,1),업무일지!$P$5:$P$1004,"*"&amp;$A35&amp;"*",업무일지!$D$5:$D$1004,$B$30)))</f>
        <v/>
      </c>
      <c r="N35" s="63">
        <f>IF($A35="","",SUM(B35:M35))</f>
        <v/>
      </c>
    </row>
    <row r="36">
      <c r="A36" s="68">
        <f>IF($A11="","",$A11)</f>
        <v/>
      </c>
      <c r="B36" s="24">
        <f>IF($A36="","",IF($B$30="전체",COUNTIFS(업무일지!$B$5:$B$1004,"&gt;="&amp;DATE($B$3,1,1),업무일지!$B$5:$B$1004,"&lt;"&amp;DATE($B$3,1+1,1),업무일지!$P$5:$P$1004,"*"&amp;$A36&amp;"*"),COUNTIFS(업무일지!$B$5:$B$1004,"&gt;="&amp;DATE($B$3,1,1),업무일지!$B$5:$B$1004,"&lt;"&amp;DATE($B$3,1+1,1),업무일지!$P$5:$P$1004,"*"&amp;$A36&amp;"*",업무일지!$D$5:$D$1004,$B$30)))</f>
        <v/>
      </c>
      <c r="C36" s="24">
        <f>IF($A36="","",IF($B$30="전체",COUNTIFS(업무일지!$B$5:$B$1004,"&gt;="&amp;DATE($B$3,2,1),업무일지!$B$5:$B$1004,"&lt;"&amp;DATE($B$3,2+1,1),업무일지!$P$5:$P$1004,"*"&amp;$A36&amp;"*"),COUNTIFS(업무일지!$B$5:$B$1004,"&gt;="&amp;DATE($B$3,2,1),업무일지!$B$5:$B$1004,"&lt;"&amp;DATE($B$3,2+1,1),업무일지!$P$5:$P$1004,"*"&amp;$A36&amp;"*",업무일지!$D$5:$D$1004,$B$30)))</f>
        <v/>
      </c>
      <c r="D36" s="24">
        <f>IF($A36="","",IF($B$30="전체",COUNTIFS(업무일지!$B$5:$B$1004,"&gt;="&amp;DATE($B$3,3,1),업무일지!$B$5:$B$1004,"&lt;"&amp;DATE($B$3,3+1,1),업무일지!$P$5:$P$1004,"*"&amp;$A36&amp;"*"),COUNTIFS(업무일지!$B$5:$B$1004,"&gt;="&amp;DATE($B$3,3,1),업무일지!$B$5:$B$1004,"&lt;"&amp;DATE($B$3,3+1,1),업무일지!$P$5:$P$1004,"*"&amp;$A36&amp;"*",업무일지!$D$5:$D$1004,$B$30)))</f>
        <v/>
      </c>
      <c r="E36" s="24">
        <f>IF($A36="","",IF($B$30="전체",COUNTIFS(업무일지!$B$5:$B$1004,"&gt;="&amp;DATE($B$3,4,1),업무일지!$B$5:$B$1004,"&lt;"&amp;DATE($B$3,4+1,1),업무일지!$P$5:$P$1004,"*"&amp;$A36&amp;"*"),COUNTIFS(업무일지!$B$5:$B$1004,"&gt;="&amp;DATE($B$3,4,1),업무일지!$B$5:$B$1004,"&lt;"&amp;DATE($B$3,4+1,1),업무일지!$P$5:$P$1004,"*"&amp;$A36&amp;"*",업무일지!$D$5:$D$1004,$B$30)))</f>
        <v/>
      </c>
      <c r="F36" s="24">
        <f>IF($A36="","",IF($B$30="전체",COUNTIFS(업무일지!$B$5:$B$1004,"&gt;="&amp;DATE($B$3,5,1),업무일지!$B$5:$B$1004,"&lt;"&amp;DATE($B$3,5+1,1),업무일지!$P$5:$P$1004,"*"&amp;$A36&amp;"*"),COUNTIFS(업무일지!$B$5:$B$1004,"&gt;="&amp;DATE($B$3,5,1),업무일지!$B$5:$B$1004,"&lt;"&amp;DATE($B$3,5+1,1),업무일지!$P$5:$P$1004,"*"&amp;$A36&amp;"*",업무일지!$D$5:$D$1004,$B$30)))</f>
        <v/>
      </c>
      <c r="G36" s="24">
        <f>IF($A36="","",IF($B$30="전체",COUNTIFS(업무일지!$B$5:$B$1004,"&gt;="&amp;DATE($B$3,6,1),업무일지!$B$5:$B$1004,"&lt;"&amp;DATE($B$3,6+1,1),업무일지!$P$5:$P$1004,"*"&amp;$A36&amp;"*"),COUNTIFS(업무일지!$B$5:$B$1004,"&gt;="&amp;DATE($B$3,6,1),업무일지!$B$5:$B$1004,"&lt;"&amp;DATE($B$3,6+1,1),업무일지!$P$5:$P$1004,"*"&amp;$A36&amp;"*",업무일지!$D$5:$D$1004,$B$30)))</f>
        <v/>
      </c>
      <c r="H36" s="24">
        <f>IF($A36="","",IF($B$30="전체",COUNTIFS(업무일지!$B$5:$B$1004,"&gt;="&amp;DATE($B$3,7,1),업무일지!$B$5:$B$1004,"&lt;"&amp;DATE($B$3,7+1,1),업무일지!$P$5:$P$1004,"*"&amp;$A36&amp;"*"),COUNTIFS(업무일지!$B$5:$B$1004,"&gt;="&amp;DATE($B$3,7,1),업무일지!$B$5:$B$1004,"&lt;"&amp;DATE($B$3,7+1,1),업무일지!$P$5:$P$1004,"*"&amp;$A36&amp;"*",업무일지!$D$5:$D$1004,$B$30)))</f>
        <v/>
      </c>
      <c r="I36" s="24">
        <f>IF($A36="","",IF($B$30="전체",COUNTIFS(업무일지!$B$5:$B$1004,"&gt;="&amp;DATE($B$3,8,1),업무일지!$B$5:$B$1004,"&lt;"&amp;DATE($B$3,8+1,1),업무일지!$P$5:$P$1004,"*"&amp;$A36&amp;"*"),COUNTIFS(업무일지!$B$5:$B$1004,"&gt;="&amp;DATE($B$3,8,1),업무일지!$B$5:$B$1004,"&lt;"&amp;DATE($B$3,8+1,1),업무일지!$P$5:$P$1004,"*"&amp;$A36&amp;"*",업무일지!$D$5:$D$1004,$B$30)))</f>
        <v/>
      </c>
      <c r="J36" s="24">
        <f>IF($A36="","",IF($B$30="전체",COUNTIFS(업무일지!$B$5:$B$1004,"&gt;="&amp;DATE($B$3,9,1),업무일지!$B$5:$B$1004,"&lt;"&amp;DATE($B$3,9+1,1),업무일지!$P$5:$P$1004,"*"&amp;$A36&amp;"*"),COUNTIFS(업무일지!$B$5:$B$1004,"&gt;="&amp;DATE($B$3,9,1),업무일지!$B$5:$B$1004,"&lt;"&amp;DATE($B$3,9+1,1),업무일지!$P$5:$P$1004,"*"&amp;$A36&amp;"*",업무일지!$D$5:$D$1004,$B$30)))</f>
        <v/>
      </c>
      <c r="K36" s="24">
        <f>IF($A36="","",IF($B$30="전체",COUNTIFS(업무일지!$B$5:$B$1004,"&gt;="&amp;DATE($B$3,10,1),업무일지!$B$5:$B$1004,"&lt;"&amp;DATE($B$3,10+1,1),업무일지!$P$5:$P$1004,"*"&amp;$A36&amp;"*"),COUNTIFS(업무일지!$B$5:$B$1004,"&gt;="&amp;DATE($B$3,10,1),업무일지!$B$5:$B$1004,"&lt;"&amp;DATE($B$3,10+1,1),업무일지!$P$5:$P$1004,"*"&amp;$A36&amp;"*",업무일지!$D$5:$D$1004,$B$30)))</f>
        <v/>
      </c>
      <c r="L36" s="24">
        <f>IF($A36="","",IF($B$30="전체",COUNTIFS(업무일지!$B$5:$B$1004,"&gt;="&amp;DATE($B$3,11,1),업무일지!$B$5:$B$1004,"&lt;"&amp;DATE($B$3,11+1,1),업무일지!$P$5:$P$1004,"*"&amp;$A36&amp;"*"),COUNTIFS(업무일지!$B$5:$B$1004,"&gt;="&amp;DATE($B$3,11,1),업무일지!$B$5:$B$1004,"&lt;"&amp;DATE($B$3,11+1,1),업무일지!$P$5:$P$1004,"*"&amp;$A36&amp;"*",업무일지!$D$5:$D$1004,$B$30)))</f>
        <v/>
      </c>
      <c r="M36" s="24">
        <f>IF($A36="","",IF($B$30="전체",COUNTIFS(업무일지!$B$5:$B$1004,"&gt;="&amp;DATE($B$3,12,1),업무일지!$B$5:$B$1004,"&lt;"&amp;DATE($B$3,12+1,1),업무일지!$P$5:$P$1004,"*"&amp;$A36&amp;"*"),COUNTIFS(업무일지!$B$5:$B$1004,"&gt;="&amp;DATE($B$3,12,1),업무일지!$B$5:$B$1004,"&lt;"&amp;DATE($B$3,12+1,1),업무일지!$P$5:$P$1004,"*"&amp;$A36&amp;"*",업무일지!$D$5:$D$1004,$B$30)))</f>
        <v/>
      </c>
      <c r="N36" s="63">
        <f>IF($A36="","",SUM(B36:M36))</f>
        <v/>
      </c>
    </row>
    <row r="37">
      <c r="A37" s="68">
        <f>IF($A12="","",$A12)</f>
        <v/>
      </c>
      <c r="B37" s="24">
        <f>IF($A37="","",IF($B$30="전체",COUNTIFS(업무일지!$B$5:$B$1004,"&gt;="&amp;DATE($B$3,1,1),업무일지!$B$5:$B$1004,"&lt;"&amp;DATE($B$3,1+1,1),업무일지!$P$5:$P$1004,"*"&amp;$A37&amp;"*"),COUNTIFS(업무일지!$B$5:$B$1004,"&gt;="&amp;DATE($B$3,1,1),업무일지!$B$5:$B$1004,"&lt;"&amp;DATE($B$3,1+1,1),업무일지!$P$5:$P$1004,"*"&amp;$A37&amp;"*",업무일지!$D$5:$D$1004,$B$30)))</f>
        <v/>
      </c>
      <c r="C37" s="24">
        <f>IF($A37="","",IF($B$30="전체",COUNTIFS(업무일지!$B$5:$B$1004,"&gt;="&amp;DATE($B$3,2,1),업무일지!$B$5:$B$1004,"&lt;"&amp;DATE($B$3,2+1,1),업무일지!$P$5:$P$1004,"*"&amp;$A37&amp;"*"),COUNTIFS(업무일지!$B$5:$B$1004,"&gt;="&amp;DATE($B$3,2,1),업무일지!$B$5:$B$1004,"&lt;"&amp;DATE($B$3,2+1,1),업무일지!$P$5:$P$1004,"*"&amp;$A37&amp;"*",업무일지!$D$5:$D$1004,$B$30)))</f>
        <v/>
      </c>
      <c r="D37" s="24">
        <f>IF($A37="","",IF($B$30="전체",COUNTIFS(업무일지!$B$5:$B$1004,"&gt;="&amp;DATE($B$3,3,1),업무일지!$B$5:$B$1004,"&lt;"&amp;DATE($B$3,3+1,1),업무일지!$P$5:$P$1004,"*"&amp;$A37&amp;"*"),COUNTIFS(업무일지!$B$5:$B$1004,"&gt;="&amp;DATE($B$3,3,1),업무일지!$B$5:$B$1004,"&lt;"&amp;DATE($B$3,3+1,1),업무일지!$P$5:$P$1004,"*"&amp;$A37&amp;"*",업무일지!$D$5:$D$1004,$B$30)))</f>
        <v/>
      </c>
      <c r="E37" s="24">
        <f>IF($A37="","",IF($B$30="전체",COUNTIFS(업무일지!$B$5:$B$1004,"&gt;="&amp;DATE($B$3,4,1),업무일지!$B$5:$B$1004,"&lt;"&amp;DATE($B$3,4+1,1),업무일지!$P$5:$P$1004,"*"&amp;$A37&amp;"*"),COUNTIFS(업무일지!$B$5:$B$1004,"&gt;="&amp;DATE($B$3,4,1),업무일지!$B$5:$B$1004,"&lt;"&amp;DATE($B$3,4+1,1),업무일지!$P$5:$P$1004,"*"&amp;$A37&amp;"*",업무일지!$D$5:$D$1004,$B$30)))</f>
        <v/>
      </c>
      <c r="F37" s="24">
        <f>IF($A37="","",IF($B$30="전체",COUNTIFS(업무일지!$B$5:$B$1004,"&gt;="&amp;DATE($B$3,5,1),업무일지!$B$5:$B$1004,"&lt;"&amp;DATE($B$3,5+1,1),업무일지!$P$5:$P$1004,"*"&amp;$A37&amp;"*"),COUNTIFS(업무일지!$B$5:$B$1004,"&gt;="&amp;DATE($B$3,5,1),업무일지!$B$5:$B$1004,"&lt;"&amp;DATE($B$3,5+1,1),업무일지!$P$5:$P$1004,"*"&amp;$A37&amp;"*",업무일지!$D$5:$D$1004,$B$30)))</f>
        <v/>
      </c>
      <c r="G37" s="24">
        <f>IF($A37="","",IF($B$30="전체",COUNTIFS(업무일지!$B$5:$B$1004,"&gt;="&amp;DATE($B$3,6,1),업무일지!$B$5:$B$1004,"&lt;"&amp;DATE($B$3,6+1,1),업무일지!$P$5:$P$1004,"*"&amp;$A37&amp;"*"),COUNTIFS(업무일지!$B$5:$B$1004,"&gt;="&amp;DATE($B$3,6,1),업무일지!$B$5:$B$1004,"&lt;"&amp;DATE($B$3,6+1,1),업무일지!$P$5:$P$1004,"*"&amp;$A37&amp;"*",업무일지!$D$5:$D$1004,$B$30)))</f>
        <v/>
      </c>
      <c r="H37" s="24">
        <f>IF($A37="","",IF($B$30="전체",COUNTIFS(업무일지!$B$5:$B$1004,"&gt;="&amp;DATE($B$3,7,1),업무일지!$B$5:$B$1004,"&lt;"&amp;DATE($B$3,7+1,1),업무일지!$P$5:$P$1004,"*"&amp;$A37&amp;"*"),COUNTIFS(업무일지!$B$5:$B$1004,"&gt;="&amp;DATE($B$3,7,1),업무일지!$B$5:$B$1004,"&lt;"&amp;DATE($B$3,7+1,1),업무일지!$P$5:$P$1004,"*"&amp;$A37&amp;"*",업무일지!$D$5:$D$1004,$B$30)))</f>
        <v/>
      </c>
      <c r="I37" s="24">
        <f>IF($A37="","",IF($B$30="전체",COUNTIFS(업무일지!$B$5:$B$1004,"&gt;="&amp;DATE($B$3,8,1),업무일지!$B$5:$B$1004,"&lt;"&amp;DATE($B$3,8+1,1),업무일지!$P$5:$P$1004,"*"&amp;$A37&amp;"*"),COUNTIFS(업무일지!$B$5:$B$1004,"&gt;="&amp;DATE($B$3,8,1),업무일지!$B$5:$B$1004,"&lt;"&amp;DATE($B$3,8+1,1),업무일지!$P$5:$P$1004,"*"&amp;$A37&amp;"*",업무일지!$D$5:$D$1004,$B$30)))</f>
        <v/>
      </c>
      <c r="J37" s="24">
        <f>IF($A37="","",IF($B$30="전체",COUNTIFS(업무일지!$B$5:$B$1004,"&gt;="&amp;DATE($B$3,9,1),업무일지!$B$5:$B$1004,"&lt;"&amp;DATE($B$3,9+1,1),업무일지!$P$5:$P$1004,"*"&amp;$A37&amp;"*"),COUNTIFS(업무일지!$B$5:$B$1004,"&gt;="&amp;DATE($B$3,9,1),업무일지!$B$5:$B$1004,"&lt;"&amp;DATE($B$3,9+1,1),업무일지!$P$5:$P$1004,"*"&amp;$A37&amp;"*",업무일지!$D$5:$D$1004,$B$30)))</f>
        <v/>
      </c>
      <c r="K37" s="24">
        <f>IF($A37="","",IF($B$30="전체",COUNTIFS(업무일지!$B$5:$B$1004,"&gt;="&amp;DATE($B$3,10,1),업무일지!$B$5:$B$1004,"&lt;"&amp;DATE($B$3,10+1,1),업무일지!$P$5:$P$1004,"*"&amp;$A37&amp;"*"),COUNTIFS(업무일지!$B$5:$B$1004,"&gt;="&amp;DATE($B$3,10,1),업무일지!$B$5:$B$1004,"&lt;"&amp;DATE($B$3,10+1,1),업무일지!$P$5:$P$1004,"*"&amp;$A37&amp;"*",업무일지!$D$5:$D$1004,$B$30)))</f>
        <v/>
      </c>
      <c r="L37" s="24">
        <f>IF($A37="","",IF($B$30="전체",COUNTIFS(업무일지!$B$5:$B$1004,"&gt;="&amp;DATE($B$3,11,1),업무일지!$B$5:$B$1004,"&lt;"&amp;DATE($B$3,11+1,1),업무일지!$P$5:$P$1004,"*"&amp;$A37&amp;"*"),COUNTIFS(업무일지!$B$5:$B$1004,"&gt;="&amp;DATE($B$3,11,1),업무일지!$B$5:$B$1004,"&lt;"&amp;DATE($B$3,11+1,1),업무일지!$P$5:$P$1004,"*"&amp;$A37&amp;"*",업무일지!$D$5:$D$1004,$B$30)))</f>
        <v/>
      </c>
      <c r="M37" s="24">
        <f>IF($A37="","",IF($B$30="전체",COUNTIFS(업무일지!$B$5:$B$1004,"&gt;="&amp;DATE($B$3,12,1),업무일지!$B$5:$B$1004,"&lt;"&amp;DATE($B$3,12+1,1),업무일지!$P$5:$P$1004,"*"&amp;$A37&amp;"*"),COUNTIFS(업무일지!$B$5:$B$1004,"&gt;="&amp;DATE($B$3,12,1),업무일지!$B$5:$B$1004,"&lt;"&amp;DATE($B$3,12+1,1),업무일지!$P$5:$P$1004,"*"&amp;$A37&amp;"*",업무일지!$D$5:$D$1004,$B$30)))</f>
        <v/>
      </c>
      <c r="N37" s="63">
        <f>IF($A37="","",SUM(B37:M37))</f>
        <v/>
      </c>
    </row>
    <row r="38">
      <c r="A38" s="68">
        <f>IF($A13="","",$A13)</f>
        <v/>
      </c>
      <c r="B38" s="24">
        <f>IF($A38="","",IF($B$30="전체",COUNTIFS(업무일지!$B$5:$B$1004,"&gt;="&amp;DATE($B$3,1,1),업무일지!$B$5:$B$1004,"&lt;"&amp;DATE($B$3,1+1,1),업무일지!$P$5:$P$1004,"*"&amp;$A38&amp;"*"),COUNTIFS(업무일지!$B$5:$B$1004,"&gt;="&amp;DATE($B$3,1,1),업무일지!$B$5:$B$1004,"&lt;"&amp;DATE($B$3,1+1,1),업무일지!$P$5:$P$1004,"*"&amp;$A38&amp;"*",업무일지!$D$5:$D$1004,$B$30)))</f>
        <v/>
      </c>
      <c r="C38" s="24">
        <f>IF($A38="","",IF($B$30="전체",COUNTIFS(업무일지!$B$5:$B$1004,"&gt;="&amp;DATE($B$3,2,1),업무일지!$B$5:$B$1004,"&lt;"&amp;DATE($B$3,2+1,1),업무일지!$P$5:$P$1004,"*"&amp;$A38&amp;"*"),COUNTIFS(업무일지!$B$5:$B$1004,"&gt;="&amp;DATE($B$3,2,1),업무일지!$B$5:$B$1004,"&lt;"&amp;DATE($B$3,2+1,1),업무일지!$P$5:$P$1004,"*"&amp;$A38&amp;"*",업무일지!$D$5:$D$1004,$B$30)))</f>
        <v/>
      </c>
      <c r="D38" s="24">
        <f>IF($A38="","",IF($B$30="전체",COUNTIFS(업무일지!$B$5:$B$1004,"&gt;="&amp;DATE($B$3,3,1),업무일지!$B$5:$B$1004,"&lt;"&amp;DATE($B$3,3+1,1),업무일지!$P$5:$P$1004,"*"&amp;$A38&amp;"*"),COUNTIFS(업무일지!$B$5:$B$1004,"&gt;="&amp;DATE($B$3,3,1),업무일지!$B$5:$B$1004,"&lt;"&amp;DATE($B$3,3+1,1),업무일지!$P$5:$P$1004,"*"&amp;$A38&amp;"*",업무일지!$D$5:$D$1004,$B$30)))</f>
        <v/>
      </c>
      <c r="E38" s="24">
        <f>IF($A38="","",IF($B$30="전체",COUNTIFS(업무일지!$B$5:$B$1004,"&gt;="&amp;DATE($B$3,4,1),업무일지!$B$5:$B$1004,"&lt;"&amp;DATE($B$3,4+1,1),업무일지!$P$5:$P$1004,"*"&amp;$A38&amp;"*"),COUNTIFS(업무일지!$B$5:$B$1004,"&gt;="&amp;DATE($B$3,4,1),업무일지!$B$5:$B$1004,"&lt;"&amp;DATE($B$3,4+1,1),업무일지!$P$5:$P$1004,"*"&amp;$A38&amp;"*",업무일지!$D$5:$D$1004,$B$30)))</f>
        <v/>
      </c>
      <c r="F38" s="24">
        <f>IF($A38="","",IF($B$30="전체",COUNTIFS(업무일지!$B$5:$B$1004,"&gt;="&amp;DATE($B$3,5,1),업무일지!$B$5:$B$1004,"&lt;"&amp;DATE($B$3,5+1,1),업무일지!$P$5:$P$1004,"*"&amp;$A38&amp;"*"),COUNTIFS(업무일지!$B$5:$B$1004,"&gt;="&amp;DATE($B$3,5,1),업무일지!$B$5:$B$1004,"&lt;"&amp;DATE($B$3,5+1,1),업무일지!$P$5:$P$1004,"*"&amp;$A38&amp;"*",업무일지!$D$5:$D$1004,$B$30)))</f>
        <v/>
      </c>
      <c r="G38" s="24">
        <f>IF($A38="","",IF($B$30="전체",COUNTIFS(업무일지!$B$5:$B$1004,"&gt;="&amp;DATE($B$3,6,1),업무일지!$B$5:$B$1004,"&lt;"&amp;DATE($B$3,6+1,1),업무일지!$P$5:$P$1004,"*"&amp;$A38&amp;"*"),COUNTIFS(업무일지!$B$5:$B$1004,"&gt;="&amp;DATE($B$3,6,1),업무일지!$B$5:$B$1004,"&lt;"&amp;DATE($B$3,6+1,1),업무일지!$P$5:$P$1004,"*"&amp;$A38&amp;"*",업무일지!$D$5:$D$1004,$B$30)))</f>
        <v/>
      </c>
      <c r="H38" s="24">
        <f>IF($A38="","",IF($B$30="전체",COUNTIFS(업무일지!$B$5:$B$1004,"&gt;="&amp;DATE($B$3,7,1),업무일지!$B$5:$B$1004,"&lt;"&amp;DATE($B$3,7+1,1),업무일지!$P$5:$P$1004,"*"&amp;$A38&amp;"*"),COUNTIFS(업무일지!$B$5:$B$1004,"&gt;="&amp;DATE($B$3,7,1),업무일지!$B$5:$B$1004,"&lt;"&amp;DATE($B$3,7+1,1),업무일지!$P$5:$P$1004,"*"&amp;$A38&amp;"*",업무일지!$D$5:$D$1004,$B$30)))</f>
        <v/>
      </c>
      <c r="I38" s="24">
        <f>IF($A38="","",IF($B$30="전체",COUNTIFS(업무일지!$B$5:$B$1004,"&gt;="&amp;DATE($B$3,8,1),업무일지!$B$5:$B$1004,"&lt;"&amp;DATE($B$3,8+1,1),업무일지!$P$5:$P$1004,"*"&amp;$A38&amp;"*"),COUNTIFS(업무일지!$B$5:$B$1004,"&gt;="&amp;DATE($B$3,8,1),업무일지!$B$5:$B$1004,"&lt;"&amp;DATE($B$3,8+1,1),업무일지!$P$5:$P$1004,"*"&amp;$A38&amp;"*",업무일지!$D$5:$D$1004,$B$30)))</f>
        <v/>
      </c>
      <c r="J38" s="24">
        <f>IF($A38="","",IF($B$30="전체",COUNTIFS(업무일지!$B$5:$B$1004,"&gt;="&amp;DATE($B$3,9,1),업무일지!$B$5:$B$1004,"&lt;"&amp;DATE($B$3,9+1,1),업무일지!$P$5:$P$1004,"*"&amp;$A38&amp;"*"),COUNTIFS(업무일지!$B$5:$B$1004,"&gt;="&amp;DATE($B$3,9,1),업무일지!$B$5:$B$1004,"&lt;"&amp;DATE($B$3,9+1,1),업무일지!$P$5:$P$1004,"*"&amp;$A38&amp;"*",업무일지!$D$5:$D$1004,$B$30)))</f>
        <v/>
      </c>
      <c r="K38" s="24">
        <f>IF($A38="","",IF($B$30="전체",COUNTIFS(업무일지!$B$5:$B$1004,"&gt;="&amp;DATE($B$3,10,1),업무일지!$B$5:$B$1004,"&lt;"&amp;DATE($B$3,10+1,1),업무일지!$P$5:$P$1004,"*"&amp;$A38&amp;"*"),COUNTIFS(업무일지!$B$5:$B$1004,"&gt;="&amp;DATE($B$3,10,1),업무일지!$B$5:$B$1004,"&lt;"&amp;DATE($B$3,10+1,1),업무일지!$P$5:$P$1004,"*"&amp;$A38&amp;"*",업무일지!$D$5:$D$1004,$B$30)))</f>
        <v/>
      </c>
      <c r="L38" s="24">
        <f>IF($A38="","",IF($B$30="전체",COUNTIFS(업무일지!$B$5:$B$1004,"&gt;="&amp;DATE($B$3,11,1),업무일지!$B$5:$B$1004,"&lt;"&amp;DATE($B$3,11+1,1),업무일지!$P$5:$P$1004,"*"&amp;$A38&amp;"*"),COUNTIFS(업무일지!$B$5:$B$1004,"&gt;="&amp;DATE($B$3,11,1),업무일지!$B$5:$B$1004,"&lt;"&amp;DATE($B$3,11+1,1),업무일지!$P$5:$P$1004,"*"&amp;$A38&amp;"*",업무일지!$D$5:$D$1004,$B$30)))</f>
        <v/>
      </c>
      <c r="M38" s="24">
        <f>IF($A38="","",IF($B$30="전체",COUNTIFS(업무일지!$B$5:$B$1004,"&gt;="&amp;DATE($B$3,12,1),업무일지!$B$5:$B$1004,"&lt;"&amp;DATE($B$3,12+1,1),업무일지!$P$5:$P$1004,"*"&amp;$A38&amp;"*"),COUNTIFS(업무일지!$B$5:$B$1004,"&gt;="&amp;DATE($B$3,12,1),업무일지!$B$5:$B$1004,"&lt;"&amp;DATE($B$3,12+1,1),업무일지!$P$5:$P$1004,"*"&amp;$A38&amp;"*",업무일지!$D$5:$D$1004,$B$30)))</f>
        <v/>
      </c>
      <c r="N38" s="63">
        <f>IF($A38="","",SUM(B38:M38))</f>
        <v/>
      </c>
    </row>
    <row r="39">
      <c r="A39" s="68">
        <f>IF($A14="","",$A14)</f>
        <v/>
      </c>
      <c r="B39" s="24">
        <f>IF($A39="","",IF($B$30="전체",COUNTIFS(업무일지!$B$5:$B$1004,"&gt;="&amp;DATE($B$3,1,1),업무일지!$B$5:$B$1004,"&lt;"&amp;DATE($B$3,1+1,1),업무일지!$P$5:$P$1004,"*"&amp;$A39&amp;"*"),COUNTIFS(업무일지!$B$5:$B$1004,"&gt;="&amp;DATE($B$3,1,1),업무일지!$B$5:$B$1004,"&lt;"&amp;DATE($B$3,1+1,1),업무일지!$P$5:$P$1004,"*"&amp;$A39&amp;"*",업무일지!$D$5:$D$1004,$B$30)))</f>
        <v/>
      </c>
      <c r="C39" s="24">
        <f>IF($A39="","",IF($B$30="전체",COUNTIFS(업무일지!$B$5:$B$1004,"&gt;="&amp;DATE($B$3,2,1),업무일지!$B$5:$B$1004,"&lt;"&amp;DATE($B$3,2+1,1),업무일지!$P$5:$P$1004,"*"&amp;$A39&amp;"*"),COUNTIFS(업무일지!$B$5:$B$1004,"&gt;="&amp;DATE($B$3,2,1),업무일지!$B$5:$B$1004,"&lt;"&amp;DATE($B$3,2+1,1),업무일지!$P$5:$P$1004,"*"&amp;$A39&amp;"*",업무일지!$D$5:$D$1004,$B$30)))</f>
        <v/>
      </c>
      <c r="D39" s="24">
        <f>IF($A39="","",IF($B$30="전체",COUNTIFS(업무일지!$B$5:$B$1004,"&gt;="&amp;DATE($B$3,3,1),업무일지!$B$5:$B$1004,"&lt;"&amp;DATE($B$3,3+1,1),업무일지!$P$5:$P$1004,"*"&amp;$A39&amp;"*"),COUNTIFS(업무일지!$B$5:$B$1004,"&gt;="&amp;DATE($B$3,3,1),업무일지!$B$5:$B$1004,"&lt;"&amp;DATE($B$3,3+1,1),업무일지!$P$5:$P$1004,"*"&amp;$A39&amp;"*",업무일지!$D$5:$D$1004,$B$30)))</f>
        <v/>
      </c>
      <c r="E39" s="24">
        <f>IF($A39="","",IF($B$30="전체",COUNTIFS(업무일지!$B$5:$B$1004,"&gt;="&amp;DATE($B$3,4,1),업무일지!$B$5:$B$1004,"&lt;"&amp;DATE($B$3,4+1,1),업무일지!$P$5:$P$1004,"*"&amp;$A39&amp;"*"),COUNTIFS(업무일지!$B$5:$B$1004,"&gt;="&amp;DATE($B$3,4,1),업무일지!$B$5:$B$1004,"&lt;"&amp;DATE($B$3,4+1,1),업무일지!$P$5:$P$1004,"*"&amp;$A39&amp;"*",업무일지!$D$5:$D$1004,$B$30)))</f>
        <v/>
      </c>
      <c r="F39" s="24">
        <f>IF($A39="","",IF($B$30="전체",COUNTIFS(업무일지!$B$5:$B$1004,"&gt;="&amp;DATE($B$3,5,1),업무일지!$B$5:$B$1004,"&lt;"&amp;DATE($B$3,5+1,1),업무일지!$P$5:$P$1004,"*"&amp;$A39&amp;"*"),COUNTIFS(업무일지!$B$5:$B$1004,"&gt;="&amp;DATE($B$3,5,1),업무일지!$B$5:$B$1004,"&lt;"&amp;DATE($B$3,5+1,1),업무일지!$P$5:$P$1004,"*"&amp;$A39&amp;"*",업무일지!$D$5:$D$1004,$B$30)))</f>
        <v/>
      </c>
      <c r="G39" s="24">
        <f>IF($A39="","",IF($B$30="전체",COUNTIFS(업무일지!$B$5:$B$1004,"&gt;="&amp;DATE($B$3,6,1),업무일지!$B$5:$B$1004,"&lt;"&amp;DATE($B$3,6+1,1),업무일지!$P$5:$P$1004,"*"&amp;$A39&amp;"*"),COUNTIFS(업무일지!$B$5:$B$1004,"&gt;="&amp;DATE($B$3,6,1),업무일지!$B$5:$B$1004,"&lt;"&amp;DATE($B$3,6+1,1),업무일지!$P$5:$P$1004,"*"&amp;$A39&amp;"*",업무일지!$D$5:$D$1004,$B$30)))</f>
        <v/>
      </c>
      <c r="H39" s="24">
        <f>IF($A39="","",IF($B$30="전체",COUNTIFS(업무일지!$B$5:$B$1004,"&gt;="&amp;DATE($B$3,7,1),업무일지!$B$5:$B$1004,"&lt;"&amp;DATE($B$3,7+1,1),업무일지!$P$5:$P$1004,"*"&amp;$A39&amp;"*"),COUNTIFS(업무일지!$B$5:$B$1004,"&gt;="&amp;DATE($B$3,7,1),업무일지!$B$5:$B$1004,"&lt;"&amp;DATE($B$3,7+1,1),업무일지!$P$5:$P$1004,"*"&amp;$A39&amp;"*",업무일지!$D$5:$D$1004,$B$30)))</f>
        <v/>
      </c>
      <c r="I39" s="24">
        <f>IF($A39="","",IF($B$30="전체",COUNTIFS(업무일지!$B$5:$B$1004,"&gt;="&amp;DATE($B$3,8,1),업무일지!$B$5:$B$1004,"&lt;"&amp;DATE($B$3,8+1,1),업무일지!$P$5:$P$1004,"*"&amp;$A39&amp;"*"),COUNTIFS(업무일지!$B$5:$B$1004,"&gt;="&amp;DATE($B$3,8,1),업무일지!$B$5:$B$1004,"&lt;"&amp;DATE($B$3,8+1,1),업무일지!$P$5:$P$1004,"*"&amp;$A39&amp;"*",업무일지!$D$5:$D$1004,$B$30)))</f>
        <v/>
      </c>
      <c r="J39" s="24">
        <f>IF($A39="","",IF($B$30="전체",COUNTIFS(업무일지!$B$5:$B$1004,"&gt;="&amp;DATE($B$3,9,1),업무일지!$B$5:$B$1004,"&lt;"&amp;DATE($B$3,9+1,1),업무일지!$P$5:$P$1004,"*"&amp;$A39&amp;"*"),COUNTIFS(업무일지!$B$5:$B$1004,"&gt;="&amp;DATE($B$3,9,1),업무일지!$B$5:$B$1004,"&lt;"&amp;DATE($B$3,9+1,1),업무일지!$P$5:$P$1004,"*"&amp;$A39&amp;"*",업무일지!$D$5:$D$1004,$B$30)))</f>
        <v/>
      </c>
      <c r="K39" s="24">
        <f>IF($A39="","",IF($B$30="전체",COUNTIFS(업무일지!$B$5:$B$1004,"&gt;="&amp;DATE($B$3,10,1),업무일지!$B$5:$B$1004,"&lt;"&amp;DATE($B$3,10+1,1),업무일지!$P$5:$P$1004,"*"&amp;$A39&amp;"*"),COUNTIFS(업무일지!$B$5:$B$1004,"&gt;="&amp;DATE($B$3,10,1),업무일지!$B$5:$B$1004,"&lt;"&amp;DATE($B$3,10+1,1),업무일지!$P$5:$P$1004,"*"&amp;$A39&amp;"*",업무일지!$D$5:$D$1004,$B$30)))</f>
        <v/>
      </c>
      <c r="L39" s="24">
        <f>IF($A39="","",IF($B$30="전체",COUNTIFS(업무일지!$B$5:$B$1004,"&gt;="&amp;DATE($B$3,11,1),업무일지!$B$5:$B$1004,"&lt;"&amp;DATE($B$3,11+1,1),업무일지!$P$5:$P$1004,"*"&amp;$A39&amp;"*"),COUNTIFS(업무일지!$B$5:$B$1004,"&gt;="&amp;DATE($B$3,11,1),업무일지!$B$5:$B$1004,"&lt;"&amp;DATE($B$3,11+1,1),업무일지!$P$5:$P$1004,"*"&amp;$A39&amp;"*",업무일지!$D$5:$D$1004,$B$30)))</f>
        <v/>
      </c>
      <c r="M39" s="24">
        <f>IF($A39="","",IF($B$30="전체",COUNTIFS(업무일지!$B$5:$B$1004,"&gt;="&amp;DATE($B$3,12,1),업무일지!$B$5:$B$1004,"&lt;"&amp;DATE($B$3,12+1,1),업무일지!$P$5:$P$1004,"*"&amp;$A39&amp;"*"),COUNTIFS(업무일지!$B$5:$B$1004,"&gt;="&amp;DATE($B$3,12,1),업무일지!$B$5:$B$1004,"&lt;"&amp;DATE($B$3,12+1,1),업무일지!$P$5:$P$1004,"*"&amp;$A39&amp;"*",업무일지!$D$5:$D$1004,$B$30)))</f>
        <v/>
      </c>
      <c r="N39" s="63">
        <f>IF($A39="","",SUM(B39:M39))</f>
        <v/>
      </c>
    </row>
    <row r="40">
      <c r="A40" s="68">
        <f>IF($A15="","",$A15)</f>
        <v/>
      </c>
      <c r="B40" s="24">
        <f>IF($A40="","",IF($B$30="전체",COUNTIFS(업무일지!$B$5:$B$1004,"&gt;="&amp;DATE($B$3,1,1),업무일지!$B$5:$B$1004,"&lt;"&amp;DATE($B$3,1+1,1),업무일지!$P$5:$P$1004,"*"&amp;$A40&amp;"*"),COUNTIFS(업무일지!$B$5:$B$1004,"&gt;="&amp;DATE($B$3,1,1),업무일지!$B$5:$B$1004,"&lt;"&amp;DATE($B$3,1+1,1),업무일지!$P$5:$P$1004,"*"&amp;$A40&amp;"*",업무일지!$D$5:$D$1004,$B$30)))</f>
        <v/>
      </c>
      <c r="C40" s="24">
        <f>IF($A40="","",IF($B$30="전체",COUNTIFS(업무일지!$B$5:$B$1004,"&gt;="&amp;DATE($B$3,2,1),업무일지!$B$5:$B$1004,"&lt;"&amp;DATE($B$3,2+1,1),업무일지!$P$5:$P$1004,"*"&amp;$A40&amp;"*"),COUNTIFS(업무일지!$B$5:$B$1004,"&gt;="&amp;DATE($B$3,2,1),업무일지!$B$5:$B$1004,"&lt;"&amp;DATE($B$3,2+1,1),업무일지!$P$5:$P$1004,"*"&amp;$A40&amp;"*",업무일지!$D$5:$D$1004,$B$30)))</f>
        <v/>
      </c>
      <c r="D40" s="24">
        <f>IF($A40="","",IF($B$30="전체",COUNTIFS(업무일지!$B$5:$B$1004,"&gt;="&amp;DATE($B$3,3,1),업무일지!$B$5:$B$1004,"&lt;"&amp;DATE($B$3,3+1,1),업무일지!$P$5:$P$1004,"*"&amp;$A40&amp;"*"),COUNTIFS(업무일지!$B$5:$B$1004,"&gt;="&amp;DATE($B$3,3,1),업무일지!$B$5:$B$1004,"&lt;"&amp;DATE($B$3,3+1,1),업무일지!$P$5:$P$1004,"*"&amp;$A40&amp;"*",업무일지!$D$5:$D$1004,$B$30)))</f>
        <v/>
      </c>
      <c r="E40" s="24">
        <f>IF($A40="","",IF($B$30="전체",COUNTIFS(업무일지!$B$5:$B$1004,"&gt;="&amp;DATE($B$3,4,1),업무일지!$B$5:$B$1004,"&lt;"&amp;DATE($B$3,4+1,1),업무일지!$P$5:$P$1004,"*"&amp;$A40&amp;"*"),COUNTIFS(업무일지!$B$5:$B$1004,"&gt;="&amp;DATE($B$3,4,1),업무일지!$B$5:$B$1004,"&lt;"&amp;DATE($B$3,4+1,1),업무일지!$P$5:$P$1004,"*"&amp;$A40&amp;"*",업무일지!$D$5:$D$1004,$B$30)))</f>
        <v/>
      </c>
      <c r="F40" s="24">
        <f>IF($A40="","",IF($B$30="전체",COUNTIFS(업무일지!$B$5:$B$1004,"&gt;="&amp;DATE($B$3,5,1),업무일지!$B$5:$B$1004,"&lt;"&amp;DATE($B$3,5+1,1),업무일지!$P$5:$P$1004,"*"&amp;$A40&amp;"*"),COUNTIFS(업무일지!$B$5:$B$1004,"&gt;="&amp;DATE($B$3,5,1),업무일지!$B$5:$B$1004,"&lt;"&amp;DATE($B$3,5+1,1),업무일지!$P$5:$P$1004,"*"&amp;$A40&amp;"*",업무일지!$D$5:$D$1004,$B$30)))</f>
        <v/>
      </c>
      <c r="G40" s="24">
        <f>IF($A40="","",IF($B$30="전체",COUNTIFS(업무일지!$B$5:$B$1004,"&gt;="&amp;DATE($B$3,6,1),업무일지!$B$5:$B$1004,"&lt;"&amp;DATE($B$3,6+1,1),업무일지!$P$5:$P$1004,"*"&amp;$A40&amp;"*"),COUNTIFS(업무일지!$B$5:$B$1004,"&gt;="&amp;DATE($B$3,6,1),업무일지!$B$5:$B$1004,"&lt;"&amp;DATE($B$3,6+1,1),업무일지!$P$5:$P$1004,"*"&amp;$A40&amp;"*",업무일지!$D$5:$D$1004,$B$30)))</f>
        <v/>
      </c>
      <c r="H40" s="24">
        <f>IF($A40="","",IF($B$30="전체",COUNTIFS(업무일지!$B$5:$B$1004,"&gt;="&amp;DATE($B$3,7,1),업무일지!$B$5:$B$1004,"&lt;"&amp;DATE($B$3,7+1,1),업무일지!$P$5:$P$1004,"*"&amp;$A40&amp;"*"),COUNTIFS(업무일지!$B$5:$B$1004,"&gt;="&amp;DATE($B$3,7,1),업무일지!$B$5:$B$1004,"&lt;"&amp;DATE($B$3,7+1,1),업무일지!$P$5:$P$1004,"*"&amp;$A40&amp;"*",업무일지!$D$5:$D$1004,$B$30)))</f>
        <v/>
      </c>
      <c r="I40" s="24">
        <f>IF($A40="","",IF($B$30="전체",COUNTIFS(업무일지!$B$5:$B$1004,"&gt;="&amp;DATE($B$3,8,1),업무일지!$B$5:$B$1004,"&lt;"&amp;DATE($B$3,8+1,1),업무일지!$P$5:$P$1004,"*"&amp;$A40&amp;"*"),COUNTIFS(업무일지!$B$5:$B$1004,"&gt;="&amp;DATE($B$3,8,1),업무일지!$B$5:$B$1004,"&lt;"&amp;DATE($B$3,8+1,1),업무일지!$P$5:$P$1004,"*"&amp;$A40&amp;"*",업무일지!$D$5:$D$1004,$B$30)))</f>
        <v/>
      </c>
      <c r="J40" s="24">
        <f>IF($A40="","",IF($B$30="전체",COUNTIFS(업무일지!$B$5:$B$1004,"&gt;="&amp;DATE($B$3,9,1),업무일지!$B$5:$B$1004,"&lt;"&amp;DATE($B$3,9+1,1),업무일지!$P$5:$P$1004,"*"&amp;$A40&amp;"*"),COUNTIFS(업무일지!$B$5:$B$1004,"&gt;="&amp;DATE($B$3,9,1),업무일지!$B$5:$B$1004,"&lt;"&amp;DATE($B$3,9+1,1),업무일지!$P$5:$P$1004,"*"&amp;$A40&amp;"*",업무일지!$D$5:$D$1004,$B$30)))</f>
        <v/>
      </c>
      <c r="K40" s="24">
        <f>IF($A40="","",IF($B$30="전체",COUNTIFS(업무일지!$B$5:$B$1004,"&gt;="&amp;DATE($B$3,10,1),업무일지!$B$5:$B$1004,"&lt;"&amp;DATE($B$3,10+1,1),업무일지!$P$5:$P$1004,"*"&amp;$A40&amp;"*"),COUNTIFS(업무일지!$B$5:$B$1004,"&gt;="&amp;DATE($B$3,10,1),업무일지!$B$5:$B$1004,"&lt;"&amp;DATE($B$3,10+1,1),업무일지!$P$5:$P$1004,"*"&amp;$A40&amp;"*",업무일지!$D$5:$D$1004,$B$30)))</f>
        <v/>
      </c>
      <c r="L40" s="24">
        <f>IF($A40="","",IF($B$30="전체",COUNTIFS(업무일지!$B$5:$B$1004,"&gt;="&amp;DATE($B$3,11,1),업무일지!$B$5:$B$1004,"&lt;"&amp;DATE($B$3,11+1,1),업무일지!$P$5:$P$1004,"*"&amp;$A40&amp;"*"),COUNTIFS(업무일지!$B$5:$B$1004,"&gt;="&amp;DATE($B$3,11,1),업무일지!$B$5:$B$1004,"&lt;"&amp;DATE($B$3,11+1,1),업무일지!$P$5:$P$1004,"*"&amp;$A40&amp;"*",업무일지!$D$5:$D$1004,$B$30)))</f>
        <v/>
      </c>
      <c r="M40" s="24">
        <f>IF($A40="","",IF($B$30="전체",COUNTIFS(업무일지!$B$5:$B$1004,"&gt;="&amp;DATE($B$3,12,1),업무일지!$B$5:$B$1004,"&lt;"&amp;DATE($B$3,12+1,1),업무일지!$P$5:$P$1004,"*"&amp;$A40&amp;"*"),COUNTIFS(업무일지!$B$5:$B$1004,"&gt;="&amp;DATE($B$3,12,1),업무일지!$B$5:$B$1004,"&lt;"&amp;DATE($B$3,12+1,1),업무일지!$P$5:$P$1004,"*"&amp;$A40&amp;"*",업무일지!$D$5:$D$1004,$B$30)))</f>
        <v/>
      </c>
      <c r="N40" s="63">
        <f>IF($A40="","",SUM(B40:M40))</f>
        <v/>
      </c>
    </row>
    <row r="41">
      <c r="A41" s="68">
        <f>IF($A16="","",$A16)</f>
        <v/>
      </c>
      <c r="B41" s="24">
        <f>IF($A41="","",IF($B$30="전체",COUNTIFS(업무일지!$B$5:$B$1004,"&gt;="&amp;DATE($B$3,1,1),업무일지!$B$5:$B$1004,"&lt;"&amp;DATE($B$3,1+1,1),업무일지!$P$5:$P$1004,"*"&amp;$A41&amp;"*"),COUNTIFS(업무일지!$B$5:$B$1004,"&gt;="&amp;DATE($B$3,1,1),업무일지!$B$5:$B$1004,"&lt;"&amp;DATE($B$3,1+1,1),업무일지!$P$5:$P$1004,"*"&amp;$A41&amp;"*",업무일지!$D$5:$D$1004,$B$30)))</f>
        <v/>
      </c>
      <c r="C41" s="24">
        <f>IF($A41="","",IF($B$30="전체",COUNTIFS(업무일지!$B$5:$B$1004,"&gt;="&amp;DATE($B$3,2,1),업무일지!$B$5:$B$1004,"&lt;"&amp;DATE($B$3,2+1,1),업무일지!$P$5:$P$1004,"*"&amp;$A41&amp;"*"),COUNTIFS(업무일지!$B$5:$B$1004,"&gt;="&amp;DATE($B$3,2,1),업무일지!$B$5:$B$1004,"&lt;"&amp;DATE($B$3,2+1,1),업무일지!$P$5:$P$1004,"*"&amp;$A41&amp;"*",업무일지!$D$5:$D$1004,$B$30)))</f>
        <v/>
      </c>
      <c r="D41" s="24">
        <f>IF($A41="","",IF($B$30="전체",COUNTIFS(업무일지!$B$5:$B$1004,"&gt;="&amp;DATE($B$3,3,1),업무일지!$B$5:$B$1004,"&lt;"&amp;DATE($B$3,3+1,1),업무일지!$P$5:$P$1004,"*"&amp;$A41&amp;"*"),COUNTIFS(업무일지!$B$5:$B$1004,"&gt;="&amp;DATE($B$3,3,1),업무일지!$B$5:$B$1004,"&lt;"&amp;DATE($B$3,3+1,1),업무일지!$P$5:$P$1004,"*"&amp;$A41&amp;"*",업무일지!$D$5:$D$1004,$B$30)))</f>
        <v/>
      </c>
      <c r="E41" s="24">
        <f>IF($A41="","",IF($B$30="전체",COUNTIFS(업무일지!$B$5:$B$1004,"&gt;="&amp;DATE($B$3,4,1),업무일지!$B$5:$B$1004,"&lt;"&amp;DATE($B$3,4+1,1),업무일지!$P$5:$P$1004,"*"&amp;$A41&amp;"*"),COUNTIFS(업무일지!$B$5:$B$1004,"&gt;="&amp;DATE($B$3,4,1),업무일지!$B$5:$B$1004,"&lt;"&amp;DATE($B$3,4+1,1),업무일지!$P$5:$P$1004,"*"&amp;$A41&amp;"*",업무일지!$D$5:$D$1004,$B$30)))</f>
        <v/>
      </c>
      <c r="F41" s="24">
        <f>IF($A41="","",IF($B$30="전체",COUNTIFS(업무일지!$B$5:$B$1004,"&gt;="&amp;DATE($B$3,5,1),업무일지!$B$5:$B$1004,"&lt;"&amp;DATE($B$3,5+1,1),업무일지!$P$5:$P$1004,"*"&amp;$A41&amp;"*"),COUNTIFS(업무일지!$B$5:$B$1004,"&gt;="&amp;DATE($B$3,5,1),업무일지!$B$5:$B$1004,"&lt;"&amp;DATE($B$3,5+1,1),업무일지!$P$5:$P$1004,"*"&amp;$A41&amp;"*",업무일지!$D$5:$D$1004,$B$30)))</f>
        <v/>
      </c>
      <c r="G41" s="24">
        <f>IF($A41="","",IF($B$30="전체",COUNTIFS(업무일지!$B$5:$B$1004,"&gt;="&amp;DATE($B$3,6,1),업무일지!$B$5:$B$1004,"&lt;"&amp;DATE($B$3,6+1,1),업무일지!$P$5:$P$1004,"*"&amp;$A41&amp;"*"),COUNTIFS(업무일지!$B$5:$B$1004,"&gt;="&amp;DATE($B$3,6,1),업무일지!$B$5:$B$1004,"&lt;"&amp;DATE($B$3,6+1,1),업무일지!$P$5:$P$1004,"*"&amp;$A41&amp;"*",업무일지!$D$5:$D$1004,$B$30)))</f>
        <v/>
      </c>
      <c r="H41" s="24">
        <f>IF($A41="","",IF($B$30="전체",COUNTIFS(업무일지!$B$5:$B$1004,"&gt;="&amp;DATE($B$3,7,1),업무일지!$B$5:$B$1004,"&lt;"&amp;DATE($B$3,7+1,1),업무일지!$P$5:$P$1004,"*"&amp;$A41&amp;"*"),COUNTIFS(업무일지!$B$5:$B$1004,"&gt;="&amp;DATE($B$3,7,1),업무일지!$B$5:$B$1004,"&lt;"&amp;DATE($B$3,7+1,1),업무일지!$P$5:$P$1004,"*"&amp;$A41&amp;"*",업무일지!$D$5:$D$1004,$B$30)))</f>
        <v/>
      </c>
      <c r="I41" s="24">
        <f>IF($A41="","",IF($B$30="전체",COUNTIFS(업무일지!$B$5:$B$1004,"&gt;="&amp;DATE($B$3,8,1),업무일지!$B$5:$B$1004,"&lt;"&amp;DATE($B$3,8+1,1),업무일지!$P$5:$P$1004,"*"&amp;$A41&amp;"*"),COUNTIFS(업무일지!$B$5:$B$1004,"&gt;="&amp;DATE($B$3,8,1),업무일지!$B$5:$B$1004,"&lt;"&amp;DATE($B$3,8+1,1),업무일지!$P$5:$P$1004,"*"&amp;$A41&amp;"*",업무일지!$D$5:$D$1004,$B$30)))</f>
        <v/>
      </c>
      <c r="J41" s="24">
        <f>IF($A41="","",IF($B$30="전체",COUNTIFS(업무일지!$B$5:$B$1004,"&gt;="&amp;DATE($B$3,9,1),업무일지!$B$5:$B$1004,"&lt;"&amp;DATE($B$3,9+1,1),업무일지!$P$5:$P$1004,"*"&amp;$A41&amp;"*"),COUNTIFS(업무일지!$B$5:$B$1004,"&gt;="&amp;DATE($B$3,9,1),업무일지!$B$5:$B$1004,"&lt;"&amp;DATE($B$3,9+1,1),업무일지!$P$5:$P$1004,"*"&amp;$A41&amp;"*",업무일지!$D$5:$D$1004,$B$30)))</f>
        <v/>
      </c>
      <c r="K41" s="24">
        <f>IF($A41="","",IF($B$30="전체",COUNTIFS(업무일지!$B$5:$B$1004,"&gt;="&amp;DATE($B$3,10,1),업무일지!$B$5:$B$1004,"&lt;"&amp;DATE($B$3,10+1,1),업무일지!$P$5:$P$1004,"*"&amp;$A41&amp;"*"),COUNTIFS(업무일지!$B$5:$B$1004,"&gt;="&amp;DATE($B$3,10,1),업무일지!$B$5:$B$1004,"&lt;"&amp;DATE($B$3,10+1,1),업무일지!$P$5:$P$1004,"*"&amp;$A41&amp;"*",업무일지!$D$5:$D$1004,$B$30)))</f>
        <v/>
      </c>
      <c r="L41" s="24">
        <f>IF($A41="","",IF($B$30="전체",COUNTIFS(업무일지!$B$5:$B$1004,"&gt;="&amp;DATE($B$3,11,1),업무일지!$B$5:$B$1004,"&lt;"&amp;DATE($B$3,11+1,1),업무일지!$P$5:$P$1004,"*"&amp;$A41&amp;"*"),COUNTIFS(업무일지!$B$5:$B$1004,"&gt;="&amp;DATE($B$3,11,1),업무일지!$B$5:$B$1004,"&lt;"&amp;DATE($B$3,11+1,1),업무일지!$P$5:$P$1004,"*"&amp;$A41&amp;"*",업무일지!$D$5:$D$1004,$B$30)))</f>
        <v/>
      </c>
      <c r="M41" s="24">
        <f>IF($A41="","",IF($B$30="전체",COUNTIFS(업무일지!$B$5:$B$1004,"&gt;="&amp;DATE($B$3,12,1),업무일지!$B$5:$B$1004,"&lt;"&amp;DATE($B$3,12+1,1),업무일지!$P$5:$P$1004,"*"&amp;$A41&amp;"*"),COUNTIFS(업무일지!$B$5:$B$1004,"&gt;="&amp;DATE($B$3,12,1),업무일지!$B$5:$B$1004,"&lt;"&amp;DATE($B$3,12+1,1),업무일지!$P$5:$P$1004,"*"&amp;$A41&amp;"*",업무일지!$D$5:$D$1004,$B$30)))</f>
        <v/>
      </c>
      <c r="N41" s="63">
        <f>IF($A41="","",SUM(B41:M41))</f>
        <v/>
      </c>
    </row>
    <row r="42">
      <c r="A42" s="68">
        <f>IF($A17="","",$A17)</f>
        <v/>
      </c>
      <c r="B42" s="24">
        <f>IF($A42="","",IF($B$30="전체",COUNTIFS(업무일지!$B$5:$B$1004,"&gt;="&amp;DATE($B$3,1,1),업무일지!$B$5:$B$1004,"&lt;"&amp;DATE($B$3,1+1,1),업무일지!$P$5:$P$1004,"*"&amp;$A42&amp;"*"),COUNTIFS(업무일지!$B$5:$B$1004,"&gt;="&amp;DATE($B$3,1,1),업무일지!$B$5:$B$1004,"&lt;"&amp;DATE($B$3,1+1,1),업무일지!$P$5:$P$1004,"*"&amp;$A42&amp;"*",업무일지!$D$5:$D$1004,$B$30)))</f>
        <v/>
      </c>
      <c r="C42" s="24">
        <f>IF($A42="","",IF($B$30="전체",COUNTIFS(업무일지!$B$5:$B$1004,"&gt;="&amp;DATE($B$3,2,1),업무일지!$B$5:$B$1004,"&lt;"&amp;DATE($B$3,2+1,1),업무일지!$P$5:$P$1004,"*"&amp;$A42&amp;"*"),COUNTIFS(업무일지!$B$5:$B$1004,"&gt;="&amp;DATE($B$3,2,1),업무일지!$B$5:$B$1004,"&lt;"&amp;DATE($B$3,2+1,1),업무일지!$P$5:$P$1004,"*"&amp;$A42&amp;"*",업무일지!$D$5:$D$1004,$B$30)))</f>
        <v/>
      </c>
      <c r="D42" s="24">
        <f>IF($A42="","",IF($B$30="전체",COUNTIFS(업무일지!$B$5:$B$1004,"&gt;="&amp;DATE($B$3,3,1),업무일지!$B$5:$B$1004,"&lt;"&amp;DATE($B$3,3+1,1),업무일지!$P$5:$P$1004,"*"&amp;$A42&amp;"*"),COUNTIFS(업무일지!$B$5:$B$1004,"&gt;="&amp;DATE($B$3,3,1),업무일지!$B$5:$B$1004,"&lt;"&amp;DATE($B$3,3+1,1),업무일지!$P$5:$P$1004,"*"&amp;$A42&amp;"*",업무일지!$D$5:$D$1004,$B$30)))</f>
        <v/>
      </c>
      <c r="E42" s="24">
        <f>IF($A42="","",IF($B$30="전체",COUNTIFS(업무일지!$B$5:$B$1004,"&gt;="&amp;DATE($B$3,4,1),업무일지!$B$5:$B$1004,"&lt;"&amp;DATE($B$3,4+1,1),업무일지!$P$5:$P$1004,"*"&amp;$A42&amp;"*"),COUNTIFS(업무일지!$B$5:$B$1004,"&gt;="&amp;DATE($B$3,4,1),업무일지!$B$5:$B$1004,"&lt;"&amp;DATE($B$3,4+1,1),업무일지!$P$5:$P$1004,"*"&amp;$A42&amp;"*",업무일지!$D$5:$D$1004,$B$30)))</f>
        <v/>
      </c>
      <c r="F42" s="24">
        <f>IF($A42="","",IF($B$30="전체",COUNTIFS(업무일지!$B$5:$B$1004,"&gt;="&amp;DATE($B$3,5,1),업무일지!$B$5:$B$1004,"&lt;"&amp;DATE($B$3,5+1,1),업무일지!$P$5:$P$1004,"*"&amp;$A42&amp;"*"),COUNTIFS(업무일지!$B$5:$B$1004,"&gt;="&amp;DATE($B$3,5,1),업무일지!$B$5:$B$1004,"&lt;"&amp;DATE($B$3,5+1,1),업무일지!$P$5:$P$1004,"*"&amp;$A42&amp;"*",업무일지!$D$5:$D$1004,$B$30)))</f>
        <v/>
      </c>
      <c r="G42" s="24">
        <f>IF($A42="","",IF($B$30="전체",COUNTIFS(업무일지!$B$5:$B$1004,"&gt;="&amp;DATE($B$3,6,1),업무일지!$B$5:$B$1004,"&lt;"&amp;DATE($B$3,6+1,1),업무일지!$P$5:$P$1004,"*"&amp;$A42&amp;"*"),COUNTIFS(업무일지!$B$5:$B$1004,"&gt;="&amp;DATE($B$3,6,1),업무일지!$B$5:$B$1004,"&lt;"&amp;DATE($B$3,6+1,1),업무일지!$P$5:$P$1004,"*"&amp;$A42&amp;"*",업무일지!$D$5:$D$1004,$B$30)))</f>
        <v/>
      </c>
      <c r="H42" s="24">
        <f>IF($A42="","",IF($B$30="전체",COUNTIFS(업무일지!$B$5:$B$1004,"&gt;="&amp;DATE($B$3,7,1),업무일지!$B$5:$B$1004,"&lt;"&amp;DATE($B$3,7+1,1),업무일지!$P$5:$P$1004,"*"&amp;$A42&amp;"*"),COUNTIFS(업무일지!$B$5:$B$1004,"&gt;="&amp;DATE($B$3,7,1),업무일지!$B$5:$B$1004,"&lt;"&amp;DATE($B$3,7+1,1),업무일지!$P$5:$P$1004,"*"&amp;$A42&amp;"*",업무일지!$D$5:$D$1004,$B$30)))</f>
        <v/>
      </c>
      <c r="I42" s="24">
        <f>IF($A42="","",IF($B$30="전체",COUNTIFS(업무일지!$B$5:$B$1004,"&gt;="&amp;DATE($B$3,8,1),업무일지!$B$5:$B$1004,"&lt;"&amp;DATE($B$3,8+1,1),업무일지!$P$5:$P$1004,"*"&amp;$A42&amp;"*"),COUNTIFS(업무일지!$B$5:$B$1004,"&gt;="&amp;DATE($B$3,8,1),업무일지!$B$5:$B$1004,"&lt;"&amp;DATE($B$3,8+1,1),업무일지!$P$5:$P$1004,"*"&amp;$A42&amp;"*",업무일지!$D$5:$D$1004,$B$30)))</f>
        <v/>
      </c>
      <c r="J42" s="24">
        <f>IF($A42="","",IF($B$30="전체",COUNTIFS(업무일지!$B$5:$B$1004,"&gt;="&amp;DATE($B$3,9,1),업무일지!$B$5:$B$1004,"&lt;"&amp;DATE($B$3,9+1,1),업무일지!$P$5:$P$1004,"*"&amp;$A42&amp;"*"),COUNTIFS(업무일지!$B$5:$B$1004,"&gt;="&amp;DATE($B$3,9,1),업무일지!$B$5:$B$1004,"&lt;"&amp;DATE($B$3,9+1,1),업무일지!$P$5:$P$1004,"*"&amp;$A42&amp;"*",업무일지!$D$5:$D$1004,$B$30)))</f>
        <v/>
      </c>
      <c r="K42" s="24">
        <f>IF($A42="","",IF($B$30="전체",COUNTIFS(업무일지!$B$5:$B$1004,"&gt;="&amp;DATE($B$3,10,1),업무일지!$B$5:$B$1004,"&lt;"&amp;DATE($B$3,10+1,1),업무일지!$P$5:$P$1004,"*"&amp;$A42&amp;"*"),COUNTIFS(업무일지!$B$5:$B$1004,"&gt;="&amp;DATE($B$3,10,1),업무일지!$B$5:$B$1004,"&lt;"&amp;DATE($B$3,10+1,1),업무일지!$P$5:$P$1004,"*"&amp;$A42&amp;"*",업무일지!$D$5:$D$1004,$B$30)))</f>
        <v/>
      </c>
      <c r="L42" s="24">
        <f>IF($A42="","",IF($B$30="전체",COUNTIFS(업무일지!$B$5:$B$1004,"&gt;="&amp;DATE($B$3,11,1),업무일지!$B$5:$B$1004,"&lt;"&amp;DATE($B$3,11+1,1),업무일지!$P$5:$P$1004,"*"&amp;$A42&amp;"*"),COUNTIFS(업무일지!$B$5:$B$1004,"&gt;="&amp;DATE($B$3,11,1),업무일지!$B$5:$B$1004,"&lt;"&amp;DATE($B$3,11+1,1),업무일지!$P$5:$P$1004,"*"&amp;$A42&amp;"*",업무일지!$D$5:$D$1004,$B$30)))</f>
        <v/>
      </c>
      <c r="M42" s="24">
        <f>IF($A42="","",IF($B$30="전체",COUNTIFS(업무일지!$B$5:$B$1004,"&gt;="&amp;DATE($B$3,12,1),업무일지!$B$5:$B$1004,"&lt;"&amp;DATE($B$3,12+1,1),업무일지!$P$5:$P$1004,"*"&amp;$A42&amp;"*"),COUNTIFS(업무일지!$B$5:$B$1004,"&gt;="&amp;DATE($B$3,12,1),업무일지!$B$5:$B$1004,"&lt;"&amp;DATE($B$3,12+1,1),업무일지!$P$5:$P$1004,"*"&amp;$A42&amp;"*",업무일지!$D$5:$D$1004,$B$30)))</f>
        <v/>
      </c>
      <c r="N42" s="63">
        <f>IF($A42="","",SUM(B42:M42))</f>
        <v/>
      </c>
    </row>
    <row r="43">
      <c r="A43" s="68">
        <f>IF($A18="","",$A18)</f>
        <v/>
      </c>
      <c r="B43" s="24">
        <f>IF($A43="","",IF($B$30="전체",COUNTIFS(업무일지!$B$5:$B$1004,"&gt;="&amp;DATE($B$3,1,1),업무일지!$B$5:$B$1004,"&lt;"&amp;DATE($B$3,1+1,1),업무일지!$P$5:$P$1004,"*"&amp;$A43&amp;"*"),COUNTIFS(업무일지!$B$5:$B$1004,"&gt;="&amp;DATE($B$3,1,1),업무일지!$B$5:$B$1004,"&lt;"&amp;DATE($B$3,1+1,1),업무일지!$P$5:$P$1004,"*"&amp;$A43&amp;"*",업무일지!$D$5:$D$1004,$B$30)))</f>
        <v/>
      </c>
      <c r="C43" s="24">
        <f>IF($A43="","",IF($B$30="전체",COUNTIFS(업무일지!$B$5:$B$1004,"&gt;="&amp;DATE($B$3,2,1),업무일지!$B$5:$B$1004,"&lt;"&amp;DATE($B$3,2+1,1),업무일지!$P$5:$P$1004,"*"&amp;$A43&amp;"*"),COUNTIFS(업무일지!$B$5:$B$1004,"&gt;="&amp;DATE($B$3,2,1),업무일지!$B$5:$B$1004,"&lt;"&amp;DATE($B$3,2+1,1),업무일지!$P$5:$P$1004,"*"&amp;$A43&amp;"*",업무일지!$D$5:$D$1004,$B$30)))</f>
        <v/>
      </c>
      <c r="D43" s="24">
        <f>IF($A43="","",IF($B$30="전체",COUNTIFS(업무일지!$B$5:$B$1004,"&gt;="&amp;DATE($B$3,3,1),업무일지!$B$5:$B$1004,"&lt;"&amp;DATE($B$3,3+1,1),업무일지!$P$5:$P$1004,"*"&amp;$A43&amp;"*"),COUNTIFS(업무일지!$B$5:$B$1004,"&gt;="&amp;DATE($B$3,3,1),업무일지!$B$5:$B$1004,"&lt;"&amp;DATE($B$3,3+1,1),업무일지!$P$5:$P$1004,"*"&amp;$A43&amp;"*",업무일지!$D$5:$D$1004,$B$30)))</f>
        <v/>
      </c>
      <c r="E43" s="24">
        <f>IF($A43="","",IF($B$30="전체",COUNTIFS(업무일지!$B$5:$B$1004,"&gt;="&amp;DATE($B$3,4,1),업무일지!$B$5:$B$1004,"&lt;"&amp;DATE($B$3,4+1,1),업무일지!$P$5:$P$1004,"*"&amp;$A43&amp;"*"),COUNTIFS(업무일지!$B$5:$B$1004,"&gt;="&amp;DATE($B$3,4,1),업무일지!$B$5:$B$1004,"&lt;"&amp;DATE($B$3,4+1,1),업무일지!$P$5:$P$1004,"*"&amp;$A43&amp;"*",업무일지!$D$5:$D$1004,$B$30)))</f>
        <v/>
      </c>
      <c r="F43" s="24">
        <f>IF($A43="","",IF($B$30="전체",COUNTIFS(업무일지!$B$5:$B$1004,"&gt;="&amp;DATE($B$3,5,1),업무일지!$B$5:$B$1004,"&lt;"&amp;DATE($B$3,5+1,1),업무일지!$P$5:$P$1004,"*"&amp;$A43&amp;"*"),COUNTIFS(업무일지!$B$5:$B$1004,"&gt;="&amp;DATE($B$3,5,1),업무일지!$B$5:$B$1004,"&lt;"&amp;DATE($B$3,5+1,1),업무일지!$P$5:$P$1004,"*"&amp;$A43&amp;"*",업무일지!$D$5:$D$1004,$B$30)))</f>
        <v/>
      </c>
      <c r="G43" s="24">
        <f>IF($A43="","",IF($B$30="전체",COUNTIFS(업무일지!$B$5:$B$1004,"&gt;="&amp;DATE($B$3,6,1),업무일지!$B$5:$B$1004,"&lt;"&amp;DATE($B$3,6+1,1),업무일지!$P$5:$P$1004,"*"&amp;$A43&amp;"*"),COUNTIFS(업무일지!$B$5:$B$1004,"&gt;="&amp;DATE($B$3,6,1),업무일지!$B$5:$B$1004,"&lt;"&amp;DATE($B$3,6+1,1),업무일지!$P$5:$P$1004,"*"&amp;$A43&amp;"*",업무일지!$D$5:$D$1004,$B$30)))</f>
        <v/>
      </c>
      <c r="H43" s="24">
        <f>IF($A43="","",IF($B$30="전체",COUNTIFS(업무일지!$B$5:$B$1004,"&gt;="&amp;DATE($B$3,7,1),업무일지!$B$5:$B$1004,"&lt;"&amp;DATE($B$3,7+1,1),업무일지!$P$5:$P$1004,"*"&amp;$A43&amp;"*"),COUNTIFS(업무일지!$B$5:$B$1004,"&gt;="&amp;DATE($B$3,7,1),업무일지!$B$5:$B$1004,"&lt;"&amp;DATE($B$3,7+1,1),업무일지!$P$5:$P$1004,"*"&amp;$A43&amp;"*",업무일지!$D$5:$D$1004,$B$30)))</f>
        <v/>
      </c>
      <c r="I43" s="24">
        <f>IF($A43="","",IF($B$30="전체",COUNTIFS(업무일지!$B$5:$B$1004,"&gt;="&amp;DATE($B$3,8,1),업무일지!$B$5:$B$1004,"&lt;"&amp;DATE($B$3,8+1,1),업무일지!$P$5:$P$1004,"*"&amp;$A43&amp;"*"),COUNTIFS(업무일지!$B$5:$B$1004,"&gt;="&amp;DATE($B$3,8,1),업무일지!$B$5:$B$1004,"&lt;"&amp;DATE($B$3,8+1,1),업무일지!$P$5:$P$1004,"*"&amp;$A43&amp;"*",업무일지!$D$5:$D$1004,$B$30)))</f>
        <v/>
      </c>
      <c r="J43" s="24">
        <f>IF($A43="","",IF($B$30="전체",COUNTIFS(업무일지!$B$5:$B$1004,"&gt;="&amp;DATE($B$3,9,1),업무일지!$B$5:$B$1004,"&lt;"&amp;DATE($B$3,9+1,1),업무일지!$P$5:$P$1004,"*"&amp;$A43&amp;"*"),COUNTIFS(업무일지!$B$5:$B$1004,"&gt;="&amp;DATE($B$3,9,1),업무일지!$B$5:$B$1004,"&lt;"&amp;DATE($B$3,9+1,1),업무일지!$P$5:$P$1004,"*"&amp;$A43&amp;"*",업무일지!$D$5:$D$1004,$B$30)))</f>
        <v/>
      </c>
      <c r="K43" s="24">
        <f>IF($A43="","",IF($B$30="전체",COUNTIFS(업무일지!$B$5:$B$1004,"&gt;="&amp;DATE($B$3,10,1),업무일지!$B$5:$B$1004,"&lt;"&amp;DATE($B$3,10+1,1),업무일지!$P$5:$P$1004,"*"&amp;$A43&amp;"*"),COUNTIFS(업무일지!$B$5:$B$1004,"&gt;="&amp;DATE($B$3,10,1),업무일지!$B$5:$B$1004,"&lt;"&amp;DATE($B$3,10+1,1),업무일지!$P$5:$P$1004,"*"&amp;$A43&amp;"*",업무일지!$D$5:$D$1004,$B$30)))</f>
        <v/>
      </c>
      <c r="L43" s="24">
        <f>IF($A43="","",IF($B$30="전체",COUNTIFS(업무일지!$B$5:$B$1004,"&gt;="&amp;DATE($B$3,11,1),업무일지!$B$5:$B$1004,"&lt;"&amp;DATE($B$3,11+1,1),업무일지!$P$5:$P$1004,"*"&amp;$A43&amp;"*"),COUNTIFS(업무일지!$B$5:$B$1004,"&gt;="&amp;DATE($B$3,11,1),업무일지!$B$5:$B$1004,"&lt;"&amp;DATE($B$3,11+1,1),업무일지!$P$5:$P$1004,"*"&amp;$A43&amp;"*",업무일지!$D$5:$D$1004,$B$30)))</f>
        <v/>
      </c>
      <c r="M43" s="24">
        <f>IF($A43="","",IF($B$30="전체",COUNTIFS(업무일지!$B$5:$B$1004,"&gt;="&amp;DATE($B$3,12,1),업무일지!$B$5:$B$1004,"&lt;"&amp;DATE($B$3,12+1,1),업무일지!$P$5:$P$1004,"*"&amp;$A43&amp;"*"),COUNTIFS(업무일지!$B$5:$B$1004,"&gt;="&amp;DATE($B$3,12,1),업무일지!$B$5:$B$1004,"&lt;"&amp;DATE($B$3,12+1,1),업무일지!$P$5:$P$1004,"*"&amp;$A43&amp;"*",업무일지!$D$5:$D$1004,$B$30)))</f>
        <v/>
      </c>
      <c r="N43" s="63">
        <f>IF($A43="","",SUM(B43:M43))</f>
        <v/>
      </c>
    </row>
    <row r="44">
      <c r="A44" s="68">
        <f>IF($A19="","",$A19)</f>
        <v/>
      </c>
      <c r="B44" s="24">
        <f>IF($A44="","",IF($B$30="전체",COUNTIFS(업무일지!$B$5:$B$1004,"&gt;="&amp;DATE($B$3,1,1),업무일지!$B$5:$B$1004,"&lt;"&amp;DATE($B$3,1+1,1),업무일지!$P$5:$P$1004,"*"&amp;$A44&amp;"*"),COUNTIFS(업무일지!$B$5:$B$1004,"&gt;="&amp;DATE($B$3,1,1),업무일지!$B$5:$B$1004,"&lt;"&amp;DATE($B$3,1+1,1),업무일지!$P$5:$P$1004,"*"&amp;$A44&amp;"*",업무일지!$D$5:$D$1004,$B$30)))</f>
        <v/>
      </c>
      <c r="C44" s="24">
        <f>IF($A44="","",IF($B$30="전체",COUNTIFS(업무일지!$B$5:$B$1004,"&gt;="&amp;DATE($B$3,2,1),업무일지!$B$5:$B$1004,"&lt;"&amp;DATE($B$3,2+1,1),업무일지!$P$5:$P$1004,"*"&amp;$A44&amp;"*"),COUNTIFS(업무일지!$B$5:$B$1004,"&gt;="&amp;DATE($B$3,2,1),업무일지!$B$5:$B$1004,"&lt;"&amp;DATE($B$3,2+1,1),업무일지!$P$5:$P$1004,"*"&amp;$A44&amp;"*",업무일지!$D$5:$D$1004,$B$30)))</f>
        <v/>
      </c>
      <c r="D44" s="24">
        <f>IF($A44="","",IF($B$30="전체",COUNTIFS(업무일지!$B$5:$B$1004,"&gt;="&amp;DATE($B$3,3,1),업무일지!$B$5:$B$1004,"&lt;"&amp;DATE($B$3,3+1,1),업무일지!$P$5:$P$1004,"*"&amp;$A44&amp;"*"),COUNTIFS(업무일지!$B$5:$B$1004,"&gt;="&amp;DATE($B$3,3,1),업무일지!$B$5:$B$1004,"&lt;"&amp;DATE($B$3,3+1,1),업무일지!$P$5:$P$1004,"*"&amp;$A44&amp;"*",업무일지!$D$5:$D$1004,$B$30)))</f>
        <v/>
      </c>
      <c r="E44" s="24">
        <f>IF($A44="","",IF($B$30="전체",COUNTIFS(업무일지!$B$5:$B$1004,"&gt;="&amp;DATE($B$3,4,1),업무일지!$B$5:$B$1004,"&lt;"&amp;DATE($B$3,4+1,1),업무일지!$P$5:$P$1004,"*"&amp;$A44&amp;"*"),COUNTIFS(업무일지!$B$5:$B$1004,"&gt;="&amp;DATE($B$3,4,1),업무일지!$B$5:$B$1004,"&lt;"&amp;DATE($B$3,4+1,1),업무일지!$P$5:$P$1004,"*"&amp;$A44&amp;"*",업무일지!$D$5:$D$1004,$B$30)))</f>
        <v/>
      </c>
      <c r="F44" s="24">
        <f>IF($A44="","",IF($B$30="전체",COUNTIFS(업무일지!$B$5:$B$1004,"&gt;="&amp;DATE($B$3,5,1),업무일지!$B$5:$B$1004,"&lt;"&amp;DATE($B$3,5+1,1),업무일지!$P$5:$P$1004,"*"&amp;$A44&amp;"*"),COUNTIFS(업무일지!$B$5:$B$1004,"&gt;="&amp;DATE($B$3,5,1),업무일지!$B$5:$B$1004,"&lt;"&amp;DATE($B$3,5+1,1),업무일지!$P$5:$P$1004,"*"&amp;$A44&amp;"*",업무일지!$D$5:$D$1004,$B$30)))</f>
        <v/>
      </c>
      <c r="G44" s="24">
        <f>IF($A44="","",IF($B$30="전체",COUNTIFS(업무일지!$B$5:$B$1004,"&gt;="&amp;DATE($B$3,6,1),업무일지!$B$5:$B$1004,"&lt;"&amp;DATE($B$3,6+1,1),업무일지!$P$5:$P$1004,"*"&amp;$A44&amp;"*"),COUNTIFS(업무일지!$B$5:$B$1004,"&gt;="&amp;DATE($B$3,6,1),업무일지!$B$5:$B$1004,"&lt;"&amp;DATE($B$3,6+1,1),업무일지!$P$5:$P$1004,"*"&amp;$A44&amp;"*",업무일지!$D$5:$D$1004,$B$30)))</f>
        <v/>
      </c>
      <c r="H44" s="24">
        <f>IF($A44="","",IF($B$30="전체",COUNTIFS(업무일지!$B$5:$B$1004,"&gt;="&amp;DATE($B$3,7,1),업무일지!$B$5:$B$1004,"&lt;"&amp;DATE($B$3,7+1,1),업무일지!$P$5:$P$1004,"*"&amp;$A44&amp;"*"),COUNTIFS(업무일지!$B$5:$B$1004,"&gt;="&amp;DATE($B$3,7,1),업무일지!$B$5:$B$1004,"&lt;"&amp;DATE($B$3,7+1,1),업무일지!$P$5:$P$1004,"*"&amp;$A44&amp;"*",업무일지!$D$5:$D$1004,$B$30)))</f>
        <v/>
      </c>
      <c r="I44" s="24">
        <f>IF($A44="","",IF($B$30="전체",COUNTIFS(업무일지!$B$5:$B$1004,"&gt;="&amp;DATE($B$3,8,1),업무일지!$B$5:$B$1004,"&lt;"&amp;DATE($B$3,8+1,1),업무일지!$P$5:$P$1004,"*"&amp;$A44&amp;"*"),COUNTIFS(업무일지!$B$5:$B$1004,"&gt;="&amp;DATE($B$3,8,1),업무일지!$B$5:$B$1004,"&lt;"&amp;DATE($B$3,8+1,1),업무일지!$P$5:$P$1004,"*"&amp;$A44&amp;"*",업무일지!$D$5:$D$1004,$B$30)))</f>
        <v/>
      </c>
      <c r="J44" s="24">
        <f>IF($A44="","",IF($B$30="전체",COUNTIFS(업무일지!$B$5:$B$1004,"&gt;="&amp;DATE($B$3,9,1),업무일지!$B$5:$B$1004,"&lt;"&amp;DATE($B$3,9+1,1),업무일지!$P$5:$P$1004,"*"&amp;$A44&amp;"*"),COUNTIFS(업무일지!$B$5:$B$1004,"&gt;="&amp;DATE($B$3,9,1),업무일지!$B$5:$B$1004,"&lt;"&amp;DATE($B$3,9+1,1),업무일지!$P$5:$P$1004,"*"&amp;$A44&amp;"*",업무일지!$D$5:$D$1004,$B$30)))</f>
        <v/>
      </c>
      <c r="K44" s="24">
        <f>IF($A44="","",IF($B$30="전체",COUNTIFS(업무일지!$B$5:$B$1004,"&gt;="&amp;DATE($B$3,10,1),업무일지!$B$5:$B$1004,"&lt;"&amp;DATE($B$3,10+1,1),업무일지!$P$5:$P$1004,"*"&amp;$A44&amp;"*"),COUNTIFS(업무일지!$B$5:$B$1004,"&gt;="&amp;DATE($B$3,10,1),업무일지!$B$5:$B$1004,"&lt;"&amp;DATE($B$3,10+1,1),업무일지!$P$5:$P$1004,"*"&amp;$A44&amp;"*",업무일지!$D$5:$D$1004,$B$30)))</f>
        <v/>
      </c>
      <c r="L44" s="24">
        <f>IF($A44="","",IF($B$30="전체",COUNTIFS(업무일지!$B$5:$B$1004,"&gt;="&amp;DATE($B$3,11,1),업무일지!$B$5:$B$1004,"&lt;"&amp;DATE($B$3,11+1,1),업무일지!$P$5:$P$1004,"*"&amp;$A44&amp;"*"),COUNTIFS(업무일지!$B$5:$B$1004,"&gt;="&amp;DATE($B$3,11,1),업무일지!$B$5:$B$1004,"&lt;"&amp;DATE($B$3,11+1,1),업무일지!$P$5:$P$1004,"*"&amp;$A44&amp;"*",업무일지!$D$5:$D$1004,$B$30)))</f>
        <v/>
      </c>
      <c r="M44" s="24">
        <f>IF($A44="","",IF($B$30="전체",COUNTIFS(업무일지!$B$5:$B$1004,"&gt;="&amp;DATE($B$3,12,1),업무일지!$B$5:$B$1004,"&lt;"&amp;DATE($B$3,12+1,1),업무일지!$P$5:$P$1004,"*"&amp;$A44&amp;"*"),COUNTIFS(업무일지!$B$5:$B$1004,"&gt;="&amp;DATE($B$3,12,1),업무일지!$B$5:$B$1004,"&lt;"&amp;DATE($B$3,12+1,1),업무일지!$P$5:$P$1004,"*"&amp;$A44&amp;"*",업무일지!$D$5:$D$1004,$B$30)))</f>
        <v/>
      </c>
      <c r="N44" s="63">
        <f>IF($A44="","",SUM(B44:M44))</f>
        <v/>
      </c>
    </row>
    <row r="45">
      <c r="A45" s="68">
        <f>IF($A20="","",$A20)</f>
        <v/>
      </c>
      <c r="B45" s="24">
        <f>IF($A45="","",IF($B$30="전체",COUNTIFS(업무일지!$B$5:$B$1004,"&gt;="&amp;DATE($B$3,1,1),업무일지!$B$5:$B$1004,"&lt;"&amp;DATE($B$3,1+1,1),업무일지!$P$5:$P$1004,"*"&amp;$A45&amp;"*"),COUNTIFS(업무일지!$B$5:$B$1004,"&gt;="&amp;DATE($B$3,1,1),업무일지!$B$5:$B$1004,"&lt;"&amp;DATE($B$3,1+1,1),업무일지!$P$5:$P$1004,"*"&amp;$A45&amp;"*",업무일지!$D$5:$D$1004,$B$30)))</f>
        <v/>
      </c>
      <c r="C45" s="24">
        <f>IF($A45="","",IF($B$30="전체",COUNTIFS(업무일지!$B$5:$B$1004,"&gt;="&amp;DATE($B$3,2,1),업무일지!$B$5:$B$1004,"&lt;"&amp;DATE($B$3,2+1,1),업무일지!$P$5:$P$1004,"*"&amp;$A45&amp;"*"),COUNTIFS(업무일지!$B$5:$B$1004,"&gt;="&amp;DATE($B$3,2,1),업무일지!$B$5:$B$1004,"&lt;"&amp;DATE($B$3,2+1,1),업무일지!$P$5:$P$1004,"*"&amp;$A45&amp;"*",업무일지!$D$5:$D$1004,$B$30)))</f>
        <v/>
      </c>
      <c r="D45" s="24">
        <f>IF($A45="","",IF($B$30="전체",COUNTIFS(업무일지!$B$5:$B$1004,"&gt;="&amp;DATE($B$3,3,1),업무일지!$B$5:$B$1004,"&lt;"&amp;DATE($B$3,3+1,1),업무일지!$P$5:$P$1004,"*"&amp;$A45&amp;"*"),COUNTIFS(업무일지!$B$5:$B$1004,"&gt;="&amp;DATE($B$3,3,1),업무일지!$B$5:$B$1004,"&lt;"&amp;DATE($B$3,3+1,1),업무일지!$P$5:$P$1004,"*"&amp;$A45&amp;"*",업무일지!$D$5:$D$1004,$B$30)))</f>
        <v/>
      </c>
      <c r="E45" s="24">
        <f>IF($A45="","",IF($B$30="전체",COUNTIFS(업무일지!$B$5:$B$1004,"&gt;="&amp;DATE($B$3,4,1),업무일지!$B$5:$B$1004,"&lt;"&amp;DATE($B$3,4+1,1),업무일지!$P$5:$P$1004,"*"&amp;$A45&amp;"*"),COUNTIFS(업무일지!$B$5:$B$1004,"&gt;="&amp;DATE($B$3,4,1),업무일지!$B$5:$B$1004,"&lt;"&amp;DATE($B$3,4+1,1),업무일지!$P$5:$P$1004,"*"&amp;$A45&amp;"*",업무일지!$D$5:$D$1004,$B$30)))</f>
        <v/>
      </c>
      <c r="F45" s="24">
        <f>IF($A45="","",IF($B$30="전체",COUNTIFS(업무일지!$B$5:$B$1004,"&gt;="&amp;DATE($B$3,5,1),업무일지!$B$5:$B$1004,"&lt;"&amp;DATE($B$3,5+1,1),업무일지!$P$5:$P$1004,"*"&amp;$A45&amp;"*"),COUNTIFS(업무일지!$B$5:$B$1004,"&gt;="&amp;DATE($B$3,5,1),업무일지!$B$5:$B$1004,"&lt;"&amp;DATE($B$3,5+1,1),업무일지!$P$5:$P$1004,"*"&amp;$A45&amp;"*",업무일지!$D$5:$D$1004,$B$30)))</f>
        <v/>
      </c>
      <c r="G45" s="24">
        <f>IF($A45="","",IF($B$30="전체",COUNTIFS(업무일지!$B$5:$B$1004,"&gt;="&amp;DATE($B$3,6,1),업무일지!$B$5:$B$1004,"&lt;"&amp;DATE($B$3,6+1,1),업무일지!$P$5:$P$1004,"*"&amp;$A45&amp;"*"),COUNTIFS(업무일지!$B$5:$B$1004,"&gt;="&amp;DATE($B$3,6,1),업무일지!$B$5:$B$1004,"&lt;"&amp;DATE($B$3,6+1,1),업무일지!$P$5:$P$1004,"*"&amp;$A45&amp;"*",업무일지!$D$5:$D$1004,$B$30)))</f>
        <v/>
      </c>
      <c r="H45" s="24">
        <f>IF($A45="","",IF($B$30="전체",COUNTIFS(업무일지!$B$5:$B$1004,"&gt;="&amp;DATE($B$3,7,1),업무일지!$B$5:$B$1004,"&lt;"&amp;DATE($B$3,7+1,1),업무일지!$P$5:$P$1004,"*"&amp;$A45&amp;"*"),COUNTIFS(업무일지!$B$5:$B$1004,"&gt;="&amp;DATE($B$3,7,1),업무일지!$B$5:$B$1004,"&lt;"&amp;DATE($B$3,7+1,1),업무일지!$P$5:$P$1004,"*"&amp;$A45&amp;"*",업무일지!$D$5:$D$1004,$B$30)))</f>
        <v/>
      </c>
      <c r="I45" s="24">
        <f>IF($A45="","",IF($B$30="전체",COUNTIFS(업무일지!$B$5:$B$1004,"&gt;="&amp;DATE($B$3,8,1),업무일지!$B$5:$B$1004,"&lt;"&amp;DATE($B$3,8+1,1),업무일지!$P$5:$P$1004,"*"&amp;$A45&amp;"*"),COUNTIFS(업무일지!$B$5:$B$1004,"&gt;="&amp;DATE($B$3,8,1),업무일지!$B$5:$B$1004,"&lt;"&amp;DATE($B$3,8+1,1),업무일지!$P$5:$P$1004,"*"&amp;$A45&amp;"*",업무일지!$D$5:$D$1004,$B$30)))</f>
        <v/>
      </c>
      <c r="J45" s="24">
        <f>IF($A45="","",IF($B$30="전체",COUNTIFS(업무일지!$B$5:$B$1004,"&gt;="&amp;DATE($B$3,9,1),업무일지!$B$5:$B$1004,"&lt;"&amp;DATE($B$3,9+1,1),업무일지!$P$5:$P$1004,"*"&amp;$A45&amp;"*"),COUNTIFS(업무일지!$B$5:$B$1004,"&gt;="&amp;DATE($B$3,9,1),업무일지!$B$5:$B$1004,"&lt;"&amp;DATE($B$3,9+1,1),업무일지!$P$5:$P$1004,"*"&amp;$A45&amp;"*",업무일지!$D$5:$D$1004,$B$30)))</f>
        <v/>
      </c>
      <c r="K45" s="24">
        <f>IF($A45="","",IF($B$30="전체",COUNTIFS(업무일지!$B$5:$B$1004,"&gt;="&amp;DATE($B$3,10,1),업무일지!$B$5:$B$1004,"&lt;"&amp;DATE($B$3,10+1,1),업무일지!$P$5:$P$1004,"*"&amp;$A45&amp;"*"),COUNTIFS(업무일지!$B$5:$B$1004,"&gt;="&amp;DATE($B$3,10,1),업무일지!$B$5:$B$1004,"&lt;"&amp;DATE($B$3,10+1,1),업무일지!$P$5:$P$1004,"*"&amp;$A45&amp;"*",업무일지!$D$5:$D$1004,$B$30)))</f>
        <v/>
      </c>
      <c r="L45" s="24">
        <f>IF($A45="","",IF($B$30="전체",COUNTIFS(업무일지!$B$5:$B$1004,"&gt;="&amp;DATE($B$3,11,1),업무일지!$B$5:$B$1004,"&lt;"&amp;DATE($B$3,11+1,1),업무일지!$P$5:$P$1004,"*"&amp;$A45&amp;"*"),COUNTIFS(업무일지!$B$5:$B$1004,"&gt;="&amp;DATE($B$3,11,1),업무일지!$B$5:$B$1004,"&lt;"&amp;DATE($B$3,11+1,1),업무일지!$P$5:$P$1004,"*"&amp;$A45&amp;"*",업무일지!$D$5:$D$1004,$B$30)))</f>
        <v/>
      </c>
      <c r="M45" s="24">
        <f>IF($A45="","",IF($B$30="전체",COUNTIFS(업무일지!$B$5:$B$1004,"&gt;="&amp;DATE($B$3,12,1),업무일지!$B$5:$B$1004,"&lt;"&amp;DATE($B$3,12+1,1),업무일지!$P$5:$P$1004,"*"&amp;$A45&amp;"*"),COUNTIFS(업무일지!$B$5:$B$1004,"&gt;="&amp;DATE($B$3,12,1),업무일지!$B$5:$B$1004,"&lt;"&amp;DATE($B$3,12+1,1),업무일지!$P$5:$P$1004,"*"&amp;$A45&amp;"*",업무일지!$D$5:$D$1004,$B$30)))</f>
        <v/>
      </c>
      <c r="N45" s="63">
        <f>IF($A45="","",SUM(B45:M45))</f>
        <v/>
      </c>
    </row>
    <row r="46">
      <c r="A46" s="68">
        <f>IF($A21="","",$A21)</f>
        <v/>
      </c>
      <c r="B46" s="24">
        <f>IF($A46="","",IF($B$30="전체",COUNTIFS(업무일지!$B$5:$B$1004,"&gt;="&amp;DATE($B$3,1,1),업무일지!$B$5:$B$1004,"&lt;"&amp;DATE($B$3,1+1,1),업무일지!$P$5:$P$1004,"*"&amp;$A46&amp;"*"),COUNTIFS(업무일지!$B$5:$B$1004,"&gt;="&amp;DATE($B$3,1,1),업무일지!$B$5:$B$1004,"&lt;"&amp;DATE($B$3,1+1,1),업무일지!$P$5:$P$1004,"*"&amp;$A46&amp;"*",업무일지!$D$5:$D$1004,$B$30)))</f>
        <v/>
      </c>
      <c r="C46" s="24">
        <f>IF($A46="","",IF($B$30="전체",COUNTIFS(업무일지!$B$5:$B$1004,"&gt;="&amp;DATE($B$3,2,1),업무일지!$B$5:$B$1004,"&lt;"&amp;DATE($B$3,2+1,1),업무일지!$P$5:$P$1004,"*"&amp;$A46&amp;"*"),COUNTIFS(업무일지!$B$5:$B$1004,"&gt;="&amp;DATE($B$3,2,1),업무일지!$B$5:$B$1004,"&lt;"&amp;DATE($B$3,2+1,1),업무일지!$P$5:$P$1004,"*"&amp;$A46&amp;"*",업무일지!$D$5:$D$1004,$B$30)))</f>
        <v/>
      </c>
      <c r="D46" s="24">
        <f>IF($A46="","",IF($B$30="전체",COUNTIFS(업무일지!$B$5:$B$1004,"&gt;="&amp;DATE($B$3,3,1),업무일지!$B$5:$B$1004,"&lt;"&amp;DATE($B$3,3+1,1),업무일지!$P$5:$P$1004,"*"&amp;$A46&amp;"*"),COUNTIFS(업무일지!$B$5:$B$1004,"&gt;="&amp;DATE($B$3,3,1),업무일지!$B$5:$B$1004,"&lt;"&amp;DATE($B$3,3+1,1),업무일지!$P$5:$P$1004,"*"&amp;$A46&amp;"*",업무일지!$D$5:$D$1004,$B$30)))</f>
        <v/>
      </c>
      <c r="E46" s="24">
        <f>IF($A46="","",IF($B$30="전체",COUNTIFS(업무일지!$B$5:$B$1004,"&gt;="&amp;DATE($B$3,4,1),업무일지!$B$5:$B$1004,"&lt;"&amp;DATE($B$3,4+1,1),업무일지!$P$5:$P$1004,"*"&amp;$A46&amp;"*"),COUNTIFS(업무일지!$B$5:$B$1004,"&gt;="&amp;DATE($B$3,4,1),업무일지!$B$5:$B$1004,"&lt;"&amp;DATE($B$3,4+1,1),업무일지!$P$5:$P$1004,"*"&amp;$A46&amp;"*",업무일지!$D$5:$D$1004,$B$30)))</f>
        <v/>
      </c>
      <c r="F46" s="24">
        <f>IF($A46="","",IF($B$30="전체",COUNTIFS(업무일지!$B$5:$B$1004,"&gt;="&amp;DATE($B$3,5,1),업무일지!$B$5:$B$1004,"&lt;"&amp;DATE($B$3,5+1,1),업무일지!$P$5:$P$1004,"*"&amp;$A46&amp;"*"),COUNTIFS(업무일지!$B$5:$B$1004,"&gt;="&amp;DATE($B$3,5,1),업무일지!$B$5:$B$1004,"&lt;"&amp;DATE($B$3,5+1,1),업무일지!$P$5:$P$1004,"*"&amp;$A46&amp;"*",업무일지!$D$5:$D$1004,$B$30)))</f>
        <v/>
      </c>
      <c r="G46" s="24">
        <f>IF($A46="","",IF($B$30="전체",COUNTIFS(업무일지!$B$5:$B$1004,"&gt;="&amp;DATE($B$3,6,1),업무일지!$B$5:$B$1004,"&lt;"&amp;DATE($B$3,6+1,1),업무일지!$P$5:$P$1004,"*"&amp;$A46&amp;"*"),COUNTIFS(업무일지!$B$5:$B$1004,"&gt;="&amp;DATE($B$3,6,1),업무일지!$B$5:$B$1004,"&lt;"&amp;DATE($B$3,6+1,1),업무일지!$P$5:$P$1004,"*"&amp;$A46&amp;"*",업무일지!$D$5:$D$1004,$B$30)))</f>
        <v/>
      </c>
      <c r="H46" s="24">
        <f>IF($A46="","",IF($B$30="전체",COUNTIFS(업무일지!$B$5:$B$1004,"&gt;="&amp;DATE($B$3,7,1),업무일지!$B$5:$B$1004,"&lt;"&amp;DATE($B$3,7+1,1),업무일지!$P$5:$P$1004,"*"&amp;$A46&amp;"*"),COUNTIFS(업무일지!$B$5:$B$1004,"&gt;="&amp;DATE($B$3,7,1),업무일지!$B$5:$B$1004,"&lt;"&amp;DATE($B$3,7+1,1),업무일지!$P$5:$P$1004,"*"&amp;$A46&amp;"*",업무일지!$D$5:$D$1004,$B$30)))</f>
        <v/>
      </c>
      <c r="I46" s="24">
        <f>IF($A46="","",IF($B$30="전체",COUNTIFS(업무일지!$B$5:$B$1004,"&gt;="&amp;DATE($B$3,8,1),업무일지!$B$5:$B$1004,"&lt;"&amp;DATE($B$3,8+1,1),업무일지!$P$5:$P$1004,"*"&amp;$A46&amp;"*"),COUNTIFS(업무일지!$B$5:$B$1004,"&gt;="&amp;DATE($B$3,8,1),업무일지!$B$5:$B$1004,"&lt;"&amp;DATE($B$3,8+1,1),업무일지!$P$5:$P$1004,"*"&amp;$A46&amp;"*",업무일지!$D$5:$D$1004,$B$30)))</f>
        <v/>
      </c>
      <c r="J46" s="24">
        <f>IF($A46="","",IF($B$30="전체",COUNTIFS(업무일지!$B$5:$B$1004,"&gt;="&amp;DATE($B$3,9,1),업무일지!$B$5:$B$1004,"&lt;"&amp;DATE($B$3,9+1,1),업무일지!$P$5:$P$1004,"*"&amp;$A46&amp;"*"),COUNTIFS(업무일지!$B$5:$B$1004,"&gt;="&amp;DATE($B$3,9,1),업무일지!$B$5:$B$1004,"&lt;"&amp;DATE($B$3,9+1,1),업무일지!$P$5:$P$1004,"*"&amp;$A46&amp;"*",업무일지!$D$5:$D$1004,$B$30)))</f>
        <v/>
      </c>
      <c r="K46" s="24">
        <f>IF($A46="","",IF($B$30="전체",COUNTIFS(업무일지!$B$5:$B$1004,"&gt;="&amp;DATE($B$3,10,1),업무일지!$B$5:$B$1004,"&lt;"&amp;DATE($B$3,10+1,1),업무일지!$P$5:$P$1004,"*"&amp;$A46&amp;"*"),COUNTIFS(업무일지!$B$5:$B$1004,"&gt;="&amp;DATE($B$3,10,1),업무일지!$B$5:$B$1004,"&lt;"&amp;DATE($B$3,10+1,1),업무일지!$P$5:$P$1004,"*"&amp;$A46&amp;"*",업무일지!$D$5:$D$1004,$B$30)))</f>
        <v/>
      </c>
      <c r="L46" s="24">
        <f>IF($A46="","",IF($B$30="전체",COUNTIFS(업무일지!$B$5:$B$1004,"&gt;="&amp;DATE($B$3,11,1),업무일지!$B$5:$B$1004,"&lt;"&amp;DATE($B$3,11+1,1),업무일지!$P$5:$P$1004,"*"&amp;$A46&amp;"*"),COUNTIFS(업무일지!$B$5:$B$1004,"&gt;="&amp;DATE($B$3,11,1),업무일지!$B$5:$B$1004,"&lt;"&amp;DATE($B$3,11+1,1),업무일지!$P$5:$P$1004,"*"&amp;$A46&amp;"*",업무일지!$D$5:$D$1004,$B$30)))</f>
        <v/>
      </c>
      <c r="M46" s="24">
        <f>IF($A46="","",IF($B$30="전체",COUNTIFS(업무일지!$B$5:$B$1004,"&gt;="&amp;DATE($B$3,12,1),업무일지!$B$5:$B$1004,"&lt;"&amp;DATE($B$3,12+1,1),업무일지!$P$5:$P$1004,"*"&amp;$A46&amp;"*"),COUNTIFS(업무일지!$B$5:$B$1004,"&gt;="&amp;DATE($B$3,12,1),업무일지!$B$5:$B$1004,"&lt;"&amp;DATE($B$3,12+1,1),업무일지!$P$5:$P$1004,"*"&amp;$A46&amp;"*",업무일지!$D$5:$D$1004,$B$30)))</f>
        <v/>
      </c>
      <c r="N46" s="63">
        <f>IF($A46="","",SUM(B46:M46))</f>
        <v/>
      </c>
    </row>
    <row r="47">
      <c r="A47" s="68">
        <f>IF($A22="","",$A22)</f>
        <v/>
      </c>
      <c r="B47" s="24">
        <f>IF($A47="","",IF($B$30="전체",COUNTIFS(업무일지!$B$5:$B$1004,"&gt;="&amp;DATE($B$3,1,1),업무일지!$B$5:$B$1004,"&lt;"&amp;DATE($B$3,1+1,1),업무일지!$P$5:$P$1004,"*"&amp;$A47&amp;"*"),COUNTIFS(업무일지!$B$5:$B$1004,"&gt;="&amp;DATE($B$3,1,1),업무일지!$B$5:$B$1004,"&lt;"&amp;DATE($B$3,1+1,1),업무일지!$P$5:$P$1004,"*"&amp;$A47&amp;"*",업무일지!$D$5:$D$1004,$B$30)))</f>
        <v/>
      </c>
      <c r="C47" s="24">
        <f>IF($A47="","",IF($B$30="전체",COUNTIFS(업무일지!$B$5:$B$1004,"&gt;="&amp;DATE($B$3,2,1),업무일지!$B$5:$B$1004,"&lt;"&amp;DATE($B$3,2+1,1),업무일지!$P$5:$P$1004,"*"&amp;$A47&amp;"*"),COUNTIFS(업무일지!$B$5:$B$1004,"&gt;="&amp;DATE($B$3,2,1),업무일지!$B$5:$B$1004,"&lt;"&amp;DATE($B$3,2+1,1),업무일지!$P$5:$P$1004,"*"&amp;$A47&amp;"*",업무일지!$D$5:$D$1004,$B$30)))</f>
        <v/>
      </c>
      <c r="D47" s="24">
        <f>IF($A47="","",IF($B$30="전체",COUNTIFS(업무일지!$B$5:$B$1004,"&gt;="&amp;DATE($B$3,3,1),업무일지!$B$5:$B$1004,"&lt;"&amp;DATE($B$3,3+1,1),업무일지!$P$5:$P$1004,"*"&amp;$A47&amp;"*"),COUNTIFS(업무일지!$B$5:$B$1004,"&gt;="&amp;DATE($B$3,3,1),업무일지!$B$5:$B$1004,"&lt;"&amp;DATE($B$3,3+1,1),업무일지!$P$5:$P$1004,"*"&amp;$A47&amp;"*",업무일지!$D$5:$D$1004,$B$30)))</f>
        <v/>
      </c>
      <c r="E47" s="24">
        <f>IF($A47="","",IF($B$30="전체",COUNTIFS(업무일지!$B$5:$B$1004,"&gt;="&amp;DATE($B$3,4,1),업무일지!$B$5:$B$1004,"&lt;"&amp;DATE($B$3,4+1,1),업무일지!$P$5:$P$1004,"*"&amp;$A47&amp;"*"),COUNTIFS(업무일지!$B$5:$B$1004,"&gt;="&amp;DATE($B$3,4,1),업무일지!$B$5:$B$1004,"&lt;"&amp;DATE($B$3,4+1,1),업무일지!$P$5:$P$1004,"*"&amp;$A47&amp;"*",업무일지!$D$5:$D$1004,$B$30)))</f>
        <v/>
      </c>
      <c r="F47" s="24">
        <f>IF($A47="","",IF($B$30="전체",COUNTIFS(업무일지!$B$5:$B$1004,"&gt;="&amp;DATE($B$3,5,1),업무일지!$B$5:$B$1004,"&lt;"&amp;DATE($B$3,5+1,1),업무일지!$P$5:$P$1004,"*"&amp;$A47&amp;"*"),COUNTIFS(업무일지!$B$5:$B$1004,"&gt;="&amp;DATE($B$3,5,1),업무일지!$B$5:$B$1004,"&lt;"&amp;DATE($B$3,5+1,1),업무일지!$P$5:$P$1004,"*"&amp;$A47&amp;"*",업무일지!$D$5:$D$1004,$B$30)))</f>
        <v/>
      </c>
      <c r="G47" s="24">
        <f>IF($A47="","",IF($B$30="전체",COUNTIFS(업무일지!$B$5:$B$1004,"&gt;="&amp;DATE($B$3,6,1),업무일지!$B$5:$B$1004,"&lt;"&amp;DATE($B$3,6+1,1),업무일지!$P$5:$P$1004,"*"&amp;$A47&amp;"*"),COUNTIFS(업무일지!$B$5:$B$1004,"&gt;="&amp;DATE($B$3,6,1),업무일지!$B$5:$B$1004,"&lt;"&amp;DATE($B$3,6+1,1),업무일지!$P$5:$P$1004,"*"&amp;$A47&amp;"*",업무일지!$D$5:$D$1004,$B$30)))</f>
        <v/>
      </c>
      <c r="H47" s="24">
        <f>IF($A47="","",IF($B$30="전체",COUNTIFS(업무일지!$B$5:$B$1004,"&gt;="&amp;DATE($B$3,7,1),업무일지!$B$5:$B$1004,"&lt;"&amp;DATE($B$3,7+1,1),업무일지!$P$5:$P$1004,"*"&amp;$A47&amp;"*"),COUNTIFS(업무일지!$B$5:$B$1004,"&gt;="&amp;DATE($B$3,7,1),업무일지!$B$5:$B$1004,"&lt;"&amp;DATE($B$3,7+1,1),업무일지!$P$5:$P$1004,"*"&amp;$A47&amp;"*",업무일지!$D$5:$D$1004,$B$30)))</f>
        <v/>
      </c>
      <c r="I47" s="24">
        <f>IF($A47="","",IF($B$30="전체",COUNTIFS(업무일지!$B$5:$B$1004,"&gt;="&amp;DATE($B$3,8,1),업무일지!$B$5:$B$1004,"&lt;"&amp;DATE($B$3,8+1,1),업무일지!$P$5:$P$1004,"*"&amp;$A47&amp;"*"),COUNTIFS(업무일지!$B$5:$B$1004,"&gt;="&amp;DATE($B$3,8,1),업무일지!$B$5:$B$1004,"&lt;"&amp;DATE($B$3,8+1,1),업무일지!$P$5:$P$1004,"*"&amp;$A47&amp;"*",업무일지!$D$5:$D$1004,$B$30)))</f>
        <v/>
      </c>
      <c r="J47" s="24">
        <f>IF($A47="","",IF($B$30="전체",COUNTIFS(업무일지!$B$5:$B$1004,"&gt;="&amp;DATE($B$3,9,1),업무일지!$B$5:$B$1004,"&lt;"&amp;DATE($B$3,9+1,1),업무일지!$P$5:$P$1004,"*"&amp;$A47&amp;"*"),COUNTIFS(업무일지!$B$5:$B$1004,"&gt;="&amp;DATE($B$3,9,1),업무일지!$B$5:$B$1004,"&lt;"&amp;DATE($B$3,9+1,1),업무일지!$P$5:$P$1004,"*"&amp;$A47&amp;"*",업무일지!$D$5:$D$1004,$B$30)))</f>
        <v/>
      </c>
      <c r="K47" s="24">
        <f>IF($A47="","",IF($B$30="전체",COUNTIFS(업무일지!$B$5:$B$1004,"&gt;="&amp;DATE($B$3,10,1),업무일지!$B$5:$B$1004,"&lt;"&amp;DATE($B$3,10+1,1),업무일지!$P$5:$P$1004,"*"&amp;$A47&amp;"*"),COUNTIFS(업무일지!$B$5:$B$1004,"&gt;="&amp;DATE($B$3,10,1),업무일지!$B$5:$B$1004,"&lt;"&amp;DATE($B$3,10+1,1),업무일지!$P$5:$P$1004,"*"&amp;$A47&amp;"*",업무일지!$D$5:$D$1004,$B$30)))</f>
        <v/>
      </c>
      <c r="L47" s="24">
        <f>IF($A47="","",IF($B$30="전체",COUNTIFS(업무일지!$B$5:$B$1004,"&gt;="&amp;DATE($B$3,11,1),업무일지!$B$5:$B$1004,"&lt;"&amp;DATE($B$3,11+1,1),업무일지!$P$5:$P$1004,"*"&amp;$A47&amp;"*"),COUNTIFS(업무일지!$B$5:$B$1004,"&gt;="&amp;DATE($B$3,11,1),업무일지!$B$5:$B$1004,"&lt;"&amp;DATE($B$3,11+1,1),업무일지!$P$5:$P$1004,"*"&amp;$A47&amp;"*",업무일지!$D$5:$D$1004,$B$30)))</f>
        <v/>
      </c>
      <c r="M47" s="24">
        <f>IF($A47="","",IF($B$30="전체",COUNTIFS(업무일지!$B$5:$B$1004,"&gt;="&amp;DATE($B$3,12,1),업무일지!$B$5:$B$1004,"&lt;"&amp;DATE($B$3,12+1,1),업무일지!$P$5:$P$1004,"*"&amp;$A47&amp;"*"),COUNTIFS(업무일지!$B$5:$B$1004,"&gt;="&amp;DATE($B$3,12,1),업무일지!$B$5:$B$1004,"&lt;"&amp;DATE($B$3,12+1,1),업무일지!$P$5:$P$1004,"*"&amp;$A47&amp;"*",업무일지!$D$5:$D$1004,$B$30)))</f>
        <v/>
      </c>
      <c r="N47" s="63">
        <f>IF($A47="","",SUM(B47:M47))</f>
        <v/>
      </c>
    </row>
    <row r="48">
      <c r="A48" s="68">
        <f>IF($A23="","",$A23)</f>
        <v/>
      </c>
      <c r="B48" s="24">
        <f>IF($A48="","",IF($B$30="전체",COUNTIFS(업무일지!$B$5:$B$1004,"&gt;="&amp;DATE($B$3,1,1),업무일지!$B$5:$B$1004,"&lt;"&amp;DATE($B$3,1+1,1),업무일지!$P$5:$P$1004,"*"&amp;$A48&amp;"*"),COUNTIFS(업무일지!$B$5:$B$1004,"&gt;="&amp;DATE($B$3,1,1),업무일지!$B$5:$B$1004,"&lt;"&amp;DATE($B$3,1+1,1),업무일지!$P$5:$P$1004,"*"&amp;$A48&amp;"*",업무일지!$D$5:$D$1004,$B$30)))</f>
        <v/>
      </c>
      <c r="C48" s="24">
        <f>IF($A48="","",IF($B$30="전체",COUNTIFS(업무일지!$B$5:$B$1004,"&gt;="&amp;DATE($B$3,2,1),업무일지!$B$5:$B$1004,"&lt;"&amp;DATE($B$3,2+1,1),업무일지!$P$5:$P$1004,"*"&amp;$A48&amp;"*"),COUNTIFS(업무일지!$B$5:$B$1004,"&gt;="&amp;DATE($B$3,2,1),업무일지!$B$5:$B$1004,"&lt;"&amp;DATE($B$3,2+1,1),업무일지!$P$5:$P$1004,"*"&amp;$A48&amp;"*",업무일지!$D$5:$D$1004,$B$30)))</f>
        <v/>
      </c>
      <c r="D48" s="24">
        <f>IF($A48="","",IF($B$30="전체",COUNTIFS(업무일지!$B$5:$B$1004,"&gt;="&amp;DATE($B$3,3,1),업무일지!$B$5:$B$1004,"&lt;"&amp;DATE($B$3,3+1,1),업무일지!$P$5:$P$1004,"*"&amp;$A48&amp;"*"),COUNTIFS(업무일지!$B$5:$B$1004,"&gt;="&amp;DATE($B$3,3,1),업무일지!$B$5:$B$1004,"&lt;"&amp;DATE($B$3,3+1,1),업무일지!$P$5:$P$1004,"*"&amp;$A48&amp;"*",업무일지!$D$5:$D$1004,$B$30)))</f>
        <v/>
      </c>
      <c r="E48" s="24">
        <f>IF($A48="","",IF($B$30="전체",COUNTIFS(업무일지!$B$5:$B$1004,"&gt;="&amp;DATE($B$3,4,1),업무일지!$B$5:$B$1004,"&lt;"&amp;DATE($B$3,4+1,1),업무일지!$P$5:$P$1004,"*"&amp;$A48&amp;"*"),COUNTIFS(업무일지!$B$5:$B$1004,"&gt;="&amp;DATE($B$3,4,1),업무일지!$B$5:$B$1004,"&lt;"&amp;DATE($B$3,4+1,1),업무일지!$P$5:$P$1004,"*"&amp;$A48&amp;"*",업무일지!$D$5:$D$1004,$B$30)))</f>
        <v/>
      </c>
      <c r="F48" s="24">
        <f>IF($A48="","",IF($B$30="전체",COUNTIFS(업무일지!$B$5:$B$1004,"&gt;="&amp;DATE($B$3,5,1),업무일지!$B$5:$B$1004,"&lt;"&amp;DATE($B$3,5+1,1),업무일지!$P$5:$P$1004,"*"&amp;$A48&amp;"*"),COUNTIFS(업무일지!$B$5:$B$1004,"&gt;="&amp;DATE($B$3,5,1),업무일지!$B$5:$B$1004,"&lt;"&amp;DATE($B$3,5+1,1),업무일지!$P$5:$P$1004,"*"&amp;$A48&amp;"*",업무일지!$D$5:$D$1004,$B$30)))</f>
        <v/>
      </c>
      <c r="G48" s="24">
        <f>IF($A48="","",IF($B$30="전체",COUNTIFS(업무일지!$B$5:$B$1004,"&gt;="&amp;DATE($B$3,6,1),업무일지!$B$5:$B$1004,"&lt;"&amp;DATE($B$3,6+1,1),업무일지!$P$5:$P$1004,"*"&amp;$A48&amp;"*"),COUNTIFS(업무일지!$B$5:$B$1004,"&gt;="&amp;DATE($B$3,6,1),업무일지!$B$5:$B$1004,"&lt;"&amp;DATE($B$3,6+1,1),업무일지!$P$5:$P$1004,"*"&amp;$A48&amp;"*",업무일지!$D$5:$D$1004,$B$30)))</f>
        <v/>
      </c>
      <c r="H48" s="24">
        <f>IF($A48="","",IF($B$30="전체",COUNTIFS(업무일지!$B$5:$B$1004,"&gt;="&amp;DATE($B$3,7,1),업무일지!$B$5:$B$1004,"&lt;"&amp;DATE($B$3,7+1,1),업무일지!$P$5:$P$1004,"*"&amp;$A48&amp;"*"),COUNTIFS(업무일지!$B$5:$B$1004,"&gt;="&amp;DATE($B$3,7,1),업무일지!$B$5:$B$1004,"&lt;"&amp;DATE($B$3,7+1,1),업무일지!$P$5:$P$1004,"*"&amp;$A48&amp;"*",업무일지!$D$5:$D$1004,$B$30)))</f>
        <v/>
      </c>
      <c r="I48" s="24">
        <f>IF($A48="","",IF($B$30="전체",COUNTIFS(업무일지!$B$5:$B$1004,"&gt;="&amp;DATE($B$3,8,1),업무일지!$B$5:$B$1004,"&lt;"&amp;DATE($B$3,8+1,1),업무일지!$P$5:$P$1004,"*"&amp;$A48&amp;"*"),COUNTIFS(업무일지!$B$5:$B$1004,"&gt;="&amp;DATE($B$3,8,1),업무일지!$B$5:$B$1004,"&lt;"&amp;DATE($B$3,8+1,1),업무일지!$P$5:$P$1004,"*"&amp;$A48&amp;"*",업무일지!$D$5:$D$1004,$B$30)))</f>
        <v/>
      </c>
      <c r="J48" s="24">
        <f>IF($A48="","",IF($B$30="전체",COUNTIFS(업무일지!$B$5:$B$1004,"&gt;="&amp;DATE($B$3,9,1),업무일지!$B$5:$B$1004,"&lt;"&amp;DATE($B$3,9+1,1),업무일지!$P$5:$P$1004,"*"&amp;$A48&amp;"*"),COUNTIFS(업무일지!$B$5:$B$1004,"&gt;="&amp;DATE($B$3,9,1),업무일지!$B$5:$B$1004,"&lt;"&amp;DATE($B$3,9+1,1),업무일지!$P$5:$P$1004,"*"&amp;$A48&amp;"*",업무일지!$D$5:$D$1004,$B$30)))</f>
        <v/>
      </c>
      <c r="K48" s="24">
        <f>IF($A48="","",IF($B$30="전체",COUNTIFS(업무일지!$B$5:$B$1004,"&gt;="&amp;DATE($B$3,10,1),업무일지!$B$5:$B$1004,"&lt;"&amp;DATE($B$3,10+1,1),업무일지!$P$5:$P$1004,"*"&amp;$A48&amp;"*"),COUNTIFS(업무일지!$B$5:$B$1004,"&gt;="&amp;DATE($B$3,10,1),업무일지!$B$5:$B$1004,"&lt;"&amp;DATE($B$3,10+1,1),업무일지!$P$5:$P$1004,"*"&amp;$A48&amp;"*",업무일지!$D$5:$D$1004,$B$30)))</f>
        <v/>
      </c>
      <c r="L48" s="24">
        <f>IF($A48="","",IF($B$30="전체",COUNTIFS(업무일지!$B$5:$B$1004,"&gt;="&amp;DATE($B$3,11,1),업무일지!$B$5:$B$1004,"&lt;"&amp;DATE($B$3,11+1,1),업무일지!$P$5:$P$1004,"*"&amp;$A48&amp;"*"),COUNTIFS(업무일지!$B$5:$B$1004,"&gt;="&amp;DATE($B$3,11,1),업무일지!$B$5:$B$1004,"&lt;"&amp;DATE($B$3,11+1,1),업무일지!$P$5:$P$1004,"*"&amp;$A48&amp;"*",업무일지!$D$5:$D$1004,$B$30)))</f>
        <v/>
      </c>
      <c r="M48" s="24">
        <f>IF($A48="","",IF($B$30="전체",COUNTIFS(업무일지!$B$5:$B$1004,"&gt;="&amp;DATE($B$3,12,1),업무일지!$B$5:$B$1004,"&lt;"&amp;DATE($B$3,12+1,1),업무일지!$P$5:$P$1004,"*"&amp;$A48&amp;"*"),COUNTIFS(업무일지!$B$5:$B$1004,"&gt;="&amp;DATE($B$3,12,1),업무일지!$B$5:$B$1004,"&lt;"&amp;DATE($B$3,12+1,1),업무일지!$P$5:$P$1004,"*"&amp;$A48&amp;"*",업무일지!$D$5:$D$1004,$B$30)))</f>
        <v/>
      </c>
      <c r="N48" s="63">
        <f>IF($A48="","",SUM(B48:M48))</f>
        <v/>
      </c>
    </row>
    <row r="49">
      <c r="A49" s="68">
        <f>IF($A24="","",$A24)</f>
        <v/>
      </c>
      <c r="B49" s="24">
        <f>IF($A49="","",IF($B$30="전체",COUNTIFS(업무일지!$B$5:$B$1004,"&gt;="&amp;DATE($B$3,1,1),업무일지!$B$5:$B$1004,"&lt;"&amp;DATE($B$3,1+1,1),업무일지!$P$5:$P$1004,"*"&amp;$A49&amp;"*"),COUNTIFS(업무일지!$B$5:$B$1004,"&gt;="&amp;DATE($B$3,1,1),업무일지!$B$5:$B$1004,"&lt;"&amp;DATE($B$3,1+1,1),업무일지!$P$5:$P$1004,"*"&amp;$A49&amp;"*",업무일지!$D$5:$D$1004,$B$30)))</f>
        <v/>
      </c>
      <c r="C49" s="24">
        <f>IF($A49="","",IF($B$30="전체",COUNTIFS(업무일지!$B$5:$B$1004,"&gt;="&amp;DATE($B$3,2,1),업무일지!$B$5:$B$1004,"&lt;"&amp;DATE($B$3,2+1,1),업무일지!$P$5:$P$1004,"*"&amp;$A49&amp;"*"),COUNTIFS(업무일지!$B$5:$B$1004,"&gt;="&amp;DATE($B$3,2,1),업무일지!$B$5:$B$1004,"&lt;"&amp;DATE($B$3,2+1,1),업무일지!$P$5:$P$1004,"*"&amp;$A49&amp;"*",업무일지!$D$5:$D$1004,$B$30)))</f>
        <v/>
      </c>
      <c r="D49" s="24">
        <f>IF($A49="","",IF($B$30="전체",COUNTIFS(업무일지!$B$5:$B$1004,"&gt;="&amp;DATE($B$3,3,1),업무일지!$B$5:$B$1004,"&lt;"&amp;DATE($B$3,3+1,1),업무일지!$P$5:$P$1004,"*"&amp;$A49&amp;"*"),COUNTIFS(업무일지!$B$5:$B$1004,"&gt;="&amp;DATE($B$3,3,1),업무일지!$B$5:$B$1004,"&lt;"&amp;DATE($B$3,3+1,1),업무일지!$P$5:$P$1004,"*"&amp;$A49&amp;"*",업무일지!$D$5:$D$1004,$B$30)))</f>
        <v/>
      </c>
      <c r="E49" s="24">
        <f>IF($A49="","",IF($B$30="전체",COUNTIFS(업무일지!$B$5:$B$1004,"&gt;="&amp;DATE($B$3,4,1),업무일지!$B$5:$B$1004,"&lt;"&amp;DATE($B$3,4+1,1),업무일지!$P$5:$P$1004,"*"&amp;$A49&amp;"*"),COUNTIFS(업무일지!$B$5:$B$1004,"&gt;="&amp;DATE($B$3,4,1),업무일지!$B$5:$B$1004,"&lt;"&amp;DATE($B$3,4+1,1),업무일지!$P$5:$P$1004,"*"&amp;$A49&amp;"*",업무일지!$D$5:$D$1004,$B$30)))</f>
        <v/>
      </c>
      <c r="F49" s="24">
        <f>IF($A49="","",IF($B$30="전체",COUNTIFS(업무일지!$B$5:$B$1004,"&gt;="&amp;DATE($B$3,5,1),업무일지!$B$5:$B$1004,"&lt;"&amp;DATE($B$3,5+1,1),업무일지!$P$5:$P$1004,"*"&amp;$A49&amp;"*"),COUNTIFS(업무일지!$B$5:$B$1004,"&gt;="&amp;DATE($B$3,5,1),업무일지!$B$5:$B$1004,"&lt;"&amp;DATE($B$3,5+1,1),업무일지!$P$5:$P$1004,"*"&amp;$A49&amp;"*",업무일지!$D$5:$D$1004,$B$30)))</f>
        <v/>
      </c>
      <c r="G49" s="24">
        <f>IF($A49="","",IF($B$30="전체",COUNTIFS(업무일지!$B$5:$B$1004,"&gt;="&amp;DATE($B$3,6,1),업무일지!$B$5:$B$1004,"&lt;"&amp;DATE($B$3,6+1,1),업무일지!$P$5:$P$1004,"*"&amp;$A49&amp;"*"),COUNTIFS(업무일지!$B$5:$B$1004,"&gt;="&amp;DATE($B$3,6,1),업무일지!$B$5:$B$1004,"&lt;"&amp;DATE($B$3,6+1,1),업무일지!$P$5:$P$1004,"*"&amp;$A49&amp;"*",업무일지!$D$5:$D$1004,$B$30)))</f>
        <v/>
      </c>
      <c r="H49" s="24">
        <f>IF($A49="","",IF($B$30="전체",COUNTIFS(업무일지!$B$5:$B$1004,"&gt;="&amp;DATE($B$3,7,1),업무일지!$B$5:$B$1004,"&lt;"&amp;DATE($B$3,7+1,1),업무일지!$P$5:$P$1004,"*"&amp;$A49&amp;"*"),COUNTIFS(업무일지!$B$5:$B$1004,"&gt;="&amp;DATE($B$3,7,1),업무일지!$B$5:$B$1004,"&lt;"&amp;DATE($B$3,7+1,1),업무일지!$P$5:$P$1004,"*"&amp;$A49&amp;"*",업무일지!$D$5:$D$1004,$B$30)))</f>
        <v/>
      </c>
      <c r="I49" s="24">
        <f>IF($A49="","",IF($B$30="전체",COUNTIFS(업무일지!$B$5:$B$1004,"&gt;="&amp;DATE($B$3,8,1),업무일지!$B$5:$B$1004,"&lt;"&amp;DATE($B$3,8+1,1),업무일지!$P$5:$P$1004,"*"&amp;$A49&amp;"*"),COUNTIFS(업무일지!$B$5:$B$1004,"&gt;="&amp;DATE($B$3,8,1),업무일지!$B$5:$B$1004,"&lt;"&amp;DATE($B$3,8+1,1),업무일지!$P$5:$P$1004,"*"&amp;$A49&amp;"*",업무일지!$D$5:$D$1004,$B$30)))</f>
        <v/>
      </c>
      <c r="J49" s="24">
        <f>IF($A49="","",IF($B$30="전체",COUNTIFS(업무일지!$B$5:$B$1004,"&gt;="&amp;DATE($B$3,9,1),업무일지!$B$5:$B$1004,"&lt;"&amp;DATE($B$3,9+1,1),업무일지!$P$5:$P$1004,"*"&amp;$A49&amp;"*"),COUNTIFS(업무일지!$B$5:$B$1004,"&gt;="&amp;DATE($B$3,9,1),업무일지!$B$5:$B$1004,"&lt;"&amp;DATE($B$3,9+1,1),업무일지!$P$5:$P$1004,"*"&amp;$A49&amp;"*",업무일지!$D$5:$D$1004,$B$30)))</f>
        <v/>
      </c>
      <c r="K49" s="24">
        <f>IF($A49="","",IF($B$30="전체",COUNTIFS(업무일지!$B$5:$B$1004,"&gt;="&amp;DATE($B$3,10,1),업무일지!$B$5:$B$1004,"&lt;"&amp;DATE($B$3,10+1,1),업무일지!$P$5:$P$1004,"*"&amp;$A49&amp;"*"),COUNTIFS(업무일지!$B$5:$B$1004,"&gt;="&amp;DATE($B$3,10,1),업무일지!$B$5:$B$1004,"&lt;"&amp;DATE($B$3,10+1,1),업무일지!$P$5:$P$1004,"*"&amp;$A49&amp;"*",업무일지!$D$5:$D$1004,$B$30)))</f>
        <v/>
      </c>
      <c r="L49" s="24">
        <f>IF($A49="","",IF($B$30="전체",COUNTIFS(업무일지!$B$5:$B$1004,"&gt;="&amp;DATE($B$3,11,1),업무일지!$B$5:$B$1004,"&lt;"&amp;DATE($B$3,11+1,1),업무일지!$P$5:$P$1004,"*"&amp;$A49&amp;"*"),COUNTIFS(업무일지!$B$5:$B$1004,"&gt;="&amp;DATE($B$3,11,1),업무일지!$B$5:$B$1004,"&lt;"&amp;DATE($B$3,11+1,1),업무일지!$P$5:$P$1004,"*"&amp;$A49&amp;"*",업무일지!$D$5:$D$1004,$B$30)))</f>
        <v/>
      </c>
      <c r="M49" s="24">
        <f>IF($A49="","",IF($B$30="전체",COUNTIFS(업무일지!$B$5:$B$1004,"&gt;="&amp;DATE($B$3,12,1),업무일지!$B$5:$B$1004,"&lt;"&amp;DATE($B$3,12+1,1),업무일지!$P$5:$P$1004,"*"&amp;$A49&amp;"*"),COUNTIFS(업무일지!$B$5:$B$1004,"&gt;="&amp;DATE($B$3,12,1),업무일지!$B$5:$B$1004,"&lt;"&amp;DATE($B$3,12+1,1),업무일지!$P$5:$P$1004,"*"&amp;$A49&amp;"*",업무일지!$D$5:$D$1004,$B$30)))</f>
        <v/>
      </c>
      <c r="N49" s="63">
        <f>IF($A49="","",SUM(B49:M49))</f>
        <v/>
      </c>
    </row>
    <row r="50">
      <c r="A50" s="68">
        <f>IF($A25="","",$A25)</f>
        <v/>
      </c>
      <c r="B50" s="24">
        <f>IF($A50="","",IF($B$30="전체",COUNTIFS(업무일지!$B$5:$B$1004,"&gt;="&amp;DATE($B$3,1,1),업무일지!$B$5:$B$1004,"&lt;"&amp;DATE($B$3,1+1,1),업무일지!$P$5:$P$1004,"*"&amp;$A50&amp;"*"),COUNTIFS(업무일지!$B$5:$B$1004,"&gt;="&amp;DATE($B$3,1,1),업무일지!$B$5:$B$1004,"&lt;"&amp;DATE($B$3,1+1,1),업무일지!$P$5:$P$1004,"*"&amp;$A50&amp;"*",업무일지!$D$5:$D$1004,$B$30)))</f>
        <v/>
      </c>
      <c r="C50" s="24">
        <f>IF($A50="","",IF($B$30="전체",COUNTIFS(업무일지!$B$5:$B$1004,"&gt;="&amp;DATE($B$3,2,1),업무일지!$B$5:$B$1004,"&lt;"&amp;DATE($B$3,2+1,1),업무일지!$P$5:$P$1004,"*"&amp;$A50&amp;"*"),COUNTIFS(업무일지!$B$5:$B$1004,"&gt;="&amp;DATE($B$3,2,1),업무일지!$B$5:$B$1004,"&lt;"&amp;DATE($B$3,2+1,1),업무일지!$P$5:$P$1004,"*"&amp;$A50&amp;"*",업무일지!$D$5:$D$1004,$B$30)))</f>
        <v/>
      </c>
      <c r="D50" s="24">
        <f>IF($A50="","",IF($B$30="전체",COUNTIFS(업무일지!$B$5:$B$1004,"&gt;="&amp;DATE($B$3,3,1),업무일지!$B$5:$B$1004,"&lt;"&amp;DATE($B$3,3+1,1),업무일지!$P$5:$P$1004,"*"&amp;$A50&amp;"*"),COUNTIFS(업무일지!$B$5:$B$1004,"&gt;="&amp;DATE($B$3,3,1),업무일지!$B$5:$B$1004,"&lt;"&amp;DATE($B$3,3+1,1),업무일지!$P$5:$P$1004,"*"&amp;$A50&amp;"*",업무일지!$D$5:$D$1004,$B$30)))</f>
        <v/>
      </c>
      <c r="E50" s="24">
        <f>IF($A50="","",IF($B$30="전체",COUNTIFS(업무일지!$B$5:$B$1004,"&gt;="&amp;DATE($B$3,4,1),업무일지!$B$5:$B$1004,"&lt;"&amp;DATE($B$3,4+1,1),업무일지!$P$5:$P$1004,"*"&amp;$A50&amp;"*"),COUNTIFS(업무일지!$B$5:$B$1004,"&gt;="&amp;DATE($B$3,4,1),업무일지!$B$5:$B$1004,"&lt;"&amp;DATE($B$3,4+1,1),업무일지!$P$5:$P$1004,"*"&amp;$A50&amp;"*",업무일지!$D$5:$D$1004,$B$30)))</f>
        <v/>
      </c>
      <c r="F50" s="24">
        <f>IF($A50="","",IF($B$30="전체",COUNTIFS(업무일지!$B$5:$B$1004,"&gt;="&amp;DATE($B$3,5,1),업무일지!$B$5:$B$1004,"&lt;"&amp;DATE($B$3,5+1,1),업무일지!$P$5:$P$1004,"*"&amp;$A50&amp;"*"),COUNTIFS(업무일지!$B$5:$B$1004,"&gt;="&amp;DATE($B$3,5,1),업무일지!$B$5:$B$1004,"&lt;"&amp;DATE($B$3,5+1,1),업무일지!$P$5:$P$1004,"*"&amp;$A50&amp;"*",업무일지!$D$5:$D$1004,$B$30)))</f>
        <v/>
      </c>
      <c r="G50" s="24">
        <f>IF($A50="","",IF($B$30="전체",COUNTIFS(업무일지!$B$5:$B$1004,"&gt;="&amp;DATE($B$3,6,1),업무일지!$B$5:$B$1004,"&lt;"&amp;DATE($B$3,6+1,1),업무일지!$P$5:$P$1004,"*"&amp;$A50&amp;"*"),COUNTIFS(업무일지!$B$5:$B$1004,"&gt;="&amp;DATE($B$3,6,1),업무일지!$B$5:$B$1004,"&lt;"&amp;DATE($B$3,6+1,1),업무일지!$P$5:$P$1004,"*"&amp;$A50&amp;"*",업무일지!$D$5:$D$1004,$B$30)))</f>
        <v/>
      </c>
      <c r="H50" s="24">
        <f>IF($A50="","",IF($B$30="전체",COUNTIFS(업무일지!$B$5:$B$1004,"&gt;="&amp;DATE($B$3,7,1),업무일지!$B$5:$B$1004,"&lt;"&amp;DATE($B$3,7+1,1),업무일지!$P$5:$P$1004,"*"&amp;$A50&amp;"*"),COUNTIFS(업무일지!$B$5:$B$1004,"&gt;="&amp;DATE($B$3,7,1),업무일지!$B$5:$B$1004,"&lt;"&amp;DATE($B$3,7+1,1),업무일지!$P$5:$P$1004,"*"&amp;$A50&amp;"*",업무일지!$D$5:$D$1004,$B$30)))</f>
        <v/>
      </c>
      <c r="I50" s="24">
        <f>IF($A50="","",IF($B$30="전체",COUNTIFS(업무일지!$B$5:$B$1004,"&gt;="&amp;DATE($B$3,8,1),업무일지!$B$5:$B$1004,"&lt;"&amp;DATE($B$3,8+1,1),업무일지!$P$5:$P$1004,"*"&amp;$A50&amp;"*"),COUNTIFS(업무일지!$B$5:$B$1004,"&gt;="&amp;DATE($B$3,8,1),업무일지!$B$5:$B$1004,"&lt;"&amp;DATE($B$3,8+1,1),업무일지!$P$5:$P$1004,"*"&amp;$A50&amp;"*",업무일지!$D$5:$D$1004,$B$30)))</f>
        <v/>
      </c>
      <c r="J50" s="24">
        <f>IF($A50="","",IF($B$30="전체",COUNTIFS(업무일지!$B$5:$B$1004,"&gt;="&amp;DATE($B$3,9,1),업무일지!$B$5:$B$1004,"&lt;"&amp;DATE($B$3,9+1,1),업무일지!$P$5:$P$1004,"*"&amp;$A50&amp;"*"),COUNTIFS(업무일지!$B$5:$B$1004,"&gt;="&amp;DATE($B$3,9,1),업무일지!$B$5:$B$1004,"&lt;"&amp;DATE($B$3,9+1,1),업무일지!$P$5:$P$1004,"*"&amp;$A50&amp;"*",업무일지!$D$5:$D$1004,$B$30)))</f>
        <v/>
      </c>
      <c r="K50" s="24">
        <f>IF($A50="","",IF($B$30="전체",COUNTIFS(업무일지!$B$5:$B$1004,"&gt;="&amp;DATE($B$3,10,1),업무일지!$B$5:$B$1004,"&lt;"&amp;DATE($B$3,10+1,1),업무일지!$P$5:$P$1004,"*"&amp;$A50&amp;"*"),COUNTIFS(업무일지!$B$5:$B$1004,"&gt;="&amp;DATE($B$3,10,1),업무일지!$B$5:$B$1004,"&lt;"&amp;DATE($B$3,10+1,1),업무일지!$P$5:$P$1004,"*"&amp;$A50&amp;"*",업무일지!$D$5:$D$1004,$B$30)))</f>
        <v/>
      </c>
      <c r="L50" s="24">
        <f>IF($A50="","",IF($B$30="전체",COUNTIFS(업무일지!$B$5:$B$1004,"&gt;="&amp;DATE($B$3,11,1),업무일지!$B$5:$B$1004,"&lt;"&amp;DATE($B$3,11+1,1),업무일지!$P$5:$P$1004,"*"&amp;$A50&amp;"*"),COUNTIFS(업무일지!$B$5:$B$1004,"&gt;="&amp;DATE($B$3,11,1),업무일지!$B$5:$B$1004,"&lt;"&amp;DATE($B$3,11+1,1),업무일지!$P$5:$P$1004,"*"&amp;$A50&amp;"*",업무일지!$D$5:$D$1004,$B$30)))</f>
        <v/>
      </c>
      <c r="M50" s="24">
        <f>IF($A50="","",IF($B$30="전체",COUNTIFS(업무일지!$B$5:$B$1004,"&gt;="&amp;DATE($B$3,12,1),업무일지!$B$5:$B$1004,"&lt;"&amp;DATE($B$3,12+1,1),업무일지!$P$5:$P$1004,"*"&amp;$A50&amp;"*"),COUNTIFS(업무일지!$B$5:$B$1004,"&gt;="&amp;DATE($B$3,12,1),업무일지!$B$5:$B$1004,"&lt;"&amp;DATE($B$3,12+1,1),업무일지!$P$5:$P$1004,"*"&amp;$A50&amp;"*",업무일지!$D$5:$D$1004,$B$30)))</f>
        <v/>
      </c>
      <c r="N50" s="63">
        <f>IF($A50="","",SUM(B50:M50))</f>
        <v/>
      </c>
    </row>
    <row r="51">
      <c r="A51" s="68">
        <f>IF($A26="","",$A26)</f>
        <v/>
      </c>
      <c r="B51" s="24">
        <f>IF($A51="","",IF($B$30="전체",COUNTIFS(업무일지!$B$5:$B$1004,"&gt;="&amp;DATE($B$3,1,1),업무일지!$B$5:$B$1004,"&lt;"&amp;DATE($B$3,1+1,1),업무일지!$P$5:$P$1004,"*"&amp;$A51&amp;"*"),COUNTIFS(업무일지!$B$5:$B$1004,"&gt;="&amp;DATE($B$3,1,1),업무일지!$B$5:$B$1004,"&lt;"&amp;DATE($B$3,1+1,1),업무일지!$P$5:$P$1004,"*"&amp;$A51&amp;"*",업무일지!$D$5:$D$1004,$B$30)))</f>
        <v/>
      </c>
      <c r="C51" s="24">
        <f>IF($A51="","",IF($B$30="전체",COUNTIFS(업무일지!$B$5:$B$1004,"&gt;="&amp;DATE($B$3,2,1),업무일지!$B$5:$B$1004,"&lt;"&amp;DATE($B$3,2+1,1),업무일지!$P$5:$P$1004,"*"&amp;$A51&amp;"*"),COUNTIFS(업무일지!$B$5:$B$1004,"&gt;="&amp;DATE($B$3,2,1),업무일지!$B$5:$B$1004,"&lt;"&amp;DATE($B$3,2+1,1),업무일지!$P$5:$P$1004,"*"&amp;$A51&amp;"*",업무일지!$D$5:$D$1004,$B$30)))</f>
        <v/>
      </c>
      <c r="D51" s="24">
        <f>IF($A51="","",IF($B$30="전체",COUNTIFS(업무일지!$B$5:$B$1004,"&gt;="&amp;DATE($B$3,3,1),업무일지!$B$5:$B$1004,"&lt;"&amp;DATE($B$3,3+1,1),업무일지!$P$5:$P$1004,"*"&amp;$A51&amp;"*"),COUNTIFS(업무일지!$B$5:$B$1004,"&gt;="&amp;DATE($B$3,3,1),업무일지!$B$5:$B$1004,"&lt;"&amp;DATE($B$3,3+1,1),업무일지!$P$5:$P$1004,"*"&amp;$A51&amp;"*",업무일지!$D$5:$D$1004,$B$30)))</f>
        <v/>
      </c>
      <c r="E51" s="24">
        <f>IF($A51="","",IF($B$30="전체",COUNTIFS(업무일지!$B$5:$B$1004,"&gt;="&amp;DATE($B$3,4,1),업무일지!$B$5:$B$1004,"&lt;"&amp;DATE($B$3,4+1,1),업무일지!$P$5:$P$1004,"*"&amp;$A51&amp;"*"),COUNTIFS(업무일지!$B$5:$B$1004,"&gt;="&amp;DATE($B$3,4,1),업무일지!$B$5:$B$1004,"&lt;"&amp;DATE($B$3,4+1,1),업무일지!$P$5:$P$1004,"*"&amp;$A51&amp;"*",업무일지!$D$5:$D$1004,$B$30)))</f>
        <v/>
      </c>
      <c r="F51" s="24">
        <f>IF($A51="","",IF($B$30="전체",COUNTIFS(업무일지!$B$5:$B$1004,"&gt;="&amp;DATE($B$3,5,1),업무일지!$B$5:$B$1004,"&lt;"&amp;DATE($B$3,5+1,1),업무일지!$P$5:$P$1004,"*"&amp;$A51&amp;"*"),COUNTIFS(업무일지!$B$5:$B$1004,"&gt;="&amp;DATE($B$3,5,1),업무일지!$B$5:$B$1004,"&lt;"&amp;DATE($B$3,5+1,1),업무일지!$P$5:$P$1004,"*"&amp;$A51&amp;"*",업무일지!$D$5:$D$1004,$B$30)))</f>
        <v/>
      </c>
      <c r="G51" s="24">
        <f>IF($A51="","",IF($B$30="전체",COUNTIFS(업무일지!$B$5:$B$1004,"&gt;="&amp;DATE($B$3,6,1),업무일지!$B$5:$B$1004,"&lt;"&amp;DATE($B$3,6+1,1),업무일지!$P$5:$P$1004,"*"&amp;$A51&amp;"*"),COUNTIFS(업무일지!$B$5:$B$1004,"&gt;="&amp;DATE($B$3,6,1),업무일지!$B$5:$B$1004,"&lt;"&amp;DATE($B$3,6+1,1),업무일지!$P$5:$P$1004,"*"&amp;$A51&amp;"*",업무일지!$D$5:$D$1004,$B$30)))</f>
        <v/>
      </c>
      <c r="H51" s="24">
        <f>IF($A51="","",IF($B$30="전체",COUNTIFS(업무일지!$B$5:$B$1004,"&gt;="&amp;DATE($B$3,7,1),업무일지!$B$5:$B$1004,"&lt;"&amp;DATE($B$3,7+1,1),업무일지!$P$5:$P$1004,"*"&amp;$A51&amp;"*"),COUNTIFS(업무일지!$B$5:$B$1004,"&gt;="&amp;DATE($B$3,7,1),업무일지!$B$5:$B$1004,"&lt;"&amp;DATE($B$3,7+1,1),업무일지!$P$5:$P$1004,"*"&amp;$A51&amp;"*",업무일지!$D$5:$D$1004,$B$30)))</f>
        <v/>
      </c>
      <c r="I51" s="24">
        <f>IF($A51="","",IF($B$30="전체",COUNTIFS(업무일지!$B$5:$B$1004,"&gt;="&amp;DATE($B$3,8,1),업무일지!$B$5:$B$1004,"&lt;"&amp;DATE($B$3,8+1,1),업무일지!$P$5:$P$1004,"*"&amp;$A51&amp;"*"),COUNTIFS(업무일지!$B$5:$B$1004,"&gt;="&amp;DATE($B$3,8,1),업무일지!$B$5:$B$1004,"&lt;"&amp;DATE($B$3,8+1,1),업무일지!$P$5:$P$1004,"*"&amp;$A51&amp;"*",업무일지!$D$5:$D$1004,$B$30)))</f>
        <v/>
      </c>
      <c r="J51" s="24">
        <f>IF($A51="","",IF($B$30="전체",COUNTIFS(업무일지!$B$5:$B$1004,"&gt;="&amp;DATE($B$3,9,1),업무일지!$B$5:$B$1004,"&lt;"&amp;DATE($B$3,9+1,1),업무일지!$P$5:$P$1004,"*"&amp;$A51&amp;"*"),COUNTIFS(업무일지!$B$5:$B$1004,"&gt;="&amp;DATE($B$3,9,1),업무일지!$B$5:$B$1004,"&lt;"&amp;DATE($B$3,9+1,1),업무일지!$P$5:$P$1004,"*"&amp;$A51&amp;"*",업무일지!$D$5:$D$1004,$B$30)))</f>
        <v/>
      </c>
      <c r="K51" s="24">
        <f>IF($A51="","",IF($B$30="전체",COUNTIFS(업무일지!$B$5:$B$1004,"&gt;="&amp;DATE($B$3,10,1),업무일지!$B$5:$B$1004,"&lt;"&amp;DATE($B$3,10+1,1),업무일지!$P$5:$P$1004,"*"&amp;$A51&amp;"*"),COUNTIFS(업무일지!$B$5:$B$1004,"&gt;="&amp;DATE($B$3,10,1),업무일지!$B$5:$B$1004,"&lt;"&amp;DATE($B$3,10+1,1),업무일지!$P$5:$P$1004,"*"&amp;$A51&amp;"*",업무일지!$D$5:$D$1004,$B$30)))</f>
        <v/>
      </c>
      <c r="L51" s="24">
        <f>IF($A51="","",IF($B$30="전체",COUNTIFS(업무일지!$B$5:$B$1004,"&gt;="&amp;DATE($B$3,11,1),업무일지!$B$5:$B$1004,"&lt;"&amp;DATE($B$3,11+1,1),업무일지!$P$5:$P$1004,"*"&amp;$A51&amp;"*"),COUNTIFS(업무일지!$B$5:$B$1004,"&gt;="&amp;DATE($B$3,11,1),업무일지!$B$5:$B$1004,"&lt;"&amp;DATE($B$3,11+1,1),업무일지!$P$5:$P$1004,"*"&amp;$A51&amp;"*",업무일지!$D$5:$D$1004,$B$30)))</f>
        <v/>
      </c>
      <c r="M51" s="24">
        <f>IF($A51="","",IF($B$30="전체",COUNTIFS(업무일지!$B$5:$B$1004,"&gt;="&amp;DATE($B$3,12,1),업무일지!$B$5:$B$1004,"&lt;"&amp;DATE($B$3,12+1,1),업무일지!$P$5:$P$1004,"*"&amp;$A51&amp;"*"),COUNTIFS(업무일지!$B$5:$B$1004,"&gt;="&amp;DATE($B$3,12,1),업무일지!$B$5:$B$1004,"&lt;"&amp;DATE($B$3,12+1,1),업무일지!$P$5:$P$1004,"*"&amp;$A51&amp;"*",업무일지!$D$5:$D$1004,$B$30)))</f>
        <v/>
      </c>
      <c r="N51" s="63">
        <f>IF($A51="","",SUM(B51:M51))</f>
        <v/>
      </c>
    </row>
    <row r="52">
      <c r="A52" s="28" t="inlineStr">
        <is>
          <t>합계</t>
        </is>
      </c>
      <c r="B52" s="29">
        <f>SUM(B32:B51)</f>
        <v/>
      </c>
      <c r="C52" s="29">
        <f>SUM(C32:C51)</f>
        <v/>
      </c>
      <c r="D52" s="29">
        <f>SUM(D32:D51)</f>
        <v/>
      </c>
      <c r="E52" s="29">
        <f>SUM(E32:E51)</f>
        <v/>
      </c>
      <c r="F52" s="29">
        <f>SUM(F32:F51)</f>
        <v/>
      </c>
      <c r="G52" s="29">
        <f>SUM(G32:G51)</f>
        <v/>
      </c>
      <c r="H52" s="29">
        <f>SUM(H32:H51)</f>
        <v/>
      </c>
      <c r="I52" s="29">
        <f>SUM(I32:I51)</f>
        <v/>
      </c>
      <c r="J52" s="29">
        <f>SUM(J32:J51)</f>
        <v/>
      </c>
      <c r="K52" s="29">
        <f>SUM(K32:K51)</f>
        <v/>
      </c>
      <c r="L52" s="29">
        <f>SUM(L32:L51)</f>
        <v/>
      </c>
      <c r="M52" s="29">
        <f>SUM(M32:M51)</f>
        <v/>
      </c>
      <c r="N52" s="29">
        <f>SUM(N32:N51)</f>
        <v/>
      </c>
    </row>
    <row r="54">
      <c r="A54" s="7" t="inlineStr">
        <is>
          <t>※ 월별 참여건수는 시작일이 속한 달을 기준으로 셉니다(달을 걸친 건은 시작한 달에 1건).</t>
        </is>
      </c>
    </row>
  </sheetData>
  <dataValidations count="1">
    <dataValidation sqref="B30" showDropDown="0" showInputMessage="0" showErrorMessage="0" allowBlank="1" type="list">
      <formula1>"전체,출장,분석"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7" customWidth="1" min="4" max="4"/>
    <col width="20" customWidth="1" min="5" max="5"/>
    <col width="12" customWidth="1" min="6" max="6"/>
    <col width="18" customWidth="1" min="7" max="7"/>
    <col width="15" customWidth="1" min="8" max="8"/>
    <col width="15" customWidth="1" min="9" max="9"/>
    <col width="3" customWidth="1" min="10" max="10"/>
    <col width="14" customWidth="1" min="11" max="11"/>
  </cols>
  <sheetData>
    <row r="1" ht="24" customHeight="1">
      <c r="A1" s="6" t="inlineStr">
        <is>
          <t>코드 설정</t>
        </is>
      </c>
    </row>
    <row r="2" ht="26" customHeight="1">
      <c r="A2" s="7" t="inlineStr">
        <is>
          <t>※ 이 시트의 목록을 고치면 모든 드롭다운과 집계표가 함께 바뀝니다. 위에서부터 빈칸 없이 채우세요.  ※ 동명이인이 있으면 '김디지(1팀)'처럼 반드시 구분해 등록하세요 — 참여자 집계가 부분일치 방식입니다.</t>
        </is>
      </c>
    </row>
    <row r="4" ht="32" customHeight="1">
      <c r="A4" s="23" t="inlineStr">
        <is>
          <t>직무구분</t>
        </is>
      </c>
      <c r="B4" s="23" t="inlineStr">
        <is>
          <t>세부유형</t>
        </is>
      </c>
      <c r="C4" s="23" t="inlineStr">
        <is>
          <t>담당자</t>
        </is>
      </c>
      <c r="D4" s="23" t="inlineStr">
        <is>
          <t>소속팀(담당자별)</t>
        </is>
      </c>
      <c r="E4" s="23" t="inlineStr">
        <is>
          <t>요청·의뢰처</t>
        </is>
      </c>
      <c r="F4" s="23" t="inlineStr">
        <is>
          <t>진행상태</t>
        </is>
      </c>
      <c r="G4" s="23" t="inlineStr">
        <is>
          <t>일일 업무구분</t>
        </is>
      </c>
      <c r="H4" s="23" t="inlineStr">
        <is>
          <t>직무구분 마스터</t>
        </is>
      </c>
      <c r="I4" s="23" t="inlineStr">
        <is>
          <t>팀 마스터</t>
        </is>
      </c>
      <c r="K4" s="23" t="inlineStr">
        <is>
          <t>공휴일</t>
        </is>
      </c>
    </row>
    <row r="5">
      <c r="A5" s="66" t="inlineStr">
        <is>
          <t>출장</t>
        </is>
      </c>
      <c r="B5" s="66" t="inlineStr">
        <is>
          <t>압수·수색 집행</t>
        </is>
      </c>
      <c r="C5" s="66" t="inlineStr">
        <is>
          <t>김디지</t>
        </is>
      </c>
      <c r="D5" s="66" t="inlineStr">
        <is>
          <t>포렌식1팀</t>
        </is>
      </c>
      <c r="E5" s="66" t="inlineStr">
        <is>
          <t>본청 수사과</t>
        </is>
      </c>
      <c r="F5" s="66" t="inlineStr">
        <is>
          <t>진행중</t>
        </is>
      </c>
      <c r="G5" s="66" t="inlineStr">
        <is>
          <t>사건 지원</t>
        </is>
      </c>
      <c r="H5" s="66" t="inlineStr">
        <is>
          <t>출장</t>
        </is>
      </c>
      <c r="I5" s="66" t="inlineStr">
        <is>
          <t>포렌식1팀</t>
        </is>
      </c>
      <c r="K5" s="80" t="n">
        <v>46023</v>
      </c>
    </row>
    <row r="6">
      <c r="A6" s="66" t="inlineStr">
        <is>
          <t>출장</t>
        </is>
      </c>
      <c r="B6" s="66" t="inlineStr">
        <is>
          <t>현장 증거수집</t>
        </is>
      </c>
      <c r="C6" s="66" t="inlineStr">
        <is>
          <t>이수사</t>
        </is>
      </c>
      <c r="D6" s="66" t="inlineStr">
        <is>
          <t>포렌식1팀</t>
        </is>
      </c>
      <c r="E6" s="66" t="inlineStr">
        <is>
          <t>지방청 사이버수사대</t>
        </is>
      </c>
      <c r="F6" s="66" t="inlineStr">
        <is>
          <t>완료</t>
        </is>
      </c>
      <c r="G6" s="66" t="inlineStr">
        <is>
          <t>내부 행정</t>
        </is>
      </c>
      <c r="H6" s="66" t="inlineStr">
        <is>
          <t>분석</t>
        </is>
      </c>
      <c r="I6" s="66" t="inlineStr">
        <is>
          <t>포렌식2팀</t>
        </is>
      </c>
      <c r="K6" s="80" t="n">
        <v>46082</v>
      </c>
    </row>
    <row r="7">
      <c r="A7" s="66" t="inlineStr">
        <is>
          <t>출장</t>
        </is>
      </c>
      <c r="B7" s="66" t="inlineStr">
        <is>
          <t>현장 지원·입회</t>
        </is>
      </c>
      <c r="C7" s="66" t="inlineStr">
        <is>
          <t>박증거</t>
        </is>
      </c>
      <c r="D7" s="66" t="inlineStr">
        <is>
          <t>포렌식2팀</t>
        </is>
      </c>
      <c r="E7" s="66" t="inlineStr">
        <is>
          <t>감사실</t>
        </is>
      </c>
      <c r="F7" s="66" t="inlineStr">
        <is>
          <t>보류</t>
        </is>
      </c>
      <c r="G7" s="66" t="inlineStr">
        <is>
          <t>교육·훈련</t>
        </is>
      </c>
      <c r="I7" s="66" t="inlineStr">
        <is>
          <t>침해대응팀</t>
        </is>
      </c>
      <c r="K7" s="80" t="n">
        <v>46147</v>
      </c>
    </row>
    <row r="8">
      <c r="A8" s="66" t="inlineStr">
        <is>
          <t>출장</t>
        </is>
      </c>
      <c r="B8" s="66" t="inlineStr">
        <is>
          <t>회의·협의</t>
        </is>
      </c>
      <c r="C8" s="66" t="inlineStr">
        <is>
          <t>최분석</t>
        </is>
      </c>
      <c r="D8" s="66" t="inlineStr">
        <is>
          <t>포렌식2팀</t>
        </is>
      </c>
      <c r="E8" s="66" t="inlineStr">
        <is>
          <t>외부 의뢰기관</t>
        </is>
      </c>
      <c r="G8" s="66" t="inlineStr">
        <is>
          <t>회의·협의</t>
        </is>
      </c>
      <c r="I8" s="66" t="n"/>
      <c r="K8" s="80" t="n">
        <v>46179</v>
      </c>
    </row>
    <row r="9">
      <c r="A9" s="66" t="inlineStr">
        <is>
          <t>출장</t>
        </is>
      </c>
      <c r="B9" s="66" t="inlineStr">
        <is>
          <t>교육·세미나</t>
        </is>
      </c>
      <c r="C9" s="66" t="inlineStr">
        <is>
          <t>정현장</t>
        </is>
      </c>
      <c r="D9" s="66" t="inlineStr">
        <is>
          <t>침해대응팀</t>
        </is>
      </c>
      <c r="E9" s="66" t="inlineStr">
        <is>
          <t>자체 인지</t>
        </is>
      </c>
      <c r="G9" s="66" t="inlineStr">
        <is>
          <t>장비·시스템 관리</t>
        </is>
      </c>
      <c r="I9" s="66" t="n"/>
      <c r="K9" s="80" t="n">
        <v>46249</v>
      </c>
    </row>
    <row r="10">
      <c r="A10" s="66" t="inlineStr">
        <is>
          <t>출장</t>
        </is>
      </c>
      <c r="B10" s="66" t="inlineStr">
        <is>
          <t>기타 출장</t>
        </is>
      </c>
      <c r="C10" s="66" t="n"/>
      <c r="D10" s="66" t="n"/>
      <c r="E10" s="66" t="n"/>
      <c r="G10" s="66" t="inlineStr">
        <is>
          <t>문서·보고</t>
        </is>
      </c>
      <c r="I10" s="66" t="n"/>
      <c r="K10" s="80" t="n">
        <v>46298</v>
      </c>
    </row>
    <row r="11">
      <c r="A11" s="66" t="inlineStr">
        <is>
          <t>분석</t>
        </is>
      </c>
      <c r="B11" s="66" t="inlineStr">
        <is>
          <t>디스크 이미지 분석</t>
        </is>
      </c>
      <c r="C11" s="66" t="n"/>
      <c r="D11" s="66" t="n"/>
      <c r="E11" s="66" t="n"/>
      <c r="G11" s="66" t="inlineStr">
        <is>
          <t>당직·대기</t>
        </is>
      </c>
      <c r="I11" s="66" t="n"/>
      <c r="K11" s="80" t="n">
        <v>46304</v>
      </c>
    </row>
    <row r="12">
      <c r="A12" s="66" t="inlineStr">
        <is>
          <t>분석</t>
        </is>
      </c>
      <c r="B12" s="66" t="inlineStr">
        <is>
          <t>모바일 분석</t>
        </is>
      </c>
      <c r="C12" s="66" t="n"/>
      <c r="D12" s="66" t="n"/>
      <c r="E12" s="66" t="n"/>
      <c r="G12" s="66" t="inlineStr">
        <is>
          <t>기타</t>
        </is>
      </c>
      <c r="I12" s="66" t="n"/>
      <c r="K12" s="80" t="n">
        <v>46381</v>
      </c>
    </row>
    <row r="13">
      <c r="A13" s="66" t="inlineStr">
        <is>
          <t>분석</t>
        </is>
      </c>
      <c r="B13" s="66" t="inlineStr">
        <is>
          <t>영상·이미지 분석</t>
        </is>
      </c>
      <c r="C13" s="66" t="n"/>
      <c r="D13" s="66" t="n"/>
      <c r="E13" s="66" t="n"/>
      <c r="G13" s="66" t="n"/>
      <c r="I13" s="66" t="n"/>
      <c r="K13" s="80" t="n"/>
    </row>
    <row r="14">
      <c r="A14" s="66" t="inlineStr">
        <is>
          <t>분석</t>
        </is>
      </c>
      <c r="B14" s="66" t="inlineStr">
        <is>
          <t>로그·네트워크 분석</t>
        </is>
      </c>
      <c r="C14" s="66" t="n"/>
      <c r="D14" s="66" t="n"/>
      <c r="E14" s="66" t="n"/>
      <c r="G14" s="66" t="n"/>
      <c r="I14" s="66" t="n"/>
      <c r="K14" s="80" t="n"/>
    </row>
    <row r="15">
      <c r="A15" s="66" t="inlineStr">
        <is>
          <t>분석</t>
        </is>
      </c>
      <c r="B15" s="66" t="inlineStr">
        <is>
          <t>악성코드 분석</t>
        </is>
      </c>
      <c r="C15" s="66" t="n"/>
      <c r="D15" s="66" t="n"/>
      <c r="K15" s="80" t="n"/>
    </row>
    <row r="16">
      <c r="A16" s="66" t="inlineStr">
        <is>
          <t>분석</t>
        </is>
      </c>
      <c r="B16" s="66" t="inlineStr">
        <is>
          <t>보고서 작성·검증</t>
        </is>
      </c>
      <c r="C16" s="66" t="n"/>
      <c r="D16" s="66" t="n"/>
      <c r="K16" s="80" t="n"/>
    </row>
    <row r="17">
      <c r="A17" s="66" t="inlineStr">
        <is>
          <t>분석</t>
        </is>
      </c>
      <c r="B17" s="66" t="inlineStr">
        <is>
          <t>기타 분석</t>
        </is>
      </c>
      <c r="C17" s="66" t="n"/>
      <c r="D17" s="66" t="n"/>
      <c r="K17" s="80" t="n"/>
    </row>
    <row r="18">
      <c r="C18" s="66" t="n"/>
      <c r="D18" s="66" t="n"/>
      <c r="K18" s="80" t="n"/>
    </row>
    <row r="19">
      <c r="C19" s="66" t="n"/>
      <c r="D19" s="66" t="n"/>
      <c r="K19" s="80" t="n"/>
    </row>
    <row r="20">
      <c r="A20" s="7" t="inlineStr">
        <is>
          <t>※ 담당자·소속팀은 같은 행끼리 짝입니다.  ※ 직무구분(A)과 세부유형(B)도 같은 행끼리 짝입니다.  ※ 공휴일(K)은 월력표에서 빨간색으로 표시됩니다.</t>
        </is>
      </c>
      <c r="C20" s="66" t="n"/>
      <c r="D20" s="66" t="n"/>
      <c r="K20" s="80" t="n"/>
    </row>
    <row r="21">
      <c r="C21" s="66" t="n"/>
      <c r="D21" s="66" t="n"/>
      <c r="K21" s="80" t="n"/>
    </row>
    <row r="22">
      <c r="C22" s="66" t="n"/>
      <c r="D22" s="66" t="n"/>
      <c r="K22" s="80" t="n"/>
    </row>
    <row r="23">
      <c r="C23" s="66" t="n"/>
      <c r="D23" s="66" t="n"/>
      <c r="K23" s="80" t="n"/>
    </row>
    <row r="24">
      <c r="C24" s="66" t="n"/>
      <c r="D24" s="66" t="n"/>
      <c r="K24" s="80" t="n"/>
    </row>
    <row r="25">
      <c r="K25" s="80" t="n"/>
    </row>
    <row r="26">
      <c r="K26" s="80" t="n"/>
    </row>
    <row r="27">
      <c r="K27" s="80" t="n"/>
    </row>
    <row r="28">
      <c r="K28" s="80" t="n"/>
    </row>
    <row r="29">
      <c r="K29" s="80" t="n"/>
    </row>
    <row r="30">
      <c r="K30" s="80" t="n"/>
    </row>
    <row r="31">
      <c r="K31" s="80" t="n"/>
    </row>
    <row r="32">
      <c r="K32" s="80" t="n"/>
    </row>
    <row r="33">
      <c r="K33" s="80" t="n"/>
    </row>
    <row r="34">
      <c r="K34" s="8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2026-08-24T00:38:14Z</dcterms:created>
  <dcterms:modified xsi:type="dcterms:W3CDTF">2026-08-24T00:38:16Z</dcterms:modified>
</cp:coreProperties>
</file>