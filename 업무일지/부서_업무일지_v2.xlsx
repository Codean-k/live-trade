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업무일지" sheetId="1" state="visible" r:id="rId3"/>
    <sheet name="부서 전체현황" sheetId="2" state="visible" r:id="rId4"/>
    <sheet name="사건별 현황" sheetId="3" state="visible" r:id="rId5"/>
    <sheet name="개인별 현황" sheetId="4" state="visible" r:id="rId6"/>
    <sheet name="코드설정" sheetId="5" state="visible" r:id="rId7"/>
  </sheets>
  <definedNames>
    <definedName function="false" hidden="true" localSheetId="0" name="_xlnm._FilterDatabase" vbProcedure="false">업무일지!$A$4:$U$1004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<sst xmlns="http://schemas.openxmlformats.org/spreadsheetml/2006/main" count="289" uniqueCount="144">
  <si>
    <r>
      <rPr>
        <b val="true"/>
        <sz val="15"/>
        <color rgb="FF5EEAD4"/>
        <rFont val="Noto Sans CJK SC"/>
        <family val="2"/>
      </rPr>
      <t xml:space="preserve">부서 업무일지  </t>
    </r>
    <r>
      <rPr>
        <b val="true"/>
        <sz val="15"/>
        <color rgb="FF5EEAD4"/>
        <rFont val="맑은 고딕"/>
        <family val="0"/>
        <charset val="1"/>
      </rPr>
      <t xml:space="preserve">·  </t>
    </r>
    <r>
      <rPr>
        <b val="true"/>
        <sz val="15"/>
        <color rgb="FF5EEAD4"/>
        <rFont val="Noto Sans CJK SC"/>
        <family val="2"/>
      </rPr>
      <t xml:space="preserve">출장 </t>
    </r>
    <r>
      <rPr>
        <b val="true"/>
        <sz val="15"/>
        <color rgb="FF5EEAD4"/>
        <rFont val="맑은 고딕"/>
        <family val="0"/>
        <charset val="1"/>
      </rPr>
      <t xml:space="preserve">/ </t>
    </r>
    <r>
      <rPr>
        <b val="true"/>
        <sz val="15"/>
        <color rgb="FF5EEAD4"/>
        <rFont val="Noto Sans CJK SC"/>
        <family val="2"/>
      </rPr>
      <t xml:space="preserve">분석 통합 대장</t>
    </r>
  </si>
  <si>
    <r>
      <rPr>
        <sz val="9"/>
        <color rgb="FF57606A"/>
        <rFont val="Noto Sans CJK SC"/>
        <family val="2"/>
      </rPr>
      <t xml:space="preserve">※ 출장 </t>
    </r>
    <r>
      <rPr>
        <sz val="9"/>
        <color rgb="FF57606A"/>
        <rFont val="맑은 고딕"/>
        <family val="0"/>
        <charset val="1"/>
      </rPr>
      <t xml:space="preserve">1</t>
    </r>
    <r>
      <rPr>
        <sz val="9"/>
        <color rgb="FF57606A"/>
        <rFont val="Noto Sans CJK SC"/>
        <family val="2"/>
      </rPr>
      <t xml:space="preserve">건 </t>
    </r>
    <r>
      <rPr>
        <sz val="9"/>
        <color rgb="FF57606A"/>
        <rFont val="맑은 고딕"/>
        <family val="0"/>
        <charset val="1"/>
      </rPr>
      <t xml:space="preserve">= 1</t>
    </r>
    <r>
      <rPr>
        <sz val="9"/>
        <color rgb="FF57606A"/>
        <rFont val="Noto Sans CJK SC"/>
        <family val="2"/>
      </rPr>
      <t xml:space="preserve">행</t>
    </r>
    <r>
      <rPr>
        <sz val="9"/>
        <color rgb="FF57606A"/>
        <rFont val="맑은 고딕"/>
        <family val="0"/>
        <charset val="1"/>
      </rPr>
      <t xml:space="preserve">. </t>
    </r>
    <r>
      <rPr>
        <sz val="9"/>
        <color rgb="FF57606A"/>
        <rFont val="Noto Sans CJK SC"/>
        <family val="2"/>
      </rPr>
      <t xml:space="preserve">여러 명이 함께 나가도 행을 늘리지 말고 </t>
    </r>
    <r>
      <rPr>
        <sz val="9"/>
        <color rgb="FF57606A"/>
        <rFont val="맑은 고딕"/>
        <family val="0"/>
        <charset val="1"/>
      </rPr>
      <t xml:space="preserve">J</t>
    </r>
    <r>
      <rPr>
        <sz val="9"/>
        <color rgb="FF57606A"/>
        <rFont val="Noto Sans CJK SC"/>
        <family val="2"/>
      </rPr>
      <t xml:space="preserve">열 </t>
    </r>
    <r>
      <rPr>
        <sz val="9"/>
        <color rgb="FF57606A"/>
        <rFont val="맑은 고딕"/>
        <family val="0"/>
        <charset val="1"/>
      </rPr>
      <t xml:space="preserve">[</t>
    </r>
    <r>
      <rPr>
        <sz val="9"/>
        <color rgb="FF57606A"/>
        <rFont val="Noto Sans CJK SC"/>
        <family val="2"/>
      </rPr>
      <t xml:space="preserve">동행자</t>
    </r>
    <r>
      <rPr>
        <sz val="9"/>
        <color rgb="FF57606A"/>
        <rFont val="맑은 고딕"/>
        <family val="0"/>
        <charset val="1"/>
      </rPr>
      <t xml:space="preserve">]</t>
    </r>
    <r>
      <rPr>
        <sz val="9"/>
        <color rgb="FF57606A"/>
        <rFont val="Noto Sans CJK SC"/>
        <family val="2"/>
      </rPr>
      <t xml:space="preserve">에 쉼표로 나열하세요</t>
    </r>
    <r>
      <rPr>
        <sz val="9"/>
        <color rgb="FF57606A"/>
        <rFont val="맑은 고딕"/>
        <family val="0"/>
        <charset val="1"/>
      </rPr>
      <t xml:space="preserve">.  ※ Q</t>
    </r>
    <r>
      <rPr>
        <sz val="9"/>
        <color rgb="FF57606A"/>
        <rFont val="Noto Sans CJK SC"/>
        <family val="2"/>
      </rPr>
      <t xml:space="preserve">열은 </t>
    </r>
    <r>
      <rPr>
        <sz val="9"/>
        <color rgb="FF57606A"/>
        <rFont val="맑은 고딕"/>
        <family val="0"/>
        <charset val="1"/>
      </rPr>
      <t xml:space="preserve">'1</t>
    </r>
    <r>
      <rPr>
        <sz val="9"/>
        <color rgb="FF57606A"/>
        <rFont val="Noto Sans CJK SC"/>
        <family val="2"/>
      </rPr>
      <t xml:space="preserve">인 기준</t>
    </r>
    <r>
      <rPr>
        <sz val="9"/>
        <color rgb="FF57606A"/>
        <rFont val="맑은 고딕"/>
        <family val="0"/>
        <charset val="1"/>
      </rPr>
      <t xml:space="preserve">' </t>
    </r>
    <r>
      <rPr>
        <sz val="9"/>
        <color rgb="FF57606A"/>
        <rFont val="Noto Sans CJK SC"/>
        <family val="2"/>
      </rPr>
      <t xml:space="preserve">시간입니다</t>
    </r>
    <r>
      <rPr>
        <sz val="9"/>
        <color rgb="FF57606A"/>
        <rFont val="맑은 고딕"/>
        <family val="0"/>
        <charset val="1"/>
      </rPr>
      <t xml:space="preserve">. </t>
    </r>
    <r>
      <rPr>
        <sz val="9"/>
        <color rgb="FF57606A"/>
        <rFont val="Noto Sans CJK SC"/>
        <family val="2"/>
      </rPr>
      <t xml:space="preserve">총 인시</t>
    </r>
    <r>
      <rPr>
        <sz val="9"/>
        <color rgb="FF57606A"/>
        <rFont val="맑은 고딕"/>
        <family val="0"/>
        <charset val="1"/>
      </rPr>
      <t xml:space="preserve">(R) = 1</t>
    </r>
    <r>
      <rPr>
        <sz val="9"/>
        <color rgb="FF57606A"/>
        <rFont val="Noto Sans CJK SC"/>
        <family val="2"/>
      </rPr>
      <t xml:space="preserve">인 시간 </t>
    </r>
    <r>
      <rPr>
        <sz val="9"/>
        <color rgb="FF57606A"/>
        <rFont val="맑은 고딕"/>
        <family val="0"/>
        <charset val="1"/>
      </rPr>
      <t xml:space="preserve">× </t>
    </r>
    <r>
      <rPr>
        <sz val="9"/>
        <color rgb="FF57606A"/>
        <rFont val="Noto Sans CJK SC"/>
        <family val="2"/>
      </rPr>
      <t xml:space="preserve">투입인원 으로 자동 계산됩니다</t>
    </r>
    <r>
      <rPr>
        <sz val="9"/>
        <color rgb="FF57606A"/>
        <rFont val="맑은 고딕"/>
        <family val="0"/>
        <charset val="1"/>
      </rPr>
      <t xml:space="preserve">.  ※ </t>
    </r>
    <r>
      <rPr>
        <sz val="9"/>
        <color rgb="FF57606A"/>
        <rFont val="Noto Sans CJK SC"/>
        <family val="2"/>
      </rPr>
      <t xml:space="preserve">파란 글씨 칸만 입력 </t>
    </r>
    <r>
      <rPr>
        <sz val="9"/>
        <color rgb="FF57606A"/>
        <rFont val="맑은 고딕"/>
        <family val="0"/>
        <charset val="1"/>
      </rPr>
      <t xml:space="preserve">/ </t>
    </r>
    <r>
      <rPr>
        <sz val="9"/>
        <color rgb="FF57606A"/>
        <rFont val="Noto Sans CJK SC"/>
        <family val="2"/>
      </rPr>
      <t xml:space="preserve">회색 칸은 자동</t>
    </r>
    <r>
      <rPr>
        <sz val="9"/>
        <color rgb="FF57606A"/>
        <rFont val="맑은 고딕"/>
        <family val="0"/>
        <charset val="1"/>
      </rPr>
      <t xml:space="preserve">.  ※ 5~7</t>
    </r>
    <r>
      <rPr>
        <sz val="9"/>
        <color rgb="FF57606A"/>
        <rFont val="Noto Sans CJK SC"/>
        <family val="2"/>
      </rPr>
      <t xml:space="preserve">행은 예시이므로 지우고 사용하세요</t>
    </r>
    <r>
      <rPr>
        <sz val="9"/>
        <color rgb="FF57606A"/>
        <rFont val="맑은 고딕"/>
        <family val="0"/>
        <charset val="1"/>
      </rPr>
      <t xml:space="preserve">.</t>
    </r>
  </si>
  <si>
    <t xml:space="preserve">연번</t>
  </si>
  <si>
    <t xml:space="preserve">시작일</t>
  </si>
  <si>
    <t xml:space="preserve">종료일</t>
  </si>
  <si>
    <t xml:space="preserve">직무구분</t>
  </si>
  <si>
    <t xml:space="preserve">세부유형</t>
  </si>
  <si>
    <r>
      <rPr>
        <b val="true"/>
        <sz val="10"/>
        <color rgb="FF5EEAD4"/>
        <rFont val="Noto Sans CJK SC"/>
        <family val="2"/>
      </rPr>
      <t xml:space="preserve">사건명 </t>
    </r>
    <r>
      <rPr>
        <b val="true"/>
        <sz val="10"/>
        <color rgb="FF5EEAD4"/>
        <rFont val="맑은 고딕"/>
        <family val="0"/>
        <charset val="1"/>
      </rPr>
      <t xml:space="preserve">· </t>
    </r>
    <r>
      <rPr>
        <b val="true"/>
        <sz val="10"/>
        <color rgb="FF5EEAD4"/>
        <rFont val="Noto Sans CJK SC"/>
        <family val="2"/>
      </rPr>
      <t xml:space="preserve">업무명</t>
    </r>
  </si>
  <si>
    <t xml:space="preserve">사건번호</t>
  </si>
  <si>
    <r>
      <rPr>
        <b val="true"/>
        <sz val="10"/>
        <color rgb="FF5EEAD4"/>
        <rFont val="Noto Sans CJK SC"/>
        <family val="2"/>
      </rPr>
      <t xml:space="preserve">요청</t>
    </r>
    <r>
      <rPr>
        <b val="true"/>
        <sz val="10"/>
        <color rgb="FF5EEAD4"/>
        <rFont val="맑은 고딕"/>
        <family val="0"/>
        <charset val="1"/>
      </rPr>
      <t xml:space="preserve">·</t>
    </r>
    <r>
      <rPr>
        <b val="true"/>
        <sz val="10"/>
        <color rgb="FF5EEAD4"/>
        <rFont val="Noto Sans CJK SC"/>
        <family val="2"/>
      </rPr>
      <t xml:space="preserve">의뢰처</t>
    </r>
  </si>
  <si>
    <t xml:space="preserve">주담당자</t>
  </si>
  <si>
    <r>
      <rPr>
        <b val="true"/>
        <sz val="10"/>
        <color rgb="FF5EEAD4"/>
        <rFont val="Noto Sans CJK SC"/>
        <family val="2"/>
      </rPr>
      <t xml:space="preserve">동행자 </t>
    </r>
    <r>
      <rPr>
        <b val="true"/>
        <sz val="10"/>
        <color rgb="FF5EEAD4"/>
        <rFont val="맑은 고딕"/>
        <family val="0"/>
        <charset val="1"/>
      </rPr>
      <t xml:space="preserve">(</t>
    </r>
    <r>
      <rPr>
        <b val="true"/>
        <sz val="10"/>
        <color rgb="FF5EEAD4"/>
        <rFont val="Noto Sans CJK SC"/>
        <family val="2"/>
      </rPr>
      <t xml:space="preserve">쉼표로 구분</t>
    </r>
    <r>
      <rPr>
        <b val="true"/>
        <sz val="10"/>
        <color rgb="FF5EEAD4"/>
        <rFont val="맑은 고딕"/>
        <family val="0"/>
        <charset val="1"/>
      </rPr>
      <t xml:space="preserve">)</t>
    </r>
  </si>
  <si>
    <r>
      <rPr>
        <b val="true"/>
        <sz val="10"/>
        <color rgb="FF5EEAD4"/>
        <rFont val="Noto Sans CJK SC"/>
        <family val="2"/>
      </rPr>
      <t xml:space="preserve">투입인원</t>
    </r>
    <r>
      <rPr>
        <b val="true"/>
        <sz val="10"/>
        <color rgb="FF5EEAD4"/>
        <rFont val="맑은 고딕"/>
        <family val="0"/>
        <charset val="1"/>
      </rPr>
      <t xml:space="preserve">(</t>
    </r>
    <r>
      <rPr>
        <b val="true"/>
        <sz val="10"/>
        <color rgb="FF5EEAD4"/>
        <rFont val="Noto Sans CJK SC"/>
        <family val="2"/>
      </rPr>
      <t xml:space="preserve">명</t>
    </r>
    <r>
      <rPr>
        <b val="true"/>
        <sz val="10"/>
        <color rgb="FF5EEAD4"/>
        <rFont val="맑은 고딕"/>
        <family val="0"/>
        <charset val="1"/>
      </rPr>
      <t xml:space="preserve">)</t>
    </r>
  </si>
  <si>
    <t xml:space="preserve">소속팀</t>
  </si>
  <si>
    <r>
      <rPr>
        <b val="true"/>
        <sz val="10"/>
        <color rgb="FF5EEAD4"/>
        <rFont val="Noto Sans CJK SC"/>
        <family val="2"/>
      </rPr>
      <t xml:space="preserve">장소 </t>
    </r>
    <r>
      <rPr>
        <b val="true"/>
        <sz val="10"/>
        <color rgb="FF5EEAD4"/>
        <rFont val="맑은 고딕"/>
        <family val="0"/>
        <charset val="1"/>
      </rPr>
      <t xml:space="preserve">/ </t>
    </r>
    <r>
      <rPr>
        <b val="true"/>
        <sz val="10"/>
        <color rgb="FF5EEAD4"/>
        <rFont val="Noto Sans CJK SC"/>
        <family val="2"/>
      </rPr>
      <t xml:space="preserve">분석실</t>
    </r>
  </si>
  <si>
    <r>
      <rPr>
        <b val="true"/>
        <sz val="10"/>
        <color rgb="FF5EEAD4"/>
        <rFont val="Noto Sans CJK SC"/>
        <family val="2"/>
      </rPr>
      <t xml:space="preserve">대상매체</t>
    </r>
    <r>
      <rPr>
        <b val="true"/>
        <sz val="10"/>
        <color rgb="FF5EEAD4"/>
        <rFont val="맑은 고딕"/>
        <family val="0"/>
        <charset val="1"/>
      </rPr>
      <t xml:space="preserve">(</t>
    </r>
    <r>
      <rPr>
        <b val="true"/>
        <sz val="10"/>
        <color rgb="FF5EEAD4"/>
        <rFont val="Noto Sans CJK SC"/>
        <family val="2"/>
      </rPr>
      <t xml:space="preserve">건</t>
    </r>
    <r>
      <rPr>
        <b val="true"/>
        <sz val="10"/>
        <color rgb="FF5EEAD4"/>
        <rFont val="맑은 고딕"/>
        <family val="0"/>
        <charset val="1"/>
      </rPr>
      <t xml:space="preserve">)</t>
    </r>
  </si>
  <si>
    <r>
      <rPr>
        <b val="true"/>
        <sz val="10"/>
        <color rgb="FF5EEAD4"/>
        <rFont val="Noto Sans CJK SC"/>
        <family val="2"/>
      </rPr>
      <t xml:space="preserve">데이터량</t>
    </r>
    <r>
      <rPr>
        <b val="true"/>
        <sz val="10"/>
        <color rgb="FF5EEAD4"/>
        <rFont val="맑은 고딕"/>
        <family val="0"/>
        <charset val="1"/>
      </rPr>
      <t xml:space="preserve">(GB)</t>
    </r>
  </si>
  <si>
    <t xml:space="preserve">소요일수</t>
  </si>
  <si>
    <r>
      <rPr>
        <b val="true"/>
        <sz val="10"/>
        <color rgb="FF5EEAD4"/>
        <rFont val="맑은 고딕"/>
        <family val="0"/>
        <charset val="1"/>
      </rPr>
      <t xml:space="preserve">1</t>
    </r>
    <r>
      <rPr>
        <b val="true"/>
        <sz val="10"/>
        <color rgb="FF5EEAD4"/>
        <rFont val="Noto Sans CJK SC"/>
        <family val="2"/>
      </rPr>
      <t xml:space="preserve">인 투입시간</t>
    </r>
    <r>
      <rPr>
        <b val="true"/>
        <sz val="10"/>
        <color rgb="FF5EEAD4"/>
        <rFont val="맑은 고딕"/>
        <family val="0"/>
        <charset val="1"/>
      </rPr>
      <t xml:space="preserve">(H)</t>
    </r>
  </si>
  <si>
    <r>
      <rPr>
        <b val="true"/>
        <sz val="10"/>
        <color rgb="FF5EEAD4"/>
        <rFont val="Noto Sans CJK SC"/>
        <family val="2"/>
      </rPr>
      <t xml:space="preserve">총 인시</t>
    </r>
    <r>
      <rPr>
        <b val="true"/>
        <sz val="10"/>
        <color rgb="FF5EEAD4"/>
        <rFont val="맑은 고딕"/>
        <family val="0"/>
        <charset val="1"/>
      </rPr>
      <t xml:space="preserve">(H)</t>
    </r>
  </si>
  <si>
    <t xml:space="preserve">진행상태</t>
  </si>
  <si>
    <r>
      <rPr>
        <b val="true"/>
        <sz val="10"/>
        <color rgb="FF5EEAD4"/>
        <rFont val="Noto Sans CJK SC"/>
        <family val="2"/>
      </rPr>
      <t xml:space="preserve">출장비</t>
    </r>
    <r>
      <rPr>
        <b val="true"/>
        <sz val="10"/>
        <color rgb="FF5EEAD4"/>
        <rFont val="맑은 고딕"/>
        <family val="0"/>
        <charset val="1"/>
      </rPr>
      <t xml:space="preserve">(</t>
    </r>
    <r>
      <rPr>
        <b val="true"/>
        <sz val="10"/>
        <color rgb="FF5EEAD4"/>
        <rFont val="Noto Sans CJK SC"/>
        <family val="2"/>
      </rPr>
      <t xml:space="preserve">원</t>
    </r>
    <r>
      <rPr>
        <b val="true"/>
        <sz val="10"/>
        <color rgb="FF5EEAD4"/>
        <rFont val="맑은 고딕"/>
        <family val="0"/>
        <charset val="1"/>
      </rPr>
      <t xml:space="preserve">)</t>
    </r>
  </si>
  <si>
    <t xml:space="preserve">비고</t>
  </si>
  <si>
    <t xml:space="preserve">출장</t>
  </si>
  <si>
    <r>
      <rPr>
        <sz val="10"/>
        <color rgb="FF0000FF"/>
        <rFont val="Noto Sans CJK SC"/>
        <family val="2"/>
      </rPr>
      <t xml:space="preserve">압수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수색 집행</t>
    </r>
  </si>
  <si>
    <t xml:space="preserve">○○ 기술유출 사건 압수수색</t>
  </si>
  <si>
    <r>
      <rPr>
        <sz val="10"/>
        <color rgb="FF0000FF"/>
        <rFont val="맑은 고딕"/>
        <family val="0"/>
        <charset val="1"/>
      </rPr>
      <t xml:space="preserve">2026-</t>
    </r>
    <r>
      <rPr>
        <sz val="10"/>
        <color rgb="FF0000FF"/>
        <rFont val="Noto Sans CJK SC"/>
        <family val="2"/>
      </rPr>
      <t xml:space="preserve">형제</t>
    </r>
    <r>
      <rPr>
        <sz val="10"/>
        <color rgb="FF0000FF"/>
        <rFont val="맑은 고딕"/>
        <family val="0"/>
        <charset val="1"/>
      </rPr>
      <t xml:space="preserve">-1024</t>
    </r>
  </si>
  <si>
    <t xml:space="preserve">본청 수사과</t>
  </si>
  <si>
    <t xml:space="preserve">김디지</t>
  </si>
  <si>
    <r>
      <rPr>
        <sz val="10"/>
        <color rgb="FF0000FF"/>
        <rFont val="Noto Sans CJK SC"/>
        <family val="2"/>
      </rPr>
      <t xml:space="preserve">이수사</t>
    </r>
    <r>
      <rPr>
        <sz val="10"/>
        <color rgb="FF0000FF"/>
        <rFont val="맑은 고딕"/>
        <family val="0"/>
        <charset val="1"/>
      </rPr>
      <t xml:space="preserve">, </t>
    </r>
    <r>
      <rPr>
        <sz val="10"/>
        <color rgb="FF0000FF"/>
        <rFont val="Noto Sans CJK SC"/>
        <family val="2"/>
      </rPr>
      <t xml:space="preserve">박증거</t>
    </r>
  </si>
  <si>
    <r>
      <rPr>
        <sz val="10"/>
        <color rgb="FF0000FF"/>
        <rFont val="Noto Sans CJK SC"/>
        <family val="2"/>
      </rPr>
      <t xml:space="preserve">포렌식</t>
    </r>
    <r>
      <rPr>
        <sz val="10"/>
        <color rgb="FF0000FF"/>
        <rFont val="맑은 고딕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팀</t>
    </r>
  </si>
  <si>
    <t xml:space="preserve">경기 성남시 판교</t>
  </si>
  <si>
    <t xml:space="preserve">완료</t>
  </si>
  <si>
    <r>
      <rPr>
        <sz val="10"/>
        <color rgb="FF0000FF"/>
        <rFont val="Noto Sans CJK SC"/>
        <family val="2"/>
      </rPr>
      <t xml:space="preserve">※ 예시 </t>
    </r>
    <r>
      <rPr>
        <sz val="10"/>
        <color rgb="FF0000FF"/>
        <rFont val="맑은 고딕"/>
        <family val="0"/>
        <charset val="1"/>
      </rPr>
      <t xml:space="preserve">- 3</t>
    </r>
    <r>
      <rPr>
        <sz val="10"/>
        <color rgb="FF0000FF"/>
        <rFont val="Noto Sans CJK SC"/>
        <family val="2"/>
      </rPr>
      <t xml:space="preserve">인 동시 출장</t>
    </r>
  </si>
  <si>
    <t xml:space="preserve">분석</t>
  </si>
  <si>
    <t xml:space="preserve">디스크 이미지 분석</t>
  </si>
  <si>
    <r>
      <rPr>
        <sz val="10"/>
        <color rgb="FF0000FF"/>
        <rFont val="Noto Sans CJK SC"/>
        <family val="2"/>
      </rPr>
      <t xml:space="preserve">○○ 기술유출 사건 </t>
    </r>
    <r>
      <rPr>
        <sz val="10"/>
        <color rgb="FF0000FF"/>
        <rFont val="맑은 고딕"/>
        <family val="0"/>
        <charset val="1"/>
      </rPr>
      <t xml:space="preserve">E01 </t>
    </r>
    <r>
      <rPr>
        <sz val="10"/>
        <color rgb="FF0000FF"/>
        <rFont val="Noto Sans CJK SC"/>
        <family val="2"/>
      </rPr>
      <t xml:space="preserve">분석</t>
    </r>
  </si>
  <si>
    <r>
      <rPr>
        <sz val="10"/>
        <color rgb="FF0000FF"/>
        <rFont val="Noto Sans CJK SC"/>
        <family val="2"/>
      </rPr>
      <t xml:space="preserve">본관 </t>
    </r>
    <r>
      <rPr>
        <sz val="10"/>
        <color rgb="FF0000FF"/>
        <rFont val="맑은 고딕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층 분석실</t>
    </r>
  </si>
  <si>
    <r>
      <rPr>
        <sz val="10"/>
        <color rgb="FF0000FF"/>
        <rFont val="Noto Sans CJK SC"/>
        <family val="2"/>
      </rPr>
      <t xml:space="preserve">※ 예시 </t>
    </r>
    <r>
      <rPr>
        <sz val="10"/>
        <color rgb="FF0000FF"/>
        <rFont val="맑은 고딕"/>
        <family val="0"/>
        <charset val="1"/>
      </rPr>
      <t xml:space="preserve">- </t>
    </r>
    <r>
      <rPr>
        <sz val="10"/>
        <color rgb="FF0000FF"/>
        <rFont val="Noto Sans CJK SC"/>
        <family val="2"/>
      </rPr>
      <t xml:space="preserve">단독 분석</t>
    </r>
  </si>
  <si>
    <t xml:space="preserve">모바일 분석</t>
  </si>
  <si>
    <r>
      <rPr>
        <sz val="10"/>
        <color rgb="FF0000FF"/>
        <rFont val="Noto Sans CJK SC"/>
        <family val="2"/>
      </rPr>
      <t xml:space="preserve">△△ 사건 휴대폰 추출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분석</t>
    </r>
  </si>
  <si>
    <r>
      <rPr>
        <sz val="10"/>
        <color rgb="FF0000FF"/>
        <rFont val="맑은 고딕"/>
        <family val="0"/>
        <charset val="1"/>
      </rPr>
      <t xml:space="preserve">2026-</t>
    </r>
    <r>
      <rPr>
        <sz val="10"/>
        <color rgb="FF0000FF"/>
        <rFont val="Noto Sans CJK SC"/>
        <family val="2"/>
      </rPr>
      <t xml:space="preserve">형제</t>
    </r>
    <r>
      <rPr>
        <sz val="10"/>
        <color rgb="FF0000FF"/>
        <rFont val="맑은 고딕"/>
        <family val="0"/>
        <charset val="1"/>
      </rPr>
      <t xml:space="preserve">-1131</t>
    </r>
  </si>
  <si>
    <t xml:space="preserve">지방청 사이버수사대</t>
  </si>
  <si>
    <t xml:space="preserve">박증거</t>
  </si>
  <si>
    <r>
      <rPr>
        <sz val="10"/>
        <color rgb="FF0000FF"/>
        <rFont val="Noto Sans CJK SC"/>
        <family val="2"/>
      </rPr>
      <t xml:space="preserve">포렌식</t>
    </r>
    <r>
      <rPr>
        <sz val="10"/>
        <color rgb="FF0000FF"/>
        <rFont val="맑은 고딕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팀</t>
    </r>
  </si>
  <si>
    <t xml:space="preserve">진행중</t>
  </si>
  <si>
    <r>
      <rPr>
        <sz val="10"/>
        <color rgb="FF0000FF"/>
        <rFont val="Noto Sans CJK SC"/>
        <family val="2"/>
      </rPr>
      <t xml:space="preserve">※ 예시 </t>
    </r>
    <r>
      <rPr>
        <sz val="10"/>
        <color rgb="FF0000FF"/>
        <rFont val="맑은 고딕"/>
        <family val="0"/>
        <charset val="1"/>
      </rPr>
      <t xml:space="preserve">- </t>
    </r>
    <r>
      <rPr>
        <sz val="10"/>
        <color rgb="FF0000FF"/>
        <rFont val="Noto Sans CJK SC"/>
        <family val="2"/>
      </rPr>
      <t xml:space="preserve">삭제 후 사용</t>
    </r>
  </si>
  <si>
    <r>
      <rPr>
        <b val="true"/>
        <sz val="15"/>
        <color rgb="FF5EEAD4"/>
        <rFont val="Noto Sans CJK SC"/>
        <family val="2"/>
      </rPr>
      <t xml:space="preserve">부서 전체 현황  </t>
    </r>
    <r>
      <rPr>
        <b val="true"/>
        <sz val="15"/>
        <color rgb="FF5EEAD4"/>
        <rFont val="맑은 고딕"/>
        <family val="0"/>
        <charset val="1"/>
      </rPr>
      <t xml:space="preserve">·  </t>
    </r>
    <r>
      <rPr>
        <b val="true"/>
        <sz val="15"/>
        <color rgb="FF5EEAD4"/>
        <rFont val="Noto Sans CJK SC"/>
        <family val="2"/>
      </rPr>
      <t xml:space="preserve">출장 </t>
    </r>
    <r>
      <rPr>
        <b val="true"/>
        <sz val="15"/>
        <color rgb="FF5EEAD4"/>
        <rFont val="맑은 고딕"/>
        <family val="0"/>
        <charset val="1"/>
      </rPr>
      <t xml:space="preserve">/ </t>
    </r>
    <r>
      <rPr>
        <b val="true"/>
        <sz val="15"/>
        <color rgb="FF5EEAD4"/>
        <rFont val="Noto Sans CJK SC"/>
        <family val="2"/>
      </rPr>
      <t xml:space="preserve">분석</t>
    </r>
  </si>
  <si>
    <r>
      <rPr>
        <sz val="9"/>
        <color rgb="FF57606A"/>
        <rFont val="Noto Sans CJK SC"/>
        <family val="2"/>
      </rPr>
      <t xml:space="preserve">※ 노란 칸</t>
    </r>
    <r>
      <rPr>
        <sz val="9"/>
        <color rgb="FF57606A"/>
        <rFont val="맑은 고딕"/>
        <family val="0"/>
        <charset val="1"/>
      </rPr>
      <t xml:space="preserve">(</t>
    </r>
    <r>
      <rPr>
        <sz val="9"/>
        <color rgb="FF57606A"/>
        <rFont val="Noto Sans CJK SC"/>
        <family val="2"/>
      </rPr>
      <t xml:space="preserve">기준연도</t>
    </r>
    <r>
      <rPr>
        <sz val="9"/>
        <color rgb="FF57606A"/>
        <rFont val="맑은 고딕"/>
        <family val="0"/>
        <charset val="1"/>
      </rPr>
      <t xml:space="preserve">)</t>
    </r>
    <r>
      <rPr>
        <sz val="9"/>
        <color rgb="FF57606A"/>
        <rFont val="Noto Sans CJK SC"/>
        <family val="2"/>
      </rPr>
      <t xml:space="preserve">만 바꾸면 전체 표가 다시 계산됩니다</t>
    </r>
    <r>
      <rPr>
        <sz val="9"/>
        <color rgb="FF57606A"/>
        <rFont val="맑은 고딕"/>
        <family val="0"/>
        <charset val="1"/>
      </rPr>
      <t xml:space="preserve">.  ※ </t>
    </r>
    <r>
      <rPr>
        <sz val="9"/>
        <color rgb="FF57606A"/>
        <rFont val="Noto Sans CJK SC"/>
        <family val="2"/>
      </rPr>
      <t xml:space="preserve">건수 </t>
    </r>
    <r>
      <rPr>
        <sz val="9"/>
        <color rgb="FF57606A"/>
        <rFont val="맑은 고딕"/>
        <family val="0"/>
        <charset val="1"/>
      </rPr>
      <t xml:space="preserve">= </t>
    </r>
    <r>
      <rPr>
        <sz val="9"/>
        <color rgb="FF57606A"/>
        <rFont val="Noto Sans CJK SC"/>
        <family val="2"/>
      </rPr>
      <t xml:space="preserve">출장</t>
    </r>
    <r>
      <rPr>
        <sz val="9"/>
        <color rgb="FF57606A"/>
        <rFont val="맑은 고딕"/>
        <family val="0"/>
        <charset val="1"/>
      </rPr>
      <t xml:space="preserve">·</t>
    </r>
    <r>
      <rPr>
        <sz val="9"/>
        <color rgb="FF57606A"/>
        <rFont val="Noto Sans CJK SC"/>
        <family val="2"/>
      </rPr>
      <t xml:space="preserve">분석 </t>
    </r>
    <r>
      <rPr>
        <sz val="9"/>
        <color rgb="FF57606A"/>
        <rFont val="맑은 고딕"/>
        <family val="0"/>
        <charset val="1"/>
      </rPr>
      <t xml:space="preserve">'</t>
    </r>
    <r>
      <rPr>
        <sz val="9"/>
        <color rgb="FF57606A"/>
        <rFont val="Noto Sans CJK SC"/>
        <family val="2"/>
      </rPr>
      <t xml:space="preserve">건</t>
    </r>
    <r>
      <rPr>
        <sz val="9"/>
        <color rgb="FF57606A"/>
        <rFont val="맑은 고딕"/>
        <family val="0"/>
        <charset val="1"/>
      </rPr>
      <t xml:space="preserve">' </t>
    </r>
    <r>
      <rPr>
        <sz val="9"/>
        <color rgb="FF57606A"/>
        <rFont val="Noto Sans CJK SC"/>
        <family val="2"/>
      </rPr>
      <t xml:space="preserve">단위 </t>
    </r>
    <r>
      <rPr>
        <sz val="9"/>
        <color rgb="FF57606A"/>
        <rFont val="맑은 고딕"/>
        <family val="0"/>
        <charset val="1"/>
      </rPr>
      <t xml:space="preserve">/ </t>
    </r>
    <r>
      <rPr>
        <sz val="9"/>
        <color rgb="FF57606A"/>
        <rFont val="Noto Sans CJK SC"/>
        <family val="2"/>
      </rPr>
      <t xml:space="preserve">연인원 </t>
    </r>
    <r>
      <rPr>
        <sz val="9"/>
        <color rgb="FF57606A"/>
        <rFont val="맑은 고딕"/>
        <family val="0"/>
        <charset val="1"/>
      </rPr>
      <t xml:space="preserve">= </t>
    </r>
    <r>
      <rPr>
        <sz val="9"/>
        <color rgb="FF57606A"/>
        <rFont val="Noto Sans CJK SC"/>
        <family val="2"/>
      </rPr>
      <t xml:space="preserve">참여 인원 누계 </t>
    </r>
    <r>
      <rPr>
        <sz val="9"/>
        <color rgb="FF57606A"/>
        <rFont val="맑은 고딕"/>
        <family val="0"/>
        <charset val="1"/>
      </rPr>
      <t xml:space="preserve">/ </t>
    </r>
    <r>
      <rPr>
        <sz val="9"/>
        <color rgb="FF57606A"/>
        <rFont val="Noto Sans CJK SC"/>
        <family val="2"/>
      </rPr>
      <t xml:space="preserve">총 인시 </t>
    </r>
    <r>
      <rPr>
        <sz val="9"/>
        <color rgb="FF57606A"/>
        <rFont val="맑은 고딕"/>
        <family val="0"/>
        <charset val="1"/>
      </rPr>
      <t xml:space="preserve">= </t>
    </r>
    <r>
      <rPr>
        <sz val="9"/>
        <color rgb="FF57606A"/>
        <rFont val="Noto Sans CJK SC"/>
        <family val="2"/>
      </rPr>
      <t xml:space="preserve">실제 투입 공수</t>
    </r>
    <r>
      <rPr>
        <sz val="9"/>
        <color rgb="FF57606A"/>
        <rFont val="맑은 고딕"/>
        <family val="0"/>
        <charset val="1"/>
      </rPr>
      <t xml:space="preserve">(1</t>
    </r>
    <r>
      <rPr>
        <sz val="9"/>
        <color rgb="FF57606A"/>
        <rFont val="Noto Sans CJK SC"/>
        <family val="2"/>
      </rPr>
      <t xml:space="preserve">인시간 </t>
    </r>
    <r>
      <rPr>
        <sz val="9"/>
        <color rgb="FF57606A"/>
        <rFont val="맑은 고딕"/>
        <family val="0"/>
        <charset val="1"/>
      </rPr>
      <t xml:space="preserve">× </t>
    </r>
    <r>
      <rPr>
        <sz val="9"/>
        <color rgb="FF57606A"/>
        <rFont val="Noto Sans CJK SC"/>
        <family val="2"/>
      </rPr>
      <t xml:space="preserve">인원</t>
    </r>
    <r>
      <rPr>
        <sz val="9"/>
        <color rgb="FF57606A"/>
        <rFont val="맑은 고딕"/>
        <family val="0"/>
        <charset val="1"/>
      </rPr>
      <t xml:space="preserve">).</t>
    </r>
  </si>
  <si>
    <t xml:space="preserve">기준연도</t>
  </si>
  <si>
    <r>
      <rPr>
        <b val="true"/>
        <sz val="11"/>
        <color rgb="FF0F1419"/>
        <rFont val="맑은 고딕"/>
        <family val="0"/>
        <charset val="1"/>
      </rPr>
      <t xml:space="preserve">1. </t>
    </r>
    <r>
      <rPr>
        <b val="true"/>
        <sz val="11"/>
        <color rgb="FF0F1419"/>
        <rFont val="Noto Sans CJK SC"/>
        <family val="2"/>
      </rPr>
      <t xml:space="preserve">월별 추이</t>
    </r>
  </si>
  <si>
    <t xml:space="preserve">월</t>
  </si>
  <si>
    <t xml:space="preserve">출장 건수</t>
  </si>
  <si>
    <t xml:space="preserve">분석 건수</t>
  </si>
  <si>
    <t xml:space="preserve">전체 건수</t>
  </si>
  <si>
    <t xml:space="preserve">출장 소요일수</t>
  </si>
  <si>
    <r>
      <rPr>
        <b val="true"/>
        <sz val="10"/>
        <color rgb="FF5EEAD4"/>
        <rFont val="Noto Sans CJK SC"/>
        <family val="2"/>
      </rPr>
      <t xml:space="preserve">연인원</t>
    </r>
    <r>
      <rPr>
        <b val="true"/>
        <sz val="10"/>
        <color rgb="FF5EEAD4"/>
        <rFont val="맑은 고딕"/>
        <family val="0"/>
        <charset val="1"/>
      </rPr>
      <t xml:space="preserve">(</t>
    </r>
    <r>
      <rPr>
        <b val="true"/>
        <sz val="10"/>
        <color rgb="FF5EEAD4"/>
        <rFont val="Noto Sans CJK SC"/>
        <family val="2"/>
      </rPr>
      <t xml:space="preserve">명</t>
    </r>
    <r>
      <rPr>
        <b val="true"/>
        <sz val="10"/>
        <color rgb="FF5EEAD4"/>
        <rFont val="맑은 고딕"/>
        <family val="0"/>
        <charset val="1"/>
      </rPr>
      <t xml:space="preserve">)</t>
    </r>
  </si>
  <si>
    <r>
      <rPr>
        <b val="true"/>
        <sz val="10"/>
        <color rgb="FF5EEAD4"/>
        <rFont val="맑은 고딕"/>
        <family val="0"/>
        <charset val="1"/>
      </rPr>
      <t xml:space="preserve">1</t>
    </r>
    <r>
      <rPr>
        <b val="true"/>
        <sz val="10"/>
        <color rgb="FF5EEAD4"/>
        <rFont val="Noto Sans CJK SC"/>
        <family val="2"/>
      </rPr>
      <t xml:space="preserve">건당 인시</t>
    </r>
    <r>
      <rPr>
        <b val="true"/>
        <sz val="10"/>
        <color rgb="FF5EEAD4"/>
        <rFont val="맑은 고딕"/>
        <family val="0"/>
        <charset val="1"/>
      </rPr>
      <t xml:space="preserve">(H)</t>
    </r>
  </si>
  <si>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</si>
  <si>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</si>
  <si>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</si>
  <si>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4</t>
    </r>
    <r>
      <rPr>
        <sz val="10"/>
        <rFont val="Noto Sans CJK SC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</si>
  <si>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5</t>
    </r>
    <r>
      <rPr>
        <sz val="10"/>
        <rFont val="Noto Sans CJK SC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</si>
  <si>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6</t>
    </r>
    <r>
      <rPr>
        <sz val="10"/>
        <rFont val="Noto Sans CJK SC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</si>
  <si>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7</t>
    </r>
    <r>
      <rPr>
        <sz val="10"/>
        <rFont val="Noto Sans CJK SC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</si>
  <si>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8</t>
    </r>
    <r>
      <rPr>
        <sz val="10"/>
        <rFont val="Noto Sans CJK SC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</si>
  <si>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9</t>
    </r>
    <r>
      <rPr>
        <sz val="10"/>
        <rFont val="Noto Sans CJK SC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</si>
  <si>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10</t>
    </r>
    <r>
      <rPr>
        <sz val="10"/>
        <rFont val="Noto Sans CJK SC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</si>
  <si>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11</t>
    </r>
    <r>
      <rPr>
        <sz val="10"/>
        <rFont val="Noto Sans CJK SC"/>
        <family val="2"/>
      </rPr>
      <t xml:space="preserve">월</t>
    </r>
  </si>
  <si>
    <r>
      <rPr>
        <sz val="10"/>
        <rFont val="맑은 고딕"/>
        <family val="0"/>
        <charset val="1"/>
      </rPr>
      <t xml:space="preserve">12</t>
    </r>
    <r>
      <rPr>
        <sz val="10"/>
        <rFont val="Noto Sans CJK SC"/>
        <family val="2"/>
      </rPr>
      <t xml:space="preserve">월</t>
    </r>
  </si>
  <si>
    <t xml:space="preserve">합계</t>
  </si>
  <si>
    <r>
      <rPr>
        <b val="true"/>
        <sz val="11"/>
        <color rgb="FF0F1419"/>
        <rFont val="맑은 고딕"/>
        <family val="0"/>
        <charset val="1"/>
      </rPr>
      <t xml:space="preserve">2. </t>
    </r>
    <r>
      <rPr>
        <b val="true"/>
        <sz val="11"/>
        <color rgb="FF0F1419"/>
        <rFont val="Noto Sans CJK SC"/>
        <family val="2"/>
      </rPr>
      <t xml:space="preserve">직무구분 </t>
    </r>
    <r>
      <rPr>
        <b val="true"/>
        <sz val="11"/>
        <color rgb="FF0F1419"/>
        <rFont val="맑은 고딕"/>
        <family val="0"/>
        <charset val="1"/>
      </rPr>
      <t xml:space="preserve">· </t>
    </r>
    <r>
      <rPr>
        <b val="true"/>
        <sz val="11"/>
        <color rgb="FF0F1419"/>
        <rFont val="Noto Sans CJK SC"/>
        <family val="2"/>
      </rPr>
      <t xml:space="preserve">세부유형별 현황 </t>
    </r>
    <r>
      <rPr>
        <b val="true"/>
        <sz val="11"/>
        <color rgb="FF0F1419"/>
        <rFont val="맑은 고딕"/>
        <family val="0"/>
        <charset val="1"/>
      </rPr>
      <t xml:space="preserve">(</t>
    </r>
    <r>
      <rPr>
        <b val="true"/>
        <sz val="11"/>
        <color rgb="FF0F1419"/>
        <rFont val="Noto Sans CJK SC"/>
        <family val="2"/>
      </rPr>
      <t xml:space="preserve">연간 누계</t>
    </r>
    <r>
      <rPr>
        <b val="true"/>
        <sz val="11"/>
        <color rgb="FF0F1419"/>
        <rFont val="맑은 고딕"/>
        <family val="0"/>
        <charset val="1"/>
      </rPr>
      <t xml:space="preserve">)</t>
    </r>
  </si>
  <si>
    <t xml:space="preserve">건수</t>
  </si>
  <si>
    <t xml:space="preserve">비중</t>
  </si>
  <si>
    <t xml:space="preserve">평균 소요일수</t>
  </si>
  <si>
    <r>
      <rPr>
        <sz val="10"/>
        <rFont val="Noto Sans CJK SC"/>
        <family val="2"/>
      </rPr>
      <t xml:space="preserve">압수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수색 집행</t>
    </r>
  </si>
  <si>
    <t xml:space="preserve">현장 증거수집</t>
  </si>
  <si>
    <r>
      <rPr>
        <sz val="10"/>
        <rFont val="Noto Sans CJK SC"/>
        <family val="2"/>
      </rPr>
      <t xml:space="preserve">현장 지원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입회</t>
    </r>
  </si>
  <si>
    <r>
      <rPr>
        <sz val="10"/>
        <rFont val="Noto Sans CJK SC"/>
        <family val="2"/>
      </rPr>
      <t xml:space="preserve">회의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협의</t>
    </r>
  </si>
  <si>
    <r>
      <rPr>
        <sz val="10"/>
        <rFont val="Noto Sans CJK SC"/>
        <family val="2"/>
      </rPr>
      <t xml:space="preserve">교육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세미나</t>
    </r>
  </si>
  <si>
    <t xml:space="preserve">기타 출장</t>
  </si>
  <si>
    <r>
      <rPr>
        <sz val="10"/>
        <rFont val="Noto Sans CJK SC"/>
        <family val="2"/>
      </rPr>
      <t xml:space="preserve">영상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이미지 분석</t>
    </r>
  </si>
  <si>
    <r>
      <rPr>
        <sz val="10"/>
        <rFont val="Noto Sans CJK SC"/>
        <family val="2"/>
      </rPr>
      <t xml:space="preserve">로그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네트워크 분석</t>
    </r>
  </si>
  <si>
    <t xml:space="preserve">악성코드 분석</t>
  </si>
  <si>
    <r>
      <rPr>
        <sz val="10"/>
        <rFont val="Noto Sans CJK SC"/>
        <family val="2"/>
      </rPr>
      <t xml:space="preserve">보고서 작성</t>
    </r>
    <r>
      <rPr>
        <sz val="10"/>
        <rFont val="맑은 고딕"/>
        <family val="0"/>
        <charset val="1"/>
      </rPr>
      <t xml:space="preserve">·</t>
    </r>
    <r>
      <rPr>
        <sz val="10"/>
        <rFont val="Noto Sans CJK SC"/>
        <family val="2"/>
      </rPr>
      <t xml:space="preserve">검증</t>
    </r>
  </si>
  <si>
    <t xml:space="preserve">기타 분석</t>
  </si>
  <si>
    <r>
      <rPr>
        <b val="true"/>
        <sz val="11"/>
        <color rgb="FF0F1419"/>
        <rFont val="맑은 고딕"/>
        <family val="0"/>
        <charset val="1"/>
      </rPr>
      <t xml:space="preserve">3. </t>
    </r>
    <r>
      <rPr>
        <b val="true"/>
        <sz val="11"/>
        <color rgb="FF0F1419"/>
        <rFont val="Noto Sans CJK SC"/>
        <family val="2"/>
      </rPr>
      <t xml:space="preserve">팀별 현황 </t>
    </r>
    <r>
      <rPr>
        <b val="true"/>
        <sz val="11"/>
        <color rgb="FF0F1419"/>
        <rFont val="맑은 고딕"/>
        <family val="0"/>
        <charset val="1"/>
      </rPr>
      <t xml:space="preserve">(</t>
    </r>
    <r>
      <rPr>
        <b val="true"/>
        <sz val="11"/>
        <color rgb="FF0F1419"/>
        <rFont val="Noto Sans CJK SC"/>
        <family val="2"/>
      </rPr>
      <t xml:space="preserve">연간 누계</t>
    </r>
    <r>
      <rPr>
        <b val="true"/>
        <sz val="11"/>
        <color rgb="FF0F1419"/>
        <rFont val="맑은 고딕"/>
        <family val="0"/>
        <charset val="1"/>
      </rPr>
      <t xml:space="preserve">)  ※ </t>
    </r>
    <r>
      <rPr>
        <b val="true"/>
        <sz val="11"/>
        <color rgb="FF0F1419"/>
        <rFont val="Noto Sans CJK SC"/>
        <family val="2"/>
      </rPr>
      <t xml:space="preserve">주담당 기준</t>
    </r>
  </si>
  <si>
    <r>
      <rPr>
        <sz val="10"/>
        <rFont val="Noto Sans CJK SC"/>
        <family val="2"/>
      </rPr>
      <t xml:space="preserve">포렌식</t>
    </r>
    <r>
      <rPr>
        <sz val="10"/>
        <rFont val="맑은 고딕"/>
        <family val="0"/>
        <charset val="1"/>
      </rPr>
      <t xml:space="preserve">1</t>
    </r>
    <r>
      <rPr>
        <sz val="10"/>
        <rFont val="Noto Sans CJK SC"/>
        <family val="2"/>
      </rPr>
      <t xml:space="preserve">팀</t>
    </r>
  </si>
  <si>
    <r>
      <rPr>
        <sz val="10"/>
        <rFont val="Noto Sans CJK SC"/>
        <family val="2"/>
      </rPr>
      <t xml:space="preserve">포렌식</t>
    </r>
    <r>
      <rPr>
        <sz val="10"/>
        <rFont val="맑은 고딕"/>
        <family val="0"/>
        <charset val="1"/>
      </rPr>
      <t xml:space="preserve">2</t>
    </r>
    <r>
      <rPr>
        <sz val="10"/>
        <rFont val="Noto Sans CJK SC"/>
        <family val="2"/>
      </rPr>
      <t xml:space="preserve">팀</t>
    </r>
  </si>
  <si>
    <t xml:space="preserve">침해대응팀</t>
  </si>
  <si>
    <r>
      <rPr>
        <b val="true"/>
        <sz val="11"/>
        <color rgb="FF0F1419"/>
        <rFont val="맑은 고딕"/>
        <family val="0"/>
        <charset val="1"/>
      </rPr>
      <t xml:space="preserve">4. </t>
    </r>
    <r>
      <rPr>
        <b val="true"/>
        <sz val="11"/>
        <color rgb="FF0F1419"/>
        <rFont val="Noto Sans CJK SC"/>
        <family val="2"/>
      </rPr>
      <t xml:space="preserve">진행상태 </t>
    </r>
    <r>
      <rPr>
        <b val="true"/>
        <sz val="11"/>
        <color rgb="FF0F1419"/>
        <rFont val="맑은 고딕"/>
        <family val="0"/>
        <charset val="1"/>
      </rPr>
      <t xml:space="preserve">· </t>
    </r>
    <r>
      <rPr>
        <b val="true"/>
        <sz val="11"/>
        <color rgb="FF0F1419"/>
        <rFont val="Noto Sans CJK SC"/>
        <family val="2"/>
      </rPr>
      <t xml:space="preserve">요청처별 현황 </t>
    </r>
    <r>
      <rPr>
        <b val="true"/>
        <sz val="11"/>
        <color rgb="FF0F1419"/>
        <rFont val="맑은 고딕"/>
        <family val="0"/>
        <charset val="1"/>
      </rPr>
      <t xml:space="preserve">(</t>
    </r>
    <r>
      <rPr>
        <b val="true"/>
        <sz val="11"/>
        <color rgb="FF0F1419"/>
        <rFont val="Noto Sans CJK SC"/>
        <family val="2"/>
      </rPr>
      <t xml:space="preserve">연간 누계</t>
    </r>
    <r>
      <rPr>
        <b val="true"/>
        <sz val="11"/>
        <color rgb="FF0F1419"/>
        <rFont val="맑은 고딕"/>
        <family val="0"/>
        <charset val="1"/>
      </rPr>
      <t xml:space="preserve">)</t>
    </r>
  </si>
  <si>
    <t xml:space="preserve">보류</t>
  </si>
  <si>
    <t xml:space="preserve">감사실</t>
  </si>
  <si>
    <t xml:space="preserve">외부 의뢰기관</t>
  </si>
  <si>
    <t xml:space="preserve">자체 인지</t>
  </si>
  <si>
    <r>
      <rPr>
        <b val="true"/>
        <sz val="15"/>
        <color rgb="FF5EEAD4"/>
        <rFont val="Noto Sans CJK SC"/>
        <family val="2"/>
      </rPr>
      <t xml:space="preserve">사건별 현황  </t>
    </r>
    <r>
      <rPr>
        <b val="true"/>
        <sz val="15"/>
        <color rgb="FF5EEAD4"/>
        <rFont val="맑은 고딕"/>
        <family val="0"/>
        <charset val="1"/>
      </rPr>
      <t xml:space="preserve">·  </t>
    </r>
    <r>
      <rPr>
        <b val="true"/>
        <sz val="15"/>
        <color rgb="FF5EEAD4"/>
        <rFont val="Noto Sans CJK SC"/>
        <family val="2"/>
      </rPr>
      <t xml:space="preserve">사건번호 기준 통합</t>
    </r>
  </si>
  <si>
    <r>
      <rPr>
        <sz val="9"/>
        <color rgb="FF57606A"/>
        <rFont val="맑은 고딕"/>
        <family val="0"/>
        <charset val="1"/>
      </rPr>
      <t xml:space="preserve">※ A</t>
    </r>
    <r>
      <rPr>
        <sz val="9"/>
        <color rgb="FF57606A"/>
        <rFont val="Noto Sans CJK SC"/>
        <family val="2"/>
      </rPr>
      <t xml:space="preserve">열에 사건번호만 입력하면 나머지는 자동입니다</t>
    </r>
    <r>
      <rPr>
        <sz val="9"/>
        <color rgb="FF57606A"/>
        <rFont val="맑은 고딕"/>
        <family val="0"/>
        <charset val="1"/>
      </rPr>
      <t xml:space="preserve">. (</t>
    </r>
    <r>
      <rPr>
        <sz val="9"/>
        <color rgb="FF57606A"/>
        <rFont val="Noto Sans CJK SC"/>
        <family val="2"/>
      </rPr>
      <t xml:space="preserve">연도 구분 없이 전체 기간 누계 — 해를 넘긴 사건도 한 줄</t>
    </r>
    <r>
      <rPr>
        <sz val="9"/>
        <color rgb="FF57606A"/>
        <rFont val="맑은 고딕"/>
        <family val="0"/>
        <charset val="1"/>
      </rPr>
      <t xml:space="preserve">)  ※ </t>
    </r>
    <r>
      <rPr>
        <sz val="9"/>
        <color rgb="FF57606A"/>
        <rFont val="Noto Sans CJK SC"/>
        <family val="2"/>
      </rPr>
      <t xml:space="preserve">투입인원 </t>
    </r>
    <r>
      <rPr>
        <sz val="9"/>
        <color rgb="FF57606A"/>
        <rFont val="맑은 고딕"/>
        <family val="0"/>
        <charset val="1"/>
      </rPr>
      <t xml:space="preserve">= </t>
    </r>
    <r>
      <rPr>
        <sz val="9"/>
        <color rgb="FF57606A"/>
        <rFont val="Noto Sans CJK SC"/>
        <family val="2"/>
      </rPr>
      <t xml:space="preserve">주담당</t>
    </r>
    <r>
      <rPr>
        <sz val="9"/>
        <color rgb="FF57606A"/>
        <rFont val="맑은 고딕"/>
        <family val="0"/>
        <charset val="1"/>
      </rPr>
      <t xml:space="preserve">·</t>
    </r>
    <r>
      <rPr>
        <sz val="9"/>
        <color rgb="FF57606A"/>
        <rFont val="Noto Sans CJK SC"/>
        <family val="2"/>
      </rPr>
      <t xml:space="preserve">동행자를 합쳐 중복 제거한 실인원</t>
    </r>
    <r>
      <rPr>
        <sz val="9"/>
        <color rgb="FF57606A"/>
        <rFont val="맑은 고딕"/>
        <family val="0"/>
        <charset val="1"/>
      </rPr>
      <t xml:space="preserve">.</t>
    </r>
  </si>
  <si>
    <r>
      <rPr>
        <b val="true"/>
        <sz val="11"/>
        <color rgb="FF0F1419"/>
        <rFont val="맑은 고딕"/>
        <family val="0"/>
        <charset val="1"/>
      </rPr>
      <t xml:space="preserve">1. </t>
    </r>
    <r>
      <rPr>
        <b val="true"/>
        <sz val="11"/>
        <color rgb="FF0F1419"/>
        <rFont val="Noto Sans CJK SC"/>
        <family val="2"/>
      </rPr>
      <t xml:space="preserve">사건별 종합</t>
    </r>
  </si>
  <si>
    <t xml:space="preserve">최초 착수일</t>
  </si>
  <si>
    <t xml:space="preserve">최종 종료일</t>
  </si>
  <si>
    <r>
      <rPr>
        <b val="true"/>
        <sz val="10"/>
        <color rgb="FF5EEAD4"/>
        <rFont val="Noto Sans CJK SC"/>
        <family val="2"/>
      </rPr>
      <t xml:space="preserve">처리기간</t>
    </r>
    <r>
      <rPr>
        <b val="true"/>
        <sz val="10"/>
        <color rgb="FF5EEAD4"/>
        <rFont val="맑은 고딕"/>
        <family val="0"/>
        <charset val="1"/>
      </rPr>
      <t xml:space="preserve">(</t>
    </r>
    <r>
      <rPr>
        <b val="true"/>
        <sz val="10"/>
        <color rgb="FF5EEAD4"/>
        <rFont val="Noto Sans CJK SC"/>
        <family val="2"/>
      </rPr>
      <t xml:space="preserve">일</t>
    </r>
    <r>
      <rPr>
        <b val="true"/>
        <sz val="10"/>
        <color rgb="FF5EEAD4"/>
        <rFont val="맑은 고딕"/>
        <family val="0"/>
        <charset val="1"/>
      </rPr>
      <t xml:space="preserve">)</t>
    </r>
  </si>
  <si>
    <r>
      <rPr>
        <b val="true"/>
        <sz val="11"/>
        <color rgb="FF0F1419"/>
        <rFont val="맑은 고딕"/>
        <family val="0"/>
        <charset val="1"/>
      </rPr>
      <t xml:space="preserve">2. </t>
    </r>
    <r>
      <rPr>
        <b val="true"/>
        <sz val="11"/>
        <color rgb="FF0F1419"/>
        <rFont val="Noto Sans CJK SC"/>
        <family val="2"/>
      </rPr>
      <t xml:space="preserve">사건 상세 조회</t>
    </r>
  </si>
  <si>
    <t xml:space="preserve">사건번호 선택 →</t>
  </si>
  <si>
    <r>
      <rPr>
        <b val="true"/>
        <sz val="11"/>
        <color rgb="FF0000FF"/>
        <rFont val="맑은 고딕"/>
        <family val="0"/>
        <charset val="1"/>
      </rPr>
      <t xml:space="preserve">2026-</t>
    </r>
    <r>
      <rPr>
        <b val="true"/>
        <sz val="11"/>
        <color rgb="FF0000FF"/>
        <rFont val="Noto Sans CJK SC"/>
        <family val="2"/>
      </rPr>
      <t xml:space="preserve">형제</t>
    </r>
    <r>
      <rPr>
        <b val="true"/>
        <sz val="11"/>
        <color rgb="FF0000FF"/>
        <rFont val="맑은 고딕"/>
        <family val="0"/>
        <charset val="1"/>
      </rPr>
      <t xml:space="preserve">-1024</t>
    </r>
  </si>
  <si>
    <t xml:space="preserve">담당자</t>
  </si>
  <si>
    <t xml:space="preserve">주담당 건</t>
  </si>
  <si>
    <t xml:space="preserve">동행 건</t>
  </si>
  <si>
    <t xml:space="preserve">총 참여건</t>
  </si>
  <si>
    <r>
      <rPr>
        <b val="true"/>
        <sz val="10"/>
        <color rgb="FF5EEAD4"/>
        <rFont val="Noto Sans CJK SC"/>
        <family val="2"/>
      </rPr>
      <t xml:space="preserve">본인 투입시간</t>
    </r>
    <r>
      <rPr>
        <b val="true"/>
        <sz val="10"/>
        <color rgb="FF5EEAD4"/>
        <rFont val="맑은 고딕"/>
        <family val="0"/>
        <charset val="1"/>
      </rPr>
      <t xml:space="preserve">(H)</t>
    </r>
  </si>
  <si>
    <r>
      <rPr>
        <b val="true"/>
        <sz val="15"/>
        <color rgb="FF5EEAD4"/>
        <rFont val="Noto Sans CJK SC"/>
        <family val="2"/>
      </rPr>
      <t xml:space="preserve">개인별 현황  </t>
    </r>
    <r>
      <rPr>
        <b val="true"/>
        <sz val="15"/>
        <color rgb="FF5EEAD4"/>
        <rFont val="맑은 고딕"/>
        <family val="0"/>
        <charset val="1"/>
      </rPr>
      <t xml:space="preserve">·  </t>
    </r>
    <r>
      <rPr>
        <b val="true"/>
        <sz val="15"/>
        <color rgb="FF5EEAD4"/>
        <rFont val="Noto Sans CJK SC"/>
        <family val="2"/>
      </rPr>
      <t xml:space="preserve">출장 </t>
    </r>
    <r>
      <rPr>
        <b val="true"/>
        <sz val="15"/>
        <color rgb="FF5EEAD4"/>
        <rFont val="맑은 고딕"/>
        <family val="0"/>
        <charset val="1"/>
      </rPr>
      <t xml:space="preserve">/ </t>
    </r>
    <r>
      <rPr>
        <b val="true"/>
        <sz val="15"/>
        <color rgb="FF5EEAD4"/>
        <rFont val="Noto Sans CJK SC"/>
        <family val="2"/>
      </rPr>
      <t xml:space="preserve">분석</t>
    </r>
  </si>
  <si>
    <r>
      <rPr>
        <sz val="9"/>
        <color rgb="FF57606A"/>
        <rFont val="Noto Sans CJK SC"/>
        <family val="2"/>
      </rPr>
      <t xml:space="preserve">※ 담당자 명단은 </t>
    </r>
    <r>
      <rPr>
        <sz val="9"/>
        <color rgb="FF57606A"/>
        <rFont val="맑은 고딕"/>
        <family val="0"/>
        <charset val="1"/>
      </rPr>
      <t xml:space="preserve">[</t>
    </r>
    <r>
      <rPr>
        <sz val="9"/>
        <color rgb="FF57606A"/>
        <rFont val="Noto Sans CJK SC"/>
        <family val="2"/>
      </rPr>
      <t xml:space="preserve">코드설정</t>
    </r>
    <r>
      <rPr>
        <sz val="9"/>
        <color rgb="FF57606A"/>
        <rFont val="맑은 고딕"/>
        <family val="0"/>
        <charset val="1"/>
      </rPr>
      <t xml:space="preserve">]</t>
    </r>
    <r>
      <rPr>
        <sz val="9"/>
        <color rgb="FF57606A"/>
        <rFont val="Noto Sans CJK SC"/>
        <family val="2"/>
      </rPr>
      <t xml:space="preserve">에서 추가하면 자동 반영됩니다</t>
    </r>
    <r>
      <rPr>
        <sz val="9"/>
        <color rgb="FF57606A"/>
        <rFont val="맑은 고딕"/>
        <family val="0"/>
        <charset val="1"/>
      </rPr>
      <t xml:space="preserve">.  ※ </t>
    </r>
    <r>
      <rPr>
        <sz val="9"/>
        <color rgb="FF57606A"/>
        <rFont val="Noto Sans CJK SC"/>
        <family val="2"/>
      </rPr>
      <t xml:space="preserve">동행 건 </t>
    </r>
    <r>
      <rPr>
        <sz val="9"/>
        <color rgb="FF57606A"/>
        <rFont val="맑은 고딕"/>
        <family val="0"/>
        <charset val="1"/>
      </rPr>
      <t xml:space="preserve">= </t>
    </r>
    <r>
      <rPr>
        <sz val="9"/>
        <color rgb="FF57606A"/>
        <rFont val="Noto Sans CJK SC"/>
        <family val="2"/>
      </rPr>
      <t xml:space="preserve">남이 주담당인 출장에 함께 나간 건</t>
    </r>
    <r>
      <rPr>
        <sz val="9"/>
        <color rgb="FF57606A"/>
        <rFont val="맑은 고딕"/>
        <family val="0"/>
        <charset val="1"/>
      </rPr>
      <t xml:space="preserve">.  ※ </t>
    </r>
    <r>
      <rPr>
        <sz val="9"/>
        <color rgb="FF57606A"/>
        <rFont val="Noto Sans CJK SC"/>
        <family val="2"/>
      </rPr>
      <t xml:space="preserve">대상매체</t>
    </r>
    <r>
      <rPr>
        <sz val="9"/>
        <color rgb="FF57606A"/>
        <rFont val="맑은 고딕"/>
        <family val="0"/>
        <charset val="1"/>
      </rPr>
      <t xml:space="preserve">·</t>
    </r>
    <r>
      <rPr>
        <sz val="9"/>
        <color rgb="FF57606A"/>
        <rFont val="Noto Sans CJK SC"/>
        <family val="2"/>
      </rPr>
      <t xml:space="preserve">출장비는 중복 방지를 위해 주담당 건만 합산합니다</t>
    </r>
    <r>
      <rPr>
        <sz val="9"/>
        <color rgb="FF57606A"/>
        <rFont val="맑은 고딕"/>
        <family val="0"/>
        <charset val="1"/>
      </rPr>
      <t xml:space="preserve">.</t>
    </r>
  </si>
  <si>
    <r>
      <rPr>
        <sz val="9"/>
        <color rgb="FF57606A"/>
        <rFont val="맑은 고딕"/>
        <family val="0"/>
        <charset val="1"/>
      </rPr>
      <t xml:space="preserve">← [</t>
    </r>
    <r>
      <rPr>
        <sz val="9"/>
        <color rgb="FF57606A"/>
        <rFont val="Noto Sans CJK SC"/>
        <family val="2"/>
      </rPr>
      <t xml:space="preserve">부서 전체현황</t>
    </r>
    <r>
      <rPr>
        <sz val="9"/>
        <color rgb="FF57606A"/>
        <rFont val="맑은 고딕"/>
        <family val="0"/>
        <charset val="1"/>
      </rPr>
      <t xml:space="preserve">]</t>
    </r>
    <r>
      <rPr>
        <sz val="9"/>
        <color rgb="FF57606A"/>
        <rFont val="Noto Sans CJK SC"/>
        <family val="2"/>
      </rPr>
      <t xml:space="preserve">의 기준연도와 연동</t>
    </r>
  </si>
  <si>
    <r>
      <rPr>
        <b val="true"/>
        <sz val="11"/>
        <color rgb="FF0F1419"/>
        <rFont val="맑은 고딕"/>
        <family val="0"/>
        <charset val="1"/>
      </rPr>
      <t xml:space="preserve">1. </t>
    </r>
    <r>
      <rPr>
        <b val="true"/>
        <sz val="11"/>
        <color rgb="FF0F1419"/>
        <rFont val="Noto Sans CJK SC"/>
        <family val="2"/>
      </rPr>
      <t xml:space="preserve">담당자별 종합 </t>
    </r>
    <r>
      <rPr>
        <b val="true"/>
        <sz val="11"/>
        <color rgb="FF0F1419"/>
        <rFont val="맑은 고딕"/>
        <family val="0"/>
        <charset val="1"/>
      </rPr>
      <t xml:space="preserve">(</t>
    </r>
    <r>
      <rPr>
        <b val="true"/>
        <sz val="11"/>
        <color rgb="FF0F1419"/>
        <rFont val="Noto Sans CJK SC"/>
        <family val="2"/>
      </rPr>
      <t xml:space="preserve">연간 누계</t>
    </r>
    <r>
      <rPr>
        <b val="true"/>
        <sz val="11"/>
        <color rgb="FF0F1419"/>
        <rFont val="맑은 고딕"/>
        <family val="0"/>
        <charset val="1"/>
      </rPr>
      <t xml:space="preserve">)</t>
    </r>
  </si>
  <si>
    <r>
      <rPr>
        <b val="true"/>
        <sz val="10"/>
        <color rgb="FF5EEAD4"/>
        <rFont val="Noto Sans CJK SC"/>
        <family val="2"/>
      </rPr>
      <t xml:space="preserve">출장</t>
    </r>
    <r>
      <rPr>
        <b val="true"/>
        <sz val="10"/>
        <color rgb="FF5EEAD4"/>
        <rFont val="맑은 고딕"/>
        <family val="0"/>
        <charset val="1"/>
      </rPr>
      <t xml:space="preserve">(</t>
    </r>
    <r>
      <rPr>
        <b val="true"/>
        <sz val="10"/>
        <color rgb="FF5EEAD4"/>
        <rFont val="Noto Sans CJK SC"/>
        <family val="2"/>
      </rPr>
      <t xml:space="preserve">주담당</t>
    </r>
    <r>
      <rPr>
        <b val="true"/>
        <sz val="10"/>
        <color rgb="FF5EEAD4"/>
        <rFont val="맑은 고딕"/>
        <family val="0"/>
        <charset val="1"/>
      </rPr>
      <t xml:space="preserve">)</t>
    </r>
  </si>
  <si>
    <r>
      <rPr>
        <b val="true"/>
        <sz val="10"/>
        <color rgb="FF5EEAD4"/>
        <rFont val="Noto Sans CJK SC"/>
        <family val="2"/>
      </rPr>
      <t xml:space="preserve">출장</t>
    </r>
    <r>
      <rPr>
        <b val="true"/>
        <sz val="10"/>
        <color rgb="FF5EEAD4"/>
        <rFont val="맑은 고딕"/>
        <family val="0"/>
        <charset val="1"/>
      </rPr>
      <t xml:space="preserve">(</t>
    </r>
    <r>
      <rPr>
        <b val="true"/>
        <sz val="10"/>
        <color rgb="FF5EEAD4"/>
        <rFont val="Noto Sans CJK SC"/>
        <family val="2"/>
      </rPr>
      <t xml:space="preserve">동행</t>
    </r>
    <r>
      <rPr>
        <b val="true"/>
        <sz val="10"/>
        <color rgb="FF5EEAD4"/>
        <rFont val="맑은 고딕"/>
        <family val="0"/>
        <charset val="1"/>
      </rPr>
      <t xml:space="preserve">)</t>
    </r>
  </si>
  <si>
    <t xml:space="preserve">총 참여건수</t>
  </si>
  <si>
    <t xml:space="preserve">진행중 건</t>
  </si>
  <si>
    <r>
      <rPr>
        <b val="true"/>
        <sz val="11"/>
        <color rgb="FF0F1419"/>
        <rFont val="맑은 고딕"/>
        <family val="0"/>
        <charset val="1"/>
      </rPr>
      <t xml:space="preserve">2. </t>
    </r>
    <r>
      <rPr>
        <b val="true"/>
        <sz val="11"/>
        <color rgb="FF0F1419"/>
        <rFont val="Noto Sans CJK SC"/>
        <family val="2"/>
      </rPr>
      <t xml:space="preserve">담당자 </t>
    </r>
    <r>
      <rPr>
        <b val="true"/>
        <sz val="11"/>
        <color rgb="FF0F1419"/>
        <rFont val="맑은 고딕"/>
        <family val="0"/>
        <charset val="1"/>
      </rPr>
      <t xml:space="preserve">× </t>
    </r>
    <r>
      <rPr>
        <b val="true"/>
        <sz val="11"/>
        <color rgb="FF0F1419"/>
        <rFont val="Noto Sans CJK SC"/>
        <family val="2"/>
      </rPr>
      <t xml:space="preserve">월별 참여건수 </t>
    </r>
    <r>
      <rPr>
        <b val="true"/>
        <sz val="11"/>
        <color rgb="FF0F1419"/>
        <rFont val="맑은 고딕"/>
        <family val="0"/>
        <charset val="1"/>
      </rPr>
      <t xml:space="preserve">(</t>
    </r>
    <r>
      <rPr>
        <b val="true"/>
        <sz val="11"/>
        <color rgb="FF0F1419"/>
        <rFont val="Noto Sans CJK SC"/>
        <family val="2"/>
      </rPr>
      <t xml:space="preserve">주담당 </t>
    </r>
    <r>
      <rPr>
        <b val="true"/>
        <sz val="11"/>
        <color rgb="FF0F1419"/>
        <rFont val="맑은 고딕"/>
        <family val="0"/>
        <charset val="1"/>
      </rPr>
      <t xml:space="preserve">+ </t>
    </r>
    <r>
      <rPr>
        <b val="true"/>
        <sz val="11"/>
        <color rgb="FF0F1419"/>
        <rFont val="Noto Sans CJK SC"/>
        <family val="2"/>
      </rPr>
      <t xml:space="preserve">동행</t>
    </r>
    <r>
      <rPr>
        <b val="true"/>
        <sz val="11"/>
        <color rgb="FF0F1419"/>
        <rFont val="맑은 고딕"/>
        <family val="0"/>
        <charset val="1"/>
      </rPr>
      <t xml:space="preserve">)</t>
    </r>
  </si>
  <si>
    <t xml:space="preserve">직무구분 →</t>
  </si>
  <si>
    <t xml:space="preserve">전체</t>
  </si>
  <si>
    <r>
      <rPr>
        <b val="true"/>
        <sz val="10"/>
        <color rgb="FF5EEAD4"/>
        <rFont val="맑은 고딕"/>
        <family val="0"/>
        <charset val="1"/>
      </rPr>
      <t xml:space="preserve">1</t>
    </r>
    <r>
      <rPr>
        <b val="true"/>
        <sz val="10"/>
        <color rgb="FF5EEAD4"/>
        <rFont val="Noto Sans CJK SC"/>
        <family val="2"/>
      </rPr>
      <t xml:space="preserve">월</t>
    </r>
  </si>
  <si>
    <r>
      <rPr>
        <b val="true"/>
        <sz val="10"/>
        <color rgb="FF5EEAD4"/>
        <rFont val="맑은 고딕"/>
        <family val="0"/>
        <charset val="1"/>
      </rPr>
      <t xml:space="preserve">2</t>
    </r>
    <r>
      <rPr>
        <b val="true"/>
        <sz val="10"/>
        <color rgb="FF5EEAD4"/>
        <rFont val="Noto Sans CJK SC"/>
        <family val="2"/>
      </rPr>
      <t xml:space="preserve">월</t>
    </r>
  </si>
  <si>
    <r>
      <rPr>
        <b val="true"/>
        <sz val="10"/>
        <color rgb="FF5EEAD4"/>
        <rFont val="맑은 고딕"/>
        <family val="0"/>
        <charset val="1"/>
      </rPr>
      <t xml:space="preserve">3</t>
    </r>
    <r>
      <rPr>
        <b val="true"/>
        <sz val="10"/>
        <color rgb="FF5EEAD4"/>
        <rFont val="Noto Sans CJK SC"/>
        <family val="2"/>
      </rPr>
      <t xml:space="preserve">월</t>
    </r>
  </si>
  <si>
    <r>
      <rPr>
        <b val="true"/>
        <sz val="10"/>
        <color rgb="FF5EEAD4"/>
        <rFont val="맑은 고딕"/>
        <family val="0"/>
        <charset val="1"/>
      </rPr>
      <t xml:space="preserve">4</t>
    </r>
    <r>
      <rPr>
        <b val="true"/>
        <sz val="10"/>
        <color rgb="FF5EEAD4"/>
        <rFont val="Noto Sans CJK SC"/>
        <family val="2"/>
      </rPr>
      <t xml:space="preserve">월</t>
    </r>
  </si>
  <si>
    <r>
      <rPr>
        <b val="true"/>
        <sz val="10"/>
        <color rgb="FF5EEAD4"/>
        <rFont val="맑은 고딕"/>
        <family val="0"/>
        <charset val="1"/>
      </rPr>
      <t xml:space="preserve">5</t>
    </r>
    <r>
      <rPr>
        <b val="true"/>
        <sz val="10"/>
        <color rgb="FF5EEAD4"/>
        <rFont val="Noto Sans CJK SC"/>
        <family val="2"/>
      </rPr>
      <t xml:space="preserve">월</t>
    </r>
  </si>
  <si>
    <r>
      <rPr>
        <b val="true"/>
        <sz val="10"/>
        <color rgb="FF5EEAD4"/>
        <rFont val="맑은 고딕"/>
        <family val="0"/>
        <charset val="1"/>
      </rPr>
      <t xml:space="preserve">6</t>
    </r>
    <r>
      <rPr>
        <b val="true"/>
        <sz val="10"/>
        <color rgb="FF5EEAD4"/>
        <rFont val="Noto Sans CJK SC"/>
        <family val="2"/>
      </rPr>
      <t xml:space="preserve">월</t>
    </r>
  </si>
  <si>
    <r>
      <rPr>
        <b val="true"/>
        <sz val="10"/>
        <color rgb="FF5EEAD4"/>
        <rFont val="맑은 고딕"/>
        <family val="0"/>
        <charset val="1"/>
      </rPr>
      <t xml:space="preserve">7</t>
    </r>
    <r>
      <rPr>
        <b val="true"/>
        <sz val="10"/>
        <color rgb="FF5EEAD4"/>
        <rFont val="Noto Sans CJK SC"/>
        <family val="2"/>
      </rPr>
      <t xml:space="preserve">월</t>
    </r>
  </si>
  <si>
    <r>
      <rPr>
        <b val="true"/>
        <sz val="10"/>
        <color rgb="FF5EEAD4"/>
        <rFont val="맑은 고딕"/>
        <family val="0"/>
        <charset val="1"/>
      </rPr>
      <t xml:space="preserve">8</t>
    </r>
    <r>
      <rPr>
        <b val="true"/>
        <sz val="10"/>
        <color rgb="FF5EEAD4"/>
        <rFont val="Noto Sans CJK SC"/>
        <family val="2"/>
      </rPr>
      <t xml:space="preserve">월</t>
    </r>
  </si>
  <si>
    <r>
      <rPr>
        <b val="true"/>
        <sz val="10"/>
        <color rgb="FF5EEAD4"/>
        <rFont val="맑은 고딕"/>
        <family val="0"/>
        <charset val="1"/>
      </rPr>
      <t xml:space="preserve">9</t>
    </r>
    <r>
      <rPr>
        <b val="true"/>
        <sz val="10"/>
        <color rgb="FF5EEAD4"/>
        <rFont val="Noto Sans CJK SC"/>
        <family val="2"/>
      </rPr>
      <t xml:space="preserve">월</t>
    </r>
  </si>
  <si>
    <r>
      <rPr>
        <b val="true"/>
        <sz val="10"/>
        <color rgb="FF5EEAD4"/>
        <rFont val="맑은 고딕"/>
        <family val="0"/>
        <charset val="1"/>
      </rPr>
      <t xml:space="preserve">10</t>
    </r>
    <r>
      <rPr>
        <b val="true"/>
        <sz val="10"/>
        <color rgb="FF5EEAD4"/>
        <rFont val="Noto Sans CJK SC"/>
        <family val="2"/>
      </rPr>
      <t xml:space="preserve">월</t>
    </r>
  </si>
  <si>
    <r>
      <rPr>
        <b val="true"/>
        <sz val="10"/>
        <color rgb="FF5EEAD4"/>
        <rFont val="맑은 고딕"/>
        <family val="0"/>
        <charset val="1"/>
      </rPr>
      <t xml:space="preserve">11</t>
    </r>
    <r>
      <rPr>
        <b val="true"/>
        <sz val="10"/>
        <color rgb="FF5EEAD4"/>
        <rFont val="Noto Sans CJK SC"/>
        <family val="2"/>
      </rPr>
      <t xml:space="preserve">월</t>
    </r>
  </si>
  <si>
    <r>
      <rPr>
        <b val="true"/>
        <sz val="10"/>
        <color rgb="FF5EEAD4"/>
        <rFont val="맑은 고딕"/>
        <family val="0"/>
        <charset val="1"/>
      </rPr>
      <t xml:space="preserve">12</t>
    </r>
    <r>
      <rPr>
        <b val="true"/>
        <sz val="10"/>
        <color rgb="FF5EEAD4"/>
        <rFont val="Noto Sans CJK SC"/>
        <family val="2"/>
      </rPr>
      <t xml:space="preserve">월</t>
    </r>
  </si>
  <si>
    <t xml:space="preserve">코드 설정</t>
  </si>
  <si>
    <r>
      <rPr>
        <sz val="9"/>
        <color rgb="FF57606A"/>
        <rFont val="Noto Sans CJK SC"/>
        <family val="2"/>
      </rPr>
      <t xml:space="preserve">※ 목록을 수정하면 업무일지 드롭다운과 모든 집계표가 함께 바뀝니다</t>
    </r>
    <r>
      <rPr>
        <sz val="9"/>
        <color rgb="FF57606A"/>
        <rFont val="맑은 고딕"/>
        <family val="0"/>
        <charset val="1"/>
      </rPr>
      <t xml:space="preserve">. </t>
    </r>
    <r>
      <rPr>
        <sz val="9"/>
        <color rgb="FF57606A"/>
        <rFont val="Noto Sans CJK SC"/>
        <family val="2"/>
      </rPr>
      <t xml:space="preserve">위에서부터 빈칸 없이 채워주세요</t>
    </r>
    <r>
      <rPr>
        <sz val="9"/>
        <color rgb="FF57606A"/>
        <rFont val="맑은 고딕"/>
        <family val="0"/>
        <charset val="1"/>
      </rPr>
      <t xml:space="preserve">.  ※ </t>
    </r>
    <r>
      <rPr>
        <sz val="9"/>
        <color rgb="FF57606A"/>
        <rFont val="Noto Sans CJK SC"/>
        <family val="2"/>
      </rPr>
      <t xml:space="preserve">동명이인이 있으면 </t>
    </r>
    <r>
      <rPr>
        <sz val="9"/>
        <color rgb="FF57606A"/>
        <rFont val="맑은 고딕"/>
        <family val="0"/>
        <charset val="1"/>
      </rPr>
      <t xml:space="preserve">'</t>
    </r>
    <r>
      <rPr>
        <sz val="9"/>
        <color rgb="FF57606A"/>
        <rFont val="Noto Sans CJK SC"/>
        <family val="2"/>
      </rPr>
      <t xml:space="preserve">김디지</t>
    </r>
    <r>
      <rPr>
        <sz val="9"/>
        <color rgb="FF57606A"/>
        <rFont val="맑은 고딕"/>
        <family val="0"/>
        <charset val="1"/>
      </rPr>
      <t xml:space="preserve">(1</t>
    </r>
    <r>
      <rPr>
        <sz val="9"/>
        <color rgb="FF57606A"/>
        <rFont val="Noto Sans CJK SC"/>
        <family val="2"/>
      </rPr>
      <t xml:space="preserve">팀</t>
    </r>
    <r>
      <rPr>
        <sz val="9"/>
        <color rgb="FF57606A"/>
        <rFont val="맑은 고딕"/>
        <family val="0"/>
        <charset val="1"/>
      </rPr>
      <t xml:space="preserve">)'</t>
    </r>
    <r>
      <rPr>
        <sz val="9"/>
        <color rgb="FF57606A"/>
        <rFont val="Noto Sans CJK SC"/>
        <family val="2"/>
      </rPr>
      <t xml:space="preserve">처럼 반드시 구분해서 등록하세요 — 동행자 집계가 부분일치 방식입니다</t>
    </r>
    <r>
      <rPr>
        <sz val="9"/>
        <color rgb="FF57606A"/>
        <rFont val="맑은 고딕"/>
        <family val="0"/>
        <charset val="1"/>
      </rPr>
      <t xml:space="preserve">.</t>
    </r>
  </si>
  <si>
    <t xml:space="preserve">직무구분 마스터</t>
  </si>
  <si>
    <t xml:space="preserve">이수사</t>
  </si>
  <si>
    <r>
      <rPr>
        <sz val="10"/>
        <color rgb="FF0000FF"/>
        <rFont val="Noto Sans CJK SC"/>
        <family val="2"/>
      </rPr>
      <t xml:space="preserve">현장 지원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입회</t>
    </r>
  </si>
  <si>
    <r>
      <rPr>
        <sz val="10"/>
        <color rgb="FF0000FF"/>
        <rFont val="Noto Sans CJK SC"/>
        <family val="2"/>
      </rPr>
      <t xml:space="preserve">회의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협의</t>
    </r>
  </si>
  <si>
    <t xml:space="preserve">최분석</t>
  </si>
  <si>
    <r>
      <rPr>
        <sz val="10"/>
        <color rgb="FF0000FF"/>
        <rFont val="Noto Sans CJK SC"/>
        <family val="2"/>
      </rPr>
      <t xml:space="preserve">교육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세미나</t>
    </r>
  </si>
  <si>
    <t xml:space="preserve">정현장</t>
  </si>
  <si>
    <r>
      <rPr>
        <sz val="10"/>
        <color rgb="FF0000FF"/>
        <rFont val="Noto Sans CJK SC"/>
        <family val="2"/>
      </rPr>
      <t xml:space="preserve">영상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이미지 분석</t>
    </r>
  </si>
  <si>
    <r>
      <rPr>
        <sz val="10"/>
        <color rgb="FF0000FF"/>
        <rFont val="Noto Sans CJK SC"/>
        <family val="2"/>
      </rPr>
      <t xml:space="preserve">로그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네트워크 분석</t>
    </r>
  </si>
  <si>
    <r>
      <rPr>
        <sz val="10"/>
        <color rgb="FF0000FF"/>
        <rFont val="Noto Sans CJK SC"/>
        <family val="2"/>
      </rPr>
      <t xml:space="preserve">보고서 작성</t>
    </r>
    <r>
      <rPr>
        <sz val="10"/>
        <color rgb="FF0000FF"/>
        <rFont val="맑은 고딕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검증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</si>
</sst>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General"/>
    <numFmt numFmtId="166" formatCode="yyyy\-mm\-dd"/>
    <numFmt numFmtId="167" formatCode="#,##0"/>
    <numFmt numFmtId="168" formatCode="#,##0.0"/>
    <numFmt numFmtId="169" formatCode="0"/>
    <numFmt numFmtId="170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5EEAD4"/>
      <name val="Noto Sans CJK SC"/>
      <family val="2"/>
    </font>
    <font>
      <b val="true"/>
      <sz val="15"/>
      <color rgb="FF5EEAD4"/>
      <name val="맑은 고딕"/>
      <family val="0"/>
      <charset val="1"/>
    </font>
    <font>
      <sz val="9"/>
      <color rgb="FF57606A"/>
      <name val="Noto Sans CJK SC"/>
      <family val="2"/>
    </font>
    <font>
      <sz val="9"/>
      <color rgb="FF57606A"/>
      <name val="맑은 고딕"/>
      <family val="0"/>
      <charset val="1"/>
    </font>
    <font>
      <b val="true"/>
      <sz val="10"/>
      <color rgb="FF5EEAD4"/>
      <name val="Noto Sans CJK SC"/>
      <family val="2"/>
    </font>
    <font>
      <b val="true"/>
      <sz val="10"/>
      <color rgb="FF5EEAD4"/>
      <name val="맑은 고딕"/>
      <family val="0"/>
      <charset val="1"/>
    </font>
    <font>
      <sz val="10"/>
      <color rgb="FF3A4149"/>
      <name val="맑은 고딕"/>
      <family val="0"/>
      <charset val="1"/>
    </font>
    <font>
      <sz val="10"/>
      <color rgb="FF0000FF"/>
      <name val="맑은 고딕"/>
      <family val="0"/>
      <charset val="1"/>
    </font>
    <font>
      <sz val="10"/>
      <color rgb="FF0000FF"/>
      <name val="Noto Sans CJK SC"/>
      <family val="2"/>
    </font>
    <font>
      <b val="true"/>
      <sz val="10"/>
      <name val="Noto Sans CJK SC"/>
      <family val="2"/>
    </font>
    <font>
      <b val="true"/>
      <sz val="11"/>
      <color rgb="FF0000FF"/>
      <name val="맑은 고딕"/>
      <family val="0"/>
      <charset val="1"/>
    </font>
    <font>
      <b val="true"/>
      <sz val="11"/>
      <color rgb="FF0F1419"/>
      <name val="맑은 고딕"/>
      <family val="0"/>
      <charset val="1"/>
    </font>
    <font>
      <b val="true"/>
      <sz val="11"/>
      <color rgb="FF0F1419"/>
      <name val="Noto Sans CJK SC"/>
      <family val="2"/>
    </font>
    <font>
      <sz val="10"/>
      <name val="맑은 고딕"/>
      <family val="0"/>
      <charset val="1"/>
    </font>
    <font>
      <sz val="10"/>
      <name val="Noto Sans CJK SC"/>
      <family val="2"/>
    </font>
    <font>
      <b val="true"/>
      <sz val="10"/>
      <name val="맑은 고딕"/>
      <family val="0"/>
      <charset val="1"/>
    </font>
    <font>
      <b val="true"/>
      <sz val="10"/>
      <color rgb="FF0000FF"/>
      <name val="Noto Sans CJK SC"/>
      <family val="2"/>
    </font>
    <font>
      <b val="true"/>
      <sz val="11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0F1419"/>
        <bgColor rgb="FF000000"/>
      </patternFill>
    </fill>
    <fill>
      <patternFill patternType="solid">
        <fgColor rgb="FFEDF1F3"/>
        <bgColor rgb="FFE8EDF0"/>
      </patternFill>
    </fill>
    <fill>
      <patternFill patternType="solid">
        <fgColor rgb="FFF4F7F8"/>
        <bgColor rgb="FFEDF1F3"/>
      </patternFill>
    </fill>
    <fill>
      <patternFill patternType="solid">
        <fgColor rgb="FFFFF3B0"/>
        <bgColor rgb="FFEDF1F3"/>
      </patternFill>
    </fill>
    <fill>
      <patternFill patternType="solid">
        <fgColor rgb="FFE8EDF0"/>
        <bgColor rgb="FFEDF1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1D9"/>
      </left>
      <right style="thin">
        <color rgb="FFC9D1D9"/>
      </right>
      <top style="thin">
        <color rgb="FFC9D1D9"/>
      </top>
      <bottom style="thin">
        <color rgb="FFC9D1D9"/>
      </bottom>
      <diagonal/>
    </border>
    <border diagonalUp="false" diagonalDown="false">
      <left/>
      <right/>
      <top/>
      <bottom style="medium">
        <color rgb="FFFCD34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F1419"/>
          <bgColor rgb="FF000000"/>
        </patternFill>
      </fill>
    </dxf>
    <dxf>
      <fill>
        <patternFill patternType="solid">
          <fgColor rgb="FFEDF1F3"/>
          <bgColor rgb="FF000000"/>
        </patternFill>
      </fill>
    </dxf>
    <dxf>
      <fill>
        <patternFill patternType="solid">
          <fgColor rgb="FF3A4149"/>
          <bgColor rgb="FF000000"/>
        </patternFill>
      </fill>
    </dxf>
    <dxf>
      <fill>
        <patternFill patternType="solid">
          <fgColor rgb="FF5EEAD4"/>
          <bgColor rgb="FF000000"/>
        </patternFill>
      </fill>
    </dxf>
    <dxf>
      <fill>
        <patternFill patternType="solid">
          <fgColor rgb="FFF4F7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4F7F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DF1F3"/>
      <rgbColor rgb="FFE8EDF0"/>
      <rgbColor rgb="FF660066"/>
      <rgbColor rgb="FFFF8080"/>
      <rgbColor rgb="FF0066CC"/>
      <rgbColor rgb="FFC9D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CD34D"/>
      <rgbColor rgb="FF3366FF"/>
      <rgbColor rgb="FF5EEAD4"/>
      <rgbColor rgb="FF99CC00"/>
      <rgbColor rgb="FFFFCC00"/>
      <rgbColor rgb="FFFF9900"/>
      <rgbColor rgb="FFFF6600"/>
      <rgbColor rgb="FF57606A"/>
      <rgbColor rgb="FF969696"/>
      <rgbColor rgb="FF003366"/>
      <rgbColor rgb="FF339966"/>
      <rgbColor rgb="FF0F1419"/>
      <rgbColor rgb="FF333300"/>
      <rgbColor rgb="FF993300"/>
      <rgbColor rgb="FF993366"/>
      <rgbColor rgb="FF333399"/>
      <rgbColor rgb="FF3A41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2"/>
    <col collapsed="false" customWidth="true" hidden="false" outlineLevel="0" max="4" min="4" style="0" width="10"/>
    <col collapsed="false" customWidth="true" hidden="false" outlineLevel="0" max="5" min="5" style="0" width="19"/>
    <col collapsed="false" customWidth="true" hidden="false" outlineLevel="0" max="6" min="6" style="0" width="28"/>
    <col collapsed="false" customWidth="true" hidden="false" outlineLevel="0" max="8" min="7" style="0" width="16"/>
    <col collapsed="false" customWidth="true" hidden="false" outlineLevel="0" max="9" min="9" style="0" width="11"/>
    <col collapsed="false" customWidth="true" hidden="false" outlineLevel="0" max="10" min="10" style="0" width="26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9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0"/>
    <col collapsed="false" customWidth="true" hidden="false" outlineLevel="0" max="17" min="17" style="0" width="13"/>
    <col collapsed="false" customWidth="true" hidden="false" outlineLevel="0" max="18" min="18" style="0" width="11"/>
    <col collapsed="false" customWidth="true" hidden="false" outlineLevel="0" max="19" min="19" style="0" width="10"/>
    <col collapsed="false" customWidth="true" hidden="false" outlineLevel="0" max="20" min="20" style="0" width="13"/>
    <col collapsed="false" customWidth="true" hidden="false" outlineLevel="0" max="21" min="21" style="0" width="2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4" t="s">
        <v>18</v>
      </c>
      <c r="R4" s="3" t="s">
        <v>19</v>
      </c>
      <c r="S4" s="3" t="s">
        <v>20</v>
      </c>
      <c r="T4" s="3" t="s">
        <v>21</v>
      </c>
      <c r="U4" s="3" t="s">
        <v>22</v>
      </c>
    </row>
    <row r="5" customFormat="false" ht="18.75" hidden="false" customHeight="true" outlineLevel="0" collapsed="false">
      <c r="A5" s="5" t="n">
        <f aca="false">IF($B5="","",COUNT($B$5:$B5))</f>
        <v>1</v>
      </c>
      <c r="B5" s="6" t="n">
        <v>46085</v>
      </c>
      <c r="C5" s="6" t="n">
        <v>46086</v>
      </c>
      <c r="D5" s="7" t="s">
        <v>23</v>
      </c>
      <c r="E5" s="7" t="s">
        <v>24</v>
      </c>
      <c r="F5" s="8" t="s">
        <v>25</v>
      </c>
      <c r="G5" s="9" t="s">
        <v>26</v>
      </c>
      <c r="H5" s="7" t="s">
        <v>27</v>
      </c>
      <c r="I5" s="7" t="s">
        <v>28</v>
      </c>
      <c r="J5" s="8" t="s">
        <v>29</v>
      </c>
      <c r="K5" s="5" t="n">
        <f aca="false">IF($I5="","",1+IF($J5="",0,LEN($J5)-LEN(SUBSTITUTE($J5,",",""))+1))</f>
        <v>3</v>
      </c>
      <c r="L5" s="7" t="s">
        <v>30</v>
      </c>
      <c r="M5" s="8" t="s">
        <v>31</v>
      </c>
      <c r="N5" s="10" t="n">
        <v>6</v>
      </c>
      <c r="O5" s="10" t="n">
        <v>3200</v>
      </c>
      <c r="P5" s="5" t="n">
        <f aca="false">IF(OR($B5="",$C5=""),"",$C5-$B5+1)</f>
        <v>2</v>
      </c>
      <c r="Q5" s="11" t="n">
        <v>16</v>
      </c>
      <c r="R5" s="12" t="n">
        <f aca="false">IF(OR($Q5="",$K5=""),"",$Q5*$K5)</f>
        <v>48</v>
      </c>
      <c r="S5" s="7" t="s">
        <v>32</v>
      </c>
      <c r="T5" s="10" t="n">
        <v>552000</v>
      </c>
      <c r="U5" s="8" t="s">
        <v>33</v>
      </c>
    </row>
    <row r="6" customFormat="false" ht="18.75" hidden="false" customHeight="true" outlineLevel="0" collapsed="false">
      <c r="A6" s="5" t="n">
        <f aca="false">IF($B6="","",COUNT($B$5:$B6))</f>
        <v>2</v>
      </c>
      <c r="B6" s="13" t="n">
        <v>46090</v>
      </c>
      <c r="C6" s="13" t="n">
        <v>46094</v>
      </c>
      <c r="D6" s="14" t="s">
        <v>34</v>
      </c>
      <c r="E6" s="14" t="s">
        <v>35</v>
      </c>
      <c r="F6" s="15" t="s">
        <v>36</v>
      </c>
      <c r="G6" s="16" t="s">
        <v>26</v>
      </c>
      <c r="H6" s="14" t="s">
        <v>27</v>
      </c>
      <c r="I6" s="14" t="s">
        <v>28</v>
      </c>
      <c r="J6" s="15"/>
      <c r="K6" s="5" t="n">
        <f aca="false">IF($I6="","",1+IF($J6="",0,LEN($J6)-LEN(SUBSTITUTE($J6,",",""))+1))</f>
        <v>1</v>
      </c>
      <c r="L6" s="14" t="s">
        <v>30</v>
      </c>
      <c r="M6" s="15" t="s">
        <v>37</v>
      </c>
      <c r="N6" s="17" t="n">
        <v>4</v>
      </c>
      <c r="O6" s="17" t="n">
        <v>2400</v>
      </c>
      <c r="P6" s="5" t="n">
        <f aca="false">IF(OR($B6="",$C6=""),"",$C6-$B6+1)</f>
        <v>5</v>
      </c>
      <c r="Q6" s="18" t="n">
        <v>34</v>
      </c>
      <c r="R6" s="12" t="n">
        <f aca="false">IF(OR($Q6="",$K6=""),"",$Q6*$K6)</f>
        <v>34</v>
      </c>
      <c r="S6" s="14" t="s">
        <v>32</v>
      </c>
      <c r="T6" s="17" t="n">
        <v>0</v>
      </c>
      <c r="U6" s="15" t="s">
        <v>38</v>
      </c>
    </row>
    <row r="7" customFormat="false" ht="18.75" hidden="false" customHeight="true" outlineLevel="0" collapsed="false">
      <c r="A7" s="5" t="n">
        <f aca="false">IF($B7="","",COUNT($B$5:$B7))</f>
        <v>3</v>
      </c>
      <c r="B7" s="6" t="n">
        <v>46098</v>
      </c>
      <c r="C7" s="6" t="n">
        <v>46098</v>
      </c>
      <c r="D7" s="7" t="s">
        <v>34</v>
      </c>
      <c r="E7" s="7" t="s">
        <v>39</v>
      </c>
      <c r="F7" s="8" t="s">
        <v>40</v>
      </c>
      <c r="G7" s="9" t="s">
        <v>41</v>
      </c>
      <c r="H7" s="7" t="s">
        <v>42</v>
      </c>
      <c r="I7" s="7" t="s">
        <v>43</v>
      </c>
      <c r="J7" s="8"/>
      <c r="K7" s="5" t="n">
        <f aca="false">IF($I7="","",1+IF($J7="",0,LEN($J7)-LEN(SUBSTITUTE($J7,",",""))+1))</f>
        <v>1</v>
      </c>
      <c r="L7" s="7" t="s">
        <v>44</v>
      </c>
      <c r="M7" s="8" t="s">
        <v>37</v>
      </c>
      <c r="N7" s="10" t="n">
        <v>2</v>
      </c>
      <c r="O7" s="10" t="n">
        <v>480</v>
      </c>
      <c r="P7" s="5" t="n">
        <f aca="false">IF(OR($B7="",$C7=""),"",$C7-$B7+1)</f>
        <v>1</v>
      </c>
      <c r="Q7" s="11" t="n">
        <v>7</v>
      </c>
      <c r="R7" s="12" t="n">
        <f aca="false">IF(OR($Q7="",$K7=""),"",$Q7*$K7)</f>
        <v>7</v>
      </c>
      <c r="S7" s="7" t="s">
        <v>45</v>
      </c>
      <c r="T7" s="10" t="n">
        <v>0</v>
      </c>
      <c r="U7" s="8" t="s">
        <v>46</v>
      </c>
    </row>
    <row r="8" customFormat="false" ht="18.75" hidden="false" customHeight="true" outlineLevel="0" collapsed="false">
      <c r="A8" s="5" t="str">
        <f aca="false">IF($B8="","",COUNT($B$5:$B8))</f>
        <v/>
      </c>
      <c r="B8" s="13"/>
      <c r="C8" s="13"/>
      <c r="D8" s="14"/>
      <c r="E8" s="14"/>
      <c r="F8" s="15"/>
      <c r="G8" s="16"/>
      <c r="H8" s="14"/>
      <c r="I8" s="14"/>
      <c r="J8" s="15"/>
      <c r="K8" s="5" t="str">
        <f aca="false">IF($I8="","",1+IF($J8="",0,LEN($J8)-LEN(SUBSTITUTE($J8,",",""))+1))</f>
        <v/>
      </c>
      <c r="L8" s="14"/>
      <c r="M8" s="15"/>
      <c r="N8" s="17"/>
      <c r="O8" s="17"/>
      <c r="P8" s="5" t="str">
        <f aca="false">IF(OR($B8="",$C8=""),"",$C8-$B8+1)</f>
        <v/>
      </c>
      <c r="Q8" s="18"/>
      <c r="R8" s="12" t="str">
        <f aca="false">IF(OR($Q8="",$K8=""),"",$Q8*$K8)</f>
        <v/>
      </c>
      <c r="S8" s="14"/>
      <c r="T8" s="17"/>
      <c r="U8" s="15"/>
    </row>
    <row r="9" customFormat="false" ht="18.75" hidden="false" customHeight="true" outlineLevel="0" collapsed="false">
      <c r="A9" s="5" t="str">
        <f aca="false">IF($B9="","",COUNT($B$5:$B9))</f>
        <v/>
      </c>
      <c r="B9" s="6"/>
      <c r="C9" s="6"/>
      <c r="D9" s="7"/>
      <c r="E9" s="7"/>
      <c r="F9" s="8"/>
      <c r="G9" s="9"/>
      <c r="H9" s="7"/>
      <c r="I9" s="7"/>
      <c r="J9" s="8"/>
      <c r="K9" s="5" t="str">
        <f aca="false">IF($I9="","",1+IF($J9="",0,LEN($J9)-LEN(SUBSTITUTE($J9,",",""))+1))</f>
        <v/>
      </c>
      <c r="L9" s="7"/>
      <c r="M9" s="8"/>
      <c r="N9" s="10"/>
      <c r="O9" s="10"/>
      <c r="P9" s="5" t="str">
        <f aca="false">IF(OR($B9="",$C9=""),"",$C9-$B9+1)</f>
        <v/>
      </c>
      <c r="Q9" s="11"/>
      <c r="R9" s="12" t="str">
        <f aca="false">IF(OR($Q9="",$K9=""),"",$Q9*$K9)</f>
        <v/>
      </c>
      <c r="S9" s="7"/>
      <c r="T9" s="10"/>
      <c r="U9" s="8"/>
    </row>
    <row r="10" customFormat="false" ht="18.75" hidden="false" customHeight="true" outlineLevel="0" collapsed="false">
      <c r="A10" s="5" t="str">
        <f aca="false">IF($B10="","",COUNT($B$5:$B10))</f>
        <v/>
      </c>
      <c r="B10" s="13"/>
      <c r="C10" s="13"/>
      <c r="D10" s="14"/>
      <c r="E10" s="14"/>
      <c r="F10" s="15"/>
      <c r="G10" s="16"/>
      <c r="H10" s="14"/>
      <c r="I10" s="14"/>
      <c r="J10" s="15"/>
      <c r="K10" s="5" t="str">
        <f aca="false">IF($I10="","",1+IF($J10="",0,LEN($J10)-LEN(SUBSTITUTE($J10,",",""))+1))</f>
        <v/>
      </c>
      <c r="L10" s="14"/>
      <c r="M10" s="15"/>
      <c r="N10" s="17"/>
      <c r="O10" s="17"/>
      <c r="P10" s="5" t="str">
        <f aca="false">IF(OR($B10="",$C10=""),"",$C10-$B10+1)</f>
        <v/>
      </c>
      <c r="Q10" s="18"/>
      <c r="R10" s="12" t="str">
        <f aca="false">IF(OR($Q10="",$K10=""),"",$Q10*$K10)</f>
        <v/>
      </c>
      <c r="S10" s="14"/>
      <c r="T10" s="17"/>
      <c r="U10" s="15"/>
    </row>
    <row r="11" customFormat="false" ht="18.75" hidden="false" customHeight="true" outlineLevel="0" collapsed="false">
      <c r="A11" s="5" t="str">
        <f aca="false">IF($B11="","",COUNT($B$5:$B11))</f>
        <v/>
      </c>
      <c r="B11" s="6"/>
      <c r="C11" s="6"/>
      <c r="D11" s="7"/>
      <c r="E11" s="7"/>
      <c r="F11" s="8"/>
      <c r="G11" s="9"/>
      <c r="H11" s="7"/>
      <c r="I11" s="7"/>
      <c r="J11" s="8"/>
      <c r="K11" s="5" t="str">
        <f aca="false">IF($I11="","",1+IF($J11="",0,LEN($J11)-LEN(SUBSTITUTE($J11,",",""))+1))</f>
        <v/>
      </c>
      <c r="L11" s="7"/>
      <c r="M11" s="8"/>
      <c r="N11" s="10"/>
      <c r="O11" s="10"/>
      <c r="P11" s="5" t="str">
        <f aca="false">IF(OR($B11="",$C11=""),"",$C11-$B11+1)</f>
        <v/>
      </c>
      <c r="Q11" s="11"/>
      <c r="R11" s="12" t="str">
        <f aca="false">IF(OR($Q11="",$K11=""),"",$Q11*$K11)</f>
        <v/>
      </c>
      <c r="S11" s="7"/>
      <c r="T11" s="10"/>
      <c r="U11" s="8"/>
    </row>
    <row r="12" customFormat="false" ht="18.75" hidden="false" customHeight="true" outlineLevel="0" collapsed="false">
      <c r="A12" s="5" t="str">
        <f aca="false">IF($B12="","",COUNT($B$5:$B12))</f>
        <v/>
      </c>
      <c r="B12" s="13"/>
      <c r="C12" s="13"/>
      <c r="D12" s="14"/>
      <c r="E12" s="14"/>
      <c r="F12" s="15"/>
      <c r="G12" s="16"/>
      <c r="H12" s="14"/>
      <c r="I12" s="14"/>
      <c r="J12" s="15"/>
      <c r="K12" s="5" t="str">
        <f aca="false">IF($I12="","",1+IF($J12="",0,LEN($J12)-LEN(SUBSTITUTE($J12,",",""))+1))</f>
        <v/>
      </c>
      <c r="L12" s="14"/>
      <c r="M12" s="15"/>
      <c r="N12" s="17"/>
      <c r="O12" s="17"/>
      <c r="P12" s="5" t="str">
        <f aca="false">IF(OR($B12="",$C12=""),"",$C12-$B12+1)</f>
        <v/>
      </c>
      <c r="Q12" s="18"/>
      <c r="R12" s="12" t="str">
        <f aca="false">IF(OR($Q12="",$K12=""),"",$Q12*$K12)</f>
        <v/>
      </c>
      <c r="S12" s="14"/>
      <c r="T12" s="17"/>
      <c r="U12" s="15"/>
    </row>
    <row r="13" customFormat="false" ht="18.75" hidden="false" customHeight="true" outlineLevel="0" collapsed="false">
      <c r="A13" s="5" t="str">
        <f aca="false">IF($B13="","",COUNT($B$5:$B13))</f>
        <v/>
      </c>
      <c r="B13" s="6"/>
      <c r="C13" s="6"/>
      <c r="D13" s="7"/>
      <c r="E13" s="7"/>
      <c r="F13" s="8"/>
      <c r="G13" s="9"/>
      <c r="H13" s="7"/>
      <c r="I13" s="7"/>
      <c r="J13" s="8"/>
      <c r="K13" s="5" t="str">
        <f aca="false">IF($I13="","",1+IF($J13="",0,LEN($J13)-LEN(SUBSTITUTE($J13,",",""))+1))</f>
        <v/>
      </c>
      <c r="L13" s="7"/>
      <c r="M13" s="8"/>
      <c r="N13" s="10"/>
      <c r="O13" s="10"/>
      <c r="P13" s="5" t="str">
        <f aca="false">IF(OR($B13="",$C13=""),"",$C13-$B13+1)</f>
        <v/>
      </c>
      <c r="Q13" s="11"/>
      <c r="R13" s="12" t="str">
        <f aca="false">IF(OR($Q13="",$K13=""),"",$Q13*$K13)</f>
        <v/>
      </c>
      <c r="S13" s="7"/>
      <c r="T13" s="10"/>
      <c r="U13" s="8"/>
    </row>
    <row r="14" customFormat="false" ht="18.75" hidden="false" customHeight="true" outlineLevel="0" collapsed="false">
      <c r="A14" s="5" t="str">
        <f aca="false">IF($B14="","",COUNT($B$5:$B14))</f>
        <v/>
      </c>
      <c r="B14" s="13"/>
      <c r="C14" s="13"/>
      <c r="D14" s="14"/>
      <c r="E14" s="14"/>
      <c r="F14" s="15"/>
      <c r="G14" s="16"/>
      <c r="H14" s="14"/>
      <c r="I14" s="14"/>
      <c r="J14" s="15"/>
      <c r="K14" s="5" t="str">
        <f aca="false">IF($I14="","",1+IF($J14="",0,LEN($J14)-LEN(SUBSTITUTE($J14,",",""))+1))</f>
        <v/>
      </c>
      <c r="L14" s="14"/>
      <c r="M14" s="15"/>
      <c r="N14" s="17"/>
      <c r="O14" s="17"/>
      <c r="P14" s="5" t="str">
        <f aca="false">IF(OR($B14="",$C14=""),"",$C14-$B14+1)</f>
        <v/>
      </c>
      <c r="Q14" s="18"/>
      <c r="R14" s="12" t="str">
        <f aca="false">IF(OR($Q14="",$K14=""),"",$Q14*$K14)</f>
        <v/>
      </c>
      <c r="S14" s="14"/>
      <c r="T14" s="17"/>
      <c r="U14" s="15"/>
    </row>
    <row r="15" customFormat="false" ht="18.75" hidden="false" customHeight="true" outlineLevel="0" collapsed="false">
      <c r="A15" s="5" t="str">
        <f aca="false">IF($B15="","",COUNT($B$5:$B15))</f>
        <v/>
      </c>
      <c r="B15" s="6"/>
      <c r="C15" s="6"/>
      <c r="D15" s="7"/>
      <c r="E15" s="7"/>
      <c r="F15" s="8"/>
      <c r="G15" s="9"/>
      <c r="H15" s="7"/>
      <c r="I15" s="7"/>
      <c r="J15" s="8"/>
      <c r="K15" s="5" t="str">
        <f aca="false">IF($I15="","",1+IF($J15="",0,LEN($J15)-LEN(SUBSTITUTE($J15,",",""))+1))</f>
        <v/>
      </c>
      <c r="L15" s="7"/>
      <c r="M15" s="8"/>
      <c r="N15" s="10"/>
      <c r="O15" s="10"/>
      <c r="P15" s="5" t="str">
        <f aca="false">IF(OR($B15="",$C15=""),"",$C15-$B15+1)</f>
        <v/>
      </c>
      <c r="Q15" s="11"/>
      <c r="R15" s="12" t="str">
        <f aca="false">IF(OR($Q15="",$K15=""),"",$Q15*$K15)</f>
        <v/>
      </c>
      <c r="S15" s="7"/>
      <c r="T15" s="10"/>
      <c r="U15" s="8"/>
    </row>
    <row r="16" customFormat="false" ht="18.75" hidden="false" customHeight="true" outlineLevel="0" collapsed="false">
      <c r="A16" s="5" t="str">
        <f aca="false">IF($B16="","",COUNT($B$5:$B16))</f>
        <v/>
      </c>
      <c r="B16" s="13"/>
      <c r="C16" s="13"/>
      <c r="D16" s="14"/>
      <c r="E16" s="14"/>
      <c r="F16" s="15"/>
      <c r="G16" s="16"/>
      <c r="H16" s="14"/>
      <c r="I16" s="14"/>
      <c r="J16" s="15"/>
      <c r="K16" s="5" t="str">
        <f aca="false">IF($I16="","",1+IF($J16="",0,LEN($J16)-LEN(SUBSTITUTE($J16,",",""))+1))</f>
        <v/>
      </c>
      <c r="L16" s="14"/>
      <c r="M16" s="15"/>
      <c r="N16" s="17"/>
      <c r="O16" s="17"/>
      <c r="P16" s="5" t="str">
        <f aca="false">IF(OR($B16="",$C16=""),"",$C16-$B16+1)</f>
        <v/>
      </c>
      <c r="Q16" s="18"/>
      <c r="R16" s="12" t="str">
        <f aca="false">IF(OR($Q16="",$K16=""),"",$Q16*$K16)</f>
        <v/>
      </c>
      <c r="S16" s="14"/>
      <c r="T16" s="17"/>
      <c r="U16" s="15"/>
    </row>
    <row r="17" customFormat="false" ht="18.75" hidden="false" customHeight="true" outlineLevel="0" collapsed="false">
      <c r="A17" s="5" t="str">
        <f aca="false">IF($B17="","",COUNT($B$5:$B17))</f>
        <v/>
      </c>
      <c r="B17" s="6"/>
      <c r="C17" s="6"/>
      <c r="D17" s="7"/>
      <c r="E17" s="7"/>
      <c r="F17" s="8"/>
      <c r="G17" s="9"/>
      <c r="H17" s="7"/>
      <c r="I17" s="7"/>
      <c r="J17" s="8"/>
      <c r="K17" s="5" t="str">
        <f aca="false">IF($I17="","",1+IF($J17="",0,LEN($J17)-LEN(SUBSTITUTE($J17,",",""))+1))</f>
        <v/>
      </c>
      <c r="L17" s="7"/>
      <c r="M17" s="8"/>
      <c r="N17" s="10"/>
      <c r="O17" s="10"/>
      <c r="P17" s="5" t="str">
        <f aca="false">IF(OR($B17="",$C17=""),"",$C17-$B17+1)</f>
        <v/>
      </c>
      <c r="Q17" s="11"/>
      <c r="R17" s="12" t="str">
        <f aca="false">IF(OR($Q17="",$K17=""),"",$Q17*$K17)</f>
        <v/>
      </c>
      <c r="S17" s="7"/>
      <c r="T17" s="10"/>
      <c r="U17" s="8"/>
    </row>
    <row r="18" customFormat="false" ht="18.75" hidden="false" customHeight="true" outlineLevel="0" collapsed="false">
      <c r="A18" s="5" t="str">
        <f aca="false">IF($B18="","",COUNT($B$5:$B18))</f>
        <v/>
      </c>
      <c r="B18" s="13"/>
      <c r="C18" s="13"/>
      <c r="D18" s="14"/>
      <c r="E18" s="14"/>
      <c r="F18" s="15"/>
      <c r="G18" s="16"/>
      <c r="H18" s="14"/>
      <c r="I18" s="14"/>
      <c r="J18" s="15"/>
      <c r="K18" s="5" t="str">
        <f aca="false">IF($I18="","",1+IF($J18="",0,LEN($J18)-LEN(SUBSTITUTE($J18,",",""))+1))</f>
        <v/>
      </c>
      <c r="L18" s="14"/>
      <c r="M18" s="15"/>
      <c r="N18" s="17"/>
      <c r="O18" s="17"/>
      <c r="P18" s="5" t="str">
        <f aca="false">IF(OR($B18="",$C18=""),"",$C18-$B18+1)</f>
        <v/>
      </c>
      <c r="Q18" s="18"/>
      <c r="R18" s="12" t="str">
        <f aca="false">IF(OR($Q18="",$K18=""),"",$Q18*$K18)</f>
        <v/>
      </c>
      <c r="S18" s="14"/>
      <c r="T18" s="17"/>
      <c r="U18" s="15"/>
    </row>
    <row r="19" customFormat="false" ht="18.75" hidden="false" customHeight="true" outlineLevel="0" collapsed="false">
      <c r="A19" s="5" t="str">
        <f aca="false">IF($B19="","",COUNT($B$5:$B19))</f>
        <v/>
      </c>
      <c r="B19" s="6"/>
      <c r="C19" s="6"/>
      <c r="D19" s="7"/>
      <c r="E19" s="7"/>
      <c r="F19" s="8"/>
      <c r="G19" s="9"/>
      <c r="H19" s="7"/>
      <c r="I19" s="7"/>
      <c r="J19" s="8"/>
      <c r="K19" s="5" t="str">
        <f aca="false">IF($I19="","",1+IF($J19="",0,LEN($J19)-LEN(SUBSTITUTE($J19,",",""))+1))</f>
        <v/>
      </c>
      <c r="L19" s="7"/>
      <c r="M19" s="8"/>
      <c r="N19" s="10"/>
      <c r="O19" s="10"/>
      <c r="P19" s="5" t="str">
        <f aca="false">IF(OR($B19="",$C19=""),"",$C19-$B19+1)</f>
        <v/>
      </c>
      <c r="Q19" s="11"/>
      <c r="R19" s="12" t="str">
        <f aca="false">IF(OR($Q19="",$K19=""),"",$Q19*$K19)</f>
        <v/>
      </c>
      <c r="S19" s="7"/>
      <c r="T19" s="10"/>
      <c r="U19" s="8"/>
    </row>
    <row r="20" customFormat="false" ht="18.75" hidden="false" customHeight="true" outlineLevel="0" collapsed="false">
      <c r="A20" s="5" t="str">
        <f aca="false">IF($B20="","",COUNT($B$5:$B20))</f>
        <v/>
      </c>
      <c r="B20" s="13"/>
      <c r="C20" s="13"/>
      <c r="D20" s="14"/>
      <c r="E20" s="14"/>
      <c r="F20" s="15"/>
      <c r="G20" s="16"/>
      <c r="H20" s="14"/>
      <c r="I20" s="14"/>
      <c r="J20" s="15"/>
      <c r="K20" s="5" t="str">
        <f aca="false">IF($I20="","",1+IF($J20="",0,LEN($J20)-LEN(SUBSTITUTE($J20,",",""))+1))</f>
        <v/>
      </c>
      <c r="L20" s="14"/>
      <c r="M20" s="15"/>
      <c r="N20" s="17"/>
      <c r="O20" s="17"/>
      <c r="P20" s="5" t="str">
        <f aca="false">IF(OR($B20="",$C20=""),"",$C20-$B20+1)</f>
        <v/>
      </c>
      <c r="Q20" s="18"/>
      <c r="R20" s="12" t="str">
        <f aca="false">IF(OR($Q20="",$K20=""),"",$Q20*$K20)</f>
        <v/>
      </c>
      <c r="S20" s="14"/>
      <c r="T20" s="17"/>
      <c r="U20" s="15"/>
    </row>
    <row r="21" customFormat="false" ht="18.75" hidden="false" customHeight="true" outlineLevel="0" collapsed="false">
      <c r="A21" s="5" t="str">
        <f aca="false">IF($B21="","",COUNT($B$5:$B21))</f>
        <v/>
      </c>
      <c r="B21" s="6"/>
      <c r="C21" s="6"/>
      <c r="D21" s="7"/>
      <c r="E21" s="7"/>
      <c r="F21" s="8"/>
      <c r="G21" s="9"/>
      <c r="H21" s="7"/>
      <c r="I21" s="7"/>
      <c r="J21" s="8"/>
      <c r="K21" s="5" t="str">
        <f aca="false">IF($I21="","",1+IF($J21="",0,LEN($J21)-LEN(SUBSTITUTE($J21,",",""))+1))</f>
        <v/>
      </c>
      <c r="L21" s="7"/>
      <c r="M21" s="8"/>
      <c r="N21" s="10"/>
      <c r="O21" s="10"/>
      <c r="P21" s="5" t="str">
        <f aca="false">IF(OR($B21="",$C21=""),"",$C21-$B21+1)</f>
        <v/>
      </c>
      <c r="Q21" s="11"/>
      <c r="R21" s="12" t="str">
        <f aca="false">IF(OR($Q21="",$K21=""),"",$Q21*$K21)</f>
        <v/>
      </c>
      <c r="S21" s="7"/>
      <c r="T21" s="10"/>
      <c r="U21" s="8"/>
    </row>
    <row r="22" customFormat="false" ht="18.75" hidden="false" customHeight="true" outlineLevel="0" collapsed="false">
      <c r="A22" s="5" t="str">
        <f aca="false">IF($B22="","",COUNT($B$5:$B22))</f>
        <v/>
      </c>
      <c r="B22" s="13"/>
      <c r="C22" s="13"/>
      <c r="D22" s="14"/>
      <c r="E22" s="14"/>
      <c r="F22" s="15"/>
      <c r="G22" s="16"/>
      <c r="H22" s="14"/>
      <c r="I22" s="14"/>
      <c r="J22" s="15"/>
      <c r="K22" s="5" t="str">
        <f aca="false">IF($I22="","",1+IF($J22="",0,LEN($J22)-LEN(SUBSTITUTE($J22,",",""))+1))</f>
        <v/>
      </c>
      <c r="L22" s="14"/>
      <c r="M22" s="15"/>
      <c r="N22" s="17"/>
      <c r="O22" s="17"/>
      <c r="P22" s="5" t="str">
        <f aca="false">IF(OR($B22="",$C22=""),"",$C22-$B22+1)</f>
        <v/>
      </c>
      <c r="Q22" s="18"/>
      <c r="R22" s="12" t="str">
        <f aca="false">IF(OR($Q22="",$K22=""),"",$Q22*$K22)</f>
        <v/>
      </c>
      <c r="S22" s="14"/>
      <c r="T22" s="17"/>
      <c r="U22" s="15"/>
    </row>
    <row r="23" customFormat="false" ht="18.75" hidden="false" customHeight="true" outlineLevel="0" collapsed="false">
      <c r="A23" s="5" t="str">
        <f aca="false">IF($B23="","",COUNT($B$5:$B23))</f>
        <v/>
      </c>
      <c r="B23" s="6"/>
      <c r="C23" s="6"/>
      <c r="D23" s="7"/>
      <c r="E23" s="7"/>
      <c r="F23" s="8"/>
      <c r="G23" s="9"/>
      <c r="H23" s="7"/>
      <c r="I23" s="7"/>
      <c r="J23" s="8"/>
      <c r="K23" s="5" t="str">
        <f aca="false">IF($I23="","",1+IF($J23="",0,LEN($J23)-LEN(SUBSTITUTE($J23,",",""))+1))</f>
        <v/>
      </c>
      <c r="L23" s="7"/>
      <c r="M23" s="8"/>
      <c r="N23" s="10"/>
      <c r="O23" s="10"/>
      <c r="P23" s="5" t="str">
        <f aca="false">IF(OR($B23="",$C23=""),"",$C23-$B23+1)</f>
        <v/>
      </c>
      <c r="Q23" s="11"/>
      <c r="R23" s="12" t="str">
        <f aca="false">IF(OR($Q23="",$K23=""),"",$Q23*$K23)</f>
        <v/>
      </c>
      <c r="S23" s="7"/>
      <c r="T23" s="10"/>
      <c r="U23" s="8"/>
    </row>
    <row r="24" customFormat="false" ht="18.75" hidden="false" customHeight="true" outlineLevel="0" collapsed="false">
      <c r="A24" s="5" t="str">
        <f aca="false">IF($B24="","",COUNT($B$5:$B24))</f>
        <v/>
      </c>
      <c r="B24" s="13"/>
      <c r="C24" s="13"/>
      <c r="D24" s="14"/>
      <c r="E24" s="14"/>
      <c r="F24" s="15"/>
      <c r="G24" s="16"/>
      <c r="H24" s="14"/>
      <c r="I24" s="14"/>
      <c r="J24" s="15"/>
      <c r="K24" s="5" t="str">
        <f aca="false">IF($I24="","",1+IF($J24="",0,LEN($J24)-LEN(SUBSTITUTE($J24,",",""))+1))</f>
        <v/>
      </c>
      <c r="L24" s="14"/>
      <c r="M24" s="15"/>
      <c r="N24" s="17"/>
      <c r="O24" s="17"/>
      <c r="P24" s="5" t="str">
        <f aca="false">IF(OR($B24="",$C24=""),"",$C24-$B24+1)</f>
        <v/>
      </c>
      <c r="Q24" s="18"/>
      <c r="R24" s="12" t="str">
        <f aca="false">IF(OR($Q24="",$K24=""),"",$Q24*$K24)</f>
        <v/>
      </c>
      <c r="S24" s="14"/>
      <c r="T24" s="17"/>
      <c r="U24" s="15"/>
    </row>
    <row r="25" customFormat="false" ht="18.75" hidden="false" customHeight="true" outlineLevel="0" collapsed="false">
      <c r="A25" s="5" t="str">
        <f aca="false">IF($B25="","",COUNT($B$5:$B25))</f>
        <v/>
      </c>
      <c r="B25" s="6"/>
      <c r="C25" s="6"/>
      <c r="D25" s="7"/>
      <c r="E25" s="7"/>
      <c r="F25" s="8"/>
      <c r="G25" s="9"/>
      <c r="H25" s="7"/>
      <c r="I25" s="7"/>
      <c r="J25" s="8"/>
      <c r="K25" s="5" t="str">
        <f aca="false">IF($I25="","",1+IF($J25="",0,LEN($J25)-LEN(SUBSTITUTE($J25,",",""))+1))</f>
        <v/>
      </c>
      <c r="L25" s="7"/>
      <c r="M25" s="8"/>
      <c r="N25" s="10"/>
      <c r="O25" s="10"/>
      <c r="P25" s="5" t="str">
        <f aca="false">IF(OR($B25="",$C25=""),"",$C25-$B25+1)</f>
        <v/>
      </c>
      <c r="Q25" s="11"/>
      <c r="R25" s="12" t="str">
        <f aca="false">IF(OR($Q25="",$K25=""),"",$Q25*$K25)</f>
        <v/>
      </c>
      <c r="S25" s="7"/>
      <c r="T25" s="10"/>
      <c r="U25" s="8"/>
    </row>
    <row r="26" customFormat="false" ht="18.75" hidden="false" customHeight="true" outlineLevel="0" collapsed="false">
      <c r="A26" s="5" t="str">
        <f aca="false">IF($B26="","",COUNT($B$5:$B26))</f>
        <v/>
      </c>
      <c r="B26" s="13"/>
      <c r="C26" s="13"/>
      <c r="D26" s="14"/>
      <c r="E26" s="14"/>
      <c r="F26" s="15"/>
      <c r="G26" s="16"/>
      <c r="H26" s="14"/>
      <c r="I26" s="14"/>
      <c r="J26" s="15"/>
      <c r="K26" s="5" t="str">
        <f aca="false">IF($I26="","",1+IF($J26="",0,LEN($J26)-LEN(SUBSTITUTE($J26,",",""))+1))</f>
        <v/>
      </c>
      <c r="L26" s="14"/>
      <c r="M26" s="15"/>
      <c r="N26" s="17"/>
      <c r="O26" s="17"/>
      <c r="P26" s="5" t="str">
        <f aca="false">IF(OR($B26="",$C26=""),"",$C26-$B26+1)</f>
        <v/>
      </c>
      <c r="Q26" s="18"/>
      <c r="R26" s="12" t="str">
        <f aca="false">IF(OR($Q26="",$K26=""),"",$Q26*$K26)</f>
        <v/>
      </c>
      <c r="S26" s="14"/>
      <c r="T26" s="17"/>
      <c r="U26" s="15"/>
    </row>
    <row r="27" customFormat="false" ht="18.75" hidden="false" customHeight="true" outlineLevel="0" collapsed="false">
      <c r="A27" s="5" t="str">
        <f aca="false">IF($B27="","",COUNT($B$5:$B27))</f>
        <v/>
      </c>
      <c r="B27" s="6"/>
      <c r="C27" s="6"/>
      <c r="D27" s="7"/>
      <c r="E27" s="7"/>
      <c r="F27" s="8"/>
      <c r="G27" s="9"/>
      <c r="H27" s="7"/>
      <c r="I27" s="7"/>
      <c r="J27" s="8"/>
      <c r="K27" s="5" t="str">
        <f aca="false">IF($I27="","",1+IF($J27="",0,LEN($J27)-LEN(SUBSTITUTE($J27,",",""))+1))</f>
        <v/>
      </c>
      <c r="L27" s="7"/>
      <c r="M27" s="8"/>
      <c r="N27" s="10"/>
      <c r="O27" s="10"/>
      <c r="P27" s="5" t="str">
        <f aca="false">IF(OR($B27="",$C27=""),"",$C27-$B27+1)</f>
        <v/>
      </c>
      <c r="Q27" s="11"/>
      <c r="R27" s="12" t="str">
        <f aca="false">IF(OR($Q27="",$K27=""),"",$Q27*$K27)</f>
        <v/>
      </c>
      <c r="S27" s="7"/>
      <c r="T27" s="10"/>
      <c r="U27" s="8"/>
    </row>
    <row r="28" customFormat="false" ht="18.75" hidden="false" customHeight="true" outlineLevel="0" collapsed="false">
      <c r="A28" s="5" t="str">
        <f aca="false">IF($B28="","",COUNT($B$5:$B28))</f>
        <v/>
      </c>
      <c r="B28" s="13"/>
      <c r="C28" s="13"/>
      <c r="D28" s="14"/>
      <c r="E28" s="14"/>
      <c r="F28" s="15"/>
      <c r="G28" s="16"/>
      <c r="H28" s="14"/>
      <c r="I28" s="14"/>
      <c r="J28" s="15"/>
      <c r="K28" s="5" t="str">
        <f aca="false">IF($I28="","",1+IF($J28="",0,LEN($J28)-LEN(SUBSTITUTE($J28,",",""))+1))</f>
        <v/>
      </c>
      <c r="L28" s="14"/>
      <c r="M28" s="15"/>
      <c r="N28" s="17"/>
      <c r="O28" s="17"/>
      <c r="P28" s="5" t="str">
        <f aca="false">IF(OR($B28="",$C28=""),"",$C28-$B28+1)</f>
        <v/>
      </c>
      <c r="Q28" s="18"/>
      <c r="R28" s="12" t="str">
        <f aca="false">IF(OR($Q28="",$K28=""),"",$Q28*$K28)</f>
        <v/>
      </c>
      <c r="S28" s="14"/>
      <c r="T28" s="17"/>
      <c r="U28" s="15"/>
    </row>
    <row r="29" customFormat="false" ht="18.75" hidden="false" customHeight="true" outlineLevel="0" collapsed="false">
      <c r="A29" s="5" t="str">
        <f aca="false">IF($B29="","",COUNT($B$5:$B29))</f>
        <v/>
      </c>
      <c r="B29" s="6"/>
      <c r="C29" s="6"/>
      <c r="D29" s="7"/>
      <c r="E29" s="7"/>
      <c r="F29" s="8"/>
      <c r="G29" s="9"/>
      <c r="H29" s="7"/>
      <c r="I29" s="7"/>
      <c r="J29" s="8"/>
      <c r="K29" s="5" t="str">
        <f aca="false">IF($I29="","",1+IF($J29="",0,LEN($J29)-LEN(SUBSTITUTE($J29,",",""))+1))</f>
        <v/>
      </c>
      <c r="L29" s="7"/>
      <c r="M29" s="8"/>
      <c r="N29" s="10"/>
      <c r="O29" s="10"/>
      <c r="P29" s="5" t="str">
        <f aca="false">IF(OR($B29="",$C29=""),"",$C29-$B29+1)</f>
        <v/>
      </c>
      <c r="Q29" s="11"/>
      <c r="R29" s="12" t="str">
        <f aca="false">IF(OR($Q29="",$K29=""),"",$Q29*$K29)</f>
        <v/>
      </c>
      <c r="S29" s="7"/>
      <c r="T29" s="10"/>
      <c r="U29" s="8"/>
    </row>
    <row r="30" customFormat="false" ht="18.75" hidden="false" customHeight="true" outlineLevel="0" collapsed="false">
      <c r="A30" s="5" t="str">
        <f aca="false">IF($B30="","",COUNT($B$5:$B30))</f>
        <v/>
      </c>
      <c r="B30" s="13"/>
      <c r="C30" s="13"/>
      <c r="D30" s="14"/>
      <c r="E30" s="14"/>
      <c r="F30" s="15"/>
      <c r="G30" s="16"/>
      <c r="H30" s="14"/>
      <c r="I30" s="14"/>
      <c r="J30" s="15"/>
      <c r="K30" s="5" t="str">
        <f aca="false">IF($I30="","",1+IF($J30="",0,LEN($J30)-LEN(SUBSTITUTE($J30,",",""))+1))</f>
        <v/>
      </c>
      <c r="L30" s="14"/>
      <c r="M30" s="15"/>
      <c r="N30" s="17"/>
      <c r="O30" s="17"/>
      <c r="P30" s="5" t="str">
        <f aca="false">IF(OR($B30="",$C30=""),"",$C30-$B30+1)</f>
        <v/>
      </c>
      <c r="Q30" s="18"/>
      <c r="R30" s="12" t="str">
        <f aca="false">IF(OR($Q30="",$K30=""),"",$Q30*$K30)</f>
        <v/>
      </c>
      <c r="S30" s="14"/>
      <c r="T30" s="17"/>
      <c r="U30" s="15"/>
    </row>
    <row r="31" customFormat="false" ht="18.75" hidden="false" customHeight="true" outlineLevel="0" collapsed="false">
      <c r="A31" s="5" t="str">
        <f aca="false">IF($B31="","",COUNT($B$5:$B31))</f>
        <v/>
      </c>
      <c r="B31" s="6"/>
      <c r="C31" s="6"/>
      <c r="D31" s="7"/>
      <c r="E31" s="7"/>
      <c r="F31" s="8"/>
      <c r="G31" s="9"/>
      <c r="H31" s="7"/>
      <c r="I31" s="7"/>
      <c r="J31" s="8"/>
      <c r="K31" s="5" t="str">
        <f aca="false">IF($I31="","",1+IF($J31="",0,LEN($J31)-LEN(SUBSTITUTE($J31,",",""))+1))</f>
        <v/>
      </c>
      <c r="L31" s="7"/>
      <c r="M31" s="8"/>
      <c r="N31" s="10"/>
      <c r="O31" s="10"/>
      <c r="P31" s="5" t="str">
        <f aca="false">IF(OR($B31="",$C31=""),"",$C31-$B31+1)</f>
        <v/>
      </c>
      <c r="Q31" s="11"/>
      <c r="R31" s="12" t="str">
        <f aca="false">IF(OR($Q31="",$K31=""),"",$Q31*$K31)</f>
        <v/>
      </c>
      <c r="S31" s="7"/>
      <c r="T31" s="10"/>
      <c r="U31" s="8"/>
    </row>
    <row r="32" customFormat="false" ht="18.75" hidden="false" customHeight="true" outlineLevel="0" collapsed="false">
      <c r="A32" s="5" t="str">
        <f aca="false">IF($B32="","",COUNT($B$5:$B32))</f>
        <v/>
      </c>
      <c r="B32" s="13"/>
      <c r="C32" s="13"/>
      <c r="D32" s="14"/>
      <c r="E32" s="14"/>
      <c r="F32" s="15"/>
      <c r="G32" s="16"/>
      <c r="H32" s="14"/>
      <c r="I32" s="14"/>
      <c r="J32" s="15"/>
      <c r="K32" s="5" t="str">
        <f aca="false">IF($I32="","",1+IF($J32="",0,LEN($J32)-LEN(SUBSTITUTE($J32,",",""))+1))</f>
        <v/>
      </c>
      <c r="L32" s="14"/>
      <c r="M32" s="15"/>
      <c r="N32" s="17"/>
      <c r="O32" s="17"/>
      <c r="P32" s="5" t="str">
        <f aca="false">IF(OR($B32="",$C32=""),"",$C32-$B32+1)</f>
        <v/>
      </c>
      <c r="Q32" s="18"/>
      <c r="R32" s="12" t="str">
        <f aca="false">IF(OR($Q32="",$K32=""),"",$Q32*$K32)</f>
        <v/>
      </c>
      <c r="S32" s="14"/>
      <c r="T32" s="17"/>
      <c r="U32" s="15"/>
    </row>
    <row r="33" customFormat="false" ht="18.75" hidden="false" customHeight="true" outlineLevel="0" collapsed="false">
      <c r="A33" s="5" t="str">
        <f aca="false">IF($B33="","",COUNT($B$5:$B33))</f>
        <v/>
      </c>
      <c r="B33" s="6"/>
      <c r="C33" s="6"/>
      <c r="D33" s="7"/>
      <c r="E33" s="7"/>
      <c r="F33" s="8"/>
      <c r="G33" s="9"/>
      <c r="H33" s="7"/>
      <c r="I33" s="7"/>
      <c r="J33" s="8"/>
      <c r="K33" s="5" t="str">
        <f aca="false">IF($I33="","",1+IF($J33="",0,LEN($J33)-LEN(SUBSTITUTE($J33,",",""))+1))</f>
        <v/>
      </c>
      <c r="L33" s="7"/>
      <c r="M33" s="8"/>
      <c r="N33" s="10"/>
      <c r="O33" s="10"/>
      <c r="P33" s="5" t="str">
        <f aca="false">IF(OR($B33="",$C33=""),"",$C33-$B33+1)</f>
        <v/>
      </c>
      <c r="Q33" s="11"/>
      <c r="R33" s="12" t="str">
        <f aca="false">IF(OR($Q33="",$K33=""),"",$Q33*$K33)</f>
        <v/>
      </c>
      <c r="S33" s="7"/>
      <c r="T33" s="10"/>
      <c r="U33" s="8"/>
    </row>
    <row r="34" customFormat="false" ht="18.75" hidden="false" customHeight="true" outlineLevel="0" collapsed="false">
      <c r="A34" s="5" t="str">
        <f aca="false">IF($B34="","",COUNT($B$5:$B34))</f>
        <v/>
      </c>
      <c r="B34" s="13"/>
      <c r="C34" s="13"/>
      <c r="D34" s="14"/>
      <c r="E34" s="14"/>
      <c r="F34" s="15"/>
      <c r="G34" s="16"/>
      <c r="H34" s="14"/>
      <c r="I34" s="14"/>
      <c r="J34" s="15"/>
      <c r="K34" s="5" t="str">
        <f aca="false">IF($I34="","",1+IF($J34="",0,LEN($J34)-LEN(SUBSTITUTE($J34,",",""))+1))</f>
        <v/>
      </c>
      <c r="L34" s="14"/>
      <c r="M34" s="15"/>
      <c r="N34" s="17"/>
      <c r="O34" s="17"/>
      <c r="P34" s="5" t="str">
        <f aca="false">IF(OR($B34="",$C34=""),"",$C34-$B34+1)</f>
        <v/>
      </c>
      <c r="Q34" s="18"/>
      <c r="R34" s="12" t="str">
        <f aca="false">IF(OR($Q34="",$K34=""),"",$Q34*$K34)</f>
        <v/>
      </c>
      <c r="S34" s="14"/>
      <c r="T34" s="17"/>
      <c r="U34" s="15"/>
    </row>
    <row r="35" customFormat="false" ht="18.75" hidden="false" customHeight="true" outlineLevel="0" collapsed="false">
      <c r="A35" s="5" t="str">
        <f aca="false">IF($B35="","",COUNT($B$5:$B35))</f>
        <v/>
      </c>
      <c r="B35" s="6"/>
      <c r="C35" s="6"/>
      <c r="D35" s="7"/>
      <c r="E35" s="7"/>
      <c r="F35" s="8"/>
      <c r="G35" s="9"/>
      <c r="H35" s="7"/>
      <c r="I35" s="7"/>
      <c r="J35" s="8"/>
      <c r="K35" s="5" t="str">
        <f aca="false">IF($I35="","",1+IF($J35="",0,LEN($J35)-LEN(SUBSTITUTE($J35,",",""))+1))</f>
        <v/>
      </c>
      <c r="L35" s="7"/>
      <c r="M35" s="8"/>
      <c r="N35" s="10"/>
      <c r="O35" s="10"/>
      <c r="P35" s="5" t="str">
        <f aca="false">IF(OR($B35="",$C35=""),"",$C35-$B35+1)</f>
        <v/>
      </c>
      <c r="Q35" s="11"/>
      <c r="R35" s="12" t="str">
        <f aca="false">IF(OR($Q35="",$K35=""),"",$Q35*$K35)</f>
        <v/>
      </c>
      <c r="S35" s="7"/>
      <c r="T35" s="10"/>
      <c r="U35" s="8"/>
    </row>
    <row r="36" customFormat="false" ht="18.75" hidden="false" customHeight="true" outlineLevel="0" collapsed="false">
      <c r="A36" s="5" t="str">
        <f aca="false">IF($B36="","",COUNT($B$5:$B36))</f>
        <v/>
      </c>
      <c r="B36" s="13"/>
      <c r="C36" s="13"/>
      <c r="D36" s="14"/>
      <c r="E36" s="14"/>
      <c r="F36" s="15"/>
      <c r="G36" s="16"/>
      <c r="H36" s="14"/>
      <c r="I36" s="14"/>
      <c r="J36" s="15"/>
      <c r="K36" s="5" t="str">
        <f aca="false">IF($I36="","",1+IF($J36="",0,LEN($J36)-LEN(SUBSTITUTE($J36,",",""))+1))</f>
        <v/>
      </c>
      <c r="L36" s="14"/>
      <c r="M36" s="15"/>
      <c r="N36" s="17"/>
      <c r="O36" s="17"/>
      <c r="P36" s="5" t="str">
        <f aca="false">IF(OR($B36="",$C36=""),"",$C36-$B36+1)</f>
        <v/>
      </c>
      <c r="Q36" s="18"/>
      <c r="R36" s="12" t="str">
        <f aca="false">IF(OR($Q36="",$K36=""),"",$Q36*$K36)</f>
        <v/>
      </c>
      <c r="S36" s="14"/>
      <c r="T36" s="17"/>
      <c r="U36" s="15"/>
    </row>
    <row r="37" customFormat="false" ht="18.75" hidden="false" customHeight="true" outlineLevel="0" collapsed="false">
      <c r="A37" s="5" t="str">
        <f aca="false">IF($B37="","",COUNT($B$5:$B37))</f>
        <v/>
      </c>
      <c r="B37" s="6"/>
      <c r="C37" s="6"/>
      <c r="D37" s="7"/>
      <c r="E37" s="7"/>
      <c r="F37" s="8"/>
      <c r="G37" s="9"/>
      <c r="H37" s="7"/>
      <c r="I37" s="7"/>
      <c r="J37" s="8"/>
      <c r="K37" s="5" t="str">
        <f aca="false">IF($I37="","",1+IF($J37="",0,LEN($J37)-LEN(SUBSTITUTE($J37,",",""))+1))</f>
        <v/>
      </c>
      <c r="L37" s="7"/>
      <c r="M37" s="8"/>
      <c r="N37" s="10"/>
      <c r="O37" s="10"/>
      <c r="P37" s="5" t="str">
        <f aca="false">IF(OR($B37="",$C37=""),"",$C37-$B37+1)</f>
        <v/>
      </c>
      <c r="Q37" s="11"/>
      <c r="R37" s="12" t="str">
        <f aca="false">IF(OR($Q37="",$K37=""),"",$Q37*$K37)</f>
        <v/>
      </c>
      <c r="S37" s="7"/>
      <c r="T37" s="10"/>
      <c r="U37" s="8"/>
    </row>
    <row r="38" customFormat="false" ht="18.75" hidden="false" customHeight="true" outlineLevel="0" collapsed="false">
      <c r="A38" s="5" t="str">
        <f aca="false">IF($B38="","",COUNT($B$5:$B38))</f>
        <v/>
      </c>
      <c r="B38" s="13"/>
      <c r="C38" s="13"/>
      <c r="D38" s="14"/>
      <c r="E38" s="14"/>
      <c r="F38" s="15"/>
      <c r="G38" s="16"/>
      <c r="H38" s="14"/>
      <c r="I38" s="14"/>
      <c r="J38" s="15"/>
      <c r="K38" s="5" t="str">
        <f aca="false">IF($I38="","",1+IF($J38="",0,LEN($J38)-LEN(SUBSTITUTE($J38,",",""))+1))</f>
        <v/>
      </c>
      <c r="L38" s="14"/>
      <c r="M38" s="15"/>
      <c r="N38" s="17"/>
      <c r="O38" s="17"/>
      <c r="P38" s="5" t="str">
        <f aca="false">IF(OR($B38="",$C38=""),"",$C38-$B38+1)</f>
        <v/>
      </c>
      <c r="Q38" s="18"/>
      <c r="R38" s="12" t="str">
        <f aca="false">IF(OR($Q38="",$K38=""),"",$Q38*$K38)</f>
        <v/>
      </c>
      <c r="S38" s="14"/>
      <c r="T38" s="17"/>
      <c r="U38" s="15"/>
    </row>
    <row r="39" customFormat="false" ht="18.75" hidden="false" customHeight="true" outlineLevel="0" collapsed="false">
      <c r="A39" s="5" t="str">
        <f aca="false">IF($B39="","",COUNT($B$5:$B39))</f>
        <v/>
      </c>
      <c r="B39" s="6"/>
      <c r="C39" s="6"/>
      <c r="D39" s="7"/>
      <c r="E39" s="7"/>
      <c r="F39" s="8"/>
      <c r="G39" s="9"/>
      <c r="H39" s="7"/>
      <c r="I39" s="7"/>
      <c r="J39" s="8"/>
      <c r="K39" s="5" t="str">
        <f aca="false">IF($I39="","",1+IF($J39="",0,LEN($J39)-LEN(SUBSTITUTE($J39,",",""))+1))</f>
        <v/>
      </c>
      <c r="L39" s="7"/>
      <c r="M39" s="8"/>
      <c r="N39" s="10"/>
      <c r="O39" s="10"/>
      <c r="P39" s="5" t="str">
        <f aca="false">IF(OR($B39="",$C39=""),"",$C39-$B39+1)</f>
        <v/>
      </c>
      <c r="Q39" s="11"/>
      <c r="R39" s="12" t="str">
        <f aca="false">IF(OR($Q39="",$K39=""),"",$Q39*$K39)</f>
        <v/>
      </c>
      <c r="S39" s="7"/>
      <c r="T39" s="10"/>
      <c r="U39" s="8"/>
    </row>
    <row r="40" customFormat="false" ht="18.75" hidden="false" customHeight="true" outlineLevel="0" collapsed="false">
      <c r="A40" s="5" t="str">
        <f aca="false">IF($B40="","",COUNT($B$5:$B40))</f>
        <v/>
      </c>
      <c r="B40" s="13"/>
      <c r="C40" s="13"/>
      <c r="D40" s="14"/>
      <c r="E40" s="14"/>
      <c r="F40" s="15"/>
      <c r="G40" s="16"/>
      <c r="H40" s="14"/>
      <c r="I40" s="14"/>
      <c r="J40" s="15"/>
      <c r="K40" s="5" t="str">
        <f aca="false">IF($I40="","",1+IF($J40="",0,LEN($J40)-LEN(SUBSTITUTE($J40,",",""))+1))</f>
        <v/>
      </c>
      <c r="L40" s="14"/>
      <c r="M40" s="15"/>
      <c r="N40" s="17"/>
      <c r="O40" s="17"/>
      <c r="P40" s="5" t="str">
        <f aca="false">IF(OR($B40="",$C40=""),"",$C40-$B40+1)</f>
        <v/>
      </c>
      <c r="Q40" s="18"/>
      <c r="R40" s="12" t="str">
        <f aca="false">IF(OR($Q40="",$K40=""),"",$Q40*$K40)</f>
        <v/>
      </c>
      <c r="S40" s="14"/>
      <c r="T40" s="17"/>
      <c r="U40" s="15"/>
    </row>
    <row r="41" customFormat="false" ht="18.75" hidden="false" customHeight="true" outlineLevel="0" collapsed="false">
      <c r="A41" s="5" t="str">
        <f aca="false">IF($B41="","",COUNT($B$5:$B41))</f>
        <v/>
      </c>
      <c r="B41" s="6"/>
      <c r="C41" s="6"/>
      <c r="D41" s="7"/>
      <c r="E41" s="7"/>
      <c r="F41" s="8"/>
      <c r="G41" s="9"/>
      <c r="H41" s="7"/>
      <c r="I41" s="7"/>
      <c r="J41" s="8"/>
      <c r="K41" s="5" t="str">
        <f aca="false">IF($I41="","",1+IF($J41="",0,LEN($J41)-LEN(SUBSTITUTE($J41,",",""))+1))</f>
        <v/>
      </c>
      <c r="L41" s="7"/>
      <c r="M41" s="8"/>
      <c r="N41" s="10"/>
      <c r="O41" s="10"/>
      <c r="P41" s="5" t="str">
        <f aca="false">IF(OR($B41="",$C41=""),"",$C41-$B41+1)</f>
        <v/>
      </c>
      <c r="Q41" s="11"/>
      <c r="R41" s="12" t="str">
        <f aca="false">IF(OR($Q41="",$K41=""),"",$Q41*$K41)</f>
        <v/>
      </c>
      <c r="S41" s="7"/>
      <c r="T41" s="10"/>
      <c r="U41" s="8"/>
    </row>
    <row r="42" customFormat="false" ht="18.75" hidden="false" customHeight="true" outlineLevel="0" collapsed="false">
      <c r="A42" s="5" t="str">
        <f aca="false">IF($B42="","",COUNT($B$5:$B42))</f>
        <v/>
      </c>
      <c r="B42" s="13"/>
      <c r="C42" s="13"/>
      <c r="D42" s="14"/>
      <c r="E42" s="14"/>
      <c r="F42" s="15"/>
      <c r="G42" s="16"/>
      <c r="H42" s="14"/>
      <c r="I42" s="14"/>
      <c r="J42" s="15"/>
      <c r="K42" s="5" t="str">
        <f aca="false">IF($I42="","",1+IF($J42="",0,LEN($J42)-LEN(SUBSTITUTE($J42,",",""))+1))</f>
        <v/>
      </c>
      <c r="L42" s="14"/>
      <c r="M42" s="15"/>
      <c r="N42" s="17"/>
      <c r="O42" s="17"/>
      <c r="P42" s="5" t="str">
        <f aca="false">IF(OR($B42="",$C42=""),"",$C42-$B42+1)</f>
        <v/>
      </c>
      <c r="Q42" s="18"/>
      <c r="R42" s="12" t="str">
        <f aca="false">IF(OR($Q42="",$K42=""),"",$Q42*$K42)</f>
        <v/>
      </c>
      <c r="S42" s="14"/>
      <c r="T42" s="17"/>
      <c r="U42" s="15"/>
    </row>
    <row r="43" customFormat="false" ht="18.75" hidden="false" customHeight="true" outlineLevel="0" collapsed="false">
      <c r="A43" s="5" t="str">
        <f aca="false">IF($B43="","",COUNT($B$5:$B43))</f>
        <v/>
      </c>
      <c r="B43" s="6"/>
      <c r="C43" s="6"/>
      <c r="D43" s="7"/>
      <c r="E43" s="7"/>
      <c r="F43" s="8"/>
      <c r="G43" s="9"/>
      <c r="H43" s="7"/>
      <c r="I43" s="7"/>
      <c r="J43" s="8"/>
      <c r="K43" s="5" t="str">
        <f aca="false">IF($I43="","",1+IF($J43="",0,LEN($J43)-LEN(SUBSTITUTE($J43,",",""))+1))</f>
        <v/>
      </c>
      <c r="L43" s="7"/>
      <c r="M43" s="8"/>
      <c r="N43" s="10"/>
      <c r="O43" s="10"/>
      <c r="P43" s="5" t="str">
        <f aca="false">IF(OR($B43="",$C43=""),"",$C43-$B43+1)</f>
        <v/>
      </c>
      <c r="Q43" s="11"/>
      <c r="R43" s="12" t="str">
        <f aca="false">IF(OR($Q43="",$K43=""),"",$Q43*$K43)</f>
        <v/>
      </c>
      <c r="S43" s="7"/>
      <c r="T43" s="10"/>
      <c r="U43" s="8"/>
    </row>
    <row r="44" customFormat="false" ht="18.75" hidden="false" customHeight="true" outlineLevel="0" collapsed="false">
      <c r="A44" s="5" t="str">
        <f aca="false">IF($B44="","",COUNT($B$5:$B44))</f>
        <v/>
      </c>
      <c r="B44" s="13"/>
      <c r="C44" s="13"/>
      <c r="D44" s="14"/>
      <c r="E44" s="14"/>
      <c r="F44" s="15"/>
      <c r="G44" s="16"/>
      <c r="H44" s="14"/>
      <c r="I44" s="14"/>
      <c r="J44" s="15"/>
      <c r="K44" s="5" t="str">
        <f aca="false">IF($I44="","",1+IF($J44="",0,LEN($J44)-LEN(SUBSTITUTE($J44,",",""))+1))</f>
        <v/>
      </c>
      <c r="L44" s="14"/>
      <c r="M44" s="15"/>
      <c r="N44" s="17"/>
      <c r="O44" s="17"/>
      <c r="P44" s="5" t="str">
        <f aca="false">IF(OR($B44="",$C44=""),"",$C44-$B44+1)</f>
        <v/>
      </c>
      <c r="Q44" s="18"/>
      <c r="R44" s="12" t="str">
        <f aca="false">IF(OR($Q44="",$K44=""),"",$Q44*$K44)</f>
        <v/>
      </c>
      <c r="S44" s="14"/>
      <c r="T44" s="17"/>
      <c r="U44" s="15"/>
    </row>
    <row r="45" customFormat="false" ht="18.75" hidden="false" customHeight="true" outlineLevel="0" collapsed="false">
      <c r="A45" s="5" t="str">
        <f aca="false">IF($B45="","",COUNT($B$5:$B45))</f>
        <v/>
      </c>
      <c r="B45" s="6"/>
      <c r="C45" s="6"/>
      <c r="D45" s="7"/>
      <c r="E45" s="7"/>
      <c r="F45" s="8"/>
      <c r="G45" s="9"/>
      <c r="H45" s="7"/>
      <c r="I45" s="7"/>
      <c r="J45" s="8"/>
      <c r="K45" s="5" t="str">
        <f aca="false">IF($I45="","",1+IF($J45="",0,LEN($J45)-LEN(SUBSTITUTE($J45,",",""))+1))</f>
        <v/>
      </c>
      <c r="L45" s="7"/>
      <c r="M45" s="8"/>
      <c r="N45" s="10"/>
      <c r="O45" s="10"/>
      <c r="P45" s="5" t="str">
        <f aca="false">IF(OR($B45="",$C45=""),"",$C45-$B45+1)</f>
        <v/>
      </c>
      <c r="Q45" s="11"/>
      <c r="R45" s="12" t="str">
        <f aca="false">IF(OR($Q45="",$K45=""),"",$Q45*$K45)</f>
        <v/>
      </c>
      <c r="S45" s="7"/>
      <c r="T45" s="10"/>
      <c r="U45" s="8"/>
    </row>
    <row r="46" customFormat="false" ht="18.75" hidden="false" customHeight="true" outlineLevel="0" collapsed="false">
      <c r="A46" s="5" t="str">
        <f aca="false">IF($B46="","",COUNT($B$5:$B46))</f>
        <v/>
      </c>
      <c r="B46" s="13"/>
      <c r="C46" s="13"/>
      <c r="D46" s="14"/>
      <c r="E46" s="14"/>
      <c r="F46" s="15"/>
      <c r="G46" s="16"/>
      <c r="H46" s="14"/>
      <c r="I46" s="14"/>
      <c r="J46" s="15"/>
      <c r="K46" s="5" t="str">
        <f aca="false">IF($I46="","",1+IF($J46="",0,LEN($J46)-LEN(SUBSTITUTE($J46,",",""))+1))</f>
        <v/>
      </c>
      <c r="L46" s="14"/>
      <c r="M46" s="15"/>
      <c r="N46" s="17"/>
      <c r="O46" s="17"/>
      <c r="P46" s="5" t="str">
        <f aca="false">IF(OR($B46="",$C46=""),"",$C46-$B46+1)</f>
        <v/>
      </c>
      <c r="Q46" s="18"/>
      <c r="R46" s="12" t="str">
        <f aca="false">IF(OR($Q46="",$K46=""),"",$Q46*$K46)</f>
        <v/>
      </c>
      <c r="S46" s="14"/>
      <c r="T46" s="17"/>
      <c r="U46" s="15"/>
    </row>
    <row r="47" customFormat="false" ht="18.75" hidden="false" customHeight="true" outlineLevel="0" collapsed="false">
      <c r="A47" s="5" t="str">
        <f aca="false">IF($B47="","",COUNT($B$5:$B47))</f>
        <v/>
      </c>
      <c r="B47" s="6"/>
      <c r="C47" s="6"/>
      <c r="D47" s="7"/>
      <c r="E47" s="7"/>
      <c r="F47" s="8"/>
      <c r="G47" s="9"/>
      <c r="H47" s="7"/>
      <c r="I47" s="7"/>
      <c r="J47" s="8"/>
      <c r="K47" s="5" t="str">
        <f aca="false">IF($I47="","",1+IF($J47="",0,LEN($J47)-LEN(SUBSTITUTE($J47,",",""))+1))</f>
        <v/>
      </c>
      <c r="L47" s="7"/>
      <c r="M47" s="8"/>
      <c r="N47" s="10"/>
      <c r="O47" s="10"/>
      <c r="P47" s="5" t="str">
        <f aca="false">IF(OR($B47="",$C47=""),"",$C47-$B47+1)</f>
        <v/>
      </c>
      <c r="Q47" s="11"/>
      <c r="R47" s="12" t="str">
        <f aca="false">IF(OR($Q47="",$K47=""),"",$Q47*$K47)</f>
        <v/>
      </c>
      <c r="S47" s="7"/>
      <c r="T47" s="10"/>
      <c r="U47" s="8"/>
    </row>
    <row r="48" customFormat="false" ht="18.75" hidden="false" customHeight="true" outlineLevel="0" collapsed="false">
      <c r="A48" s="5" t="str">
        <f aca="false">IF($B48="","",COUNT($B$5:$B48))</f>
        <v/>
      </c>
      <c r="B48" s="13"/>
      <c r="C48" s="13"/>
      <c r="D48" s="14"/>
      <c r="E48" s="14"/>
      <c r="F48" s="15"/>
      <c r="G48" s="16"/>
      <c r="H48" s="14"/>
      <c r="I48" s="14"/>
      <c r="J48" s="15"/>
      <c r="K48" s="5" t="str">
        <f aca="false">IF($I48="","",1+IF($J48="",0,LEN($J48)-LEN(SUBSTITUTE($J48,",",""))+1))</f>
        <v/>
      </c>
      <c r="L48" s="14"/>
      <c r="M48" s="15"/>
      <c r="N48" s="17"/>
      <c r="O48" s="17"/>
      <c r="P48" s="5" t="str">
        <f aca="false">IF(OR($B48="",$C48=""),"",$C48-$B48+1)</f>
        <v/>
      </c>
      <c r="Q48" s="18"/>
      <c r="R48" s="12" t="str">
        <f aca="false">IF(OR($Q48="",$K48=""),"",$Q48*$K48)</f>
        <v/>
      </c>
      <c r="S48" s="14"/>
      <c r="T48" s="17"/>
      <c r="U48" s="15"/>
    </row>
    <row r="49" customFormat="false" ht="18.75" hidden="false" customHeight="true" outlineLevel="0" collapsed="false">
      <c r="A49" s="5" t="str">
        <f aca="false">IF($B49="","",COUNT($B$5:$B49))</f>
        <v/>
      </c>
      <c r="B49" s="6"/>
      <c r="C49" s="6"/>
      <c r="D49" s="7"/>
      <c r="E49" s="7"/>
      <c r="F49" s="8"/>
      <c r="G49" s="9"/>
      <c r="H49" s="7"/>
      <c r="I49" s="7"/>
      <c r="J49" s="8"/>
      <c r="K49" s="5" t="str">
        <f aca="false">IF($I49="","",1+IF($J49="",0,LEN($J49)-LEN(SUBSTITUTE($J49,",",""))+1))</f>
        <v/>
      </c>
      <c r="L49" s="7"/>
      <c r="M49" s="8"/>
      <c r="N49" s="10"/>
      <c r="O49" s="10"/>
      <c r="P49" s="5" t="str">
        <f aca="false">IF(OR($B49="",$C49=""),"",$C49-$B49+1)</f>
        <v/>
      </c>
      <c r="Q49" s="11"/>
      <c r="R49" s="12" t="str">
        <f aca="false">IF(OR($Q49="",$K49=""),"",$Q49*$K49)</f>
        <v/>
      </c>
      <c r="S49" s="7"/>
      <c r="T49" s="10"/>
      <c r="U49" s="8"/>
    </row>
    <row r="50" customFormat="false" ht="18.75" hidden="false" customHeight="true" outlineLevel="0" collapsed="false">
      <c r="A50" s="5" t="str">
        <f aca="false">IF($B50="","",COUNT($B$5:$B50))</f>
        <v/>
      </c>
      <c r="B50" s="13"/>
      <c r="C50" s="13"/>
      <c r="D50" s="14"/>
      <c r="E50" s="14"/>
      <c r="F50" s="15"/>
      <c r="G50" s="16"/>
      <c r="H50" s="14"/>
      <c r="I50" s="14"/>
      <c r="J50" s="15"/>
      <c r="K50" s="5" t="str">
        <f aca="false">IF($I50="","",1+IF($J50="",0,LEN($J50)-LEN(SUBSTITUTE($J50,",",""))+1))</f>
        <v/>
      </c>
      <c r="L50" s="14"/>
      <c r="M50" s="15"/>
      <c r="N50" s="17"/>
      <c r="O50" s="17"/>
      <c r="P50" s="5" t="str">
        <f aca="false">IF(OR($B50="",$C50=""),"",$C50-$B50+1)</f>
        <v/>
      </c>
      <c r="Q50" s="18"/>
      <c r="R50" s="12" t="str">
        <f aca="false">IF(OR($Q50="",$K50=""),"",$Q50*$K50)</f>
        <v/>
      </c>
      <c r="S50" s="14"/>
      <c r="T50" s="17"/>
      <c r="U50" s="15"/>
    </row>
    <row r="51" customFormat="false" ht="18.75" hidden="false" customHeight="true" outlineLevel="0" collapsed="false">
      <c r="A51" s="5" t="str">
        <f aca="false">IF($B51="","",COUNT($B$5:$B51))</f>
        <v/>
      </c>
      <c r="B51" s="6"/>
      <c r="C51" s="6"/>
      <c r="D51" s="7"/>
      <c r="E51" s="7"/>
      <c r="F51" s="8"/>
      <c r="G51" s="9"/>
      <c r="H51" s="7"/>
      <c r="I51" s="7"/>
      <c r="J51" s="8"/>
      <c r="K51" s="5" t="str">
        <f aca="false">IF($I51="","",1+IF($J51="",0,LEN($J51)-LEN(SUBSTITUTE($J51,",",""))+1))</f>
        <v/>
      </c>
      <c r="L51" s="7"/>
      <c r="M51" s="8"/>
      <c r="N51" s="10"/>
      <c r="O51" s="10"/>
      <c r="P51" s="5" t="str">
        <f aca="false">IF(OR($B51="",$C51=""),"",$C51-$B51+1)</f>
        <v/>
      </c>
      <c r="Q51" s="11"/>
      <c r="R51" s="12" t="str">
        <f aca="false">IF(OR($Q51="",$K51=""),"",$Q51*$K51)</f>
        <v/>
      </c>
      <c r="S51" s="7"/>
      <c r="T51" s="10"/>
      <c r="U51" s="8"/>
    </row>
    <row r="52" customFormat="false" ht="18.75" hidden="false" customHeight="true" outlineLevel="0" collapsed="false">
      <c r="A52" s="5" t="str">
        <f aca="false">IF($B52="","",COUNT($B$5:$B52))</f>
        <v/>
      </c>
      <c r="B52" s="13"/>
      <c r="C52" s="13"/>
      <c r="D52" s="14"/>
      <c r="E52" s="14"/>
      <c r="F52" s="15"/>
      <c r="G52" s="16"/>
      <c r="H52" s="14"/>
      <c r="I52" s="14"/>
      <c r="J52" s="15"/>
      <c r="K52" s="5" t="str">
        <f aca="false">IF($I52="","",1+IF($J52="",0,LEN($J52)-LEN(SUBSTITUTE($J52,",",""))+1))</f>
        <v/>
      </c>
      <c r="L52" s="14"/>
      <c r="M52" s="15"/>
      <c r="N52" s="17"/>
      <c r="O52" s="17"/>
      <c r="P52" s="5" t="str">
        <f aca="false">IF(OR($B52="",$C52=""),"",$C52-$B52+1)</f>
        <v/>
      </c>
      <c r="Q52" s="18"/>
      <c r="R52" s="12" t="str">
        <f aca="false">IF(OR($Q52="",$K52=""),"",$Q52*$K52)</f>
        <v/>
      </c>
      <c r="S52" s="14"/>
      <c r="T52" s="17"/>
      <c r="U52" s="15"/>
    </row>
    <row r="53" customFormat="false" ht="18.75" hidden="false" customHeight="true" outlineLevel="0" collapsed="false">
      <c r="A53" s="5" t="str">
        <f aca="false">IF($B53="","",COUNT($B$5:$B53))</f>
        <v/>
      </c>
      <c r="B53" s="6"/>
      <c r="C53" s="6"/>
      <c r="D53" s="7"/>
      <c r="E53" s="7"/>
      <c r="F53" s="8"/>
      <c r="G53" s="9"/>
      <c r="H53" s="7"/>
      <c r="I53" s="7"/>
      <c r="J53" s="8"/>
      <c r="K53" s="5" t="str">
        <f aca="false">IF($I53="","",1+IF($J53="",0,LEN($J53)-LEN(SUBSTITUTE($J53,",",""))+1))</f>
        <v/>
      </c>
      <c r="L53" s="7"/>
      <c r="M53" s="8"/>
      <c r="N53" s="10"/>
      <c r="O53" s="10"/>
      <c r="P53" s="5" t="str">
        <f aca="false">IF(OR($B53="",$C53=""),"",$C53-$B53+1)</f>
        <v/>
      </c>
      <c r="Q53" s="11"/>
      <c r="R53" s="12" t="str">
        <f aca="false">IF(OR($Q53="",$K53=""),"",$Q53*$K53)</f>
        <v/>
      </c>
      <c r="S53" s="7"/>
      <c r="T53" s="10"/>
      <c r="U53" s="8"/>
    </row>
    <row r="54" customFormat="false" ht="18.75" hidden="false" customHeight="true" outlineLevel="0" collapsed="false">
      <c r="A54" s="5" t="str">
        <f aca="false">IF($B54="","",COUNT($B$5:$B54))</f>
        <v/>
      </c>
      <c r="B54" s="13"/>
      <c r="C54" s="13"/>
      <c r="D54" s="14"/>
      <c r="E54" s="14"/>
      <c r="F54" s="15"/>
      <c r="G54" s="16"/>
      <c r="H54" s="14"/>
      <c r="I54" s="14"/>
      <c r="J54" s="15"/>
      <c r="K54" s="5" t="str">
        <f aca="false">IF($I54="","",1+IF($J54="",0,LEN($J54)-LEN(SUBSTITUTE($J54,",",""))+1))</f>
        <v/>
      </c>
      <c r="L54" s="14"/>
      <c r="M54" s="15"/>
      <c r="N54" s="17"/>
      <c r="O54" s="17"/>
      <c r="P54" s="5" t="str">
        <f aca="false">IF(OR($B54="",$C54=""),"",$C54-$B54+1)</f>
        <v/>
      </c>
      <c r="Q54" s="18"/>
      <c r="R54" s="12" t="str">
        <f aca="false">IF(OR($Q54="",$K54=""),"",$Q54*$K54)</f>
        <v/>
      </c>
      <c r="S54" s="14"/>
      <c r="T54" s="17"/>
      <c r="U54" s="15"/>
    </row>
    <row r="55" customFormat="false" ht="18.75" hidden="false" customHeight="true" outlineLevel="0" collapsed="false">
      <c r="A55" s="5" t="str">
        <f aca="false">IF($B55="","",COUNT($B$5:$B55))</f>
        <v/>
      </c>
      <c r="B55" s="6"/>
      <c r="C55" s="6"/>
      <c r="D55" s="7"/>
      <c r="E55" s="7"/>
      <c r="F55" s="8"/>
      <c r="G55" s="9"/>
      <c r="H55" s="7"/>
      <c r="I55" s="7"/>
      <c r="J55" s="8"/>
      <c r="K55" s="5" t="str">
        <f aca="false">IF($I55="","",1+IF($J55="",0,LEN($J55)-LEN(SUBSTITUTE($J55,",",""))+1))</f>
        <v/>
      </c>
      <c r="L55" s="7"/>
      <c r="M55" s="8"/>
      <c r="N55" s="10"/>
      <c r="O55" s="10"/>
      <c r="P55" s="5" t="str">
        <f aca="false">IF(OR($B55="",$C55=""),"",$C55-$B55+1)</f>
        <v/>
      </c>
      <c r="Q55" s="11"/>
      <c r="R55" s="12" t="str">
        <f aca="false">IF(OR($Q55="",$K55=""),"",$Q55*$K55)</f>
        <v/>
      </c>
      <c r="S55" s="7"/>
      <c r="T55" s="10"/>
      <c r="U55" s="8"/>
    </row>
    <row r="56" customFormat="false" ht="18.75" hidden="false" customHeight="true" outlineLevel="0" collapsed="false">
      <c r="A56" s="5" t="str">
        <f aca="false">IF($B56="","",COUNT($B$5:$B56))</f>
        <v/>
      </c>
      <c r="B56" s="13"/>
      <c r="C56" s="13"/>
      <c r="D56" s="14"/>
      <c r="E56" s="14"/>
      <c r="F56" s="15"/>
      <c r="G56" s="16"/>
      <c r="H56" s="14"/>
      <c r="I56" s="14"/>
      <c r="J56" s="15"/>
      <c r="K56" s="5" t="str">
        <f aca="false">IF($I56="","",1+IF($J56="",0,LEN($J56)-LEN(SUBSTITUTE($J56,",",""))+1))</f>
        <v/>
      </c>
      <c r="L56" s="14"/>
      <c r="M56" s="15"/>
      <c r="N56" s="17"/>
      <c r="O56" s="17"/>
      <c r="P56" s="5" t="str">
        <f aca="false">IF(OR($B56="",$C56=""),"",$C56-$B56+1)</f>
        <v/>
      </c>
      <c r="Q56" s="18"/>
      <c r="R56" s="12" t="str">
        <f aca="false">IF(OR($Q56="",$K56=""),"",$Q56*$K56)</f>
        <v/>
      </c>
      <c r="S56" s="14"/>
      <c r="T56" s="17"/>
      <c r="U56" s="15"/>
    </row>
    <row r="57" customFormat="false" ht="18.75" hidden="false" customHeight="true" outlineLevel="0" collapsed="false">
      <c r="A57" s="5" t="str">
        <f aca="false">IF($B57="","",COUNT($B$5:$B57))</f>
        <v/>
      </c>
      <c r="B57" s="6"/>
      <c r="C57" s="6"/>
      <c r="D57" s="7"/>
      <c r="E57" s="7"/>
      <c r="F57" s="8"/>
      <c r="G57" s="9"/>
      <c r="H57" s="7"/>
      <c r="I57" s="7"/>
      <c r="J57" s="8"/>
      <c r="K57" s="5" t="str">
        <f aca="false">IF($I57="","",1+IF($J57="",0,LEN($J57)-LEN(SUBSTITUTE($J57,",",""))+1))</f>
        <v/>
      </c>
      <c r="L57" s="7"/>
      <c r="M57" s="8"/>
      <c r="N57" s="10"/>
      <c r="O57" s="10"/>
      <c r="P57" s="5" t="str">
        <f aca="false">IF(OR($B57="",$C57=""),"",$C57-$B57+1)</f>
        <v/>
      </c>
      <c r="Q57" s="11"/>
      <c r="R57" s="12" t="str">
        <f aca="false">IF(OR($Q57="",$K57=""),"",$Q57*$K57)</f>
        <v/>
      </c>
      <c r="S57" s="7"/>
      <c r="T57" s="10"/>
      <c r="U57" s="8"/>
    </row>
    <row r="58" customFormat="false" ht="18.75" hidden="false" customHeight="true" outlineLevel="0" collapsed="false">
      <c r="A58" s="5" t="str">
        <f aca="false">IF($B58="","",COUNT($B$5:$B58))</f>
        <v/>
      </c>
      <c r="B58" s="13"/>
      <c r="C58" s="13"/>
      <c r="D58" s="14"/>
      <c r="E58" s="14"/>
      <c r="F58" s="15"/>
      <c r="G58" s="16"/>
      <c r="H58" s="14"/>
      <c r="I58" s="14"/>
      <c r="J58" s="15"/>
      <c r="K58" s="5" t="str">
        <f aca="false">IF($I58="","",1+IF($J58="",0,LEN($J58)-LEN(SUBSTITUTE($J58,",",""))+1))</f>
        <v/>
      </c>
      <c r="L58" s="14"/>
      <c r="M58" s="15"/>
      <c r="N58" s="17"/>
      <c r="O58" s="17"/>
      <c r="P58" s="5" t="str">
        <f aca="false">IF(OR($B58="",$C58=""),"",$C58-$B58+1)</f>
        <v/>
      </c>
      <c r="Q58" s="18"/>
      <c r="R58" s="12" t="str">
        <f aca="false">IF(OR($Q58="",$K58=""),"",$Q58*$K58)</f>
        <v/>
      </c>
      <c r="S58" s="14"/>
      <c r="T58" s="17"/>
      <c r="U58" s="15"/>
    </row>
    <row r="59" customFormat="false" ht="18.75" hidden="false" customHeight="true" outlineLevel="0" collapsed="false">
      <c r="A59" s="5" t="str">
        <f aca="false">IF($B59="","",COUNT($B$5:$B59))</f>
        <v/>
      </c>
      <c r="B59" s="6"/>
      <c r="C59" s="6"/>
      <c r="D59" s="7"/>
      <c r="E59" s="7"/>
      <c r="F59" s="8"/>
      <c r="G59" s="9"/>
      <c r="H59" s="7"/>
      <c r="I59" s="7"/>
      <c r="J59" s="8"/>
      <c r="K59" s="5" t="str">
        <f aca="false">IF($I59="","",1+IF($J59="",0,LEN($J59)-LEN(SUBSTITUTE($J59,",",""))+1))</f>
        <v/>
      </c>
      <c r="L59" s="7"/>
      <c r="M59" s="8"/>
      <c r="N59" s="10"/>
      <c r="O59" s="10"/>
      <c r="P59" s="5" t="str">
        <f aca="false">IF(OR($B59="",$C59=""),"",$C59-$B59+1)</f>
        <v/>
      </c>
      <c r="Q59" s="11"/>
      <c r="R59" s="12" t="str">
        <f aca="false">IF(OR($Q59="",$K59=""),"",$Q59*$K59)</f>
        <v/>
      </c>
      <c r="S59" s="7"/>
      <c r="T59" s="10"/>
      <c r="U59" s="8"/>
    </row>
    <row r="60" customFormat="false" ht="18.75" hidden="false" customHeight="true" outlineLevel="0" collapsed="false">
      <c r="A60" s="5" t="str">
        <f aca="false">IF($B60="","",COUNT($B$5:$B60))</f>
        <v/>
      </c>
      <c r="B60" s="13"/>
      <c r="C60" s="13"/>
      <c r="D60" s="14"/>
      <c r="E60" s="14"/>
      <c r="F60" s="15"/>
      <c r="G60" s="16"/>
      <c r="H60" s="14"/>
      <c r="I60" s="14"/>
      <c r="J60" s="15"/>
      <c r="K60" s="5" t="str">
        <f aca="false">IF($I60="","",1+IF($J60="",0,LEN($J60)-LEN(SUBSTITUTE($J60,",",""))+1))</f>
        <v/>
      </c>
      <c r="L60" s="14"/>
      <c r="M60" s="15"/>
      <c r="N60" s="17"/>
      <c r="O60" s="17"/>
      <c r="P60" s="5" t="str">
        <f aca="false">IF(OR($B60="",$C60=""),"",$C60-$B60+1)</f>
        <v/>
      </c>
      <c r="Q60" s="18"/>
      <c r="R60" s="12" t="str">
        <f aca="false">IF(OR($Q60="",$K60=""),"",$Q60*$K60)</f>
        <v/>
      </c>
      <c r="S60" s="14"/>
      <c r="T60" s="17"/>
      <c r="U60" s="15"/>
    </row>
    <row r="61" customFormat="false" ht="18.75" hidden="false" customHeight="true" outlineLevel="0" collapsed="false">
      <c r="A61" s="5" t="str">
        <f aca="false">IF($B61="","",COUNT($B$5:$B61))</f>
        <v/>
      </c>
      <c r="B61" s="6"/>
      <c r="C61" s="6"/>
      <c r="D61" s="7"/>
      <c r="E61" s="7"/>
      <c r="F61" s="8"/>
      <c r="G61" s="9"/>
      <c r="H61" s="7"/>
      <c r="I61" s="7"/>
      <c r="J61" s="8"/>
      <c r="K61" s="5" t="str">
        <f aca="false">IF($I61="","",1+IF($J61="",0,LEN($J61)-LEN(SUBSTITUTE($J61,",",""))+1))</f>
        <v/>
      </c>
      <c r="L61" s="7"/>
      <c r="M61" s="8"/>
      <c r="N61" s="10"/>
      <c r="O61" s="10"/>
      <c r="P61" s="5" t="str">
        <f aca="false">IF(OR($B61="",$C61=""),"",$C61-$B61+1)</f>
        <v/>
      </c>
      <c r="Q61" s="11"/>
      <c r="R61" s="12" t="str">
        <f aca="false">IF(OR($Q61="",$K61=""),"",$Q61*$K61)</f>
        <v/>
      </c>
      <c r="S61" s="7"/>
      <c r="T61" s="10"/>
      <c r="U61" s="8"/>
    </row>
    <row r="62" customFormat="false" ht="18.75" hidden="false" customHeight="true" outlineLevel="0" collapsed="false">
      <c r="A62" s="5" t="str">
        <f aca="false">IF($B62="","",COUNT($B$5:$B62))</f>
        <v/>
      </c>
      <c r="B62" s="13"/>
      <c r="C62" s="13"/>
      <c r="D62" s="14"/>
      <c r="E62" s="14"/>
      <c r="F62" s="15"/>
      <c r="G62" s="16"/>
      <c r="H62" s="14"/>
      <c r="I62" s="14"/>
      <c r="J62" s="15"/>
      <c r="K62" s="5" t="str">
        <f aca="false">IF($I62="","",1+IF($J62="",0,LEN($J62)-LEN(SUBSTITUTE($J62,",",""))+1))</f>
        <v/>
      </c>
      <c r="L62" s="14"/>
      <c r="M62" s="15"/>
      <c r="N62" s="17"/>
      <c r="O62" s="17"/>
      <c r="P62" s="5" t="str">
        <f aca="false">IF(OR($B62="",$C62=""),"",$C62-$B62+1)</f>
        <v/>
      </c>
      <c r="Q62" s="18"/>
      <c r="R62" s="12" t="str">
        <f aca="false">IF(OR($Q62="",$K62=""),"",$Q62*$K62)</f>
        <v/>
      </c>
      <c r="S62" s="14"/>
      <c r="T62" s="17"/>
      <c r="U62" s="15"/>
    </row>
    <row r="63" customFormat="false" ht="18.75" hidden="false" customHeight="true" outlineLevel="0" collapsed="false">
      <c r="A63" s="5" t="str">
        <f aca="false">IF($B63="","",COUNT($B$5:$B63))</f>
        <v/>
      </c>
      <c r="B63" s="6"/>
      <c r="C63" s="6"/>
      <c r="D63" s="7"/>
      <c r="E63" s="7"/>
      <c r="F63" s="8"/>
      <c r="G63" s="9"/>
      <c r="H63" s="7"/>
      <c r="I63" s="7"/>
      <c r="J63" s="8"/>
      <c r="K63" s="5" t="str">
        <f aca="false">IF($I63="","",1+IF($J63="",0,LEN($J63)-LEN(SUBSTITUTE($J63,",",""))+1))</f>
        <v/>
      </c>
      <c r="L63" s="7"/>
      <c r="M63" s="8"/>
      <c r="N63" s="10"/>
      <c r="O63" s="10"/>
      <c r="P63" s="5" t="str">
        <f aca="false">IF(OR($B63="",$C63=""),"",$C63-$B63+1)</f>
        <v/>
      </c>
      <c r="Q63" s="11"/>
      <c r="R63" s="12" t="str">
        <f aca="false">IF(OR($Q63="",$K63=""),"",$Q63*$K63)</f>
        <v/>
      </c>
      <c r="S63" s="7"/>
      <c r="T63" s="10"/>
      <c r="U63" s="8"/>
    </row>
    <row r="64" customFormat="false" ht="18.75" hidden="false" customHeight="true" outlineLevel="0" collapsed="false">
      <c r="A64" s="5" t="str">
        <f aca="false">IF($B64="","",COUNT($B$5:$B64))</f>
        <v/>
      </c>
      <c r="B64" s="13"/>
      <c r="C64" s="13"/>
      <c r="D64" s="14"/>
      <c r="E64" s="14"/>
      <c r="F64" s="15"/>
      <c r="G64" s="16"/>
      <c r="H64" s="14"/>
      <c r="I64" s="14"/>
      <c r="J64" s="15"/>
      <c r="K64" s="5" t="str">
        <f aca="false">IF($I64="","",1+IF($J64="",0,LEN($J64)-LEN(SUBSTITUTE($J64,",",""))+1))</f>
        <v/>
      </c>
      <c r="L64" s="14"/>
      <c r="M64" s="15"/>
      <c r="N64" s="17"/>
      <c r="O64" s="17"/>
      <c r="P64" s="5" t="str">
        <f aca="false">IF(OR($B64="",$C64=""),"",$C64-$B64+1)</f>
        <v/>
      </c>
      <c r="Q64" s="18"/>
      <c r="R64" s="12" t="str">
        <f aca="false">IF(OR($Q64="",$K64=""),"",$Q64*$K64)</f>
        <v/>
      </c>
      <c r="S64" s="14"/>
      <c r="T64" s="17"/>
      <c r="U64" s="15"/>
    </row>
    <row r="65" customFormat="false" ht="18.75" hidden="false" customHeight="true" outlineLevel="0" collapsed="false">
      <c r="A65" s="5" t="str">
        <f aca="false">IF($B65="","",COUNT($B$5:$B65))</f>
        <v/>
      </c>
      <c r="B65" s="6"/>
      <c r="C65" s="6"/>
      <c r="D65" s="7"/>
      <c r="E65" s="7"/>
      <c r="F65" s="8"/>
      <c r="G65" s="9"/>
      <c r="H65" s="7"/>
      <c r="I65" s="7"/>
      <c r="J65" s="8"/>
      <c r="K65" s="5" t="str">
        <f aca="false">IF($I65="","",1+IF($J65="",0,LEN($J65)-LEN(SUBSTITUTE($J65,",",""))+1))</f>
        <v/>
      </c>
      <c r="L65" s="7"/>
      <c r="M65" s="8"/>
      <c r="N65" s="10"/>
      <c r="O65" s="10"/>
      <c r="P65" s="5" t="str">
        <f aca="false">IF(OR($B65="",$C65=""),"",$C65-$B65+1)</f>
        <v/>
      </c>
      <c r="Q65" s="11"/>
      <c r="R65" s="12" t="str">
        <f aca="false">IF(OR($Q65="",$K65=""),"",$Q65*$K65)</f>
        <v/>
      </c>
      <c r="S65" s="7"/>
      <c r="T65" s="10"/>
      <c r="U65" s="8"/>
    </row>
    <row r="66" customFormat="false" ht="18.75" hidden="false" customHeight="true" outlineLevel="0" collapsed="false">
      <c r="A66" s="5" t="str">
        <f aca="false">IF($B66="","",COUNT($B$5:$B66))</f>
        <v/>
      </c>
      <c r="B66" s="13"/>
      <c r="C66" s="13"/>
      <c r="D66" s="14"/>
      <c r="E66" s="14"/>
      <c r="F66" s="15"/>
      <c r="G66" s="16"/>
      <c r="H66" s="14"/>
      <c r="I66" s="14"/>
      <c r="J66" s="15"/>
      <c r="K66" s="5" t="str">
        <f aca="false">IF($I66="","",1+IF($J66="",0,LEN($J66)-LEN(SUBSTITUTE($J66,",",""))+1))</f>
        <v/>
      </c>
      <c r="L66" s="14"/>
      <c r="M66" s="15"/>
      <c r="N66" s="17"/>
      <c r="O66" s="17"/>
      <c r="P66" s="5" t="str">
        <f aca="false">IF(OR($B66="",$C66=""),"",$C66-$B66+1)</f>
        <v/>
      </c>
      <c r="Q66" s="18"/>
      <c r="R66" s="12" t="str">
        <f aca="false">IF(OR($Q66="",$K66=""),"",$Q66*$K66)</f>
        <v/>
      </c>
      <c r="S66" s="14"/>
      <c r="T66" s="17"/>
      <c r="U66" s="15"/>
    </row>
    <row r="67" customFormat="false" ht="18.75" hidden="false" customHeight="true" outlineLevel="0" collapsed="false">
      <c r="A67" s="5" t="str">
        <f aca="false">IF($B67="","",COUNT($B$5:$B67))</f>
        <v/>
      </c>
      <c r="B67" s="6"/>
      <c r="C67" s="6"/>
      <c r="D67" s="7"/>
      <c r="E67" s="7"/>
      <c r="F67" s="8"/>
      <c r="G67" s="9"/>
      <c r="H67" s="7"/>
      <c r="I67" s="7"/>
      <c r="J67" s="8"/>
      <c r="K67" s="5" t="str">
        <f aca="false">IF($I67="","",1+IF($J67="",0,LEN($J67)-LEN(SUBSTITUTE($J67,",",""))+1))</f>
        <v/>
      </c>
      <c r="L67" s="7"/>
      <c r="M67" s="8"/>
      <c r="N67" s="10"/>
      <c r="O67" s="10"/>
      <c r="P67" s="5" t="str">
        <f aca="false">IF(OR($B67="",$C67=""),"",$C67-$B67+1)</f>
        <v/>
      </c>
      <c r="Q67" s="11"/>
      <c r="R67" s="12" t="str">
        <f aca="false">IF(OR($Q67="",$K67=""),"",$Q67*$K67)</f>
        <v/>
      </c>
      <c r="S67" s="7"/>
      <c r="T67" s="10"/>
      <c r="U67" s="8"/>
    </row>
    <row r="68" customFormat="false" ht="18.75" hidden="false" customHeight="true" outlineLevel="0" collapsed="false">
      <c r="A68" s="5" t="str">
        <f aca="false">IF($B68="","",COUNT($B$5:$B68))</f>
        <v/>
      </c>
      <c r="B68" s="13"/>
      <c r="C68" s="13"/>
      <c r="D68" s="14"/>
      <c r="E68" s="14"/>
      <c r="F68" s="15"/>
      <c r="G68" s="16"/>
      <c r="H68" s="14"/>
      <c r="I68" s="14"/>
      <c r="J68" s="15"/>
      <c r="K68" s="5" t="str">
        <f aca="false">IF($I68="","",1+IF($J68="",0,LEN($J68)-LEN(SUBSTITUTE($J68,",",""))+1))</f>
        <v/>
      </c>
      <c r="L68" s="14"/>
      <c r="M68" s="15"/>
      <c r="N68" s="17"/>
      <c r="O68" s="17"/>
      <c r="P68" s="5" t="str">
        <f aca="false">IF(OR($B68="",$C68=""),"",$C68-$B68+1)</f>
        <v/>
      </c>
      <c r="Q68" s="18"/>
      <c r="R68" s="12" t="str">
        <f aca="false">IF(OR($Q68="",$K68=""),"",$Q68*$K68)</f>
        <v/>
      </c>
      <c r="S68" s="14"/>
      <c r="T68" s="17"/>
      <c r="U68" s="15"/>
    </row>
    <row r="69" customFormat="false" ht="18.75" hidden="false" customHeight="true" outlineLevel="0" collapsed="false">
      <c r="A69" s="5" t="str">
        <f aca="false">IF($B69="","",COUNT($B$5:$B69))</f>
        <v/>
      </c>
      <c r="B69" s="6"/>
      <c r="C69" s="6"/>
      <c r="D69" s="7"/>
      <c r="E69" s="7"/>
      <c r="F69" s="8"/>
      <c r="G69" s="9"/>
      <c r="H69" s="7"/>
      <c r="I69" s="7"/>
      <c r="J69" s="8"/>
      <c r="K69" s="5" t="str">
        <f aca="false">IF($I69="","",1+IF($J69="",0,LEN($J69)-LEN(SUBSTITUTE($J69,",",""))+1))</f>
        <v/>
      </c>
      <c r="L69" s="7"/>
      <c r="M69" s="8"/>
      <c r="N69" s="10"/>
      <c r="O69" s="10"/>
      <c r="P69" s="5" t="str">
        <f aca="false">IF(OR($B69="",$C69=""),"",$C69-$B69+1)</f>
        <v/>
      </c>
      <c r="Q69" s="11"/>
      <c r="R69" s="12" t="str">
        <f aca="false">IF(OR($Q69="",$K69=""),"",$Q69*$K69)</f>
        <v/>
      </c>
      <c r="S69" s="7"/>
      <c r="T69" s="10"/>
      <c r="U69" s="8"/>
    </row>
    <row r="70" customFormat="false" ht="18.75" hidden="false" customHeight="true" outlineLevel="0" collapsed="false">
      <c r="A70" s="5" t="str">
        <f aca="false">IF($B70="","",COUNT($B$5:$B70))</f>
        <v/>
      </c>
      <c r="B70" s="13"/>
      <c r="C70" s="13"/>
      <c r="D70" s="14"/>
      <c r="E70" s="14"/>
      <c r="F70" s="15"/>
      <c r="G70" s="16"/>
      <c r="H70" s="14"/>
      <c r="I70" s="14"/>
      <c r="J70" s="15"/>
      <c r="K70" s="5" t="str">
        <f aca="false">IF($I70="","",1+IF($J70="",0,LEN($J70)-LEN(SUBSTITUTE($J70,",",""))+1))</f>
        <v/>
      </c>
      <c r="L70" s="14"/>
      <c r="M70" s="15"/>
      <c r="N70" s="17"/>
      <c r="O70" s="17"/>
      <c r="P70" s="5" t="str">
        <f aca="false">IF(OR($B70="",$C70=""),"",$C70-$B70+1)</f>
        <v/>
      </c>
      <c r="Q70" s="18"/>
      <c r="R70" s="12" t="str">
        <f aca="false">IF(OR($Q70="",$K70=""),"",$Q70*$K70)</f>
        <v/>
      </c>
      <c r="S70" s="14"/>
      <c r="T70" s="17"/>
      <c r="U70" s="15"/>
    </row>
    <row r="71" customFormat="false" ht="18.75" hidden="false" customHeight="true" outlineLevel="0" collapsed="false">
      <c r="A71" s="5" t="str">
        <f aca="false">IF($B71="","",COUNT($B$5:$B71))</f>
        <v/>
      </c>
      <c r="B71" s="6"/>
      <c r="C71" s="6"/>
      <c r="D71" s="7"/>
      <c r="E71" s="7"/>
      <c r="F71" s="8"/>
      <c r="G71" s="9"/>
      <c r="H71" s="7"/>
      <c r="I71" s="7"/>
      <c r="J71" s="8"/>
      <c r="K71" s="5" t="str">
        <f aca="false">IF($I71="","",1+IF($J71="",0,LEN($J71)-LEN(SUBSTITUTE($J71,",",""))+1))</f>
        <v/>
      </c>
      <c r="L71" s="7"/>
      <c r="M71" s="8"/>
      <c r="N71" s="10"/>
      <c r="O71" s="10"/>
      <c r="P71" s="5" t="str">
        <f aca="false">IF(OR($B71="",$C71=""),"",$C71-$B71+1)</f>
        <v/>
      </c>
      <c r="Q71" s="11"/>
      <c r="R71" s="12" t="str">
        <f aca="false">IF(OR($Q71="",$K71=""),"",$Q71*$K71)</f>
        <v/>
      </c>
      <c r="S71" s="7"/>
      <c r="T71" s="10"/>
      <c r="U71" s="8"/>
    </row>
    <row r="72" customFormat="false" ht="18.75" hidden="false" customHeight="true" outlineLevel="0" collapsed="false">
      <c r="A72" s="5" t="str">
        <f aca="false">IF($B72="","",COUNT($B$5:$B72))</f>
        <v/>
      </c>
      <c r="B72" s="13"/>
      <c r="C72" s="13"/>
      <c r="D72" s="14"/>
      <c r="E72" s="14"/>
      <c r="F72" s="15"/>
      <c r="G72" s="16"/>
      <c r="H72" s="14"/>
      <c r="I72" s="14"/>
      <c r="J72" s="15"/>
      <c r="K72" s="5" t="str">
        <f aca="false">IF($I72="","",1+IF($J72="",0,LEN($J72)-LEN(SUBSTITUTE($J72,",",""))+1))</f>
        <v/>
      </c>
      <c r="L72" s="14"/>
      <c r="M72" s="15"/>
      <c r="N72" s="17"/>
      <c r="O72" s="17"/>
      <c r="P72" s="5" t="str">
        <f aca="false">IF(OR($B72="",$C72=""),"",$C72-$B72+1)</f>
        <v/>
      </c>
      <c r="Q72" s="18"/>
      <c r="R72" s="12" t="str">
        <f aca="false">IF(OR($Q72="",$K72=""),"",$Q72*$K72)</f>
        <v/>
      </c>
      <c r="S72" s="14"/>
      <c r="T72" s="17"/>
      <c r="U72" s="15"/>
    </row>
    <row r="73" customFormat="false" ht="18.75" hidden="false" customHeight="true" outlineLevel="0" collapsed="false">
      <c r="A73" s="5" t="str">
        <f aca="false">IF($B73="","",COUNT($B$5:$B73))</f>
        <v/>
      </c>
      <c r="B73" s="6"/>
      <c r="C73" s="6"/>
      <c r="D73" s="7"/>
      <c r="E73" s="7"/>
      <c r="F73" s="8"/>
      <c r="G73" s="9"/>
      <c r="H73" s="7"/>
      <c r="I73" s="7"/>
      <c r="J73" s="8"/>
      <c r="K73" s="5" t="str">
        <f aca="false">IF($I73="","",1+IF($J73="",0,LEN($J73)-LEN(SUBSTITUTE($J73,",",""))+1))</f>
        <v/>
      </c>
      <c r="L73" s="7"/>
      <c r="M73" s="8"/>
      <c r="N73" s="10"/>
      <c r="O73" s="10"/>
      <c r="P73" s="5" t="str">
        <f aca="false">IF(OR($B73="",$C73=""),"",$C73-$B73+1)</f>
        <v/>
      </c>
      <c r="Q73" s="11"/>
      <c r="R73" s="12" t="str">
        <f aca="false">IF(OR($Q73="",$K73=""),"",$Q73*$K73)</f>
        <v/>
      </c>
      <c r="S73" s="7"/>
      <c r="T73" s="10"/>
      <c r="U73" s="8"/>
    </row>
    <row r="74" customFormat="false" ht="18.75" hidden="false" customHeight="true" outlineLevel="0" collapsed="false">
      <c r="A74" s="5" t="str">
        <f aca="false">IF($B74="","",COUNT($B$5:$B74))</f>
        <v/>
      </c>
      <c r="B74" s="13"/>
      <c r="C74" s="13"/>
      <c r="D74" s="14"/>
      <c r="E74" s="14"/>
      <c r="F74" s="15"/>
      <c r="G74" s="16"/>
      <c r="H74" s="14"/>
      <c r="I74" s="14"/>
      <c r="J74" s="15"/>
      <c r="K74" s="5" t="str">
        <f aca="false">IF($I74="","",1+IF($J74="",0,LEN($J74)-LEN(SUBSTITUTE($J74,",",""))+1))</f>
        <v/>
      </c>
      <c r="L74" s="14"/>
      <c r="M74" s="15"/>
      <c r="N74" s="17"/>
      <c r="O74" s="17"/>
      <c r="P74" s="5" t="str">
        <f aca="false">IF(OR($B74="",$C74=""),"",$C74-$B74+1)</f>
        <v/>
      </c>
      <c r="Q74" s="18"/>
      <c r="R74" s="12" t="str">
        <f aca="false">IF(OR($Q74="",$K74=""),"",$Q74*$K74)</f>
        <v/>
      </c>
      <c r="S74" s="14"/>
      <c r="T74" s="17"/>
      <c r="U74" s="15"/>
    </row>
    <row r="75" customFormat="false" ht="18.75" hidden="false" customHeight="true" outlineLevel="0" collapsed="false">
      <c r="A75" s="5" t="str">
        <f aca="false">IF($B75="","",COUNT($B$5:$B75))</f>
        <v/>
      </c>
      <c r="B75" s="6"/>
      <c r="C75" s="6"/>
      <c r="D75" s="7"/>
      <c r="E75" s="7"/>
      <c r="F75" s="8"/>
      <c r="G75" s="9"/>
      <c r="H75" s="7"/>
      <c r="I75" s="7"/>
      <c r="J75" s="8"/>
      <c r="K75" s="5" t="str">
        <f aca="false">IF($I75="","",1+IF($J75="",0,LEN($J75)-LEN(SUBSTITUTE($J75,",",""))+1))</f>
        <v/>
      </c>
      <c r="L75" s="7"/>
      <c r="M75" s="8"/>
      <c r="N75" s="10"/>
      <c r="O75" s="10"/>
      <c r="P75" s="5" t="str">
        <f aca="false">IF(OR($B75="",$C75=""),"",$C75-$B75+1)</f>
        <v/>
      </c>
      <c r="Q75" s="11"/>
      <c r="R75" s="12" t="str">
        <f aca="false">IF(OR($Q75="",$K75=""),"",$Q75*$K75)</f>
        <v/>
      </c>
      <c r="S75" s="7"/>
      <c r="T75" s="10"/>
      <c r="U75" s="8"/>
    </row>
    <row r="76" customFormat="false" ht="18.75" hidden="false" customHeight="true" outlineLevel="0" collapsed="false">
      <c r="A76" s="5" t="str">
        <f aca="false">IF($B76="","",COUNT($B$5:$B76))</f>
        <v/>
      </c>
      <c r="B76" s="13"/>
      <c r="C76" s="13"/>
      <c r="D76" s="14"/>
      <c r="E76" s="14"/>
      <c r="F76" s="15"/>
      <c r="G76" s="16"/>
      <c r="H76" s="14"/>
      <c r="I76" s="14"/>
      <c r="J76" s="15"/>
      <c r="K76" s="5" t="str">
        <f aca="false">IF($I76="","",1+IF($J76="",0,LEN($J76)-LEN(SUBSTITUTE($J76,",",""))+1))</f>
        <v/>
      </c>
      <c r="L76" s="14"/>
      <c r="M76" s="15"/>
      <c r="N76" s="17"/>
      <c r="O76" s="17"/>
      <c r="P76" s="5" t="str">
        <f aca="false">IF(OR($B76="",$C76=""),"",$C76-$B76+1)</f>
        <v/>
      </c>
      <c r="Q76" s="18"/>
      <c r="R76" s="12" t="str">
        <f aca="false">IF(OR($Q76="",$K76=""),"",$Q76*$K76)</f>
        <v/>
      </c>
      <c r="S76" s="14"/>
      <c r="T76" s="17"/>
      <c r="U76" s="15"/>
    </row>
    <row r="77" customFormat="false" ht="18.75" hidden="false" customHeight="true" outlineLevel="0" collapsed="false">
      <c r="A77" s="5" t="str">
        <f aca="false">IF($B77="","",COUNT($B$5:$B77))</f>
        <v/>
      </c>
      <c r="B77" s="6"/>
      <c r="C77" s="6"/>
      <c r="D77" s="7"/>
      <c r="E77" s="7"/>
      <c r="F77" s="8"/>
      <c r="G77" s="9"/>
      <c r="H77" s="7"/>
      <c r="I77" s="7"/>
      <c r="J77" s="8"/>
      <c r="K77" s="5" t="str">
        <f aca="false">IF($I77="","",1+IF($J77="",0,LEN($J77)-LEN(SUBSTITUTE($J77,",",""))+1))</f>
        <v/>
      </c>
      <c r="L77" s="7"/>
      <c r="M77" s="8"/>
      <c r="N77" s="10"/>
      <c r="O77" s="10"/>
      <c r="P77" s="5" t="str">
        <f aca="false">IF(OR($B77="",$C77=""),"",$C77-$B77+1)</f>
        <v/>
      </c>
      <c r="Q77" s="11"/>
      <c r="R77" s="12" t="str">
        <f aca="false">IF(OR($Q77="",$K77=""),"",$Q77*$K77)</f>
        <v/>
      </c>
      <c r="S77" s="7"/>
      <c r="T77" s="10"/>
      <c r="U77" s="8"/>
    </row>
    <row r="78" customFormat="false" ht="18.75" hidden="false" customHeight="true" outlineLevel="0" collapsed="false">
      <c r="A78" s="5" t="str">
        <f aca="false">IF($B78="","",COUNT($B$5:$B78))</f>
        <v/>
      </c>
      <c r="B78" s="13"/>
      <c r="C78" s="13"/>
      <c r="D78" s="14"/>
      <c r="E78" s="14"/>
      <c r="F78" s="15"/>
      <c r="G78" s="16"/>
      <c r="H78" s="14"/>
      <c r="I78" s="14"/>
      <c r="J78" s="15"/>
      <c r="K78" s="5" t="str">
        <f aca="false">IF($I78="","",1+IF($J78="",0,LEN($J78)-LEN(SUBSTITUTE($J78,",",""))+1))</f>
        <v/>
      </c>
      <c r="L78" s="14"/>
      <c r="M78" s="15"/>
      <c r="N78" s="17"/>
      <c r="O78" s="17"/>
      <c r="P78" s="5" t="str">
        <f aca="false">IF(OR($B78="",$C78=""),"",$C78-$B78+1)</f>
        <v/>
      </c>
      <c r="Q78" s="18"/>
      <c r="R78" s="12" t="str">
        <f aca="false">IF(OR($Q78="",$K78=""),"",$Q78*$K78)</f>
        <v/>
      </c>
      <c r="S78" s="14"/>
      <c r="T78" s="17"/>
      <c r="U78" s="15"/>
    </row>
    <row r="79" customFormat="false" ht="18.75" hidden="false" customHeight="true" outlineLevel="0" collapsed="false">
      <c r="A79" s="5" t="str">
        <f aca="false">IF($B79="","",COUNT($B$5:$B79))</f>
        <v/>
      </c>
      <c r="B79" s="6"/>
      <c r="C79" s="6"/>
      <c r="D79" s="7"/>
      <c r="E79" s="7"/>
      <c r="F79" s="8"/>
      <c r="G79" s="9"/>
      <c r="H79" s="7"/>
      <c r="I79" s="7"/>
      <c r="J79" s="8"/>
      <c r="K79" s="5" t="str">
        <f aca="false">IF($I79="","",1+IF($J79="",0,LEN($J79)-LEN(SUBSTITUTE($J79,",",""))+1))</f>
        <v/>
      </c>
      <c r="L79" s="7"/>
      <c r="M79" s="8"/>
      <c r="N79" s="10"/>
      <c r="O79" s="10"/>
      <c r="P79" s="5" t="str">
        <f aca="false">IF(OR($B79="",$C79=""),"",$C79-$B79+1)</f>
        <v/>
      </c>
      <c r="Q79" s="11"/>
      <c r="R79" s="12" t="str">
        <f aca="false">IF(OR($Q79="",$K79=""),"",$Q79*$K79)</f>
        <v/>
      </c>
      <c r="S79" s="7"/>
      <c r="T79" s="10"/>
      <c r="U79" s="8"/>
    </row>
    <row r="80" customFormat="false" ht="18.75" hidden="false" customHeight="true" outlineLevel="0" collapsed="false">
      <c r="A80" s="5" t="str">
        <f aca="false">IF($B80="","",COUNT($B$5:$B80))</f>
        <v/>
      </c>
      <c r="B80" s="13"/>
      <c r="C80" s="13"/>
      <c r="D80" s="14"/>
      <c r="E80" s="14"/>
      <c r="F80" s="15"/>
      <c r="G80" s="16"/>
      <c r="H80" s="14"/>
      <c r="I80" s="14"/>
      <c r="J80" s="15"/>
      <c r="K80" s="5" t="str">
        <f aca="false">IF($I80="","",1+IF($J80="",0,LEN($J80)-LEN(SUBSTITUTE($J80,",",""))+1))</f>
        <v/>
      </c>
      <c r="L80" s="14"/>
      <c r="M80" s="15"/>
      <c r="N80" s="17"/>
      <c r="O80" s="17"/>
      <c r="P80" s="5" t="str">
        <f aca="false">IF(OR($B80="",$C80=""),"",$C80-$B80+1)</f>
        <v/>
      </c>
      <c r="Q80" s="18"/>
      <c r="R80" s="12" t="str">
        <f aca="false">IF(OR($Q80="",$K80=""),"",$Q80*$K80)</f>
        <v/>
      </c>
      <c r="S80" s="14"/>
      <c r="T80" s="17"/>
      <c r="U80" s="15"/>
    </row>
    <row r="81" customFormat="false" ht="18.75" hidden="false" customHeight="true" outlineLevel="0" collapsed="false">
      <c r="A81" s="5" t="str">
        <f aca="false">IF($B81="","",COUNT($B$5:$B81))</f>
        <v/>
      </c>
      <c r="B81" s="6"/>
      <c r="C81" s="6"/>
      <c r="D81" s="7"/>
      <c r="E81" s="7"/>
      <c r="F81" s="8"/>
      <c r="G81" s="9"/>
      <c r="H81" s="7"/>
      <c r="I81" s="7"/>
      <c r="J81" s="8"/>
      <c r="K81" s="5" t="str">
        <f aca="false">IF($I81="","",1+IF($J81="",0,LEN($J81)-LEN(SUBSTITUTE($J81,",",""))+1))</f>
        <v/>
      </c>
      <c r="L81" s="7"/>
      <c r="M81" s="8"/>
      <c r="N81" s="10"/>
      <c r="O81" s="10"/>
      <c r="P81" s="5" t="str">
        <f aca="false">IF(OR($B81="",$C81=""),"",$C81-$B81+1)</f>
        <v/>
      </c>
      <c r="Q81" s="11"/>
      <c r="R81" s="12" t="str">
        <f aca="false">IF(OR($Q81="",$K81=""),"",$Q81*$K81)</f>
        <v/>
      </c>
      <c r="S81" s="7"/>
      <c r="T81" s="10"/>
      <c r="U81" s="8"/>
    </row>
    <row r="82" customFormat="false" ht="18.75" hidden="false" customHeight="true" outlineLevel="0" collapsed="false">
      <c r="A82" s="5" t="str">
        <f aca="false">IF($B82="","",COUNT($B$5:$B82))</f>
        <v/>
      </c>
      <c r="B82" s="13"/>
      <c r="C82" s="13"/>
      <c r="D82" s="14"/>
      <c r="E82" s="14"/>
      <c r="F82" s="15"/>
      <c r="G82" s="16"/>
      <c r="H82" s="14"/>
      <c r="I82" s="14"/>
      <c r="J82" s="15"/>
      <c r="K82" s="5" t="str">
        <f aca="false">IF($I82="","",1+IF($J82="",0,LEN($J82)-LEN(SUBSTITUTE($J82,",",""))+1))</f>
        <v/>
      </c>
      <c r="L82" s="14"/>
      <c r="M82" s="15"/>
      <c r="N82" s="17"/>
      <c r="O82" s="17"/>
      <c r="P82" s="5" t="str">
        <f aca="false">IF(OR($B82="",$C82=""),"",$C82-$B82+1)</f>
        <v/>
      </c>
      <c r="Q82" s="18"/>
      <c r="R82" s="12" t="str">
        <f aca="false">IF(OR($Q82="",$K82=""),"",$Q82*$K82)</f>
        <v/>
      </c>
      <c r="S82" s="14"/>
      <c r="T82" s="17"/>
      <c r="U82" s="15"/>
    </row>
    <row r="83" customFormat="false" ht="18.75" hidden="false" customHeight="true" outlineLevel="0" collapsed="false">
      <c r="A83" s="5" t="str">
        <f aca="false">IF($B83="","",COUNT($B$5:$B83))</f>
        <v/>
      </c>
      <c r="B83" s="6"/>
      <c r="C83" s="6"/>
      <c r="D83" s="7"/>
      <c r="E83" s="7"/>
      <c r="F83" s="8"/>
      <c r="G83" s="9"/>
      <c r="H83" s="7"/>
      <c r="I83" s="7"/>
      <c r="J83" s="8"/>
      <c r="K83" s="5" t="str">
        <f aca="false">IF($I83="","",1+IF($J83="",0,LEN($J83)-LEN(SUBSTITUTE($J83,",",""))+1))</f>
        <v/>
      </c>
      <c r="L83" s="7"/>
      <c r="M83" s="8"/>
      <c r="N83" s="10"/>
      <c r="O83" s="10"/>
      <c r="P83" s="5" t="str">
        <f aca="false">IF(OR($B83="",$C83=""),"",$C83-$B83+1)</f>
        <v/>
      </c>
      <c r="Q83" s="11"/>
      <c r="R83" s="12" t="str">
        <f aca="false">IF(OR($Q83="",$K83=""),"",$Q83*$K83)</f>
        <v/>
      </c>
      <c r="S83" s="7"/>
      <c r="T83" s="10"/>
      <c r="U83" s="8"/>
    </row>
    <row r="84" customFormat="false" ht="18.75" hidden="false" customHeight="true" outlineLevel="0" collapsed="false">
      <c r="A84" s="5" t="str">
        <f aca="false">IF($B84="","",COUNT($B$5:$B84))</f>
        <v/>
      </c>
      <c r="B84" s="13"/>
      <c r="C84" s="13"/>
      <c r="D84" s="14"/>
      <c r="E84" s="14"/>
      <c r="F84" s="15"/>
      <c r="G84" s="16"/>
      <c r="H84" s="14"/>
      <c r="I84" s="14"/>
      <c r="J84" s="15"/>
      <c r="K84" s="5" t="str">
        <f aca="false">IF($I84="","",1+IF($J84="",0,LEN($J84)-LEN(SUBSTITUTE($J84,",",""))+1))</f>
        <v/>
      </c>
      <c r="L84" s="14"/>
      <c r="M84" s="15"/>
      <c r="N84" s="17"/>
      <c r="O84" s="17"/>
      <c r="P84" s="5" t="str">
        <f aca="false">IF(OR($B84="",$C84=""),"",$C84-$B84+1)</f>
        <v/>
      </c>
      <c r="Q84" s="18"/>
      <c r="R84" s="12" t="str">
        <f aca="false">IF(OR($Q84="",$K84=""),"",$Q84*$K84)</f>
        <v/>
      </c>
      <c r="S84" s="14"/>
      <c r="T84" s="17"/>
      <c r="U84" s="15"/>
    </row>
    <row r="85" customFormat="false" ht="18.75" hidden="false" customHeight="true" outlineLevel="0" collapsed="false">
      <c r="A85" s="5" t="str">
        <f aca="false">IF($B85="","",COUNT($B$5:$B85))</f>
        <v/>
      </c>
      <c r="B85" s="6"/>
      <c r="C85" s="6"/>
      <c r="D85" s="7"/>
      <c r="E85" s="7"/>
      <c r="F85" s="8"/>
      <c r="G85" s="9"/>
      <c r="H85" s="7"/>
      <c r="I85" s="7"/>
      <c r="J85" s="8"/>
      <c r="K85" s="5" t="str">
        <f aca="false">IF($I85="","",1+IF($J85="",0,LEN($J85)-LEN(SUBSTITUTE($J85,",",""))+1))</f>
        <v/>
      </c>
      <c r="L85" s="7"/>
      <c r="M85" s="8"/>
      <c r="N85" s="10"/>
      <c r="O85" s="10"/>
      <c r="P85" s="5" t="str">
        <f aca="false">IF(OR($B85="",$C85=""),"",$C85-$B85+1)</f>
        <v/>
      </c>
      <c r="Q85" s="11"/>
      <c r="R85" s="12" t="str">
        <f aca="false">IF(OR($Q85="",$K85=""),"",$Q85*$K85)</f>
        <v/>
      </c>
      <c r="S85" s="7"/>
      <c r="T85" s="10"/>
      <c r="U85" s="8"/>
    </row>
    <row r="86" customFormat="false" ht="18.75" hidden="false" customHeight="true" outlineLevel="0" collapsed="false">
      <c r="A86" s="5" t="str">
        <f aca="false">IF($B86="","",COUNT($B$5:$B86))</f>
        <v/>
      </c>
      <c r="B86" s="13"/>
      <c r="C86" s="13"/>
      <c r="D86" s="14"/>
      <c r="E86" s="14"/>
      <c r="F86" s="15"/>
      <c r="G86" s="16"/>
      <c r="H86" s="14"/>
      <c r="I86" s="14"/>
      <c r="J86" s="15"/>
      <c r="K86" s="5" t="str">
        <f aca="false">IF($I86="","",1+IF($J86="",0,LEN($J86)-LEN(SUBSTITUTE($J86,",",""))+1))</f>
        <v/>
      </c>
      <c r="L86" s="14"/>
      <c r="M86" s="15"/>
      <c r="N86" s="17"/>
      <c r="O86" s="17"/>
      <c r="P86" s="5" t="str">
        <f aca="false">IF(OR($B86="",$C86=""),"",$C86-$B86+1)</f>
        <v/>
      </c>
      <c r="Q86" s="18"/>
      <c r="R86" s="12" t="str">
        <f aca="false">IF(OR($Q86="",$K86=""),"",$Q86*$K86)</f>
        <v/>
      </c>
      <c r="S86" s="14"/>
      <c r="T86" s="17"/>
      <c r="U86" s="15"/>
    </row>
    <row r="87" customFormat="false" ht="18.75" hidden="false" customHeight="true" outlineLevel="0" collapsed="false">
      <c r="A87" s="5" t="str">
        <f aca="false">IF($B87="","",COUNT($B$5:$B87))</f>
        <v/>
      </c>
      <c r="B87" s="6"/>
      <c r="C87" s="6"/>
      <c r="D87" s="7"/>
      <c r="E87" s="7"/>
      <c r="F87" s="8"/>
      <c r="G87" s="9"/>
      <c r="H87" s="7"/>
      <c r="I87" s="7"/>
      <c r="J87" s="8"/>
      <c r="K87" s="5" t="str">
        <f aca="false">IF($I87="","",1+IF($J87="",0,LEN($J87)-LEN(SUBSTITUTE($J87,",",""))+1))</f>
        <v/>
      </c>
      <c r="L87" s="7"/>
      <c r="M87" s="8"/>
      <c r="N87" s="10"/>
      <c r="O87" s="10"/>
      <c r="P87" s="5" t="str">
        <f aca="false">IF(OR($B87="",$C87=""),"",$C87-$B87+1)</f>
        <v/>
      </c>
      <c r="Q87" s="11"/>
      <c r="R87" s="12" t="str">
        <f aca="false">IF(OR($Q87="",$K87=""),"",$Q87*$K87)</f>
        <v/>
      </c>
      <c r="S87" s="7"/>
      <c r="T87" s="10"/>
      <c r="U87" s="8"/>
    </row>
    <row r="88" customFormat="false" ht="18.75" hidden="false" customHeight="true" outlineLevel="0" collapsed="false">
      <c r="A88" s="5" t="str">
        <f aca="false">IF($B88="","",COUNT($B$5:$B88))</f>
        <v/>
      </c>
      <c r="B88" s="13"/>
      <c r="C88" s="13"/>
      <c r="D88" s="14"/>
      <c r="E88" s="14"/>
      <c r="F88" s="15"/>
      <c r="G88" s="16"/>
      <c r="H88" s="14"/>
      <c r="I88" s="14"/>
      <c r="J88" s="15"/>
      <c r="K88" s="5" t="str">
        <f aca="false">IF($I88="","",1+IF($J88="",0,LEN($J88)-LEN(SUBSTITUTE($J88,",",""))+1))</f>
        <v/>
      </c>
      <c r="L88" s="14"/>
      <c r="M88" s="15"/>
      <c r="N88" s="17"/>
      <c r="O88" s="17"/>
      <c r="P88" s="5" t="str">
        <f aca="false">IF(OR($B88="",$C88=""),"",$C88-$B88+1)</f>
        <v/>
      </c>
      <c r="Q88" s="18"/>
      <c r="R88" s="12" t="str">
        <f aca="false">IF(OR($Q88="",$K88=""),"",$Q88*$K88)</f>
        <v/>
      </c>
      <c r="S88" s="14"/>
      <c r="T88" s="17"/>
      <c r="U88" s="15"/>
    </row>
    <row r="89" customFormat="false" ht="18.75" hidden="false" customHeight="true" outlineLevel="0" collapsed="false">
      <c r="A89" s="5" t="str">
        <f aca="false">IF($B89="","",COUNT($B$5:$B89))</f>
        <v/>
      </c>
      <c r="B89" s="6"/>
      <c r="C89" s="6"/>
      <c r="D89" s="7"/>
      <c r="E89" s="7"/>
      <c r="F89" s="8"/>
      <c r="G89" s="9"/>
      <c r="H89" s="7"/>
      <c r="I89" s="7"/>
      <c r="J89" s="8"/>
      <c r="K89" s="5" t="str">
        <f aca="false">IF($I89="","",1+IF($J89="",0,LEN($J89)-LEN(SUBSTITUTE($J89,",",""))+1))</f>
        <v/>
      </c>
      <c r="L89" s="7"/>
      <c r="M89" s="8"/>
      <c r="N89" s="10"/>
      <c r="O89" s="10"/>
      <c r="P89" s="5" t="str">
        <f aca="false">IF(OR($B89="",$C89=""),"",$C89-$B89+1)</f>
        <v/>
      </c>
      <c r="Q89" s="11"/>
      <c r="R89" s="12" t="str">
        <f aca="false">IF(OR($Q89="",$K89=""),"",$Q89*$K89)</f>
        <v/>
      </c>
      <c r="S89" s="7"/>
      <c r="T89" s="10"/>
      <c r="U89" s="8"/>
    </row>
    <row r="90" customFormat="false" ht="18.75" hidden="false" customHeight="true" outlineLevel="0" collapsed="false">
      <c r="A90" s="5" t="str">
        <f aca="false">IF($B90="","",COUNT($B$5:$B90))</f>
        <v/>
      </c>
      <c r="B90" s="13"/>
      <c r="C90" s="13"/>
      <c r="D90" s="14"/>
      <c r="E90" s="14"/>
      <c r="F90" s="15"/>
      <c r="G90" s="16"/>
      <c r="H90" s="14"/>
      <c r="I90" s="14"/>
      <c r="J90" s="15"/>
      <c r="K90" s="5" t="str">
        <f aca="false">IF($I90="","",1+IF($J90="",0,LEN($J90)-LEN(SUBSTITUTE($J90,",",""))+1))</f>
        <v/>
      </c>
      <c r="L90" s="14"/>
      <c r="M90" s="15"/>
      <c r="N90" s="17"/>
      <c r="O90" s="17"/>
      <c r="P90" s="5" t="str">
        <f aca="false">IF(OR($B90="",$C90=""),"",$C90-$B90+1)</f>
        <v/>
      </c>
      <c r="Q90" s="18"/>
      <c r="R90" s="12" t="str">
        <f aca="false">IF(OR($Q90="",$K90=""),"",$Q90*$K90)</f>
        <v/>
      </c>
      <c r="S90" s="14"/>
      <c r="T90" s="17"/>
      <c r="U90" s="15"/>
    </row>
    <row r="91" customFormat="false" ht="18.75" hidden="false" customHeight="true" outlineLevel="0" collapsed="false">
      <c r="A91" s="5" t="str">
        <f aca="false">IF($B91="","",COUNT($B$5:$B91))</f>
        <v/>
      </c>
      <c r="B91" s="6"/>
      <c r="C91" s="6"/>
      <c r="D91" s="7"/>
      <c r="E91" s="7"/>
      <c r="F91" s="8"/>
      <c r="G91" s="9"/>
      <c r="H91" s="7"/>
      <c r="I91" s="7"/>
      <c r="J91" s="8"/>
      <c r="K91" s="5" t="str">
        <f aca="false">IF($I91="","",1+IF($J91="",0,LEN($J91)-LEN(SUBSTITUTE($J91,",",""))+1))</f>
        <v/>
      </c>
      <c r="L91" s="7"/>
      <c r="M91" s="8"/>
      <c r="N91" s="10"/>
      <c r="O91" s="10"/>
      <c r="P91" s="5" t="str">
        <f aca="false">IF(OR($B91="",$C91=""),"",$C91-$B91+1)</f>
        <v/>
      </c>
      <c r="Q91" s="11"/>
      <c r="R91" s="12" t="str">
        <f aca="false">IF(OR($Q91="",$K91=""),"",$Q91*$K91)</f>
        <v/>
      </c>
      <c r="S91" s="7"/>
      <c r="T91" s="10"/>
      <c r="U91" s="8"/>
    </row>
    <row r="92" customFormat="false" ht="18.75" hidden="false" customHeight="true" outlineLevel="0" collapsed="false">
      <c r="A92" s="5" t="str">
        <f aca="false">IF($B92="","",COUNT($B$5:$B92))</f>
        <v/>
      </c>
      <c r="B92" s="13"/>
      <c r="C92" s="13"/>
      <c r="D92" s="14"/>
      <c r="E92" s="14"/>
      <c r="F92" s="15"/>
      <c r="G92" s="16"/>
      <c r="H92" s="14"/>
      <c r="I92" s="14"/>
      <c r="J92" s="15"/>
      <c r="K92" s="5" t="str">
        <f aca="false">IF($I92="","",1+IF($J92="",0,LEN($J92)-LEN(SUBSTITUTE($J92,",",""))+1))</f>
        <v/>
      </c>
      <c r="L92" s="14"/>
      <c r="M92" s="15"/>
      <c r="N92" s="17"/>
      <c r="O92" s="17"/>
      <c r="P92" s="5" t="str">
        <f aca="false">IF(OR($B92="",$C92=""),"",$C92-$B92+1)</f>
        <v/>
      </c>
      <c r="Q92" s="18"/>
      <c r="R92" s="12" t="str">
        <f aca="false">IF(OR($Q92="",$K92=""),"",$Q92*$K92)</f>
        <v/>
      </c>
      <c r="S92" s="14"/>
      <c r="T92" s="17"/>
      <c r="U92" s="15"/>
    </row>
    <row r="93" customFormat="false" ht="18.75" hidden="false" customHeight="true" outlineLevel="0" collapsed="false">
      <c r="A93" s="5" t="str">
        <f aca="false">IF($B93="","",COUNT($B$5:$B93))</f>
        <v/>
      </c>
      <c r="B93" s="6"/>
      <c r="C93" s="6"/>
      <c r="D93" s="7"/>
      <c r="E93" s="7"/>
      <c r="F93" s="8"/>
      <c r="G93" s="9"/>
      <c r="H93" s="7"/>
      <c r="I93" s="7"/>
      <c r="J93" s="8"/>
      <c r="K93" s="5" t="str">
        <f aca="false">IF($I93="","",1+IF($J93="",0,LEN($J93)-LEN(SUBSTITUTE($J93,",",""))+1))</f>
        <v/>
      </c>
      <c r="L93" s="7"/>
      <c r="M93" s="8"/>
      <c r="N93" s="10"/>
      <c r="O93" s="10"/>
      <c r="P93" s="5" t="str">
        <f aca="false">IF(OR($B93="",$C93=""),"",$C93-$B93+1)</f>
        <v/>
      </c>
      <c r="Q93" s="11"/>
      <c r="R93" s="12" t="str">
        <f aca="false">IF(OR($Q93="",$K93=""),"",$Q93*$K93)</f>
        <v/>
      </c>
      <c r="S93" s="7"/>
      <c r="T93" s="10"/>
      <c r="U93" s="8"/>
    </row>
    <row r="94" customFormat="false" ht="18.75" hidden="false" customHeight="true" outlineLevel="0" collapsed="false">
      <c r="A94" s="5" t="str">
        <f aca="false">IF($B94="","",COUNT($B$5:$B94))</f>
        <v/>
      </c>
      <c r="B94" s="13"/>
      <c r="C94" s="13"/>
      <c r="D94" s="14"/>
      <c r="E94" s="14"/>
      <c r="F94" s="15"/>
      <c r="G94" s="16"/>
      <c r="H94" s="14"/>
      <c r="I94" s="14"/>
      <c r="J94" s="15"/>
      <c r="K94" s="5" t="str">
        <f aca="false">IF($I94="","",1+IF($J94="",0,LEN($J94)-LEN(SUBSTITUTE($J94,",",""))+1))</f>
        <v/>
      </c>
      <c r="L94" s="14"/>
      <c r="M94" s="15"/>
      <c r="N94" s="17"/>
      <c r="O94" s="17"/>
      <c r="P94" s="5" t="str">
        <f aca="false">IF(OR($B94="",$C94=""),"",$C94-$B94+1)</f>
        <v/>
      </c>
      <c r="Q94" s="18"/>
      <c r="R94" s="12" t="str">
        <f aca="false">IF(OR($Q94="",$K94=""),"",$Q94*$K94)</f>
        <v/>
      </c>
      <c r="S94" s="14"/>
      <c r="T94" s="17"/>
      <c r="U94" s="15"/>
    </row>
    <row r="95" customFormat="false" ht="18.75" hidden="false" customHeight="true" outlineLevel="0" collapsed="false">
      <c r="A95" s="5" t="str">
        <f aca="false">IF($B95="","",COUNT($B$5:$B95))</f>
        <v/>
      </c>
      <c r="B95" s="6"/>
      <c r="C95" s="6"/>
      <c r="D95" s="7"/>
      <c r="E95" s="7"/>
      <c r="F95" s="8"/>
      <c r="G95" s="9"/>
      <c r="H95" s="7"/>
      <c r="I95" s="7"/>
      <c r="J95" s="8"/>
      <c r="K95" s="5" t="str">
        <f aca="false">IF($I95="","",1+IF($J95="",0,LEN($J95)-LEN(SUBSTITUTE($J95,",",""))+1))</f>
        <v/>
      </c>
      <c r="L95" s="7"/>
      <c r="M95" s="8"/>
      <c r="N95" s="10"/>
      <c r="O95" s="10"/>
      <c r="P95" s="5" t="str">
        <f aca="false">IF(OR($B95="",$C95=""),"",$C95-$B95+1)</f>
        <v/>
      </c>
      <c r="Q95" s="11"/>
      <c r="R95" s="12" t="str">
        <f aca="false">IF(OR($Q95="",$K95=""),"",$Q95*$K95)</f>
        <v/>
      </c>
      <c r="S95" s="7"/>
      <c r="T95" s="10"/>
      <c r="U95" s="8"/>
    </row>
    <row r="96" customFormat="false" ht="18.75" hidden="false" customHeight="true" outlineLevel="0" collapsed="false">
      <c r="A96" s="5" t="str">
        <f aca="false">IF($B96="","",COUNT($B$5:$B96))</f>
        <v/>
      </c>
      <c r="B96" s="13"/>
      <c r="C96" s="13"/>
      <c r="D96" s="14"/>
      <c r="E96" s="14"/>
      <c r="F96" s="15"/>
      <c r="G96" s="16"/>
      <c r="H96" s="14"/>
      <c r="I96" s="14"/>
      <c r="J96" s="15"/>
      <c r="K96" s="5" t="str">
        <f aca="false">IF($I96="","",1+IF($J96="",0,LEN($J96)-LEN(SUBSTITUTE($J96,",",""))+1))</f>
        <v/>
      </c>
      <c r="L96" s="14"/>
      <c r="M96" s="15"/>
      <c r="N96" s="17"/>
      <c r="O96" s="17"/>
      <c r="P96" s="5" t="str">
        <f aca="false">IF(OR($B96="",$C96=""),"",$C96-$B96+1)</f>
        <v/>
      </c>
      <c r="Q96" s="18"/>
      <c r="R96" s="12" t="str">
        <f aca="false">IF(OR($Q96="",$K96=""),"",$Q96*$K96)</f>
        <v/>
      </c>
      <c r="S96" s="14"/>
      <c r="T96" s="17"/>
      <c r="U96" s="15"/>
    </row>
    <row r="97" customFormat="false" ht="18.75" hidden="false" customHeight="true" outlineLevel="0" collapsed="false">
      <c r="A97" s="5" t="str">
        <f aca="false">IF($B97="","",COUNT($B$5:$B97))</f>
        <v/>
      </c>
      <c r="B97" s="6"/>
      <c r="C97" s="6"/>
      <c r="D97" s="7"/>
      <c r="E97" s="7"/>
      <c r="F97" s="8"/>
      <c r="G97" s="9"/>
      <c r="H97" s="7"/>
      <c r="I97" s="7"/>
      <c r="J97" s="8"/>
      <c r="K97" s="5" t="str">
        <f aca="false">IF($I97="","",1+IF($J97="",0,LEN($J97)-LEN(SUBSTITUTE($J97,",",""))+1))</f>
        <v/>
      </c>
      <c r="L97" s="7"/>
      <c r="M97" s="8"/>
      <c r="N97" s="10"/>
      <c r="O97" s="10"/>
      <c r="P97" s="5" t="str">
        <f aca="false">IF(OR($B97="",$C97=""),"",$C97-$B97+1)</f>
        <v/>
      </c>
      <c r="Q97" s="11"/>
      <c r="R97" s="12" t="str">
        <f aca="false">IF(OR($Q97="",$K97=""),"",$Q97*$K97)</f>
        <v/>
      </c>
      <c r="S97" s="7"/>
      <c r="T97" s="10"/>
      <c r="U97" s="8"/>
    </row>
    <row r="98" customFormat="false" ht="18.75" hidden="false" customHeight="true" outlineLevel="0" collapsed="false">
      <c r="A98" s="5" t="str">
        <f aca="false">IF($B98="","",COUNT($B$5:$B98))</f>
        <v/>
      </c>
      <c r="B98" s="13"/>
      <c r="C98" s="13"/>
      <c r="D98" s="14"/>
      <c r="E98" s="14"/>
      <c r="F98" s="15"/>
      <c r="G98" s="16"/>
      <c r="H98" s="14"/>
      <c r="I98" s="14"/>
      <c r="J98" s="15"/>
      <c r="K98" s="5" t="str">
        <f aca="false">IF($I98="","",1+IF($J98="",0,LEN($J98)-LEN(SUBSTITUTE($J98,",",""))+1))</f>
        <v/>
      </c>
      <c r="L98" s="14"/>
      <c r="M98" s="15"/>
      <c r="N98" s="17"/>
      <c r="O98" s="17"/>
      <c r="P98" s="5" t="str">
        <f aca="false">IF(OR($B98="",$C98=""),"",$C98-$B98+1)</f>
        <v/>
      </c>
      <c r="Q98" s="18"/>
      <c r="R98" s="12" t="str">
        <f aca="false">IF(OR($Q98="",$K98=""),"",$Q98*$K98)</f>
        <v/>
      </c>
      <c r="S98" s="14"/>
      <c r="T98" s="17"/>
      <c r="U98" s="15"/>
    </row>
    <row r="99" customFormat="false" ht="18.75" hidden="false" customHeight="true" outlineLevel="0" collapsed="false">
      <c r="A99" s="5" t="str">
        <f aca="false">IF($B99="","",COUNT($B$5:$B99))</f>
        <v/>
      </c>
      <c r="B99" s="6"/>
      <c r="C99" s="6"/>
      <c r="D99" s="7"/>
      <c r="E99" s="7"/>
      <c r="F99" s="8"/>
      <c r="G99" s="9"/>
      <c r="H99" s="7"/>
      <c r="I99" s="7"/>
      <c r="J99" s="8"/>
      <c r="K99" s="5" t="str">
        <f aca="false">IF($I99="","",1+IF($J99="",0,LEN($J99)-LEN(SUBSTITUTE($J99,",",""))+1))</f>
        <v/>
      </c>
      <c r="L99" s="7"/>
      <c r="M99" s="8"/>
      <c r="N99" s="10"/>
      <c r="O99" s="10"/>
      <c r="P99" s="5" t="str">
        <f aca="false">IF(OR($B99="",$C99=""),"",$C99-$B99+1)</f>
        <v/>
      </c>
      <c r="Q99" s="11"/>
      <c r="R99" s="12" t="str">
        <f aca="false">IF(OR($Q99="",$K99=""),"",$Q99*$K99)</f>
        <v/>
      </c>
      <c r="S99" s="7"/>
      <c r="T99" s="10"/>
      <c r="U99" s="8"/>
    </row>
    <row r="100" customFormat="false" ht="18.75" hidden="false" customHeight="true" outlineLevel="0" collapsed="false">
      <c r="A100" s="5" t="str">
        <f aca="false">IF($B100="","",COUNT($B$5:$B100))</f>
        <v/>
      </c>
      <c r="B100" s="13"/>
      <c r="C100" s="13"/>
      <c r="D100" s="14"/>
      <c r="E100" s="14"/>
      <c r="F100" s="15"/>
      <c r="G100" s="16"/>
      <c r="H100" s="14"/>
      <c r="I100" s="14"/>
      <c r="J100" s="15"/>
      <c r="K100" s="5" t="str">
        <f aca="false">IF($I100="","",1+IF($J100="",0,LEN($J100)-LEN(SUBSTITUTE($J100,",",""))+1))</f>
        <v/>
      </c>
      <c r="L100" s="14"/>
      <c r="M100" s="15"/>
      <c r="N100" s="17"/>
      <c r="O100" s="17"/>
      <c r="P100" s="5" t="str">
        <f aca="false">IF(OR($B100="",$C100=""),"",$C100-$B100+1)</f>
        <v/>
      </c>
      <c r="Q100" s="18"/>
      <c r="R100" s="12" t="str">
        <f aca="false">IF(OR($Q100="",$K100=""),"",$Q100*$K100)</f>
        <v/>
      </c>
      <c r="S100" s="14"/>
      <c r="T100" s="17"/>
      <c r="U100" s="15"/>
    </row>
    <row r="101" customFormat="false" ht="18.75" hidden="false" customHeight="true" outlineLevel="0" collapsed="false">
      <c r="A101" s="5" t="str">
        <f aca="false">IF($B101="","",COUNT($B$5:$B101))</f>
        <v/>
      </c>
      <c r="B101" s="6"/>
      <c r="C101" s="6"/>
      <c r="D101" s="7"/>
      <c r="E101" s="7"/>
      <c r="F101" s="8"/>
      <c r="G101" s="9"/>
      <c r="H101" s="7"/>
      <c r="I101" s="7"/>
      <c r="J101" s="8"/>
      <c r="K101" s="5" t="str">
        <f aca="false">IF($I101="","",1+IF($J101="",0,LEN($J101)-LEN(SUBSTITUTE($J101,",",""))+1))</f>
        <v/>
      </c>
      <c r="L101" s="7"/>
      <c r="M101" s="8"/>
      <c r="N101" s="10"/>
      <c r="O101" s="10"/>
      <c r="P101" s="5" t="str">
        <f aca="false">IF(OR($B101="",$C101=""),"",$C101-$B101+1)</f>
        <v/>
      </c>
      <c r="Q101" s="11"/>
      <c r="R101" s="12" t="str">
        <f aca="false">IF(OR($Q101="",$K101=""),"",$Q101*$K101)</f>
        <v/>
      </c>
      <c r="S101" s="7"/>
      <c r="T101" s="10"/>
      <c r="U101" s="8"/>
    </row>
    <row r="102" customFormat="false" ht="18.75" hidden="false" customHeight="true" outlineLevel="0" collapsed="false">
      <c r="A102" s="5" t="str">
        <f aca="false">IF($B102="","",COUNT($B$5:$B102))</f>
        <v/>
      </c>
      <c r="B102" s="13"/>
      <c r="C102" s="13"/>
      <c r="D102" s="14"/>
      <c r="E102" s="14"/>
      <c r="F102" s="15"/>
      <c r="G102" s="16"/>
      <c r="H102" s="14"/>
      <c r="I102" s="14"/>
      <c r="J102" s="15"/>
      <c r="K102" s="5" t="str">
        <f aca="false">IF($I102="","",1+IF($J102="",0,LEN($J102)-LEN(SUBSTITUTE($J102,",",""))+1))</f>
        <v/>
      </c>
      <c r="L102" s="14"/>
      <c r="M102" s="15"/>
      <c r="N102" s="17"/>
      <c r="O102" s="17"/>
      <c r="P102" s="5" t="str">
        <f aca="false">IF(OR($B102="",$C102=""),"",$C102-$B102+1)</f>
        <v/>
      </c>
      <c r="Q102" s="18"/>
      <c r="R102" s="12" t="str">
        <f aca="false">IF(OR($Q102="",$K102=""),"",$Q102*$K102)</f>
        <v/>
      </c>
      <c r="S102" s="14"/>
      <c r="T102" s="17"/>
      <c r="U102" s="15"/>
    </row>
    <row r="103" customFormat="false" ht="18.75" hidden="false" customHeight="true" outlineLevel="0" collapsed="false">
      <c r="A103" s="5" t="str">
        <f aca="false">IF($B103="","",COUNT($B$5:$B103))</f>
        <v/>
      </c>
      <c r="B103" s="6"/>
      <c r="C103" s="6"/>
      <c r="D103" s="7"/>
      <c r="E103" s="7"/>
      <c r="F103" s="8"/>
      <c r="G103" s="9"/>
      <c r="H103" s="7"/>
      <c r="I103" s="7"/>
      <c r="J103" s="8"/>
      <c r="K103" s="5" t="str">
        <f aca="false">IF($I103="","",1+IF($J103="",0,LEN($J103)-LEN(SUBSTITUTE($J103,",",""))+1))</f>
        <v/>
      </c>
      <c r="L103" s="7"/>
      <c r="M103" s="8"/>
      <c r="N103" s="10"/>
      <c r="O103" s="10"/>
      <c r="P103" s="5" t="str">
        <f aca="false">IF(OR($B103="",$C103=""),"",$C103-$B103+1)</f>
        <v/>
      </c>
      <c r="Q103" s="11"/>
      <c r="R103" s="12" t="str">
        <f aca="false">IF(OR($Q103="",$K103=""),"",$Q103*$K103)</f>
        <v/>
      </c>
      <c r="S103" s="7"/>
      <c r="T103" s="10"/>
      <c r="U103" s="8"/>
    </row>
    <row r="104" customFormat="false" ht="18.75" hidden="false" customHeight="true" outlineLevel="0" collapsed="false">
      <c r="A104" s="5" t="str">
        <f aca="false">IF($B104="","",COUNT($B$5:$B104))</f>
        <v/>
      </c>
      <c r="B104" s="13"/>
      <c r="C104" s="13"/>
      <c r="D104" s="14"/>
      <c r="E104" s="14"/>
      <c r="F104" s="15"/>
      <c r="G104" s="16"/>
      <c r="H104" s="14"/>
      <c r="I104" s="14"/>
      <c r="J104" s="15"/>
      <c r="K104" s="5" t="str">
        <f aca="false">IF($I104="","",1+IF($J104="",0,LEN($J104)-LEN(SUBSTITUTE($J104,",",""))+1))</f>
        <v/>
      </c>
      <c r="L104" s="14"/>
      <c r="M104" s="15"/>
      <c r="N104" s="17"/>
      <c r="O104" s="17"/>
      <c r="P104" s="5" t="str">
        <f aca="false">IF(OR($B104="",$C104=""),"",$C104-$B104+1)</f>
        <v/>
      </c>
      <c r="Q104" s="18"/>
      <c r="R104" s="12" t="str">
        <f aca="false">IF(OR($Q104="",$K104=""),"",$Q104*$K104)</f>
        <v/>
      </c>
      <c r="S104" s="14"/>
      <c r="T104" s="17"/>
      <c r="U104" s="15"/>
    </row>
    <row r="105" customFormat="false" ht="18.75" hidden="false" customHeight="true" outlineLevel="0" collapsed="false">
      <c r="A105" s="5" t="str">
        <f aca="false">IF($B105="","",COUNT($B$5:$B105))</f>
        <v/>
      </c>
      <c r="B105" s="6"/>
      <c r="C105" s="6"/>
      <c r="D105" s="7"/>
      <c r="E105" s="7"/>
      <c r="F105" s="8"/>
      <c r="G105" s="9"/>
      <c r="H105" s="7"/>
      <c r="I105" s="7"/>
      <c r="J105" s="8"/>
      <c r="K105" s="5" t="str">
        <f aca="false">IF($I105="","",1+IF($J105="",0,LEN($J105)-LEN(SUBSTITUTE($J105,",",""))+1))</f>
        <v/>
      </c>
      <c r="L105" s="7"/>
      <c r="M105" s="8"/>
      <c r="N105" s="10"/>
      <c r="O105" s="10"/>
      <c r="P105" s="5" t="str">
        <f aca="false">IF(OR($B105="",$C105=""),"",$C105-$B105+1)</f>
        <v/>
      </c>
      <c r="Q105" s="11"/>
      <c r="R105" s="12" t="str">
        <f aca="false">IF(OR($Q105="",$K105=""),"",$Q105*$K105)</f>
        <v/>
      </c>
      <c r="S105" s="7"/>
      <c r="T105" s="10"/>
      <c r="U105" s="8"/>
    </row>
    <row r="106" customFormat="false" ht="18.75" hidden="false" customHeight="true" outlineLevel="0" collapsed="false">
      <c r="A106" s="5" t="str">
        <f aca="false">IF($B106="","",COUNT($B$5:$B106))</f>
        <v/>
      </c>
      <c r="B106" s="13"/>
      <c r="C106" s="13"/>
      <c r="D106" s="14"/>
      <c r="E106" s="14"/>
      <c r="F106" s="15"/>
      <c r="G106" s="16"/>
      <c r="H106" s="14"/>
      <c r="I106" s="14"/>
      <c r="J106" s="15"/>
      <c r="K106" s="5" t="str">
        <f aca="false">IF($I106="","",1+IF($J106="",0,LEN($J106)-LEN(SUBSTITUTE($J106,",",""))+1))</f>
        <v/>
      </c>
      <c r="L106" s="14"/>
      <c r="M106" s="15"/>
      <c r="N106" s="17"/>
      <c r="O106" s="17"/>
      <c r="P106" s="5" t="str">
        <f aca="false">IF(OR($B106="",$C106=""),"",$C106-$B106+1)</f>
        <v/>
      </c>
      <c r="Q106" s="18"/>
      <c r="R106" s="12" t="str">
        <f aca="false">IF(OR($Q106="",$K106=""),"",$Q106*$K106)</f>
        <v/>
      </c>
      <c r="S106" s="14"/>
      <c r="T106" s="17"/>
      <c r="U106" s="15"/>
    </row>
    <row r="107" customFormat="false" ht="18.75" hidden="false" customHeight="true" outlineLevel="0" collapsed="false">
      <c r="A107" s="5" t="str">
        <f aca="false">IF($B107="","",COUNT($B$5:$B107))</f>
        <v/>
      </c>
      <c r="B107" s="6"/>
      <c r="C107" s="6"/>
      <c r="D107" s="7"/>
      <c r="E107" s="7"/>
      <c r="F107" s="8"/>
      <c r="G107" s="9"/>
      <c r="H107" s="7"/>
      <c r="I107" s="7"/>
      <c r="J107" s="8"/>
      <c r="K107" s="5" t="str">
        <f aca="false">IF($I107="","",1+IF($J107="",0,LEN($J107)-LEN(SUBSTITUTE($J107,",",""))+1))</f>
        <v/>
      </c>
      <c r="L107" s="7"/>
      <c r="M107" s="8"/>
      <c r="N107" s="10"/>
      <c r="O107" s="10"/>
      <c r="P107" s="5" t="str">
        <f aca="false">IF(OR($B107="",$C107=""),"",$C107-$B107+1)</f>
        <v/>
      </c>
      <c r="Q107" s="11"/>
      <c r="R107" s="12" t="str">
        <f aca="false">IF(OR($Q107="",$K107=""),"",$Q107*$K107)</f>
        <v/>
      </c>
      <c r="S107" s="7"/>
      <c r="T107" s="10"/>
      <c r="U107" s="8"/>
    </row>
    <row r="108" customFormat="false" ht="18.75" hidden="false" customHeight="true" outlineLevel="0" collapsed="false">
      <c r="A108" s="5" t="str">
        <f aca="false">IF($B108="","",COUNT($B$5:$B108))</f>
        <v/>
      </c>
      <c r="B108" s="13"/>
      <c r="C108" s="13"/>
      <c r="D108" s="14"/>
      <c r="E108" s="14"/>
      <c r="F108" s="15"/>
      <c r="G108" s="16"/>
      <c r="H108" s="14"/>
      <c r="I108" s="14"/>
      <c r="J108" s="15"/>
      <c r="K108" s="5" t="str">
        <f aca="false">IF($I108="","",1+IF($J108="",0,LEN($J108)-LEN(SUBSTITUTE($J108,",",""))+1))</f>
        <v/>
      </c>
      <c r="L108" s="14"/>
      <c r="M108" s="15"/>
      <c r="N108" s="17"/>
      <c r="O108" s="17"/>
      <c r="P108" s="5" t="str">
        <f aca="false">IF(OR($B108="",$C108=""),"",$C108-$B108+1)</f>
        <v/>
      </c>
      <c r="Q108" s="18"/>
      <c r="R108" s="12" t="str">
        <f aca="false">IF(OR($Q108="",$K108=""),"",$Q108*$K108)</f>
        <v/>
      </c>
      <c r="S108" s="14"/>
      <c r="T108" s="17"/>
      <c r="U108" s="15"/>
    </row>
    <row r="109" customFormat="false" ht="18.75" hidden="false" customHeight="true" outlineLevel="0" collapsed="false">
      <c r="A109" s="5" t="str">
        <f aca="false">IF($B109="","",COUNT($B$5:$B109))</f>
        <v/>
      </c>
      <c r="B109" s="6"/>
      <c r="C109" s="6"/>
      <c r="D109" s="7"/>
      <c r="E109" s="7"/>
      <c r="F109" s="8"/>
      <c r="G109" s="9"/>
      <c r="H109" s="7"/>
      <c r="I109" s="7"/>
      <c r="J109" s="8"/>
      <c r="K109" s="5" t="str">
        <f aca="false">IF($I109="","",1+IF($J109="",0,LEN($J109)-LEN(SUBSTITUTE($J109,",",""))+1))</f>
        <v/>
      </c>
      <c r="L109" s="7"/>
      <c r="M109" s="8"/>
      <c r="N109" s="10"/>
      <c r="O109" s="10"/>
      <c r="P109" s="5" t="str">
        <f aca="false">IF(OR($B109="",$C109=""),"",$C109-$B109+1)</f>
        <v/>
      </c>
      <c r="Q109" s="11"/>
      <c r="R109" s="12" t="str">
        <f aca="false">IF(OR($Q109="",$K109=""),"",$Q109*$K109)</f>
        <v/>
      </c>
      <c r="S109" s="7"/>
      <c r="T109" s="10"/>
      <c r="U109" s="8"/>
    </row>
    <row r="110" customFormat="false" ht="18.75" hidden="false" customHeight="true" outlineLevel="0" collapsed="false">
      <c r="A110" s="5" t="str">
        <f aca="false">IF($B110="","",COUNT($B$5:$B110))</f>
        <v/>
      </c>
      <c r="B110" s="13"/>
      <c r="C110" s="13"/>
      <c r="D110" s="14"/>
      <c r="E110" s="14"/>
      <c r="F110" s="15"/>
      <c r="G110" s="16"/>
      <c r="H110" s="14"/>
      <c r="I110" s="14"/>
      <c r="J110" s="15"/>
      <c r="K110" s="5" t="str">
        <f aca="false">IF($I110="","",1+IF($J110="",0,LEN($J110)-LEN(SUBSTITUTE($J110,",",""))+1))</f>
        <v/>
      </c>
      <c r="L110" s="14"/>
      <c r="M110" s="15"/>
      <c r="N110" s="17"/>
      <c r="O110" s="17"/>
      <c r="P110" s="5" t="str">
        <f aca="false">IF(OR($B110="",$C110=""),"",$C110-$B110+1)</f>
        <v/>
      </c>
      <c r="Q110" s="18"/>
      <c r="R110" s="12" t="str">
        <f aca="false">IF(OR($Q110="",$K110=""),"",$Q110*$K110)</f>
        <v/>
      </c>
      <c r="S110" s="14"/>
      <c r="T110" s="17"/>
      <c r="U110" s="15"/>
    </row>
    <row r="111" customFormat="false" ht="18.75" hidden="false" customHeight="true" outlineLevel="0" collapsed="false">
      <c r="A111" s="5" t="str">
        <f aca="false">IF($B111="","",COUNT($B$5:$B111))</f>
        <v/>
      </c>
      <c r="B111" s="6"/>
      <c r="C111" s="6"/>
      <c r="D111" s="7"/>
      <c r="E111" s="7"/>
      <c r="F111" s="8"/>
      <c r="G111" s="9"/>
      <c r="H111" s="7"/>
      <c r="I111" s="7"/>
      <c r="J111" s="8"/>
      <c r="K111" s="5" t="str">
        <f aca="false">IF($I111="","",1+IF($J111="",0,LEN($J111)-LEN(SUBSTITUTE($J111,",",""))+1))</f>
        <v/>
      </c>
      <c r="L111" s="7"/>
      <c r="M111" s="8"/>
      <c r="N111" s="10"/>
      <c r="O111" s="10"/>
      <c r="P111" s="5" t="str">
        <f aca="false">IF(OR($B111="",$C111=""),"",$C111-$B111+1)</f>
        <v/>
      </c>
      <c r="Q111" s="11"/>
      <c r="R111" s="12" t="str">
        <f aca="false">IF(OR($Q111="",$K111=""),"",$Q111*$K111)</f>
        <v/>
      </c>
      <c r="S111" s="7"/>
      <c r="T111" s="10"/>
      <c r="U111" s="8"/>
    </row>
    <row r="112" customFormat="false" ht="18.75" hidden="false" customHeight="true" outlineLevel="0" collapsed="false">
      <c r="A112" s="5" t="str">
        <f aca="false">IF($B112="","",COUNT($B$5:$B112))</f>
        <v/>
      </c>
      <c r="B112" s="13"/>
      <c r="C112" s="13"/>
      <c r="D112" s="14"/>
      <c r="E112" s="14"/>
      <c r="F112" s="15"/>
      <c r="G112" s="16"/>
      <c r="H112" s="14"/>
      <c r="I112" s="14"/>
      <c r="J112" s="15"/>
      <c r="K112" s="5" t="str">
        <f aca="false">IF($I112="","",1+IF($J112="",0,LEN($J112)-LEN(SUBSTITUTE($J112,",",""))+1))</f>
        <v/>
      </c>
      <c r="L112" s="14"/>
      <c r="M112" s="15"/>
      <c r="N112" s="17"/>
      <c r="O112" s="17"/>
      <c r="P112" s="5" t="str">
        <f aca="false">IF(OR($B112="",$C112=""),"",$C112-$B112+1)</f>
        <v/>
      </c>
      <c r="Q112" s="18"/>
      <c r="R112" s="12" t="str">
        <f aca="false">IF(OR($Q112="",$K112=""),"",$Q112*$K112)</f>
        <v/>
      </c>
      <c r="S112" s="14"/>
      <c r="T112" s="17"/>
      <c r="U112" s="15"/>
    </row>
    <row r="113" customFormat="false" ht="18.75" hidden="false" customHeight="true" outlineLevel="0" collapsed="false">
      <c r="A113" s="5" t="str">
        <f aca="false">IF($B113="","",COUNT($B$5:$B113))</f>
        <v/>
      </c>
      <c r="B113" s="6"/>
      <c r="C113" s="6"/>
      <c r="D113" s="7"/>
      <c r="E113" s="7"/>
      <c r="F113" s="8"/>
      <c r="G113" s="9"/>
      <c r="H113" s="7"/>
      <c r="I113" s="7"/>
      <c r="J113" s="8"/>
      <c r="K113" s="5" t="str">
        <f aca="false">IF($I113="","",1+IF($J113="",0,LEN($J113)-LEN(SUBSTITUTE($J113,",",""))+1))</f>
        <v/>
      </c>
      <c r="L113" s="7"/>
      <c r="M113" s="8"/>
      <c r="N113" s="10"/>
      <c r="O113" s="10"/>
      <c r="P113" s="5" t="str">
        <f aca="false">IF(OR($B113="",$C113=""),"",$C113-$B113+1)</f>
        <v/>
      </c>
      <c r="Q113" s="11"/>
      <c r="R113" s="12" t="str">
        <f aca="false">IF(OR($Q113="",$K113=""),"",$Q113*$K113)</f>
        <v/>
      </c>
      <c r="S113" s="7"/>
      <c r="T113" s="10"/>
      <c r="U113" s="8"/>
    </row>
    <row r="114" customFormat="false" ht="18.75" hidden="false" customHeight="true" outlineLevel="0" collapsed="false">
      <c r="A114" s="5" t="str">
        <f aca="false">IF($B114="","",COUNT($B$5:$B114))</f>
        <v/>
      </c>
      <c r="B114" s="13"/>
      <c r="C114" s="13"/>
      <c r="D114" s="14"/>
      <c r="E114" s="14"/>
      <c r="F114" s="15"/>
      <c r="G114" s="16"/>
      <c r="H114" s="14"/>
      <c r="I114" s="14"/>
      <c r="J114" s="15"/>
      <c r="K114" s="5" t="str">
        <f aca="false">IF($I114="","",1+IF($J114="",0,LEN($J114)-LEN(SUBSTITUTE($J114,",",""))+1))</f>
        <v/>
      </c>
      <c r="L114" s="14"/>
      <c r="M114" s="15"/>
      <c r="N114" s="17"/>
      <c r="O114" s="17"/>
      <c r="P114" s="5" t="str">
        <f aca="false">IF(OR($B114="",$C114=""),"",$C114-$B114+1)</f>
        <v/>
      </c>
      <c r="Q114" s="18"/>
      <c r="R114" s="12" t="str">
        <f aca="false">IF(OR($Q114="",$K114=""),"",$Q114*$K114)</f>
        <v/>
      </c>
      <c r="S114" s="14"/>
      <c r="T114" s="17"/>
      <c r="U114" s="15"/>
    </row>
    <row r="115" customFormat="false" ht="18.75" hidden="false" customHeight="true" outlineLevel="0" collapsed="false">
      <c r="A115" s="5" t="str">
        <f aca="false">IF($B115="","",COUNT($B$5:$B115))</f>
        <v/>
      </c>
      <c r="B115" s="6"/>
      <c r="C115" s="6"/>
      <c r="D115" s="7"/>
      <c r="E115" s="7"/>
      <c r="F115" s="8"/>
      <c r="G115" s="9"/>
      <c r="H115" s="7"/>
      <c r="I115" s="7"/>
      <c r="J115" s="8"/>
      <c r="K115" s="5" t="str">
        <f aca="false">IF($I115="","",1+IF($J115="",0,LEN($J115)-LEN(SUBSTITUTE($J115,",",""))+1))</f>
        <v/>
      </c>
      <c r="L115" s="7"/>
      <c r="M115" s="8"/>
      <c r="N115" s="10"/>
      <c r="O115" s="10"/>
      <c r="P115" s="5" t="str">
        <f aca="false">IF(OR($B115="",$C115=""),"",$C115-$B115+1)</f>
        <v/>
      </c>
      <c r="Q115" s="11"/>
      <c r="R115" s="12" t="str">
        <f aca="false">IF(OR($Q115="",$K115=""),"",$Q115*$K115)</f>
        <v/>
      </c>
      <c r="S115" s="7"/>
      <c r="T115" s="10"/>
      <c r="U115" s="8"/>
    </row>
    <row r="116" customFormat="false" ht="18.75" hidden="false" customHeight="true" outlineLevel="0" collapsed="false">
      <c r="A116" s="5" t="str">
        <f aca="false">IF($B116="","",COUNT($B$5:$B116))</f>
        <v/>
      </c>
      <c r="B116" s="13"/>
      <c r="C116" s="13"/>
      <c r="D116" s="14"/>
      <c r="E116" s="14"/>
      <c r="F116" s="15"/>
      <c r="G116" s="16"/>
      <c r="H116" s="14"/>
      <c r="I116" s="14"/>
      <c r="J116" s="15"/>
      <c r="K116" s="5" t="str">
        <f aca="false">IF($I116="","",1+IF($J116="",0,LEN($J116)-LEN(SUBSTITUTE($J116,",",""))+1))</f>
        <v/>
      </c>
      <c r="L116" s="14"/>
      <c r="M116" s="15"/>
      <c r="N116" s="17"/>
      <c r="O116" s="17"/>
      <c r="P116" s="5" t="str">
        <f aca="false">IF(OR($B116="",$C116=""),"",$C116-$B116+1)</f>
        <v/>
      </c>
      <c r="Q116" s="18"/>
      <c r="R116" s="12" t="str">
        <f aca="false">IF(OR($Q116="",$K116=""),"",$Q116*$K116)</f>
        <v/>
      </c>
      <c r="S116" s="14"/>
      <c r="T116" s="17"/>
      <c r="U116" s="15"/>
    </row>
    <row r="117" customFormat="false" ht="18.75" hidden="false" customHeight="true" outlineLevel="0" collapsed="false">
      <c r="A117" s="5" t="str">
        <f aca="false">IF($B117="","",COUNT($B$5:$B117))</f>
        <v/>
      </c>
      <c r="B117" s="6"/>
      <c r="C117" s="6"/>
      <c r="D117" s="7"/>
      <c r="E117" s="7"/>
      <c r="F117" s="8"/>
      <c r="G117" s="9"/>
      <c r="H117" s="7"/>
      <c r="I117" s="7"/>
      <c r="J117" s="8"/>
      <c r="K117" s="5" t="str">
        <f aca="false">IF($I117="","",1+IF($J117="",0,LEN($J117)-LEN(SUBSTITUTE($J117,",",""))+1))</f>
        <v/>
      </c>
      <c r="L117" s="7"/>
      <c r="M117" s="8"/>
      <c r="N117" s="10"/>
      <c r="O117" s="10"/>
      <c r="P117" s="5" t="str">
        <f aca="false">IF(OR($B117="",$C117=""),"",$C117-$B117+1)</f>
        <v/>
      </c>
      <c r="Q117" s="11"/>
      <c r="R117" s="12" t="str">
        <f aca="false">IF(OR($Q117="",$K117=""),"",$Q117*$K117)</f>
        <v/>
      </c>
      <c r="S117" s="7"/>
      <c r="T117" s="10"/>
      <c r="U117" s="8"/>
    </row>
    <row r="118" customFormat="false" ht="18.75" hidden="false" customHeight="true" outlineLevel="0" collapsed="false">
      <c r="A118" s="5" t="str">
        <f aca="false">IF($B118="","",COUNT($B$5:$B118))</f>
        <v/>
      </c>
      <c r="B118" s="13"/>
      <c r="C118" s="13"/>
      <c r="D118" s="14"/>
      <c r="E118" s="14"/>
      <c r="F118" s="15"/>
      <c r="G118" s="16"/>
      <c r="H118" s="14"/>
      <c r="I118" s="14"/>
      <c r="J118" s="15"/>
      <c r="K118" s="5" t="str">
        <f aca="false">IF($I118="","",1+IF($J118="",0,LEN($J118)-LEN(SUBSTITUTE($J118,",",""))+1))</f>
        <v/>
      </c>
      <c r="L118" s="14"/>
      <c r="M118" s="15"/>
      <c r="N118" s="17"/>
      <c r="O118" s="17"/>
      <c r="P118" s="5" t="str">
        <f aca="false">IF(OR($B118="",$C118=""),"",$C118-$B118+1)</f>
        <v/>
      </c>
      <c r="Q118" s="18"/>
      <c r="R118" s="12" t="str">
        <f aca="false">IF(OR($Q118="",$K118=""),"",$Q118*$K118)</f>
        <v/>
      </c>
      <c r="S118" s="14"/>
      <c r="T118" s="17"/>
      <c r="U118" s="15"/>
    </row>
    <row r="119" customFormat="false" ht="18.75" hidden="false" customHeight="true" outlineLevel="0" collapsed="false">
      <c r="A119" s="5" t="str">
        <f aca="false">IF($B119="","",COUNT($B$5:$B119))</f>
        <v/>
      </c>
      <c r="B119" s="6"/>
      <c r="C119" s="6"/>
      <c r="D119" s="7"/>
      <c r="E119" s="7"/>
      <c r="F119" s="8"/>
      <c r="G119" s="9"/>
      <c r="H119" s="7"/>
      <c r="I119" s="7"/>
      <c r="J119" s="8"/>
      <c r="K119" s="5" t="str">
        <f aca="false">IF($I119="","",1+IF($J119="",0,LEN($J119)-LEN(SUBSTITUTE($J119,",",""))+1))</f>
        <v/>
      </c>
      <c r="L119" s="7"/>
      <c r="M119" s="8"/>
      <c r="N119" s="10"/>
      <c r="O119" s="10"/>
      <c r="P119" s="5" t="str">
        <f aca="false">IF(OR($B119="",$C119=""),"",$C119-$B119+1)</f>
        <v/>
      </c>
      <c r="Q119" s="11"/>
      <c r="R119" s="12" t="str">
        <f aca="false">IF(OR($Q119="",$K119=""),"",$Q119*$K119)</f>
        <v/>
      </c>
      <c r="S119" s="7"/>
      <c r="T119" s="10"/>
      <c r="U119" s="8"/>
    </row>
    <row r="120" customFormat="false" ht="18.75" hidden="false" customHeight="true" outlineLevel="0" collapsed="false">
      <c r="A120" s="5" t="str">
        <f aca="false">IF($B120="","",COUNT($B$5:$B120))</f>
        <v/>
      </c>
      <c r="B120" s="13"/>
      <c r="C120" s="13"/>
      <c r="D120" s="14"/>
      <c r="E120" s="14"/>
      <c r="F120" s="15"/>
      <c r="G120" s="16"/>
      <c r="H120" s="14"/>
      <c r="I120" s="14"/>
      <c r="J120" s="15"/>
      <c r="K120" s="5" t="str">
        <f aca="false">IF($I120="","",1+IF($J120="",0,LEN($J120)-LEN(SUBSTITUTE($J120,",",""))+1))</f>
        <v/>
      </c>
      <c r="L120" s="14"/>
      <c r="M120" s="15"/>
      <c r="N120" s="17"/>
      <c r="O120" s="17"/>
      <c r="P120" s="5" t="str">
        <f aca="false">IF(OR($B120="",$C120=""),"",$C120-$B120+1)</f>
        <v/>
      </c>
      <c r="Q120" s="18"/>
      <c r="R120" s="12" t="str">
        <f aca="false">IF(OR($Q120="",$K120=""),"",$Q120*$K120)</f>
        <v/>
      </c>
      <c r="S120" s="14"/>
      <c r="T120" s="17"/>
      <c r="U120" s="15"/>
    </row>
    <row r="121" customFormat="false" ht="18.75" hidden="false" customHeight="true" outlineLevel="0" collapsed="false">
      <c r="A121" s="5" t="str">
        <f aca="false">IF($B121="","",COUNT($B$5:$B121))</f>
        <v/>
      </c>
      <c r="B121" s="6"/>
      <c r="C121" s="6"/>
      <c r="D121" s="7"/>
      <c r="E121" s="7"/>
      <c r="F121" s="8"/>
      <c r="G121" s="9"/>
      <c r="H121" s="7"/>
      <c r="I121" s="7"/>
      <c r="J121" s="8"/>
      <c r="K121" s="5" t="str">
        <f aca="false">IF($I121="","",1+IF($J121="",0,LEN($J121)-LEN(SUBSTITUTE($J121,",",""))+1))</f>
        <v/>
      </c>
      <c r="L121" s="7"/>
      <c r="M121" s="8"/>
      <c r="N121" s="10"/>
      <c r="O121" s="10"/>
      <c r="P121" s="5" t="str">
        <f aca="false">IF(OR($B121="",$C121=""),"",$C121-$B121+1)</f>
        <v/>
      </c>
      <c r="Q121" s="11"/>
      <c r="R121" s="12" t="str">
        <f aca="false">IF(OR($Q121="",$K121=""),"",$Q121*$K121)</f>
        <v/>
      </c>
      <c r="S121" s="7"/>
      <c r="T121" s="10"/>
      <c r="U121" s="8"/>
    </row>
    <row r="122" customFormat="false" ht="18.75" hidden="false" customHeight="true" outlineLevel="0" collapsed="false">
      <c r="A122" s="5" t="str">
        <f aca="false">IF($B122="","",COUNT($B$5:$B122))</f>
        <v/>
      </c>
      <c r="B122" s="13"/>
      <c r="C122" s="13"/>
      <c r="D122" s="14"/>
      <c r="E122" s="14"/>
      <c r="F122" s="15"/>
      <c r="G122" s="16"/>
      <c r="H122" s="14"/>
      <c r="I122" s="14"/>
      <c r="J122" s="15"/>
      <c r="K122" s="5" t="str">
        <f aca="false">IF($I122="","",1+IF($J122="",0,LEN($J122)-LEN(SUBSTITUTE($J122,",",""))+1))</f>
        <v/>
      </c>
      <c r="L122" s="14"/>
      <c r="M122" s="15"/>
      <c r="N122" s="17"/>
      <c r="O122" s="17"/>
      <c r="P122" s="5" t="str">
        <f aca="false">IF(OR($B122="",$C122=""),"",$C122-$B122+1)</f>
        <v/>
      </c>
      <c r="Q122" s="18"/>
      <c r="R122" s="12" t="str">
        <f aca="false">IF(OR($Q122="",$K122=""),"",$Q122*$K122)</f>
        <v/>
      </c>
      <c r="S122" s="14"/>
      <c r="T122" s="17"/>
      <c r="U122" s="15"/>
    </row>
    <row r="123" customFormat="false" ht="18.75" hidden="false" customHeight="true" outlineLevel="0" collapsed="false">
      <c r="A123" s="5" t="str">
        <f aca="false">IF($B123="","",COUNT($B$5:$B123))</f>
        <v/>
      </c>
      <c r="B123" s="6"/>
      <c r="C123" s="6"/>
      <c r="D123" s="7"/>
      <c r="E123" s="7"/>
      <c r="F123" s="8"/>
      <c r="G123" s="9"/>
      <c r="H123" s="7"/>
      <c r="I123" s="7"/>
      <c r="J123" s="8"/>
      <c r="K123" s="5" t="str">
        <f aca="false">IF($I123="","",1+IF($J123="",0,LEN($J123)-LEN(SUBSTITUTE($J123,",",""))+1))</f>
        <v/>
      </c>
      <c r="L123" s="7"/>
      <c r="M123" s="8"/>
      <c r="N123" s="10"/>
      <c r="O123" s="10"/>
      <c r="P123" s="5" t="str">
        <f aca="false">IF(OR($B123="",$C123=""),"",$C123-$B123+1)</f>
        <v/>
      </c>
      <c r="Q123" s="11"/>
      <c r="R123" s="12" t="str">
        <f aca="false">IF(OR($Q123="",$K123=""),"",$Q123*$K123)</f>
        <v/>
      </c>
      <c r="S123" s="7"/>
      <c r="T123" s="10"/>
      <c r="U123" s="8"/>
    </row>
    <row r="124" customFormat="false" ht="18.75" hidden="false" customHeight="true" outlineLevel="0" collapsed="false">
      <c r="A124" s="5" t="str">
        <f aca="false">IF($B124="","",COUNT($B$5:$B124))</f>
        <v/>
      </c>
      <c r="B124" s="13"/>
      <c r="C124" s="13"/>
      <c r="D124" s="14"/>
      <c r="E124" s="14"/>
      <c r="F124" s="15"/>
      <c r="G124" s="16"/>
      <c r="H124" s="14"/>
      <c r="I124" s="14"/>
      <c r="J124" s="15"/>
      <c r="K124" s="5" t="str">
        <f aca="false">IF($I124="","",1+IF($J124="",0,LEN($J124)-LEN(SUBSTITUTE($J124,",",""))+1))</f>
        <v/>
      </c>
      <c r="L124" s="14"/>
      <c r="M124" s="15"/>
      <c r="N124" s="17"/>
      <c r="O124" s="17"/>
      <c r="P124" s="5" t="str">
        <f aca="false">IF(OR($B124="",$C124=""),"",$C124-$B124+1)</f>
        <v/>
      </c>
      <c r="Q124" s="18"/>
      <c r="R124" s="12" t="str">
        <f aca="false">IF(OR($Q124="",$K124=""),"",$Q124*$K124)</f>
        <v/>
      </c>
      <c r="S124" s="14"/>
      <c r="T124" s="17"/>
      <c r="U124" s="15"/>
    </row>
    <row r="125" customFormat="false" ht="18.75" hidden="false" customHeight="true" outlineLevel="0" collapsed="false">
      <c r="A125" s="5" t="str">
        <f aca="false">IF($B125="","",COUNT($B$5:$B125))</f>
        <v/>
      </c>
      <c r="B125" s="6"/>
      <c r="C125" s="6"/>
      <c r="D125" s="7"/>
      <c r="E125" s="7"/>
      <c r="F125" s="8"/>
      <c r="G125" s="9"/>
      <c r="H125" s="7"/>
      <c r="I125" s="7"/>
      <c r="J125" s="8"/>
      <c r="K125" s="5" t="str">
        <f aca="false">IF($I125="","",1+IF($J125="",0,LEN($J125)-LEN(SUBSTITUTE($J125,",",""))+1))</f>
        <v/>
      </c>
      <c r="L125" s="7"/>
      <c r="M125" s="8"/>
      <c r="N125" s="10"/>
      <c r="O125" s="10"/>
      <c r="P125" s="5" t="str">
        <f aca="false">IF(OR($B125="",$C125=""),"",$C125-$B125+1)</f>
        <v/>
      </c>
      <c r="Q125" s="11"/>
      <c r="R125" s="12" t="str">
        <f aca="false">IF(OR($Q125="",$K125=""),"",$Q125*$K125)</f>
        <v/>
      </c>
      <c r="S125" s="7"/>
      <c r="T125" s="10"/>
      <c r="U125" s="8"/>
    </row>
    <row r="126" customFormat="false" ht="18.75" hidden="false" customHeight="true" outlineLevel="0" collapsed="false">
      <c r="A126" s="5" t="str">
        <f aca="false">IF($B126="","",COUNT($B$5:$B126))</f>
        <v/>
      </c>
      <c r="B126" s="13"/>
      <c r="C126" s="13"/>
      <c r="D126" s="14"/>
      <c r="E126" s="14"/>
      <c r="F126" s="15"/>
      <c r="G126" s="16"/>
      <c r="H126" s="14"/>
      <c r="I126" s="14"/>
      <c r="J126" s="15"/>
      <c r="K126" s="5" t="str">
        <f aca="false">IF($I126="","",1+IF($J126="",0,LEN($J126)-LEN(SUBSTITUTE($J126,",",""))+1))</f>
        <v/>
      </c>
      <c r="L126" s="14"/>
      <c r="M126" s="15"/>
      <c r="N126" s="17"/>
      <c r="O126" s="17"/>
      <c r="P126" s="5" t="str">
        <f aca="false">IF(OR($B126="",$C126=""),"",$C126-$B126+1)</f>
        <v/>
      </c>
      <c r="Q126" s="18"/>
      <c r="R126" s="12" t="str">
        <f aca="false">IF(OR($Q126="",$K126=""),"",$Q126*$K126)</f>
        <v/>
      </c>
      <c r="S126" s="14"/>
      <c r="T126" s="17"/>
      <c r="U126" s="15"/>
    </row>
    <row r="127" customFormat="false" ht="18.75" hidden="false" customHeight="true" outlineLevel="0" collapsed="false">
      <c r="A127" s="5" t="str">
        <f aca="false">IF($B127="","",COUNT($B$5:$B127))</f>
        <v/>
      </c>
      <c r="B127" s="6"/>
      <c r="C127" s="6"/>
      <c r="D127" s="7"/>
      <c r="E127" s="7"/>
      <c r="F127" s="8"/>
      <c r="G127" s="9"/>
      <c r="H127" s="7"/>
      <c r="I127" s="7"/>
      <c r="J127" s="8"/>
      <c r="K127" s="5" t="str">
        <f aca="false">IF($I127="","",1+IF($J127="",0,LEN($J127)-LEN(SUBSTITUTE($J127,",",""))+1))</f>
        <v/>
      </c>
      <c r="L127" s="7"/>
      <c r="M127" s="8"/>
      <c r="N127" s="10"/>
      <c r="O127" s="10"/>
      <c r="P127" s="5" t="str">
        <f aca="false">IF(OR($B127="",$C127=""),"",$C127-$B127+1)</f>
        <v/>
      </c>
      <c r="Q127" s="11"/>
      <c r="R127" s="12" t="str">
        <f aca="false">IF(OR($Q127="",$K127=""),"",$Q127*$K127)</f>
        <v/>
      </c>
      <c r="S127" s="7"/>
      <c r="T127" s="10"/>
      <c r="U127" s="8"/>
    </row>
    <row r="128" customFormat="false" ht="18.75" hidden="false" customHeight="true" outlineLevel="0" collapsed="false">
      <c r="A128" s="5" t="str">
        <f aca="false">IF($B128="","",COUNT($B$5:$B128))</f>
        <v/>
      </c>
      <c r="B128" s="13"/>
      <c r="C128" s="13"/>
      <c r="D128" s="14"/>
      <c r="E128" s="14"/>
      <c r="F128" s="15"/>
      <c r="G128" s="16"/>
      <c r="H128" s="14"/>
      <c r="I128" s="14"/>
      <c r="J128" s="15"/>
      <c r="K128" s="5" t="str">
        <f aca="false">IF($I128="","",1+IF($J128="",0,LEN($J128)-LEN(SUBSTITUTE($J128,",",""))+1))</f>
        <v/>
      </c>
      <c r="L128" s="14"/>
      <c r="M128" s="15"/>
      <c r="N128" s="17"/>
      <c r="O128" s="17"/>
      <c r="P128" s="5" t="str">
        <f aca="false">IF(OR($B128="",$C128=""),"",$C128-$B128+1)</f>
        <v/>
      </c>
      <c r="Q128" s="18"/>
      <c r="R128" s="12" t="str">
        <f aca="false">IF(OR($Q128="",$K128=""),"",$Q128*$K128)</f>
        <v/>
      </c>
      <c r="S128" s="14"/>
      <c r="T128" s="17"/>
      <c r="U128" s="15"/>
    </row>
    <row r="129" customFormat="false" ht="18.75" hidden="false" customHeight="true" outlineLevel="0" collapsed="false">
      <c r="A129" s="5" t="str">
        <f aca="false">IF($B129="","",COUNT($B$5:$B129))</f>
        <v/>
      </c>
      <c r="B129" s="6"/>
      <c r="C129" s="6"/>
      <c r="D129" s="7"/>
      <c r="E129" s="7"/>
      <c r="F129" s="8"/>
      <c r="G129" s="9"/>
      <c r="H129" s="7"/>
      <c r="I129" s="7"/>
      <c r="J129" s="8"/>
      <c r="K129" s="5" t="str">
        <f aca="false">IF($I129="","",1+IF($J129="",0,LEN($J129)-LEN(SUBSTITUTE($J129,",",""))+1))</f>
        <v/>
      </c>
      <c r="L129" s="7"/>
      <c r="M129" s="8"/>
      <c r="N129" s="10"/>
      <c r="O129" s="10"/>
      <c r="P129" s="5" t="str">
        <f aca="false">IF(OR($B129="",$C129=""),"",$C129-$B129+1)</f>
        <v/>
      </c>
      <c r="Q129" s="11"/>
      <c r="R129" s="12" t="str">
        <f aca="false">IF(OR($Q129="",$K129=""),"",$Q129*$K129)</f>
        <v/>
      </c>
      <c r="S129" s="7"/>
      <c r="T129" s="10"/>
      <c r="U129" s="8"/>
    </row>
    <row r="130" customFormat="false" ht="18.75" hidden="false" customHeight="true" outlineLevel="0" collapsed="false">
      <c r="A130" s="5" t="str">
        <f aca="false">IF($B130="","",COUNT($B$5:$B130))</f>
        <v/>
      </c>
      <c r="B130" s="13"/>
      <c r="C130" s="13"/>
      <c r="D130" s="14"/>
      <c r="E130" s="14"/>
      <c r="F130" s="15"/>
      <c r="G130" s="16"/>
      <c r="H130" s="14"/>
      <c r="I130" s="14"/>
      <c r="J130" s="15"/>
      <c r="K130" s="5" t="str">
        <f aca="false">IF($I130="","",1+IF($J130="",0,LEN($J130)-LEN(SUBSTITUTE($J130,",",""))+1))</f>
        <v/>
      </c>
      <c r="L130" s="14"/>
      <c r="M130" s="15"/>
      <c r="N130" s="17"/>
      <c r="O130" s="17"/>
      <c r="P130" s="5" t="str">
        <f aca="false">IF(OR($B130="",$C130=""),"",$C130-$B130+1)</f>
        <v/>
      </c>
      <c r="Q130" s="18"/>
      <c r="R130" s="12" t="str">
        <f aca="false">IF(OR($Q130="",$K130=""),"",$Q130*$K130)</f>
        <v/>
      </c>
      <c r="S130" s="14"/>
      <c r="T130" s="17"/>
      <c r="U130" s="15"/>
    </row>
    <row r="131" customFormat="false" ht="18.75" hidden="false" customHeight="true" outlineLevel="0" collapsed="false">
      <c r="A131" s="5" t="str">
        <f aca="false">IF($B131="","",COUNT($B$5:$B131))</f>
        <v/>
      </c>
      <c r="B131" s="6"/>
      <c r="C131" s="6"/>
      <c r="D131" s="7"/>
      <c r="E131" s="7"/>
      <c r="F131" s="8"/>
      <c r="G131" s="9"/>
      <c r="H131" s="7"/>
      <c r="I131" s="7"/>
      <c r="J131" s="8"/>
      <c r="K131" s="5" t="str">
        <f aca="false">IF($I131="","",1+IF($J131="",0,LEN($J131)-LEN(SUBSTITUTE($J131,",",""))+1))</f>
        <v/>
      </c>
      <c r="L131" s="7"/>
      <c r="M131" s="8"/>
      <c r="N131" s="10"/>
      <c r="O131" s="10"/>
      <c r="P131" s="5" t="str">
        <f aca="false">IF(OR($B131="",$C131=""),"",$C131-$B131+1)</f>
        <v/>
      </c>
      <c r="Q131" s="11"/>
      <c r="R131" s="12" t="str">
        <f aca="false">IF(OR($Q131="",$K131=""),"",$Q131*$K131)</f>
        <v/>
      </c>
      <c r="S131" s="7"/>
      <c r="T131" s="10"/>
      <c r="U131" s="8"/>
    </row>
    <row r="132" customFormat="false" ht="18.75" hidden="false" customHeight="true" outlineLevel="0" collapsed="false">
      <c r="A132" s="5" t="str">
        <f aca="false">IF($B132="","",COUNT($B$5:$B132))</f>
        <v/>
      </c>
      <c r="B132" s="13"/>
      <c r="C132" s="13"/>
      <c r="D132" s="14"/>
      <c r="E132" s="14"/>
      <c r="F132" s="15"/>
      <c r="G132" s="16"/>
      <c r="H132" s="14"/>
      <c r="I132" s="14"/>
      <c r="J132" s="15"/>
      <c r="K132" s="5" t="str">
        <f aca="false">IF($I132="","",1+IF($J132="",0,LEN($J132)-LEN(SUBSTITUTE($J132,",",""))+1))</f>
        <v/>
      </c>
      <c r="L132" s="14"/>
      <c r="M132" s="15"/>
      <c r="N132" s="17"/>
      <c r="O132" s="17"/>
      <c r="P132" s="5" t="str">
        <f aca="false">IF(OR($B132="",$C132=""),"",$C132-$B132+1)</f>
        <v/>
      </c>
      <c r="Q132" s="18"/>
      <c r="R132" s="12" t="str">
        <f aca="false">IF(OR($Q132="",$K132=""),"",$Q132*$K132)</f>
        <v/>
      </c>
      <c r="S132" s="14"/>
      <c r="T132" s="17"/>
      <c r="U132" s="15"/>
    </row>
    <row r="133" customFormat="false" ht="18.75" hidden="false" customHeight="true" outlineLevel="0" collapsed="false">
      <c r="A133" s="5" t="str">
        <f aca="false">IF($B133="","",COUNT($B$5:$B133))</f>
        <v/>
      </c>
      <c r="B133" s="6"/>
      <c r="C133" s="6"/>
      <c r="D133" s="7"/>
      <c r="E133" s="7"/>
      <c r="F133" s="8"/>
      <c r="G133" s="9"/>
      <c r="H133" s="7"/>
      <c r="I133" s="7"/>
      <c r="J133" s="8"/>
      <c r="K133" s="5" t="str">
        <f aca="false">IF($I133="","",1+IF($J133="",0,LEN($J133)-LEN(SUBSTITUTE($J133,",",""))+1))</f>
        <v/>
      </c>
      <c r="L133" s="7"/>
      <c r="M133" s="8"/>
      <c r="N133" s="10"/>
      <c r="O133" s="10"/>
      <c r="P133" s="5" t="str">
        <f aca="false">IF(OR($B133="",$C133=""),"",$C133-$B133+1)</f>
        <v/>
      </c>
      <c r="Q133" s="11"/>
      <c r="R133" s="12" t="str">
        <f aca="false">IF(OR($Q133="",$K133=""),"",$Q133*$K133)</f>
        <v/>
      </c>
      <c r="S133" s="7"/>
      <c r="T133" s="10"/>
      <c r="U133" s="8"/>
    </row>
    <row r="134" customFormat="false" ht="18.75" hidden="false" customHeight="true" outlineLevel="0" collapsed="false">
      <c r="A134" s="5" t="str">
        <f aca="false">IF($B134="","",COUNT($B$5:$B134))</f>
        <v/>
      </c>
      <c r="B134" s="13"/>
      <c r="C134" s="13"/>
      <c r="D134" s="14"/>
      <c r="E134" s="14"/>
      <c r="F134" s="15"/>
      <c r="G134" s="16"/>
      <c r="H134" s="14"/>
      <c r="I134" s="14"/>
      <c r="J134" s="15"/>
      <c r="K134" s="5" t="str">
        <f aca="false">IF($I134="","",1+IF($J134="",0,LEN($J134)-LEN(SUBSTITUTE($J134,",",""))+1))</f>
        <v/>
      </c>
      <c r="L134" s="14"/>
      <c r="M134" s="15"/>
      <c r="N134" s="17"/>
      <c r="O134" s="17"/>
      <c r="P134" s="5" t="str">
        <f aca="false">IF(OR($B134="",$C134=""),"",$C134-$B134+1)</f>
        <v/>
      </c>
      <c r="Q134" s="18"/>
      <c r="R134" s="12" t="str">
        <f aca="false">IF(OR($Q134="",$K134=""),"",$Q134*$K134)</f>
        <v/>
      </c>
      <c r="S134" s="14"/>
      <c r="T134" s="17"/>
      <c r="U134" s="15"/>
    </row>
    <row r="135" customFormat="false" ht="18.75" hidden="false" customHeight="true" outlineLevel="0" collapsed="false">
      <c r="A135" s="5" t="str">
        <f aca="false">IF($B135="","",COUNT($B$5:$B135))</f>
        <v/>
      </c>
      <c r="B135" s="6"/>
      <c r="C135" s="6"/>
      <c r="D135" s="7"/>
      <c r="E135" s="7"/>
      <c r="F135" s="8"/>
      <c r="G135" s="9"/>
      <c r="H135" s="7"/>
      <c r="I135" s="7"/>
      <c r="J135" s="8"/>
      <c r="K135" s="5" t="str">
        <f aca="false">IF($I135="","",1+IF($J135="",0,LEN($J135)-LEN(SUBSTITUTE($J135,",",""))+1))</f>
        <v/>
      </c>
      <c r="L135" s="7"/>
      <c r="M135" s="8"/>
      <c r="N135" s="10"/>
      <c r="O135" s="10"/>
      <c r="P135" s="5" t="str">
        <f aca="false">IF(OR($B135="",$C135=""),"",$C135-$B135+1)</f>
        <v/>
      </c>
      <c r="Q135" s="11"/>
      <c r="R135" s="12" t="str">
        <f aca="false">IF(OR($Q135="",$K135=""),"",$Q135*$K135)</f>
        <v/>
      </c>
      <c r="S135" s="7"/>
      <c r="T135" s="10"/>
      <c r="U135" s="8"/>
    </row>
    <row r="136" customFormat="false" ht="18.75" hidden="false" customHeight="true" outlineLevel="0" collapsed="false">
      <c r="A136" s="5" t="str">
        <f aca="false">IF($B136="","",COUNT($B$5:$B136))</f>
        <v/>
      </c>
      <c r="B136" s="13"/>
      <c r="C136" s="13"/>
      <c r="D136" s="14"/>
      <c r="E136" s="14"/>
      <c r="F136" s="15"/>
      <c r="G136" s="16"/>
      <c r="H136" s="14"/>
      <c r="I136" s="14"/>
      <c r="J136" s="15"/>
      <c r="K136" s="5" t="str">
        <f aca="false">IF($I136="","",1+IF($J136="",0,LEN($J136)-LEN(SUBSTITUTE($J136,",",""))+1))</f>
        <v/>
      </c>
      <c r="L136" s="14"/>
      <c r="M136" s="15"/>
      <c r="N136" s="17"/>
      <c r="O136" s="17"/>
      <c r="P136" s="5" t="str">
        <f aca="false">IF(OR($B136="",$C136=""),"",$C136-$B136+1)</f>
        <v/>
      </c>
      <c r="Q136" s="18"/>
      <c r="R136" s="12" t="str">
        <f aca="false">IF(OR($Q136="",$K136=""),"",$Q136*$K136)</f>
        <v/>
      </c>
      <c r="S136" s="14"/>
      <c r="T136" s="17"/>
      <c r="U136" s="15"/>
    </row>
    <row r="137" customFormat="false" ht="18.75" hidden="false" customHeight="true" outlineLevel="0" collapsed="false">
      <c r="A137" s="5" t="str">
        <f aca="false">IF($B137="","",COUNT($B$5:$B137))</f>
        <v/>
      </c>
      <c r="B137" s="6"/>
      <c r="C137" s="6"/>
      <c r="D137" s="7"/>
      <c r="E137" s="7"/>
      <c r="F137" s="8"/>
      <c r="G137" s="9"/>
      <c r="H137" s="7"/>
      <c r="I137" s="7"/>
      <c r="J137" s="8"/>
      <c r="K137" s="5" t="str">
        <f aca="false">IF($I137="","",1+IF($J137="",0,LEN($J137)-LEN(SUBSTITUTE($J137,",",""))+1))</f>
        <v/>
      </c>
      <c r="L137" s="7"/>
      <c r="M137" s="8"/>
      <c r="N137" s="10"/>
      <c r="O137" s="10"/>
      <c r="P137" s="5" t="str">
        <f aca="false">IF(OR($B137="",$C137=""),"",$C137-$B137+1)</f>
        <v/>
      </c>
      <c r="Q137" s="11"/>
      <c r="R137" s="12" t="str">
        <f aca="false">IF(OR($Q137="",$K137=""),"",$Q137*$K137)</f>
        <v/>
      </c>
      <c r="S137" s="7"/>
      <c r="T137" s="10"/>
      <c r="U137" s="8"/>
    </row>
    <row r="138" customFormat="false" ht="18.75" hidden="false" customHeight="true" outlineLevel="0" collapsed="false">
      <c r="A138" s="5" t="str">
        <f aca="false">IF($B138="","",COUNT($B$5:$B138))</f>
        <v/>
      </c>
      <c r="B138" s="13"/>
      <c r="C138" s="13"/>
      <c r="D138" s="14"/>
      <c r="E138" s="14"/>
      <c r="F138" s="15"/>
      <c r="G138" s="16"/>
      <c r="H138" s="14"/>
      <c r="I138" s="14"/>
      <c r="J138" s="15"/>
      <c r="K138" s="5" t="str">
        <f aca="false">IF($I138="","",1+IF($J138="",0,LEN($J138)-LEN(SUBSTITUTE($J138,",",""))+1))</f>
        <v/>
      </c>
      <c r="L138" s="14"/>
      <c r="M138" s="15"/>
      <c r="N138" s="17"/>
      <c r="O138" s="17"/>
      <c r="P138" s="5" t="str">
        <f aca="false">IF(OR($B138="",$C138=""),"",$C138-$B138+1)</f>
        <v/>
      </c>
      <c r="Q138" s="18"/>
      <c r="R138" s="12" t="str">
        <f aca="false">IF(OR($Q138="",$K138=""),"",$Q138*$K138)</f>
        <v/>
      </c>
      <c r="S138" s="14"/>
      <c r="T138" s="17"/>
      <c r="U138" s="15"/>
    </row>
    <row r="139" customFormat="false" ht="18.75" hidden="false" customHeight="true" outlineLevel="0" collapsed="false">
      <c r="A139" s="5" t="str">
        <f aca="false">IF($B139="","",COUNT($B$5:$B139))</f>
        <v/>
      </c>
      <c r="B139" s="6"/>
      <c r="C139" s="6"/>
      <c r="D139" s="7"/>
      <c r="E139" s="7"/>
      <c r="F139" s="8"/>
      <c r="G139" s="9"/>
      <c r="H139" s="7"/>
      <c r="I139" s="7"/>
      <c r="J139" s="8"/>
      <c r="K139" s="5" t="str">
        <f aca="false">IF($I139="","",1+IF($J139="",0,LEN($J139)-LEN(SUBSTITUTE($J139,",",""))+1))</f>
        <v/>
      </c>
      <c r="L139" s="7"/>
      <c r="M139" s="8"/>
      <c r="N139" s="10"/>
      <c r="O139" s="10"/>
      <c r="P139" s="5" t="str">
        <f aca="false">IF(OR($B139="",$C139=""),"",$C139-$B139+1)</f>
        <v/>
      </c>
      <c r="Q139" s="11"/>
      <c r="R139" s="12" t="str">
        <f aca="false">IF(OR($Q139="",$K139=""),"",$Q139*$K139)</f>
        <v/>
      </c>
      <c r="S139" s="7"/>
      <c r="T139" s="10"/>
      <c r="U139" s="8"/>
    </row>
    <row r="140" customFormat="false" ht="18.75" hidden="false" customHeight="true" outlineLevel="0" collapsed="false">
      <c r="A140" s="5" t="str">
        <f aca="false">IF($B140="","",COUNT($B$5:$B140))</f>
        <v/>
      </c>
      <c r="B140" s="13"/>
      <c r="C140" s="13"/>
      <c r="D140" s="14"/>
      <c r="E140" s="14"/>
      <c r="F140" s="15"/>
      <c r="G140" s="16"/>
      <c r="H140" s="14"/>
      <c r="I140" s="14"/>
      <c r="J140" s="15"/>
      <c r="K140" s="5" t="str">
        <f aca="false">IF($I140="","",1+IF($J140="",0,LEN($J140)-LEN(SUBSTITUTE($J140,",",""))+1))</f>
        <v/>
      </c>
      <c r="L140" s="14"/>
      <c r="M140" s="15"/>
      <c r="N140" s="17"/>
      <c r="O140" s="17"/>
      <c r="P140" s="5" t="str">
        <f aca="false">IF(OR($B140="",$C140=""),"",$C140-$B140+1)</f>
        <v/>
      </c>
      <c r="Q140" s="18"/>
      <c r="R140" s="12" t="str">
        <f aca="false">IF(OR($Q140="",$K140=""),"",$Q140*$K140)</f>
        <v/>
      </c>
      <c r="S140" s="14"/>
      <c r="T140" s="17"/>
      <c r="U140" s="15"/>
    </row>
    <row r="141" customFormat="false" ht="18.75" hidden="false" customHeight="true" outlineLevel="0" collapsed="false">
      <c r="A141" s="5" t="str">
        <f aca="false">IF($B141="","",COUNT($B$5:$B141))</f>
        <v/>
      </c>
      <c r="B141" s="6"/>
      <c r="C141" s="6"/>
      <c r="D141" s="7"/>
      <c r="E141" s="7"/>
      <c r="F141" s="8"/>
      <c r="G141" s="9"/>
      <c r="H141" s="7"/>
      <c r="I141" s="7"/>
      <c r="J141" s="8"/>
      <c r="K141" s="5" t="str">
        <f aca="false">IF($I141="","",1+IF($J141="",0,LEN($J141)-LEN(SUBSTITUTE($J141,",",""))+1))</f>
        <v/>
      </c>
      <c r="L141" s="7"/>
      <c r="M141" s="8"/>
      <c r="N141" s="10"/>
      <c r="O141" s="10"/>
      <c r="P141" s="5" t="str">
        <f aca="false">IF(OR($B141="",$C141=""),"",$C141-$B141+1)</f>
        <v/>
      </c>
      <c r="Q141" s="11"/>
      <c r="R141" s="12" t="str">
        <f aca="false">IF(OR($Q141="",$K141=""),"",$Q141*$K141)</f>
        <v/>
      </c>
      <c r="S141" s="7"/>
      <c r="T141" s="10"/>
      <c r="U141" s="8"/>
    </row>
    <row r="142" customFormat="false" ht="18.75" hidden="false" customHeight="true" outlineLevel="0" collapsed="false">
      <c r="A142" s="5" t="str">
        <f aca="false">IF($B142="","",COUNT($B$5:$B142))</f>
        <v/>
      </c>
      <c r="B142" s="13"/>
      <c r="C142" s="13"/>
      <c r="D142" s="14"/>
      <c r="E142" s="14"/>
      <c r="F142" s="15"/>
      <c r="G142" s="16"/>
      <c r="H142" s="14"/>
      <c r="I142" s="14"/>
      <c r="J142" s="15"/>
      <c r="K142" s="5" t="str">
        <f aca="false">IF($I142="","",1+IF($J142="",0,LEN($J142)-LEN(SUBSTITUTE($J142,",",""))+1))</f>
        <v/>
      </c>
      <c r="L142" s="14"/>
      <c r="M142" s="15"/>
      <c r="N142" s="17"/>
      <c r="O142" s="17"/>
      <c r="P142" s="5" t="str">
        <f aca="false">IF(OR($B142="",$C142=""),"",$C142-$B142+1)</f>
        <v/>
      </c>
      <c r="Q142" s="18"/>
      <c r="R142" s="12" t="str">
        <f aca="false">IF(OR($Q142="",$K142=""),"",$Q142*$K142)</f>
        <v/>
      </c>
      <c r="S142" s="14"/>
      <c r="T142" s="17"/>
      <c r="U142" s="15"/>
    </row>
    <row r="143" customFormat="false" ht="18.75" hidden="false" customHeight="true" outlineLevel="0" collapsed="false">
      <c r="A143" s="5" t="str">
        <f aca="false">IF($B143="","",COUNT($B$5:$B143))</f>
        <v/>
      </c>
      <c r="B143" s="6"/>
      <c r="C143" s="6"/>
      <c r="D143" s="7"/>
      <c r="E143" s="7"/>
      <c r="F143" s="8"/>
      <c r="G143" s="9"/>
      <c r="H143" s="7"/>
      <c r="I143" s="7"/>
      <c r="J143" s="8"/>
      <c r="K143" s="5" t="str">
        <f aca="false">IF($I143="","",1+IF($J143="",0,LEN($J143)-LEN(SUBSTITUTE($J143,",",""))+1))</f>
        <v/>
      </c>
      <c r="L143" s="7"/>
      <c r="M143" s="8"/>
      <c r="N143" s="10"/>
      <c r="O143" s="10"/>
      <c r="P143" s="5" t="str">
        <f aca="false">IF(OR($B143="",$C143=""),"",$C143-$B143+1)</f>
        <v/>
      </c>
      <c r="Q143" s="11"/>
      <c r="R143" s="12" t="str">
        <f aca="false">IF(OR($Q143="",$K143=""),"",$Q143*$K143)</f>
        <v/>
      </c>
      <c r="S143" s="7"/>
      <c r="T143" s="10"/>
      <c r="U143" s="8"/>
    </row>
    <row r="144" customFormat="false" ht="18.75" hidden="false" customHeight="true" outlineLevel="0" collapsed="false">
      <c r="A144" s="5" t="str">
        <f aca="false">IF($B144="","",COUNT($B$5:$B144))</f>
        <v/>
      </c>
      <c r="B144" s="13"/>
      <c r="C144" s="13"/>
      <c r="D144" s="14"/>
      <c r="E144" s="14"/>
      <c r="F144" s="15"/>
      <c r="G144" s="16"/>
      <c r="H144" s="14"/>
      <c r="I144" s="14"/>
      <c r="J144" s="15"/>
      <c r="K144" s="5" t="str">
        <f aca="false">IF($I144="","",1+IF($J144="",0,LEN($J144)-LEN(SUBSTITUTE($J144,",",""))+1))</f>
        <v/>
      </c>
      <c r="L144" s="14"/>
      <c r="M144" s="15"/>
      <c r="N144" s="17"/>
      <c r="O144" s="17"/>
      <c r="P144" s="5" t="str">
        <f aca="false">IF(OR($B144="",$C144=""),"",$C144-$B144+1)</f>
        <v/>
      </c>
      <c r="Q144" s="18"/>
      <c r="R144" s="12" t="str">
        <f aca="false">IF(OR($Q144="",$K144=""),"",$Q144*$K144)</f>
        <v/>
      </c>
      <c r="S144" s="14"/>
      <c r="T144" s="17"/>
      <c r="U144" s="15"/>
    </row>
    <row r="145" customFormat="false" ht="18.75" hidden="false" customHeight="true" outlineLevel="0" collapsed="false">
      <c r="A145" s="5" t="str">
        <f aca="false">IF($B145="","",COUNT($B$5:$B145))</f>
        <v/>
      </c>
      <c r="B145" s="6"/>
      <c r="C145" s="6"/>
      <c r="D145" s="7"/>
      <c r="E145" s="7"/>
      <c r="F145" s="8"/>
      <c r="G145" s="9"/>
      <c r="H145" s="7"/>
      <c r="I145" s="7"/>
      <c r="J145" s="8"/>
      <c r="K145" s="5" t="str">
        <f aca="false">IF($I145="","",1+IF($J145="",0,LEN($J145)-LEN(SUBSTITUTE($J145,",",""))+1))</f>
        <v/>
      </c>
      <c r="L145" s="7"/>
      <c r="M145" s="8"/>
      <c r="N145" s="10"/>
      <c r="O145" s="10"/>
      <c r="P145" s="5" t="str">
        <f aca="false">IF(OR($B145="",$C145=""),"",$C145-$B145+1)</f>
        <v/>
      </c>
      <c r="Q145" s="11"/>
      <c r="R145" s="12" t="str">
        <f aca="false">IF(OR($Q145="",$K145=""),"",$Q145*$K145)</f>
        <v/>
      </c>
      <c r="S145" s="7"/>
      <c r="T145" s="10"/>
      <c r="U145" s="8"/>
    </row>
    <row r="146" customFormat="false" ht="18.75" hidden="false" customHeight="true" outlineLevel="0" collapsed="false">
      <c r="A146" s="5" t="str">
        <f aca="false">IF($B146="","",COUNT($B$5:$B146))</f>
        <v/>
      </c>
      <c r="B146" s="13"/>
      <c r="C146" s="13"/>
      <c r="D146" s="14"/>
      <c r="E146" s="14"/>
      <c r="F146" s="15"/>
      <c r="G146" s="16"/>
      <c r="H146" s="14"/>
      <c r="I146" s="14"/>
      <c r="J146" s="15"/>
      <c r="K146" s="5" t="str">
        <f aca="false">IF($I146="","",1+IF($J146="",0,LEN($J146)-LEN(SUBSTITUTE($J146,",",""))+1))</f>
        <v/>
      </c>
      <c r="L146" s="14"/>
      <c r="M146" s="15"/>
      <c r="N146" s="17"/>
      <c r="O146" s="17"/>
      <c r="P146" s="5" t="str">
        <f aca="false">IF(OR($B146="",$C146=""),"",$C146-$B146+1)</f>
        <v/>
      </c>
      <c r="Q146" s="18"/>
      <c r="R146" s="12" t="str">
        <f aca="false">IF(OR($Q146="",$K146=""),"",$Q146*$K146)</f>
        <v/>
      </c>
      <c r="S146" s="14"/>
      <c r="T146" s="17"/>
      <c r="U146" s="15"/>
    </row>
    <row r="147" customFormat="false" ht="18.75" hidden="false" customHeight="true" outlineLevel="0" collapsed="false">
      <c r="A147" s="5" t="str">
        <f aca="false">IF($B147="","",COUNT($B$5:$B147))</f>
        <v/>
      </c>
      <c r="B147" s="6"/>
      <c r="C147" s="6"/>
      <c r="D147" s="7"/>
      <c r="E147" s="7"/>
      <c r="F147" s="8"/>
      <c r="G147" s="9"/>
      <c r="H147" s="7"/>
      <c r="I147" s="7"/>
      <c r="J147" s="8"/>
      <c r="K147" s="5" t="str">
        <f aca="false">IF($I147="","",1+IF($J147="",0,LEN($J147)-LEN(SUBSTITUTE($J147,",",""))+1))</f>
        <v/>
      </c>
      <c r="L147" s="7"/>
      <c r="M147" s="8"/>
      <c r="N147" s="10"/>
      <c r="O147" s="10"/>
      <c r="P147" s="5" t="str">
        <f aca="false">IF(OR($B147="",$C147=""),"",$C147-$B147+1)</f>
        <v/>
      </c>
      <c r="Q147" s="11"/>
      <c r="R147" s="12" t="str">
        <f aca="false">IF(OR($Q147="",$K147=""),"",$Q147*$K147)</f>
        <v/>
      </c>
      <c r="S147" s="7"/>
      <c r="T147" s="10"/>
      <c r="U147" s="8"/>
    </row>
    <row r="148" customFormat="false" ht="18.75" hidden="false" customHeight="true" outlineLevel="0" collapsed="false">
      <c r="A148" s="5" t="str">
        <f aca="false">IF($B148="","",COUNT($B$5:$B148))</f>
        <v/>
      </c>
      <c r="B148" s="13"/>
      <c r="C148" s="13"/>
      <c r="D148" s="14"/>
      <c r="E148" s="14"/>
      <c r="F148" s="15"/>
      <c r="G148" s="16"/>
      <c r="H148" s="14"/>
      <c r="I148" s="14"/>
      <c r="J148" s="15"/>
      <c r="K148" s="5" t="str">
        <f aca="false">IF($I148="","",1+IF($J148="",0,LEN($J148)-LEN(SUBSTITUTE($J148,",",""))+1))</f>
        <v/>
      </c>
      <c r="L148" s="14"/>
      <c r="M148" s="15"/>
      <c r="N148" s="17"/>
      <c r="O148" s="17"/>
      <c r="P148" s="5" t="str">
        <f aca="false">IF(OR($B148="",$C148=""),"",$C148-$B148+1)</f>
        <v/>
      </c>
      <c r="Q148" s="18"/>
      <c r="R148" s="12" t="str">
        <f aca="false">IF(OR($Q148="",$K148=""),"",$Q148*$K148)</f>
        <v/>
      </c>
      <c r="S148" s="14"/>
      <c r="T148" s="17"/>
      <c r="U148" s="15"/>
    </row>
    <row r="149" customFormat="false" ht="18.75" hidden="false" customHeight="true" outlineLevel="0" collapsed="false">
      <c r="A149" s="5" t="str">
        <f aca="false">IF($B149="","",COUNT($B$5:$B149))</f>
        <v/>
      </c>
      <c r="B149" s="6"/>
      <c r="C149" s="6"/>
      <c r="D149" s="7"/>
      <c r="E149" s="7"/>
      <c r="F149" s="8"/>
      <c r="G149" s="9"/>
      <c r="H149" s="7"/>
      <c r="I149" s="7"/>
      <c r="J149" s="8"/>
      <c r="K149" s="5" t="str">
        <f aca="false">IF($I149="","",1+IF($J149="",0,LEN($J149)-LEN(SUBSTITUTE($J149,",",""))+1))</f>
        <v/>
      </c>
      <c r="L149" s="7"/>
      <c r="M149" s="8"/>
      <c r="N149" s="10"/>
      <c r="O149" s="10"/>
      <c r="P149" s="5" t="str">
        <f aca="false">IF(OR($B149="",$C149=""),"",$C149-$B149+1)</f>
        <v/>
      </c>
      <c r="Q149" s="11"/>
      <c r="R149" s="12" t="str">
        <f aca="false">IF(OR($Q149="",$K149=""),"",$Q149*$K149)</f>
        <v/>
      </c>
      <c r="S149" s="7"/>
      <c r="T149" s="10"/>
      <c r="U149" s="8"/>
    </row>
    <row r="150" customFormat="false" ht="18.75" hidden="false" customHeight="true" outlineLevel="0" collapsed="false">
      <c r="A150" s="5" t="str">
        <f aca="false">IF($B150="","",COUNT($B$5:$B150))</f>
        <v/>
      </c>
      <c r="B150" s="13"/>
      <c r="C150" s="13"/>
      <c r="D150" s="14"/>
      <c r="E150" s="14"/>
      <c r="F150" s="15"/>
      <c r="G150" s="16"/>
      <c r="H150" s="14"/>
      <c r="I150" s="14"/>
      <c r="J150" s="15"/>
      <c r="K150" s="5" t="str">
        <f aca="false">IF($I150="","",1+IF($J150="",0,LEN($J150)-LEN(SUBSTITUTE($J150,",",""))+1))</f>
        <v/>
      </c>
      <c r="L150" s="14"/>
      <c r="M150" s="15"/>
      <c r="N150" s="17"/>
      <c r="O150" s="17"/>
      <c r="P150" s="5" t="str">
        <f aca="false">IF(OR($B150="",$C150=""),"",$C150-$B150+1)</f>
        <v/>
      </c>
      <c r="Q150" s="18"/>
      <c r="R150" s="12" t="str">
        <f aca="false">IF(OR($Q150="",$K150=""),"",$Q150*$K150)</f>
        <v/>
      </c>
      <c r="S150" s="14"/>
      <c r="T150" s="17"/>
      <c r="U150" s="15"/>
    </row>
    <row r="151" customFormat="false" ht="18.75" hidden="false" customHeight="true" outlineLevel="0" collapsed="false">
      <c r="A151" s="5" t="str">
        <f aca="false">IF($B151="","",COUNT($B$5:$B151))</f>
        <v/>
      </c>
      <c r="B151" s="6"/>
      <c r="C151" s="6"/>
      <c r="D151" s="7"/>
      <c r="E151" s="7"/>
      <c r="F151" s="8"/>
      <c r="G151" s="9"/>
      <c r="H151" s="7"/>
      <c r="I151" s="7"/>
      <c r="J151" s="8"/>
      <c r="K151" s="5" t="str">
        <f aca="false">IF($I151="","",1+IF($J151="",0,LEN($J151)-LEN(SUBSTITUTE($J151,",",""))+1))</f>
        <v/>
      </c>
      <c r="L151" s="7"/>
      <c r="M151" s="8"/>
      <c r="N151" s="10"/>
      <c r="O151" s="10"/>
      <c r="P151" s="5" t="str">
        <f aca="false">IF(OR($B151="",$C151=""),"",$C151-$B151+1)</f>
        <v/>
      </c>
      <c r="Q151" s="11"/>
      <c r="R151" s="12" t="str">
        <f aca="false">IF(OR($Q151="",$K151=""),"",$Q151*$K151)</f>
        <v/>
      </c>
      <c r="S151" s="7"/>
      <c r="T151" s="10"/>
      <c r="U151" s="8"/>
    </row>
    <row r="152" customFormat="false" ht="18.75" hidden="false" customHeight="true" outlineLevel="0" collapsed="false">
      <c r="A152" s="5" t="str">
        <f aca="false">IF($B152="","",COUNT($B$5:$B152))</f>
        <v/>
      </c>
      <c r="B152" s="13"/>
      <c r="C152" s="13"/>
      <c r="D152" s="14"/>
      <c r="E152" s="14"/>
      <c r="F152" s="15"/>
      <c r="G152" s="16"/>
      <c r="H152" s="14"/>
      <c r="I152" s="14"/>
      <c r="J152" s="15"/>
      <c r="K152" s="5" t="str">
        <f aca="false">IF($I152="","",1+IF($J152="",0,LEN($J152)-LEN(SUBSTITUTE($J152,",",""))+1))</f>
        <v/>
      </c>
      <c r="L152" s="14"/>
      <c r="M152" s="15"/>
      <c r="N152" s="17"/>
      <c r="O152" s="17"/>
      <c r="P152" s="5" t="str">
        <f aca="false">IF(OR($B152="",$C152=""),"",$C152-$B152+1)</f>
        <v/>
      </c>
      <c r="Q152" s="18"/>
      <c r="R152" s="12" t="str">
        <f aca="false">IF(OR($Q152="",$K152=""),"",$Q152*$K152)</f>
        <v/>
      </c>
      <c r="S152" s="14"/>
      <c r="T152" s="17"/>
      <c r="U152" s="15"/>
    </row>
    <row r="153" customFormat="false" ht="18.75" hidden="false" customHeight="true" outlineLevel="0" collapsed="false">
      <c r="A153" s="5" t="str">
        <f aca="false">IF($B153="","",COUNT($B$5:$B153))</f>
        <v/>
      </c>
      <c r="B153" s="6"/>
      <c r="C153" s="6"/>
      <c r="D153" s="7"/>
      <c r="E153" s="7"/>
      <c r="F153" s="8"/>
      <c r="G153" s="9"/>
      <c r="H153" s="7"/>
      <c r="I153" s="7"/>
      <c r="J153" s="8"/>
      <c r="K153" s="5" t="str">
        <f aca="false">IF($I153="","",1+IF($J153="",0,LEN($J153)-LEN(SUBSTITUTE($J153,",",""))+1))</f>
        <v/>
      </c>
      <c r="L153" s="7"/>
      <c r="M153" s="8"/>
      <c r="N153" s="10"/>
      <c r="O153" s="10"/>
      <c r="P153" s="5" t="str">
        <f aca="false">IF(OR($B153="",$C153=""),"",$C153-$B153+1)</f>
        <v/>
      </c>
      <c r="Q153" s="11"/>
      <c r="R153" s="12" t="str">
        <f aca="false">IF(OR($Q153="",$K153=""),"",$Q153*$K153)</f>
        <v/>
      </c>
      <c r="S153" s="7"/>
      <c r="T153" s="10"/>
      <c r="U153" s="8"/>
    </row>
    <row r="154" customFormat="false" ht="18.75" hidden="false" customHeight="true" outlineLevel="0" collapsed="false">
      <c r="A154" s="5" t="str">
        <f aca="false">IF($B154="","",COUNT($B$5:$B154))</f>
        <v/>
      </c>
      <c r="B154" s="13"/>
      <c r="C154" s="13"/>
      <c r="D154" s="14"/>
      <c r="E154" s="14"/>
      <c r="F154" s="15"/>
      <c r="G154" s="16"/>
      <c r="H154" s="14"/>
      <c r="I154" s="14"/>
      <c r="J154" s="15"/>
      <c r="K154" s="5" t="str">
        <f aca="false">IF($I154="","",1+IF($J154="",0,LEN($J154)-LEN(SUBSTITUTE($J154,",",""))+1))</f>
        <v/>
      </c>
      <c r="L154" s="14"/>
      <c r="M154" s="15"/>
      <c r="N154" s="17"/>
      <c r="O154" s="17"/>
      <c r="P154" s="5" t="str">
        <f aca="false">IF(OR($B154="",$C154=""),"",$C154-$B154+1)</f>
        <v/>
      </c>
      <c r="Q154" s="18"/>
      <c r="R154" s="12" t="str">
        <f aca="false">IF(OR($Q154="",$K154=""),"",$Q154*$K154)</f>
        <v/>
      </c>
      <c r="S154" s="14"/>
      <c r="T154" s="17"/>
      <c r="U154" s="15"/>
    </row>
    <row r="155" customFormat="false" ht="18.75" hidden="false" customHeight="true" outlineLevel="0" collapsed="false">
      <c r="A155" s="5" t="str">
        <f aca="false">IF($B155="","",COUNT($B$5:$B155))</f>
        <v/>
      </c>
      <c r="B155" s="6"/>
      <c r="C155" s="6"/>
      <c r="D155" s="7"/>
      <c r="E155" s="7"/>
      <c r="F155" s="8"/>
      <c r="G155" s="9"/>
      <c r="H155" s="7"/>
      <c r="I155" s="7"/>
      <c r="J155" s="8"/>
      <c r="K155" s="5" t="str">
        <f aca="false">IF($I155="","",1+IF($J155="",0,LEN($J155)-LEN(SUBSTITUTE($J155,",",""))+1))</f>
        <v/>
      </c>
      <c r="L155" s="7"/>
      <c r="M155" s="8"/>
      <c r="N155" s="10"/>
      <c r="O155" s="10"/>
      <c r="P155" s="5" t="str">
        <f aca="false">IF(OR($B155="",$C155=""),"",$C155-$B155+1)</f>
        <v/>
      </c>
      <c r="Q155" s="11"/>
      <c r="R155" s="12" t="str">
        <f aca="false">IF(OR($Q155="",$K155=""),"",$Q155*$K155)</f>
        <v/>
      </c>
      <c r="S155" s="7"/>
      <c r="T155" s="10"/>
      <c r="U155" s="8"/>
    </row>
    <row r="156" customFormat="false" ht="18.75" hidden="false" customHeight="true" outlineLevel="0" collapsed="false">
      <c r="A156" s="5" t="str">
        <f aca="false">IF($B156="","",COUNT($B$5:$B156))</f>
        <v/>
      </c>
      <c r="B156" s="13"/>
      <c r="C156" s="13"/>
      <c r="D156" s="14"/>
      <c r="E156" s="14"/>
      <c r="F156" s="15"/>
      <c r="G156" s="16"/>
      <c r="H156" s="14"/>
      <c r="I156" s="14"/>
      <c r="J156" s="15"/>
      <c r="K156" s="5" t="str">
        <f aca="false">IF($I156="","",1+IF($J156="",0,LEN($J156)-LEN(SUBSTITUTE($J156,",",""))+1))</f>
        <v/>
      </c>
      <c r="L156" s="14"/>
      <c r="M156" s="15"/>
      <c r="N156" s="17"/>
      <c r="O156" s="17"/>
      <c r="P156" s="5" t="str">
        <f aca="false">IF(OR($B156="",$C156=""),"",$C156-$B156+1)</f>
        <v/>
      </c>
      <c r="Q156" s="18"/>
      <c r="R156" s="12" t="str">
        <f aca="false">IF(OR($Q156="",$K156=""),"",$Q156*$K156)</f>
        <v/>
      </c>
      <c r="S156" s="14"/>
      <c r="T156" s="17"/>
      <c r="U156" s="15"/>
    </row>
    <row r="157" customFormat="false" ht="18.75" hidden="false" customHeight="true" outlineLevel="0" collapsed="false">
      <c r="A157" s="5" t="str">
        <f aca="false">IF($B157="","",COUNT($B$5:$B157))</f>
        <v/>
      </c>
      <c r="B157" s="6"/>
      <c r="C157" s="6"/>
      <c r="D157" s="7"/>
      <c r="E157" s="7"/>
      <c r="F157" s="8"/>
      <c r="G157" s="9"/>
      <c r="H157" s="7"/>
      <c r="I157" s="7"/>
      <c r="J157" s="8"/>
      <c r="K157" s="5" t="str">
        <f aca="false">IF($I157="","",1+IF($J157="",0,LEN($J157)-LEN(SUBSTITUTE($J157,",",""))+1))</f>
        <v/>
      </c>
      <c r="L157" s="7"/>
      <c r="M157" s="8"/>
      <c r="N157" s="10"/>
      <c r="O157" s="10"/>
      <c r="P157" s="5" t="str">
        <f aca="false">IF(OR($B157="",$C157=""),"",$C157-$B157+1)</f>
        <v/>
      </c>
      <c r="Q157" s="11"/>
      <c r="R157" s="12" t="str">
        <f aca="false">IF(OR($Q157="",$K157=""),"",$Q157*$K157)</f>
        <v/>
      </c>
      <c r="S157" s="7"/>
      <c r="T157" s="10"/>
      <c r="U157" s="8"/>
    </row>
    <row r="158" customFormat="false" ht="18.75" hidden="false" customHeight="true" outlineLevel="0" collapsed="false">
      <c r="A158" s="5" t="str">
        <f aca="false">IF($B158="","",COUNT($B$5:$B158))</f>
        <v/>
      </c>
      <c r="B158" s="13"/>
      <c r="C158" s="13"/>
      <c r="D158" s="14"/>
      <c r="E158" s="14"/>
      <c r="F158" s="15"/>
      <c r="G158" s="16"/>
      <c r="H158" s="14"/>
      <c r="I158" s="14"/>
      <c r="J158" s="15"/>
      <c r="K158" s="5" t="str">
        <f aca="false">IF($I158="","",1+IF($J158="",0,LEN($J158)-LEN(SUBSTITUTE($J158,",",""))+1))</f>
        <v/>
      </c>
      <c r="L158" s="14"/>
      <c r="M158" s="15"/>
      <c r="N158" s="17"/>
      <c r="O158" s="17"/>
      <c r="P158" s="5" t="str">
        <f aca="false">IF(OR($B158="",$C158=""),"",$C158-$B158+1)</f>
        <v/>
      </c>
      <c r="Q158" s="18"/>
      <c r="R158" s="12" t="str">
        <f aca="false">IF(OR($Q158="",$K158=""),"",$Q158*$K158)</f>
        <v/>
      </c>
      <c r="S158" s="14"/>
      <c r="T158" s="17"/>
      <c r="U158" s="15"/>
    </row>
    <row r="159" customFormat="false" ht="18.75" hidden="false" customHeight="true" outlineLevel="0" collapsed="false">
      <c r="A159" s="5" t="str">
        <f aca="false">IF($B159="","",COUNT($B$5:$B159))</f>
        <v/>
      </c>
      <c r="B159" s="6"/>
      <c r="C159" s="6"/>
      <c r="D159" s="7"/>
      <c r="E159" s="7"/>
      <c r="F159" s="8"/>
      <c r="G159" s="9"/>
      <c r="H159" s="7"/>
      <c r="I159" s="7"/>
      <c r="J159" s="8"/>
      <c r="K159" s="5" t="str">
        <f aca="false">IF($I159="","",1+IF($J159="",0,LEN($J159)-LEN(SUBSTITUTE($J159,",",""))+1))</f>
        <v/>
      </c>
      <c r="L159" s="7"/>
      <c r="M159" s="8"/>
      <c r="N159" s="10"/>
      <c r="O159" s="10"/>
      <c r="P159" s="5" t="str">
        <f aca="false">IF(OR($B159="",$C159=""),"",$C159-$B159+1)</f>
        <v/>
      </c>
      <c r="Q159" s="11"/>
      <c r="R159" s="12" t="str">
        <f aca="false">IF(OR($Q159="",$K159=""),"",$Q159*$K159)</f>
        <v/>
      </c>
      <c r="S159" s="7"/>
      <c r="T159" s="10"/>
      <c r="U159" s="8"/>
    </row>
    <row r="160" customFormat="false" ht="18.75" hidden="false" customHeight="true" outlineLevel="0" collapsed="false">
      <c r="A160" s="5" t="str">
        <f aca="false">IF($B160="","",COUNT($B$5:$B160))</f>
        <v/>
      </c>
      <c r="B160" s="13"/>
      <c r="C160" s="13"/>
      <c r="D160" s="14"/>
      <c r="E160" s="14"/>
      <c r="F160" s="15"/>
      <c r="G160" s="16"/>
      <c r="H160" s="14"/>
      <c r="I160" s="14"/>
      <c r="J160" s="15"/>
      <c r="K160" s="5" t="str">
        <f aca="false">IF($I160="","",1+IF($J160="",0,LEN($J160)-LEN(SUBSTITUTE($J160,",",""))+1))</f>
        <v/>
      </c>
      <c r="L160" s="14"/>
      <c r="M160" s="15"/>
      <c r="N160" s="17"/>
      <c r="O160" s="17"/>
      <c r="P160" s="5" t="str">
        <f aca="false">IF(OR($B160="",$C160=""),"",$C160-$B160+1)</f>
        <v/>
      </c>
      <c r="Q160" s="18"/>
      <c r="R160" s="12" t="str">
        <f aca="false">IF(OR($Q160="",$K160=""),"",$Q160*$K160)</f>
        <v/>
      </c>
      <c r="S160" s="14"/>
      <c r="T160" s="17"/>
      <c r="U160" s="15"/>
    </row>
    <row r="161" customFormat="false" ht="18.75" hidden="false" customHeight="true" outlineLevel="0" collapsed="false">
      <c r="A161" s="5" t="str">
        <f aca="false">IF($B161="","",COUNT($B$5:$B161))</f>
        <v/>
      </c>
      <c r="B161" s="6"/>
      <c r="C161" s="6"/>
      <c r="D161" s="7"/>
      <c r="E161" s="7"/>
      <c r="F161" s="8"/>
      <c r="G161" s="9"/>
      <c r="H161" s="7"/>
      <c r="I161" s="7"/>
      <c r="J161" s="8"/>
      <c r="K161" s="5" t="str">
        <f aca="false">IF($I161="","",1+IF($J161="",0,LEN($J161)-LEN(SUBSTITUTE($J161,",",""))+1))</f>
        <v/>
      </c>
      <c r="L161" s="7"/>
      <c r="M161" s="8"/>
      <c r="N161" s="10"/>
      <c r="O161" s="10"/>
      <c r="P161" s="5" t="str">
        <f aca="false">IF(OR($B161="",$C161=""),"",$C161-$B161+1)</f>
        <v/>
      </c>
      <c r="Q161" s="11"/>
      <c r="R161" s="12" t="str">
        <f aca="false">IF(OR($Q161="",$K161=""),"",$Q161*$K161)</f>
        <v/>
      </c>
      <c r="S161" s="7"/>
      <c r="T161" s="10"/>
      <c r="U161" s="8"/>
    </row>
    <row r="162" customFormat="false" ht="18.75" hidden="false" customHeight="true" outlineLevel="0" collapsed="false">
      <c r="A162" s="5" t="str">
        <f aca="false">IF($B162="","",COUNT($B$5:$B162))</f>
        <v/>
      </c>
      <c r="B162" s="13"/>
      <c r="C162" s="13"/>
      <c r="D162" s="14"/>
      <c r="E162" s="14"/>
      <c r="F162" s="15"/>
      <c r="G162" s="16"/>
      <c r="H162" s="14"/>
      <c r="I162" s="14"/>
      <c r="J162" s="15"/>
      <c r="K162" s="5" t="str">
        <f aca="false">IF($I162="","",1+IF($J162="",0,LEN($J162)-LEN(SUBSTITUTE($J162,",",""))+1))</f>
        <v/>
      </c>
      <c r="L162" s="14"/>
      <c r="M162" s="15"/>
      <c r="N162" s="17"/>
      <c r="O162" s="17"/>
      <c r="P162" s="5" t="str">
        <f aca="false">IF(OR($B162="",$C162=""),"",$C162-$B162+1)</f>
        <v/>
      </c>
      <c r="Q162" s="18"/>
      <c r="R162" s="12" t="str">
        <f aca="false">IF(OR($Q162="",$K162=""),"",$Q162*$K162)</f>
        <v/>
      </c>
      <c r="S162" s="14"/>
      <c r="T162" s="17"/>
      <c r="U162" s="15"/>
    </row>
    <row r="163" customFormat="false" ht="18.75" hidden="false" customHeight="true" outlineLevel="0" collapsed="false">
      <c r="A163" s="5" t="str">
        <f aca="false">IF($B163="","",COUNT($B$5:$B163))</f>
        <v/>
      </c>
      <c r="B163" s="6"/>
      <c r="C163" s="6"/>
      <c r="D163" s="7"/>
      <c r="E163" s="7"/>
      <c r="F163" s="8"/>
      <c r="G163" s="9"/>
      <c r="H163" s="7"/>
      <c r="I163" s="7"/>
      <c r="J163" s="8"/>
      <c r="K163" s="5" t="str">
        <f aca="false">IF($I163="","",1+IF($J163="",0,LEN($J163)-LEN(SUBSTITUTE($J163,",",""))+1))</f>
        <v/>
      </c>
      <c r="L163" s="7"/>
      <c r="M163" s="8"/>
      <c r="N163" s="10"/>
      <c r="O163" s="10"/>
      <c r="P163" s="5" t="str">
        <f aca="false">IF(OR($B163="",$C163=""),"",$C163-$B163+1)</f>
        <v/>
      </c>
      <c r="Q163" s="11"/>
      <c r="R163" s="12" t="str">
        <f aca="false">IF(OR($Q163="",$K163=""),"",$Q163*$K163)</f>
        <v/>
      </c>
      <c r="S163" s="7"/>
      <c r="T163" s="10"/>
      <c r="U163" s="8"/>
    </row>
    <row r="164" customFormat="false" ht="18.75" hidden="false" customHeight="true" outlineLevel="0" collapsed="false">
      <c r="A164" s="5" t="str">
        <f aca="false">IF($B164="","",COUNT($B$5:$B164))</f>
        <v/>
      </c>
      <c r="B164" s="13"/>
      <c r="C164" s="13"/>
      <c r="D164" s="14"/>
      <c r="E164" s="14"/>
      <c r="F164" s="15"/>
      <c r="G164" s="16"/>
      <c r="H164" s="14"/>
      <c r="I164" s="14"/>
      <c r="J164" s="15"/>
      <c r="K164" s="5" t="str">
        <f aca="false">IF($I164="","",1+IF($J164="",0,LEN($J164)-LEN(SUBSTITUTE($J164,",",""))+1))</f>
        <v/>
      </c>
      <c r="L164" s="14"/>
      <c r="M164" s="15"/>
      <c r="N164" s="17"/>
      <c r="O164" s="17"/>
      <c r="P164" s="5" t="str">
        <f aca="false">IF(OR($B164="",$C164=""),"",$C164-$B164+1)</f>
        <v/>
      </c>
      <c r="Q164" s="18"/>
      <c r="R164" s="12" t="str">
        <f aca="false">IF(OR($Q164="",$K164=""),"",$Q164*$K164)</f>
        <v/>
      </c>
      <c r="S164" s="14"/>
      <c r="T164" s="17"/>
      <c r="U164" s="15"/>
    </row>
    <row r="165" customFormat="false" ht="18.75" hidden="false" customHeight="true" outlineLevel="0" collapsed="false">
      <c r="A165" s="5" t="str">
        <f aca="false">IF($B165="","",COUNT($B$5:$B165))</f>
        <v/>
      </c>
      <c r="B165" s="6"/>
      <c r="C165" s="6"/>
      <c r="D165" s="7"/>
      <c r="E165" s="7"/>
      <c r="F165" s="8"/>
      <c r="G165" s="9"/>
      <c r="H165" s="7"/>
      <c r="I165" s="7"/>
      <c r="J165" s="8"/>
      <c r="K165" s="5" t="str">
        <f aca="false">IF($I165="","",1+IF($J165="",0,LEN($J165)-LEN(SUBSTITUTE($J165,",",""))+1))</f>
        <v/>
      </c>
      <c r="L165" s="7"/>
      <c r="M165" s="8"/>
      <c r="N165" s="10"/>
      <c r="O165" s="10"/>
      <c r="P165" s="5" t="str">
        <f aca="false">IF(OR($B165="",$C165=""),"",$C165-$B165+1)</f>
        <v/>
      </c>
      <c r="Q165" s="11"/>
      <c r="R165" s="12" t="str">
        <f aca="false">IF(OR($Q165="",$K165=""),"",$Q165*$K165)</f>
        <v/>
      </c>
      <c r="S165" s="7"/>
      <c r="T165" s="10"/>
      <c r="U165" s="8"/>
    </row>
    <row r="166" customFormat="false" ht="18.75" hidden="false" customHeight="true" outlineLevel="0" collapsed="false">
      <c r="A166" s="5" t="str">
        <f aca="false">IF($B166="","",COUNT($B$5:$B166))</f>
        <v/>
      </c>
      <c r="B166" s="13"/>
      <c r="C166" s="13"/>
      <c r="D166" s="14"/>
      <c r="E166" s="14"/>
      <c r="F166" s="15"/>
      <c r="G166" s="16"/>
      <c r="H166" s="14"/>
      <c r="I166" s="14"/>
      <c r="J166" s="15"/>
      <c r="K166" s="5" t="str">
        <f aca="false">IF($I166="","",1+IF($J166="",0,LEN($J166)-LEN(SUBSTITUTE($J166,",",""))+1))</f>
        <v/>
      </c>
      <c r="L166" s="14"/>
      <c r="M166" s="15"/>
      <c r="N166" s="17"/>
      <c r="O166" s="17"/>
      <c r="P166" s="5" t="str">
        <f aca="false">IF(OR($B166="",$C166=""),"",$C166-$B166+1)</f>
        <v/>
      </c>
      <c r="Q166" s="18"/>
      <c r="R166" s="12" t="str">
        <f aca="false">IF(OR($Q166="",$K166=""),"",$Q166*$K166)</f>
        <v/>
      </c>
      <c r="S166" s="14"/>
      <c r="T166" s="17"/>
      <c r="U166" s="15"/>
    </row>
    <row r="167" customFormat="false" ht="18.75" hidden="false" customHeight="true" outlineLevel="0" collapsed="false">
      <c r="A167" s="5" t="str">
        <f aca="false">IF($B167="","",COUNT($B$5:$B167))</f>
        <v/>
      </c>
      <c r="B167" s="6"/>
      <c r="C167" s="6"/>
      <c r="D167" s="7"/>
      <c r="E167" s="7"/>
      <c r="F167" s="8"/>
      <c r="G167" s="9"/>
      <c r="H167" s="7"/>
      <c r="I167" s="7"/>
      <c r="J167" s="8"/>
      <c r="K167" s="5" t="str">
        <f aca="false">IF($I167="","",1+IF($J167="",0,LEN($J167)-LEN(SUBSTITUTE($J167,",",""))+1))</f>
        <v/>
      </c>
      <c r="L167" s="7"/>
      <c r="M167" s="8"/>
      <c r="N167" s="10"/>
      <c r="O167" s="10"/>
      <c r="P167" s="5" t="str">
        <f aca="false">IF(OR($B167="",$C167=""),"",$C167-$B167+1)</f>
        <v/>
      </c>
      <c r="Q167" s="11"/>
      <c r="R167" s="12" t="str">
        <f aca="false">IF(OR($Q167="",$K167=""),"",$Q167*$K167)</f>
        <v/>
      </c>
      <c r="S167" s="7"/>
      <c r="T167" s="10"/>
      <c r="U167" s="8"/>
    </row>
    <row r="168" customFormat="false" ht="18.75" hidden="false" customHeight="true" outlineLevel="0" collapsed="false">
      <c r="A168" s="5" t="str">
        <f aca="false">IF($B168="","",COUNT($B$5:$B168))</f>
        <v/>
      </c>
      <c r="B168" s="13"/>
      <c r="C168" s="13"/>
      <c r="D168" s="14"/>
      <c r="E168" s="14"/>
      <c r="F168" s="15"/>
      <c r="G168" s="16"/>
      <c r="H168" s="14"/>
      <c r="I168" s="14"/>
      <c r="J168" s="15"/>
      <c r="K168" s="5" t="str">
        <f aca="false">IF($I168="","",1+IF($J168="",0,LEN($J168)-LEN(SUBSTITUTE($J168,",",""))+1))</f>
        <v/>
      </c>
      <c r="L168" s="14"/>
      <c r="M168" s="15"/>
      <c r="N168" s="17"/>
      <c r="O168" s="17"/>
      <c r="P168" s="5" t="str">
        <f aca="false">IF(OR($B168="",$C168=""),"",$C168-$B168+1)</f>
        <v/>
      </c>
      <c r="Q168" s="18"/>
      <c r="R168" s="12" t="str">
        <f aca="false">IF(OR($Q168="",$K168=""),"",$Q168*$K168)</f>
        <v/>
      </c>
      <c r="S168" s="14"/>
      <c r="T168" s="17"/>
      <c r="U168" s="15"/>
    </row>
    <row r="169" customFormat="false" ht="18.75" hidden="false" customHeight="true" outlineLevel="0" collapsed="false">
      <c r="A169" s="5" t="str">
        <f aca="false">IF($B169="","",COUNT($B$5:$B169))</f>
        <v/>
      </c>
      <c r="B169" s="6"/>
      <c r="C169" s="6"/>
      <c r="D169" s="7"/>
      <c r="E169" s="7"/>
      <c r="F169" s="8"/>
      <c r="G169" s="9"/>
      <c r="H169" s="7"/>
      <c r="I169" s="7"/>
      <c r="J169" s="8"/>
      <c r="K169" s="5" t="str">
        <f aca="false">IF($I169="","",1+IF($J169="",0,LEN($J169)-LEN(SUBSTITUTE($J169,",",""))+1))</f>
        <v/>
      </c>
      <c r="L169" s="7"/>
      <c r="M169" s="8"/>
      <c r="N169" s="10"/>
      <c r="O169" s="10"/>
      <c r="P169" s="5" t="str">
        <f aca="false">IF(OR($B169="",$C169=""),"",$C169-$B169+1)</f>
        <v/>
      </c>
      <c r="Q169" s="11"/>
      <c r="R169" s="12" t="str">
        <f aca="false">IF(OR($Q169="",$K169=""),"",$Q169*$K169)</f>
        <v/>
      </c>
      <c r="S169" s="7"/>
      <c r="T169" s="10"/>
      <c r="U169" s="8"/>
    </row>
    <row r="170" customFormat="false" ht="18.75" hidden="false" customHeight="true" outlineLevel="0" collapsed="false">
      <c r="A170" s="5" t="str">
        <f aca="false">IF($B170="","",COUNT($B$5:$B170))</f>
        <v/>
      </c>
      <c r="B170" s="13"/>
      <c r="C170" s="13"/>
      <c r="D170" s="14"/>
      <c r="E170" s="14"/>
      <c r="F170" s="15"/>
      <c r="G170" s="16"/>
      <c r="H170" s="14"/>
      <c r="I170" s="14"/>
      <c r="J170" s="15"/>
      <c r="K170" s="5" t="str">
        <f aca="false">IF($I170="","",1+IF($J170="",0,LEN($J170)-LEN(SUBSTITUTE($J170,",",""))+1))</f>
        <v/>
      </c>
      <c r="L170" s="14"/>
      <c r="M170" s="15"/>
      <c r="N170" s="17"/>
      <c r="O170" s="17"/>
      <c r="P170" s="5" t="str">
        <f aca="false">IF(OR($B170="",$C170=""),"",$C170-$B170+1)</f>
        <v/>
      </c>
      <c r="Q170" s="18"/>
      <c r="R170" s="12" t="str">
        <f aca="false">IF(OR($Q170="",$K170=""),"",$Q170*$K170)</f>
        <v/>
      </c>
      <c r="S170" s="14"/>
      <c r="T170" s="17"/>
      <c r="U170" s="15"/>
    </row>
    <row r="171" customFormat="false" ht="18.75" hidden="false" customHeight="true" outlineLevel="0" collapsed="false">
      <c r="A171" s="5" t="str">
        <f aca="false">IF($B171="","",COUNT($B$5:$B171))</f>
        <v/>
      </c>
      <c r="B171" s="6"/>
      <c r="C171" s="6"/>
      <c r="D171" s="7"/>
      <c r="E171" s="7"/>
      <c r="F171" s="8"/>
      <c r="G171" s="9"/>
      <c r="H171" s="7"/>
      <c r="I171" s="7"/>
      <c r="J171" s="8"/>
      <c r="K171" s="5" t="str">
        <f aca="false">IF($I171="","",1+IF($J171="",0,LEN($J171)-LEN(SUBSTITUTE($J171,",",""))+1))</f>
        <v/>
      </c>
      <c r="L171" s="7"/>
      <c r="M171" s="8"/>
      <c r="N171" s="10"/>
      <c r="O171" s="10"/>
      <c r="P171" s="5" t="str">
        <f aca="false">IF(OR($B171="",$C171=""),"",$C171-$B171+1)</f>
        <v/>
      </c>
      <c r="Q171" s="11"/>
      <c r="R171" s="12" t="str">
        <f aca="false">IF(OR($Q171="",$K171=""),"",$Q171*$K171)</f>
        <v/>
      </c>
      <c r="S171" s="7"/>
      <c r="T171" s="10"/>
      <c r="U171" s="8"/>
    </row>
    <row r="172" customFormat="false" ht="18.75" hidden="false" customHeight="true" outlineLevel="0" collapsed="false">
      <c r="A172" s="5" t="str">
        <f aca="false">IF($B172="","",COUNT($B$5:$B172))</f>
        <v/>
      </c>
      <c r="B172" s="13"/>
      <c r="C172" s="13"/>
      <c r="D172" s="14"/>
      <c r="E172" s="14"/>
      <c r="F172" s="15"/>
      <c r="G172" s="16"/>
      <c r="H172" s="14"/>
      <c r="I172" s="14"/>
      <c r="J172" s="15"/>
      <c r="K172" s="5" t="str">
        <f aca="false">IF($I172="","",1+IF($J172="",0,LEN($J172)-LEN(SUBSTITUTE($J172,",",""))+1))</f>
        <v/>
      </c>
      <c r="L172" s="14"/>
      <c r="M172" s="15"/>
      <c r="N172" s="17"/>
      <c r="O172" s="17"/>
      <c r="P172" s="5" t="str">
        <f aca="false">IF(OR($B172="",$C172=""),"",$C172-$B172+1)</f>
        <v/>
      </c>
      <c r="Q172" s="18"/>
      <c r="R172" s="12" t="str">
        <f aca="false">IF(OR($Q172="",$K172=""),"",$Q172*$K172)</f>
        <v/>
      </c>
      <c r="S172" s="14"/>
      <c r="T172" s="17"/>
      <c r="U172" s="15"/>
    </row>
    <row r="173" customFormat="false" ht="18.75" hidden="false" customHeight="true" outlineLevel="0" collapsed="false">
      <c r="A173" s="5" t="str">
        <f aca="false">IF($B173="","",COUNT($B$5:$B173))</f>
        <v/>
      </c>
      <c r="B173" s="6"/>
      <c r="C173" s="6"/>
      <c r="D173" s="7"/>
      <c r="E173" s="7"/>
      <c r="F173" s="8"/>
      <c r="G173" s="9"/>
      <c r="H173" s="7"/>
      <c r="I173" s="7"/>
      <c r="J173" s="8"/>
      <c r="K173" s="5" t="str">
        <f aca="false">IF($I173="","",1+IF($J173="",0,LEN($J173)-LEN(SUBSTITUTE($J173,",",""))+1))</f>
        <v/>
      </c>
      <c r="L173" s="7"/>
      <c r="M173" s="8"/>
      <c r="N173" s="10"/>
      <c r="O173" s="10"/>
      <c r="P173" s="5" t="str">
        <f aca="false">IF(OR($B173="",$C173=""),"",$C173-$B173+1)</f>
        <v/>
      </c>
      <c r="Q173" s="11"/>
      <c r="R173" s="12" t="str">
        <f aca="false">IF(OR($Q173="",$K173=""),"",$Q173*$K173)</f>
        <v/>
      </c>
      <c r="S173" s="7"/>
      <c r="T173" s="10"/>
      <c r="U173" s="8"/>
    </row>
    <row r="174" customFormat="false" ht="18.75" hidden="false" customHeight="true" outlineLevel="0" collapsed="false">
      <c r="A174" s="5" t="str">
        <f aca="false">IF($B174="","",COUNT($B$5:$B174))</f>
        <v/>
      </c>
      <c r="B174" s="13"/>
      <c r="C174" s="13"/>
      <c r="D174" s="14"/>
      <c r="E174" s="14"/>
      <c r="F174" s="15"/>
      <c r="G174" s="16"/>
      <c r="H174" s="14"/>
      <c r="I174" s="14"/>
      <c r="J174" s="15"/>
      <c r="K174" s="5" t="str">
        <f aca="false">IF($I174="","",1+IF($J174="",0,LEN($J174)-LEN(SUBSTITUTE($J174,",",""))+1))</f>
        <v/>
      </c>
      <c r="L174" s="14"/>
      <c r="M174" s="15"/>
      <c r="N174" s="17"/>
      <c r="O174" s="17"/>
      <c r="P174" s="5" t="str">
        <f aca="false">IF(OR($B174="",$C174=""),"",$C174-$B174+1)</f>
        <v/>
      </c>
      <c r="Q174" s="18"/>
      <c r="R174" s="12" t="str">
        <f aca="false">IF(OR($Q174="",$K174=""),"",$Q174*$K174)</f>
        <v/>
      </c>
      <c r="S174" s="14"/>
      <c r="T174" s="17"/>
      <c r="U174" s="15"/>
    </row>
    <row r="175" customFormat="false" ht="18.75" hidden="false" customHeight="true" outlineLevel="0" collapsed="false">
      <c r="A175" s="5" t="str">
        <f aca="false">IF($B175="","",COUNT($B$5:$B175))</f>
        <v/>
      </c>
      <c r="B175" s="6"/>
      <c r="C175" s="6"/>
      <c r="D175" s="7"/>
      <c r="E175" s="7"/>
      <c r="F175" s="8"/>
      <c r="G175" s="9"/>
      <c r="H175" s="7"/>
      <c r="I175" s="7"/>
      <c r="J175" s="8"/>
      <c r="K175" s="5" t="str">
        <f aca="false">IF($I175="","",1+IF($J175="",0,LEN($J175)-LEN(SUBSTITUTE($J175,",",""))+1))</f>
        <v/>
      </c>
      <c r="L175" s="7"/>
      <c r="M175" s="8"/>
      <c r="N175" s="10"/>
      <c r="O175" s="10"/>
      <c r="P175" s="5" t="str">
        <f aca="false">IF(OR($B175="",$C175=""),"",$C175-$B175+1)</f>
        <v/>
      </c>
      <c r="Q175" s="11"/>
      <c r="R175" s="12" t="str">
        <f aca="false">IF(OR($Q175="",$K175=""),"",$Q175*$K175)</f>
        <v/>
      </c>
      <c r="S175" s="7"/>
      <c r="T175" s="10"/>
      <c r="U175" s="8"/>
    </row>
    <row r="176" customFormat="false" ht="18.75" hidden="false" customHeight="true" outlineLevel="0" collapsed="false">
      <c r="A176" s="5" t="str">
        <f aca="false">IF($B176="","",COUNT($B$5:$B176))</f>
        <v/>
      </c>
      <c r="B176" s="13"/>
      <c r="C176" s="13"/>
      <c r="D176" s="14"/>
      <c r="E176" s="14"/>
      <c r="F176" s="15"/>
      <c r="G176" s="16"/>
      <c r="H176" s="14"/>
      <c r="I176" s="14"/>
      <c r="J176" s="15"/>
      <c r="K176" s="5" t="str">
        <f aca="false">IF($I176="","",1+IF($J176="",0,LEN($J176)-LEN(SUBSTITUTE($J176,",",""))+1))</f>
        <v/>
      </c>
      <c r="L176" s="14"/>
      <c r="M176" s="15"/>
      <c r="N176" s="17"/>
      <c r="O176" s="17"/>
      <c r="P176" s="5" t="str">
        <f aca="false">IF(OR($B176="",$C176=""),"",$C176-$B176+1)</f>
        <v/>
      </c>
      <c r="Q176" s="18"/>
      <c r="R176" s="12" t="str">
        <f aca="false">IF(OR($Q176="",$K176=""),"",$Q176*$K176)</f>
        <v/>
      </c>
      <c r="S176" s="14"/>
      <c r="T176" s="17"/>
      <c r="U176" s="15"/>
    </row>
    <row r="177" customFormat="false" ht="18.75" hidden="false" customHeight="true" outlineLevel="0" collapsed="false">
      <c r="A177" s="5" t="str">
        <f aca="false">IF($B177="","",COUNT($B$5:$B177))</f>
        <v/>
      </c>
      <c r="B177" s="6"/>
      <c r="C177" s="6"/>
      <c r="D177" s="7"/>
      <c r="E177" s="7"/>
      <c r="F177" s="8"/>
      <c r="G177" s="9"/>
      <c r="H177" s="7"/>
      <c r="I177" s="7"/>
      <c r="J177" s="8"/>
      <c r="K177" s="5" t="str">
        <f aca="false">IF($I177="","",1+IF($J177="",0,LEN($J177)-LEN(SUBSTITUTE($J177,",",""))+1))</f>
        <v/>
      </c>
      <c r="L177" s="7"/>
      <c r="M177" s="8"/>
      <c r="N177" s="10"/>
      <c r="O177" s="10"/>
      <c r="P177" s="5" t="str">
        <f aca="false">IF(OR($B177="",$C177=""),"",$C177-$B177+1)</f>
        <v/>
      </c>
      <c r="Q177" s="11"/>
      <c r="R177" s="12" t="str">
        <f aca="false">IF(OR($Q177="",$K177=""),"",$Q177*$K177)</f>
        <v/>
      </c>
      <c r="S177" s="7"/>
      <c r="T177" s="10"/>
      <c r="U177" s="8"/>
    </row>
    <row r="178" customFormat="false" ht="18.75" hidden="false" customHeight="true" outlineLevel="0" collapsed="false">
      <c r="A178" s="5" t="str">
        <f aca="false">IF($B178="","",COUNT($B$5:$B178))</f>
        <v/>
      </c>
      <c r="B178" s="13"/>
      <c r="C178" s="13"/>
      <c r="D178" s="14"/>
      <c r="E178" s="14"/>
      <c r="F178" s="15"/>
      <c r="G178" s="16"/>
      <c r="H178" s="14"/>
      <c r="I178" s="14"/>
      <c r="J178" s="15"/>
      <c r="K178" s="5" t="str">
        <f aca="false">IF($I178="","",1+IF($J178="",0,LEN($J178)-LEN(SUBSTITUTE($J178,",",""))+1))</f>
        <v/>
      </c>
      <c r="L178" s="14"/>
      <c r="M178" s="15"/>
      <c r="N178" s="17"/>
      <c r="O178" s="17"/>
      <c r="P178" s="5" t="str">
        <f aca="false">IF(OR($B178="",$C178=""),"",$C178-$B178+1)</f>
        <v/>
      </c>
      <c r="Q178" s="18"/>
      <c r="R178" s="12" t="str">
        <f aca="false">IF(OR($Q178="",$K178=""),"",$Q178*$K178)</f>
        <v/>
      </c>
      <c r="S178" s="14"/>
      <c r="T178" s="17"/>
      <c r="U178" s="15"/>
    </row>
    <row r="179" customFormat="false" ht="18.75" hidden="false" customHeight="true" outlineLevel="0" collapsed="false">
      <c r="A179" s="5" t="str">
        <f aca="false">IF($B179="","",COUNT($B$5:$B179))</f>
        <v/>
      </c>
      <c r="B179" s="6"/>
      <c r="C179" s="6"/>
      <c r="D179" s="7"/>
      <c r="E179" s="7"/>
      <c r="F179" s="8"/>
      <c r="G179" s="9"/>
      <c r="H179" s="7"/>
      <c r="I179" s="7"/>
      <c r="J179" s="8"/>
      <c r="K179" s="5" t="str">
        <f aca="false">IF($I179="","",1+IF($J179="",0,LEN($J179)-LEN(SUBSTITUTE($J179,",",""))+1))</f>
        <v/>
      </c>
      <c r="L179" s="7"/>
      <c r="M179" s="8"/>
      <c r="N179" s="10"/>
      <c r="O179" s="10"/>
      <c r="P179" s="5" t="str">
        <f aca="false">IF(OR($B179="",$C179=""),"",$C179-$B179+1)</f>
        <v/>
      </c>
      <c r="Q179" s="11"/>
      <c r="R179" s="12" t="str">
        <f aca="false">IF(OR($Q179="",$K179=""),"",$Q179*$K179)</f>
        <v/>
      </c>
      <c r="S179" s="7"/>
      <c r="T179" s="10"/>
      <c r="U179" s="8"/>
    </row>
    <row r="180" customFormat="false" ht="18.75" hidden="false" customHeight="true" outlineLevel="0" collapsed="false">
      <c r="A180" s="5" t="str">
        <f aca="false">IF($B180="","",COUNT($B$5:$B180))</f>
        <v/>
      </c>
      <c r="B180" s="13"/>
      <c r="C180" s="13"/>
      <c r="D180" s="14"/>
      <c r="E180" s="14"/>
      <c r="F180" s="15"/>
      <c r="G180" s="16"/>
      <c r="H180" s="14"/>
      <c r="I180" s="14"/>
      <c r="J180" s="15"/>
      <c r="K180" s="5" t="str">
        <f aca="false">IF($I180="","",1+IF($J180="",0,LEN($J180)-LEN(SUBSTITUTE($J180,",",""))+1))</f>
        <v/>
      </c>
      <c r="L180" s="14"/>
      <c r="M180" s="15"/>
      <c r="N180" s="17"/>
      <c r="O180" s="17"/>
      <c r="P180" s="5" t="str">
        <f aca="false">IF(OR($B180="",$C180=""),"",$C180-$B180+1)</f>
        <v/>
      </c>
      <c r="Q180" s="18"/>
      <c r="R180" s="12" t="str">
        <f aca="false">IF(OR($Q180="",$K180=""),"",$Q180*$K180)</f>
        <v/>
      </c>
      <c r="S180" s="14"/>
      <c r="T180" s="17"/>
      <c r="U180" s="15"/>
    </row>
    <row r="181" customFormat="false" ht="18.75" hidden="false" customHeight="true" outlineLevel="0" collapsed="false">
      <c r="A181" s="5" t="str">
        <f aca="false">IF($B181="","",COUNT($B$5:$B181))</f>
        <v/>
      </c>
      <c r="B181" s="6"/>
      <c r="C181" s="6"/>
      <c r="D181" s="7"/>
      <c r="E181" s="7"/>
      <c r="F181" s="8"/>
      <c r="G181" s="9"/>
      <c r="H181" s="7"/>
      <c r="I181" s="7"/>
      <c r="J181" s="8"/>
      <c r="K181" s="5" t="str">
        <f aca="false">IF($I181="","",1+IF($J181="",0,LEN($J181)-LEN(SUBSTITUTE($J181,",",""))+1))</f>
        <v/>
      </c>
      <c r="L181" s="7"/>
      <c r="M181" s="8"/>
      <c r="N181" s="10"/>
      <c r="O181" s="10"/>
      <c r="P181" s="5" t="str">
        <f aca="false">IF(OR($B181="",$C181=""),"",$C181-$B181+1)</f>
        <v/>
      </c>
      <c r="Q181" s="11"/>
      <c r="R181" s="12" t="str">
        <f aca="false">IF(OR($Q181="",$K181=""),"",$Q181*$K181)</f>
        <v/>
      </c>
      <c r="S181" s="7"/>
      <c r="T181" s="10"/>
      <c r="U181" s="8"/>
    </row>
    <row r="182" customFormat="false" ht="18.75" hidden="false" customHeight="true" outlineLevel="0" collapsed="false">
      <c r="A182" s="5" t="str">
        <f aca="false">IF($B182="","",COUNT($B$5:$B182))</f>
        <v/>
      </c>
      <c r="B182" s="13"/>
      <c r="C182" s="13"/>
      <c r="D182" s="14"/>
      <c r="E182" s="14"/>
      <c r="F182" s="15"/>
      <c r="G182" s="16"/>
      <c r="H182" s="14"/>
      <c r="I182" s="14"/>
      <c r="J182" s="15"/>
      <c r="K182" s="5" t="str">
        <f aca="false">IF($I182="","",1+IF($J182="",0,LEN($J182)-LEN(SUBSTITUTE($J182,",",""))+1))</f>
        <v/>
      </c>
      <c r="L182" s="14"/>
      <c r="M182" s="15"/>
      <c r="N182" s="17"/>
      <c r="O182" s="17"/>
      <c r="P182" s="5" t="str">
        <f aca="false">IF(OR($B182="",$C182=""),"",$C182-$B182+1)</f>
        <v/>
      </c>
      <c r="Q182" s="18"/>
      <c r="R182" s="12" t="str">
        <f aca="false">IF(OR($Q182="",$K182=""),"",$Q182*$K182)</f>
        <v/>
      </c>
      <c r="S182" s="14"/>
      <c r="T182" s="17"/>
      <c r="U182" s="15"/>
    </row>
    <row r="183" customFormat="false" ht="18.75" hidden="false" customHeight="true" outlineLevel="0" collapsed="false">
      <c r="A183" s="5" t="str">
        <f aca="false">IF($B183="","",COUNT($B$5:$B183))</f>
        <v/>
      </c>
      <c r="B183" s="6"/>
      <c r="C183" s="6"/>
      <c r="D183" s="7"/>
      <c r="E183" s="7"/>
      <c r="F183" s="8"/>
      <c r="G183" s="9"/>
      <c r="H183" s="7"/>
      <c r="I183" s="7"/>
      <c r="J183" s="8"/>
      <c r="K183" s="5" t="str">
        <f aca="false">IF($I183="","",1+IF($J183="",0,LEN($J183)-LEN(SUBSTITUTE($J183,",",""))+1))</f>
        <v/>
      </c>
      <c r="L183" s="7"/>
      <c r="M183" s="8"/>
      <c r="N183" s="10"/>
      <c r="O183" s="10"/>
      <c r="P183" s="5" t="str">
        <f aca="false">IF(OR($B183="",$C183=""),"",$C183-$B183+1)</f>
        <v/>
      </c>
      <c r="Q183" s="11"/>
      <c r="R183" s="12" t="str">
        <f aca="false">IF(OR($Q183="",$K183=""),"",$Q183*$K183)</f>
        <v/>
      </c>
      <c r="S183" s="7"/>
      <c r="T183" s="10"/>
      <c r="U183" s="8"/>
    </row>
    <row r="184" customFormat="false" ht="18.75" hidden="false" customHeight="true" outlineLevel="0" collapsed="false">
      <c r="A184" s="5" t="str">
        <f aca="false">IF($B184="","",COUNT($B$5:$B184))</f>
        <v/>
      </c>
      <c r="B184" s="13"/>
      <c r="C184" s="13"/>
      <c r="D184" s="14"/>
      <c r="E184" s="14"/>
      <c r="F184" s="15"/>
      <c r="G184" s="16"/>
      <c r="H184" s="14"/>
      <c r="I184" s="14"/>
      <c r="J184" s="15"/>
      <c r="K184" s="5" t="str">
        <f aca="false">IF($I184="","",1+IF($J184="",0,LEN($J184)-LEN(SUBSTITUTE($J184,",",""))+1))</f>
        <v/>
      </c>
      <c r="L184" s="14"/>
      <c r="M184" s="15"/>
      <c r="N184" s="17"/>
      <c r="O184" s="17"/>
      <c r="P184" s="5" t="str">
        <f aca="false">IF(OR($B184="",$C184=""),"",$C184-$B184+1)</f>
        <v/>
      </c>
      <c r="Q184" s="18"/>
      <c r="R184" s="12" t="str">
        <f aca="false">IF(OR($Q184="",$K184=""),"",$Q184*$K184)</f>
        <v/>
      </c>
      <c r="S184" s="14"/>
      <c r="T184" s="17"/>
      <c r="U184" s="15"/>
    </row>
    <row r="185" customFormat="false" ht="18.75" hidden="false" customHeight="true" outlineLevel="0" collapsed="false">
      <c r="A185" s="5" t="str">
        <f aca="false">IF($B185="","",COUNT($B$5:$B185))</f>
        <v/>
      </c>
      <c r="B185" s="6"/>
      <c r="C185" s="6"/>
      <c r="D185" s="7"/>
      <c r="E185" s="7"/>
      <c r="F185" s="8"/>
      <c r="G185" s="9"/>
      <c r="H185" s="7"/>
      <c r="I185" s="7"/>
      <c r="J185" s="8"/>
      <c r="K185" s="5" t="str">
        <f aca="false">IF($I185="","",1+IF($J185="",0,LEN($J185)-LEN(SUBSTITUTE($J185,",",""))+1))</f>
        <v/>
      </c>
      <c r="L185" s="7"/>
      <c r="M185" s="8"/>
      <c r="N185" s="10"/>
      <c r="O185" s="10"/>
      <c r="P185" s="5" t="str">
        <f aca="false">IF(OR($B185="",$C185=""),"",$C185-$B185+1)</f>
        <v/>
      </c>
      <c r="Q185" s="11"/>
      <c r="R185" s="12" t="str">
        <f aca="false">IF(OR($Q185="",$K185=""),"",$Q185*$K185)</f>
        <v/>
      </c>
      <c r="S185" s="7"/>
      <c r="T185" s="10"/>
      <c r="U185" s="8"/>
    </row>
    <row r="186" customFormat="false" ht="18.75" hidden="false" customHeight="true" outlineLevel="0" collapsed="false">
      <c r="A186" s="5" t="str">
        <f aca="false">IF($B186="","",COUNT($B$5:$B186))</f>
        <v/>
      </c>
      <c r="B186" s="13"/>
      <c r="C186" s="13"/>
      <c r="D186" s="14"/>
      <c r="E186" s="14"/>
      <c r="F186" s="15"/>
      <c r="G186" s="16"/>
      <c r="H186" s="14"/>
      <c r="I186" s="14"/>
      <c r="J186" s="15"/>
      <c r="K186" s="5" t="str">
        <f aca="false">IF($I186="","",1+IF($J186="",0,LEN($J186)-LEN(SUBSTITUTE($J186,",",""))+1))</f>
        <v/>
      </c>
      <c r="L186" s="14"/>
      <c r="M186" s="15"/>
      <c r="N186" s="17"/>
      <c r="O186" s="17"/>
      <c r="P186" s="5" t="str">
        <f aca="false">IF(OR($B186="",$C186=""),"",$C186-$B186+1)</f>
        <v/>
      </c>
      <c r="Q186" s="18"/>
      <c r="R186" s="12" t="str">
        <f aca="false">IF(OR($Q186="",$K186=""),"",$Q186*$K186)</f>
        <v/>
      </c>
      <c r="S186" s="14"/>
      <c r="T186" s="17"/>
      <c r="U186" s="15"/>
    </row>
    <row r="187" customFormat="false" ht="18.75" hidden="false" customHeight="true" outlineLevel="0" collapsed="false">
      <c r="A187" s="5" t="str">
        <f aca="false">IF($B187="","",COUNT($B$5:$B187))</f>
        <v/>
      </c>
      <c r="B187" s="6"/>
      <c r="C187" s="6"/>
      <c r="D187" s="7"/>
      <c r="E187" s="7"/>
      <c r="F187" s="8"/>
      <c r="G187" s="9"/>
      <c r="H187" s="7"/>
      <c r="I187" s="7"/>
      <c r="J187" s="8"/>
      <c r="K187" s="5" t="str">
        <f aca="false">IF($I187="","",1+IF($J187="",0,LEN($J187)-LEN(SUBSTITUTE($J187,",",""))+1))</f>
        <v/>
      </c>
      <c r="L187" s="7"/>
      <c r="M187" s="8"/>
      <c r="N187" s="10"/>
      <c r="O187" s="10"/>
      <c r="P187" s="5" t="str">
        <f aca="false">IF(OR($B187="",$C187=""),"",$C187-$B187+1)</f>
        <v/>
      </c>
      <c r="Q187" s="11"/>
      <c r="R187" s="12" t="str">
        <f aca="false">IF(OR($Q187="",$K187=""),"",$Q187*$K187)</f>
        <v/>
      </c>
      <c r="S187" s="7"/>
      <c r="T187" s="10"/>
      <c r="U187" s="8"/>
    </row>
    <row r="188" customFormat="false" ht="18.75" hidden="false" customHeight="true" outlineLevel="0" collapsed="false">
      <c r="A188" s="5" t="str">
        <f aca="false">IF($B188="","",COUNT($B$5:$B188))</f>
        <v/>
      </c>
      <c r="B188" s="13"/>
      <c r="C188" s="13"/>
      <c r="D188" s="14"/>
      <c r="E188" s="14"/>
      <c r="F188" s="15"/>
      <c r="G188" s="16"/>
      <c r="H188" s="14"/>
      <c r="I188" s="14"/>
      <c r="J188" s="15"/>
      <c r="K188" s="5" t="str">
        <f aca="false">IF($I188="","",1+IF($J188="",0,LEN($J188)-LEN(SUBSTITUTE($J188,",",""))+1))</f>
        <v/>
      </c>
      <c r="L188" s="14"/>
      <c r="M188" s="15"/>
      <c r="N188" s="17"/>
      <c r="O188" s="17"/>
      <c r="P188" s="5" t="str">
        <f aca="false">IF(OR($B188="",$C188=""),"",$C188-$B188+1)</f>
        <v/>
      </c>
      <c r="Q188" s="18"/>
      <c r="R188" s="12" t="str">
        <f aca="false">IF(OR($Q188="",$K188=""),"",$Q188*$K188)</f>
        <v/>
      </c>
      <c r="S188" s="14"/>
      <c r="T188" s="17"/>
      <c r="U188" s="15"/>
    </row>
    <row r="189" customFormat="false" ht="18.75" hidden="false" customHeight="true" outlineLevel="0" collapsed="false">
      <c r="A189" s="5" t="str">
        <f aca="false">IF($B189="","",COUNT($B$5:$B189))</f>
        <v/>
      </c>
      <c r="B189" s="6"/>
      <c r="C189" s="6"/>
      <c r="D189" s="7"/>
      <c r="E189" s="7"/>
      <c r="F189" s="8"/>
      <c r="G189" s="9"/>
      <c r="H189" s="7"/>
      <c r="I189" s="7"/>
      <c r="J189" s="8"/>
      <c r="K189" s="5" t="str">
        <f aca="false">IF($I189="","",1+IF($J189="",0,LEN($J189)-LEN(SUBSTITUTE($J189,",",""))+1))</f>
        <v/>
      </c>
      <c r="L189" s="7"/>
      <c r="M189" s="8"/>
      <c r="N189" s="10"/>
      <c r="O189" s="10"/>
      <c r="P189" s="5" t="str">
        <f aca="false">IF(OR($B189="",$C189=""),"",$C189-$B189+1)</f>
        <v/>
      </c>
      <c r="Q189" s="11"/>
      <c r="R189" s="12" t="str">
        <f aca="false">IF(OR($Q189="",$K189=""),"",$Q189*$K189)</f>
        <v/>
      </c>
      <c r="S189" s="7"/>
      <c r="T189" s="10"/>
      <c r="U189" s="8"/>
    </row>
    <row r="190" customFormat="false" ht="18.75" hidden="false" customHeight="true" outlineLevel="0" collapsed="false">
      <c r="A190" s="5" t="str">
        <f aca="false">IF($B190="","",COUNT($B$5:$B190))</f>
        <v/>
      </c>
      <c r="B190" s="13"/>
      <c r="C190" s="13"/>
      <c r="D190" s="14"/>
      <c r="E190" s="14"/>
      <c r="F190" s="15"/>
      <c r="G190" s="16"/>
      <c r="H190" s="14"/>
      <c r="I190" s="14"/>
      <c r="J190" s="15"/>
      <c r="K190" s="5" t="str">
        <f aca="false">IF($I190="","",1+IF($J190="",0,LEN($J190)-LEN(SUBSTITUTE($J190,",",""))+1))</f>
        <v/>
      </c>
      <c r="L190" s="14"/>
      <c r="M190" s="15"/>
      <c r="N190" s="17"/>
      <c r="O190" s="17"/>
      <c r="P190" s="5" t="str">
        <f aca="false">IF(OR($B190="",$C190=""),"",$C190-$B190+1)</f>
        <v/>
      </c>
      <c r="Q190" s="18"/>
      <c r="R190" s="12" t="str">
        <f aca="false">IF(OR($Q190="",$K190=""),"",$Q190*$K190)</f>
        <v/>
      </c>
      <c r="S190" s="14"/>
      <c r="T190" s="17"/>
      <c r="U190" s="15"/>
    </row>
    <row r="191" customFormat="false" ht="18.75" hidden="false" customHeight="true" outlineLevel="0" collapsed="false">
      <c r="A191" s="5" t="str">
        <f aca="false">IF($B191="","",COUNT($B$5:$B191))</f>
        <v/>
      </c>
      <c r="B191" s="6"/>
      <c r="C191" s="6"/>
      <c r="D191" s="7"/>
      <c r="E191" s="7"/>
      <c r="F191" s="8"/>
      <c r="G191" s="9"/>
      <c r="H191" s="7"/>
      <c r="I191" s="7"/>
      <c r="J191" s="8"/>
      <c r="K191" s="5" t="str">
        <f aca="false">IF($I191="","",1+IF($J191="",0,LEN($J191)-LEN(SUBSTITUTE($J191,",",""))+1))</f>
        <v/>
      </c>
      <c r="L191" s="7"/>
      <c r="M191" s="8"/>
      <c r="N191" s="10"/>
      <c r="O191" s="10"/>
      <c r="P191" s="5" t="str">
        <f aca="false">IF(OR($B191="",$C191=""),"",$C191-$B191+1)</f>
        <v/>
      </c>
      <c r="Q191" s="11"/>
      <c r="R191" s="12" t="str">
        <f aca="false">IF(OR($Q191="",$K191=""),"",$Q191*$K191)</f>
        <v/>
      </c>
      <c r="S191" s="7"/>
      <c r="T191" s="10"/>
      <c r="U191" s="8"/>
    </row>
    <row r="192" customFormat="false" ht="18.75" hidden="false" customHeight="true" outlineLevel="0" collapsed="false">
      <c r="A192" s="5" t="str">
        <f aca="false">IF($B192="","",COUNT($B$5:$B192))</f>
        <v/>
      </c>
      <c r="B192" s="13"/>
      <c r="C192" s="13"/>
      <c r="D192" s="14"/>
      <c r="E192" s="14"/>
      <c r="F192" s="15"/>
      <c r="G192" s="16"/>
      <c r="H192" s="14"/>
      <c r="I192" s="14"/>
      <c r="J192" s="15"/>
      <c r="K192" s="5" t="str">
        <f aca="false">IF($I192="","",1+IF($J192="",0,LEN($J192)-LEN(SUBSTITUTE($J192,",",""))+1))</f>
        <v/>
      </c>
      <c r="L192" s="14"/>
      <c r="M192" s="15"/>
      <c r="N192" s="17"/>
      <c r="O192" s="17"/>
      <c r="P192" s="5" t="str">
        <f aca="false">IF(OR($B192="",$C192=""),"",$C192-$B192+1)</f>
        <v/>
      </c>
      <c r="Q192" s="18"/>
      <c r="R192" s="12" t="str">
        <f aca="false">IF(OR($Q192="",$K192=""),"",$Q192*$K192)</f>
        <v/>
      </c>
      <c r="S192" s="14"/>
      <c r="T192" s="17"/>
      <c r="U192" s="15"/>
    </row>
    <row r="193" customFormat="false" ht="18.75" hidden="false" customHeight="true" outlineLevel="0" collapsed="false">
      <c r="A193" s="5" t="str">
        <f aca="false">IF($B193="","",COUNT($B$5:$B193))</f>
        <v/>
      </c>
      <c r="B193" s="6"/>
      <c r="C193" s="6"/>
      <c r="D193" s="7"/>
      <c r="E193" s="7"/>
      <c r="F193" s="8"/>
      <c r="G193" s="9"/>
      <c r="H193" s="7"/>
      <c r="I193" s="7"/>
      <c r="J193" s="8"/>
      <c r="K193" s="5" t="str">
        <f aca="false">IF($I193="","",1+IF($J193="",0,LEN($J193)-LEN(SUBSTITUTE($J193,",",""))+1))</f>
        <v/>
      </c>
      <c r="L193" s="7"/>
      <c r="M193" s="8"/>
      <c r="N193" s="10"/>
      <c r="O193" s="10"/>
      <c r="P193" s="5" t="str">
        <f aca="false">IF(OR($B193="",$C193=""),"",$C193-$B193+1)</f>
        <v/>
      </c>
      <c r="Q193" s="11"/>
      <c r="R193" s="12" t="str">
        <f aca="false">IF(OR($Q193="",$K193=""),"",$Q193*$K193)</f>
        <v/>
      </c>
      <c r="S193" s="7"/>
      <c r="T193" s="10"/>
      <c r="U193" s="8"/>
    </row>
    <row r="194" customFormat="false" ht="18.75" hidden="false" customHeight="true" outlineLevel="0" collapsed="false">
      <c r="A194" s="5" t="str">
        <f aca="false">IF($B194="","",COUNT($B$5:$B194))</f>
        <v/>
      </c>
      <c r="B194" s="13"/>
      <c r="C194" s="13"/>
      <c r="D194" s="14"/>
      <c r="E194" s="14"/>
      <c r="F194" s="15"/>
      <c r="G194" s="16"/>
      <c r="H194" s="14"/>
      <c r="I194" s="14"/>
      <c r="J194" s="15"/>
      <c r="K194" s="5" t="str">
        <f aca="false">IF($I194="","",1+IF($J194="",0,LEN($J194)-LEN(SUBSTITUTE($J194,",",""))+1))</f>
        <v/>
      </c>
      <c r="L194" s="14"/>
      <c r="M194" s="15"/>
      <c r="N194" s="17"/>
      <c r="O194" s="17"/>
      <c r="P194" s="5" t="str">
        <f aca="false">IF(OR($B194="",$C194=""),"",$C194-$B194+1)</f>
        <v/>
      </c>
      <c r="Q194" s="18"/>
      <c r="R194" s="12" t="str">
        <f aca="false">IF(OR($Q194="",$K194=""),"",$Q194*$K194)</f>
        <v/>
      </c>
      <c r="S194" s="14"/>
      <c r="T194" s="17"/>
      <c r="U194" s="15"/>
    </row>
    <row r="195" customFormat="false" ht="18.75" hidden="false" customHeight="true" outlineLevel="0" collapsed="false">
      <c r="A195" s="5" t="str">
        <f aca="false">IF($B195="","",COUNT($B$5:$B195))</f>
        <v/>
      </c>
      <c r="B195" s="6"/>
      <c r="C195" s="6"/>
      <c r="D195" s="7"/>
      <c r="E195" s="7"/>
      <c r="F195" s="8"/>
      <c r="G195" s="9"/>
      <c r="H195" s="7"/>
      <c r="I195" s="7"/>
      <c r="J195" s="8"/>
      <c r="K195" s="5" t="str">
        <f aca="false">IF($I195="","",1+IF($J195="",0,LEN($J195)-LEN(SUBSTITUTE($J195,",",""))+1))</f>
        <v/>
      </c>
      <c r="L195" s="7"/>
      <c r="M195" s="8"/>
      <c r="N195" s="10"/>
      <c r="O195" s="10"/>
      <c r="P195" s="5" t="str">
        <f aca="false">IF(OR($B195="",$C195=""),"",$C195-$B195+1)</f>
        <v/>
      </c>
      <c r="Q195" s="11"/>
      <c r="R195" s="12" t="str">
        <f aca="false">IF(OR($Q195="",$K195=""),"",$Q195*$K195)</f>
        <v/>
      </c>
      <c r="S195" s="7"/>
      <c r="T195" s="10"/>
      <c r="U195" s="8"/>
    </row>
    <row r="196" customFormat="false" ht="18.75" hidden="false" customHeight="true" outlineLevel="0" collapsed="false">
      <c r="A196" s="5" t="str">
        <f aca="false">IF($B196="","",COUNT($B$5:$B196))</f>
        <v/>
      </c>
      <c r="B196" s="13"/>
      <c r="C196" s="13"/>
      <c r="D196" s="14"/>
      <c r="E196" s="14"/>
      <c r="F196" s="15"/>
      <c r="G196" s="16"/>
      <c r="H196" s="14"/>
      <c r="I196" s="14"/>
      <c r="J196" s="15"/>
      <c r="K196" s="5" t="str">
        <f aca="false">IF($I196="","",1+IF($J196="",0,LEN($J196)-LEN(SUBSTITUTE($J196,",",""))+1))</f>
        <v/>
      </c>
      <c r="L196" s="14"/>
      <c r="M196" s="15"/>
      <c r="N196" s="17"/>
      <c r="O196" s="17"/>
      <c r="P196" s="5" t="str">
        <f aca="false">IF(OR($B196="",$C196=""),"",$C196-$B196+1)</f>
        <v/>
      </c>
      <c r="Q196" s="18"/>
      <c r="R196" s="12" t="str">
        <f aca="false">IF(OR($Q196="",$K196=""),"",$Q196*$K196)</f>
        <v/>
      </c>
      <c r="S196" s="14"/>
      <c r="T196" s="17"/>
      <c r="U196" s="15"/>
    </row>
    <row r="197" customFormat="false" ht="18.75" hidden="false" customHeight="true" outlineLevel="0" collapsed="false">
      <c r="A197" s="5" t="str">
        <f aca="false">IF($B197="","",COUNT($B$5:$B197))</f>
        <v/>
      </c>
      <c r="B197" s="6"/>
      <c r="C197" s="6"/>
      <c r="D197" s="7"/>
      <c r="E197" s="7"/>
      <c r="F197" s="8"/>
      <c r="G197" s="9"/>
      <c r="H197" s="7"/>
      <c r="I197" s="7"/>
      <c r="J197" s="8"/>
      <c r="K197" s="5" t="str">
        <f aca="false">IF($I197="","",1+IF($J197="",0,LEN($J197)-LEN(SUBSTITUTE($J197,",",""))+1))</f>
        <v/>
      </c>
      <c r="L197" s="7"/>
      <c r="M197" s="8"/>
      <c r="N197" s="10"/>
      <c r="O197" s="10"/>
      <c r="P197" s="5" t="str">
        <f aca="false">IF(OR($B197="",$C197=""),"",$C197-$B197+1)</f>
        <v/>
      </c>
      <c r="Q197" s="11"/>
      <c r="R197" s="12" t="str">
        <f aca="false">IF(OR($Q197="",$K197=""),"",$Q197*$K197)</f>
        <v/>
      </c>
      <c r="S197" s="7"/>
      <c r="T197" s="10"/>
      <c r="U197" s="8"/>
    </row>
    <row r="198" customFormat="false" ht="18.75" hidden="false" customHeight="true" outlineLevel="0" collapsed="false">
      <c r="A198" s="5" t="str">
        <f aca="false">IF($B198="","",COUNT($B$5:$B198))</f>
        <v/>
      </c>
      <c r="B198" s="13"/>
      <c r="C198" s="13"/>
      <c r="D198" s="14"/>
      <c r="E198" s="14"/>
      <c r="F198" s="15"/>
      <c r="G198" s="16"/>
      <c r="H198" s="14"/>
      <c r="I198" s="14"/>
      <c r="J198" s="15"/>
      <c r="K198" s="5" t="str">
        <f aca="false">IF($I198="","",1+IF($J198="",0,LEN($J198)-LEN(SUBSTITUTE($J198,",",""))+1))</f>
        <v/>
      </c>
      <c r="L198" s="14"/>
      <c r="M198" s="15"/>
      <c r="N198" s="17"/>
      <c r="O198" s="17"/>
      <c r="P198" s="5" t="str">
        <f aca="false">IF(OR($B198="",$C198=""),"",$C198-$B198+1)</f>
        <v/>
      </c>
      <c r="Q198" s="18"/>
      <c r="R198" s="12" t="str">
        <f aca="false">IF(OR($Q198="",$K198=""),"",$Q198*$K198)</f>
        <v/>
      </c>
      <c r="S198" s="14"/>
      <c r="T198" s="17"/>
      <c r="U198" s="15"/>
    </row>
    <row r="199" customFormat="false" ht="18.75" hidden="false" customHeight="true" outlineLevel="0" collapsed="false">
      <c r="A199" s="5" t="str">
        <f aca="false">IF($B199="","",COUNT($B$5:$B199))</f>
        <v/>
      </c>
      <c r="B199" s="6"/>
      <c r="C199" s="6"/>
      <c r="D199" s="7"/>
      <c r="E199" s="7"/>
      <c r="F199" s="8"/>
      <c r="G199" s="9"/>
      <c r="H199" s="7"/>
      <c r="I199" s="7"/>
      <c r="J199" s="8"/>
      <c r="K199" s="5" t="str">
        <f aca="false">IF($I199="","",1+IF($J199="",0,LEN($J199)-LEN(SUBSTITUTE($J199,",",""))+1))</f>
        <v/>
      </c>
      <c r="L199" s="7"/>
      <c r="M199" s="8"/>
      <c r="N199" s="10"/>
      <c r="O199" s="10"/>
      <c r="P199" s="5" t="str">
        <f aca="false">IF(OR($B199="",$C199=""),"",$C199-$B199+1)</f>
        <v/>
      </c>
      <c r="Q199" s="11"/>
      <c r="R199" s="12" t="str">
        <f aca="false">IF(OR($Q199="",$K199=""),"",$Q199*$K199)</f>
        <v/>
      </c>
      <c r="S199" s="7"/>
      <c r="T199" s="10"/>
      <c r="U199" s="8"/>
    </row>
    <row r="200" customFormat="false" ht="18.75" hidden="false" customHeight="true" outlineLevel="0" collapsed="false">
      <c r="A200" s="5" t="str">
        <f aca="false">IF($B200="","",COUNT($B$5:$B200))</f>
        <v/>
      </c>
      <c r="B200" s="13"/>
      <c r="C200" s="13"/>
      <c r="D200" s="14"/>
      <c r="E200" s="14"/>
      <c r="F200" s="15"/>
      <c r="G200" s="16"/>
      <c r="H200" s="14"/>
      <c r="I200" s="14"/>
      <c r="J200" s="15"/>
      <c r="K200" s="5" t="str">
        <f aca="false">IF($I200="","",1+IF($J200="",0,LEN($J200)-LEN(SUBSTITUTE($J200,",",""))+1))</f>
        <v/>
      </c>
      <c r="L200" s="14"/>
      <c r="M200" s="15"/>
      <c r="N200" s="17"/>
      <c r="O200" s="17"/>
      <c r="P200" s="5" t="str">
        <f aca="false">IF(OR($B200="",$C200=""),"",$C200-$B200+1)</f>
        <v/>
      </c>
      <c r="Q200" s="18"/>
      <c r="R200" s="12" t="str">
        <f aca="false">IF(OR($Q200="",$K200=""),"",$Q200*$K200)</f>
        <v/>
      </c>
      <c r="S200" s="14"/>
      <c r="T200" s="17"/>
      <c r="U200" s="15"/>
    </row>
    <row r="201" customFormat="false" ht="18.75" hidden="false" customHeight="true" outlineLevel="0" collapsed="false">
      <c r="A201" s="5" t="str">
        <f aca="false">IF($B201="","",COUNT($B$5:$B201))</f>
        <v/>
      </c>
      <c r="B201" s="6"/>
      <c r="C201" s="6"/>
      <c r="D201" s="7"/>
      <c r="E201" s="7"/>
      <c r="F201" s="8"/>
      <c r="G201" s="9"/>
      <c r="H201" s="7"/>
      <c r="I201" s="7"/>
      <c r="J201" s="8"/>
      <c r="K201" s="5" t="str">
        <f aca="false">IF($I201="","",1+IF($J201="",0,LEN($J201)-LEN(SUBSTITUTE($J201,",",""))+1))</f>
        <v/>
      </c>
      <c r="L201" s="7"/>
      <c r="M201" s="8"/>
      <c r="N201" s="10"/>
      <c r="O201" s="10"/>
      <c r="P201" s="5" t="str">
        <f aca="false">IF(OR($B201="",$C201=""),"",$C201-$B201+1)</f>
        <v/>
      </c>
      <c r="Q201" s="11"/>
      <c r="R201" s="12" t="str">
        <f aca="false">IF(OR($Q201="",$K201=""),"",$Q201*$K201)</f>
        <v/>
      </c>
      <c r="S201" s="7"/>
      <c r="T201" s="10"/>
      <c r="U201" s="8"/>
    </row>
    <row r="202" customFormat="false" ht="18.75" hidden="false" customHeight="true" outlineLevel="0" collapsed="false">
      <c r="A202" s="5" t="str">
        <f aca="false">IF($B202="","",COUNT($B$5:$B202))</f>
        <v/>
      </c>
      <c r="B202" s="13"/>
      <c r="C202" s="13"/>
      <c r="D202" s="14"/>
      <c r="E202" s="14"/>
      <c r="F202" s="15"/>
      <c r="G202" s="16"/>
      <c r="H202" s="14"/>
      <c r="I202" s="14"/>
      <c r="J202" s="15"/>
      <c r="K202" s="5" t="str">
        <f aca="false">IF($I202="","",1+IF($J202="",0,LEN($J202)-LEN(SUBSTITUTE($J202,",",""))+1))</f>
        <v/>
      </c>
      <c r="L202" s="14"/>
      <c r="M202" s="15"/>
      <c r="N202" s="17"/>
      <c r="O202" s="17"/>
      <c r="P202" s="5" t="str">
        <f aca="false">IF(OR($B202="",$C202=""),"",$C202-$B202+1)</f>
        <v/>
      </c>
      <c r="Q202" s="18"/>
      <c r="R202" s="12" t="str">
        <f aca="false">IF(OR($Q202="",$K202=""),"",$Q202*$K202)</f>
        <v/>
      </c>
      <c r="S202" s="14"/>
      <c r="T202" s="17"/>
      <c r="U202" s="15"/>
    </row>
    <row r="203" customFormat="false" ht="18.75" hidden="false" customHeight="true" outlineLevel="0" collapsed="false">
      <c r="A203" s="5" t="str">
        <f aca="false">IF($B203="","",COUNT($B$5:$B203))</f>
        <v/>
      </c>
      <c r="B203" s="6"/>
      <c r="C203" s="6"/>
      <c r="D203" s="7"/>
      <c r="E203" s="7"/>
      <c r="F203" s="8"/>
      <c r="G203" s="9"/>
      <c r="H203" s="7"/>
      <c r="I203" s="7"/>
      <c r="J203" s="8"/>
      <c r="K203" s="5" t="str">
        <f aca="false">IF($I203="","",1+IF($J203="",0,LEN($J203)-LEN(SUBSTITUTE($J203,",",""))+1))</f>
        <v/>
      </c>
      <c r="L203" s="7"/>
      <c r="M203" s="8"/>
      <c r="N203" s="10"/>
      <c r="O203" s="10"/>
      <c r="P203" s="5" t="str">
        <f aca="false">IF(OR($B203="",$C203=""),"",$C203-$B203+1)</f>
        <v/>
      </c>
      <c r="Q203" s="11"/>
      <c r="R203" s="12" t="str">
        <f aca="false">IF(OR($Q203="",$K203=""),"",$Q203*$K203)</f>
        <v/>
      </c>
      <c r="S203" s="7"/>
      <c r="T203" s="10"/>
      <c r="U203" s="8"/>
    </row>
    <row r="204" customFormat="false" ht="18.75" hidden="false" customHeight="true" outlineLevel="0" collapsed="false">
      <c r="A204" s="5" t="str">
        <f aca="false">IF($B204="","",COUNT($B$5:$B204))</f>
        <v/>
      </c>
      <c r="B204" s="13"/>
      <c r="C204" s="13"/>
      <c r="D204" s="14"/>
      <c r="E204" s="14"/>
      <c r="F204" s="15"/>
      <c r="G204" s="16"/>
      <c r="H204" s="14"/>
      <c r="I204" s="14"/>
      <c r="J204" s="15"/>
      <c r="K204" s="5" t="str">
        <f aca="false">IF($I204="","",1+IF($J204="",0,LEN($J204)-LEN(SUBSTITUTE($J204,",",""))+1))</f>
        <v/>
      </c>
      <c r="L204" s="14"/>
      <c r="M204" s="15"/>
      <c r="N204" s="17"/>
      <c r="O204" s="17"/>
      <c r="P204" s="5" t="str">
        <f aca="false">IF(OR($B204="",$C204=""),"",$C204-$B204+1)</f>
        <v/>
      </c>
      <c r="Q204" s="18"/>
      <c r="R204" s="12" t="str">
        <f aca="false">IF(OR($Q204="",$K204=""),"",$Q204*$K204)</f>
        <v/>
      </c>
      <c r="S204" s="14"/>
      <c r="T204" s="17"/>
      <c r="U204" s="15"/>
    </row>
    <row r="205" customFormat="false" ht="18.75" hidden="false" customHeight="true" outlineLevel="0" collapsed="false">
      <c r="A205" s="5" t="str">
        <f aca="false">IF($B205="","",COUNT($B$5:$B205))</f>
        <v/>
      </c>
      <c r="B205" s="6"/>
      <c r="C205" s="6"/>
      <c r="D205" s="7"/>
      <c r="E205" s="7"/>
      <c r="F205" s="8"/>
      <c r="G205" s="9"/>
      <c r="H205" s="7"/>
      <c r="I205" s="7"/>
      <c r="J205" s="8"/>
      <c r="K205" s="5" t="str">
        <f aca="false">IF($I205="","",1+IF($J205="",0,LEN($J205)-LEN(SUBSTITUTE($J205,",",""))+1))</f>
        <v/>
      </c>
      <c r="L205" s="7"/>
      <c r="M205" s="8"/>
      <c r="N205" s="10"/>
      <c r="O205" s="10"/>
      <c r="P205" s="5" t="str">
        <f aca="false">IF(OR($B205="",$C205=""),"",$C205-$B205+1)</f>
        <v/>
      </c>
      <c r="Q205" s="11"/>
      <c r="R205" s="12" t="str">
        <f aca="false">IF(OR($Q205="",$K205=""),"",$Q205*$K205)</f>
        <v/>
      </c>
      <c r="S205" s="7"/>
      <c r="T205" s="10"/>
      <c r="U205" s="8"/>
    </row>
    <row r="206" customFormat="false" ht="18.75" hidden="false" customHeight="true" outlineLevel="0" collapsed="false">
      <c r="A206" s="5" t="str">
        <f aca="false">IF($B206="","",COUNT($B$5:$B206))</f>
        <v/>
      </c>
      <c r="B206" s="13"/>
      <c r="C206" s="13"/>
      <c r="D206" s="14"/>
      <c r="E206" s="14"/>
      <c r="F206" s="15"/>
      <c r="G206" s="16"/>
      <c r="H206" s="14"/>
      <c r="I206" s="14"/>
      <c r="J206" s="15"/>
      <c r="K206" s="5" t="str">
        <f aca="false">IF($I206="","",1+IF($J206="",0,LEN($J206)-LEN(SUBSTITUTE($J206,",",""))+1))</f>
        <v/>
      </c>
      <c r="L206" s="14"/>
      <c r="M206" s="15"/>
      <c r="N206" s="17"/>
      <c r="O206" s="17"/>
      <c r="P206" s="5" t="str">
        <f aca="false">IF(OR($B206="",$C206=""),"",$C206-$B206+1)</f>
        <v/>
      </c>
      <c r="Q206" s="18"/>
      <c r="R206" s="12" t="str">
        <f aca="false">IF(OR($Q206="",$K206=""),"",$Q206*$K206)</f>
        <v/>
      </c>
      <c r="S206" s="14"/>
      <c r="T206" s="17"/>
      <c r="U206" s="15"/>
    </row>
    <row r="207" customFormat="false" ht="18.75" hidden="false" customHeight="true" outlineLevel="0" collapsed="false">
      <c r="A207" s="5" t="str">
        <f aca="false">IF($B207="","",COUNT($B$5:$B207))</f>
        <v/>
      </c>
      <c r="B207" s="6"/>
      <c r="C207" s="6"/>
      <c r="D207" s="7"/>
      <c r="E207" s="7"/>
      <c r="F207" s="8"/>
      <c r="G207" s="9"/>
      <c r="H207" s="7"/>
      <c r="I207" s="7"/>
      <c r="J207" s="8"/>
      <c r="K207" s="5" t="str">
        <f aca="false">IF($I207="","",1+IF($J207="",0,LEN($J207)-LEN(SUBSTITUTE($J207,",",""))+1))</f>
        <v/>
      </c>
      <c r="L207" s="7"/>
      <c r="M207" s="8"/>
      <c r="N207" s="10"/>
      <c r="O207" s="10"/>
      <c r="P207" s="5" t="str">
        <f aca="false">IF(OR($B207="",$C207=""),"",$C207-$B207+1)</f>
        <v/>
      </c>
      <c r="Q207" s="11"/>
      <c r="R207" s="12" t="str">
        <f aca="false">IF(OR($Q207="",$K207=""),"",$Q207*$K207)</f>
        <v/>
      </c>
      <c r="S207" s="7"/>
      <c r="T207" s="10"/>
      <c r="U207" s="8"/>
    </row>
    <row r="208" customFormat="false" ht="18.75" hidden="false" customHeight="true" outlineLevel="0" collapsed="false">
      <c r="A208" s="5" t="str">
        <f aca="false">IF($B208="","",COUNT($B$5:$B208))</f>
        <v/>
      </c>
      <c r="B208" s="13"/>
      <c r="C208" s="13"/>
      <c r="D208" s="14"/>
      <c r="E208" s="14"/>
      <c r="F208" s="15"/>
      <c r="G208" s="16"/>
      <c r="H208" s="14"/>
      <c r="I208" s="14"/>
      <c r="J208" s="15"/>
      <c r="K208" s="5" t="str">
        <f aca="false">IF($I208="","",1+IF($J208="",0,LEN($J208)-LEN(SUBSTITUTE($J208,",",""))+1))</f>
        <v/>
      </c>
      <c r="L208" s="14"/>
      <c r="M208" s="15"/>
      <c r="N208" s="17"/>
      <c r="O208" s="17"/>
      <c r="P208" s="5" t="str">
        <f aca="false">IF(OR($B208="",$C208=""),"",$C208-$B208+1)</f>
        <v/>
      </c>
      <c r="Q208" s="18"/>
      <c r="R208" s="12" t="str">
        <f aca="false">IF(OR($Q208="",$K208=""),"",$Q208*$K208)</f>
        <v/>
      </c>
      <c r="S208" s="14"/>
      <c r="T208" s="17"/>
      <c r="U208" s="15"/>
    </row>
    <row r="209" customFormat="false" ht="18.75" hidden="false" customHeight="true" outlineLevel="0" collapsed="false">
      <c r="A209" s="5" t="str">
        <f aca="false">IF($B209="","",COUNT($B$5:$B209))</f>
        <v/>
      </c>
      <c r="B209" s="6"/>
      <c r="C209" s="6"/>
      <c r="D209" s="7"/>
      <c r="E209" s="7"/>
      <c r="F209" s="8"/>
      <c r="G209" s="9"/>
      <c r="H209" s="7"/>
      <c r="I209" s="7"/>
      <c r="J209" s="8"/>
      <c r="K209" s="5" t="str">
        <f aca="false">IF($I209="","",1+IF($J209="",0,LEN($J209)-LEN(SUBSTITUTE($J209,",",""))+1))</f>
        <v/>
      </c>
      <c r="L209" s="7"/>
      <c r="M209" s="8"/>
      <c r="N209" s="10"/>
      <c r="O209" s="10"/>
      <c r="P209" s="5" t="str">
        <f aca="false">IF(OR($B209="",$C209=""),"",$C209-$B209+1)</f>
        <v/>
      </c>
      <c r="Q209" s="11"/>
      <c r="R209" s="12" t="str">
        <f aca="false">IF(OR($Q209="",$K209=""),"",$Q209*$K209)</f>
        <v/>
      </c>
      <c r="S209" s="7"/>
      <c r="T209" s="10"/>
      <c r="U209" s="8"/>
    </row>
    <row r="210" customFormat="false" ht="18.75" hidden="false" customHeight="true" outlineLevel="0" collapsed="false">
      <c r="A210" s="5" t="str">
        <f aca="false">IF($B210="","",COUNT($B$5:$B210))</f>
        <v/>
      </c>
      <c r="B210" s="13"/>
      <c r="C210" s="13"/>
      <c r="D210" s="14"/>
      <c r="E210" s="14"/>
      <c r="F210" s="15"/>
      <c r="G210" s="16"/>
      <c r="H210" s="14"/>
      <c r="I210" s="14"/>
      <c r="J210" s="15"/>
      <c r="K210" s="5" t="str">
        <f aca="false">IF($I210="","",1+IF($J210="",0,LEN($J210)-LEN(SUBSTITUTE($J210,",",""))+1))</f>
        <v/>
      </c>
      <c r="L210" s="14"/>
      <c r="M210" s="15"/>
      <c r="N210" s="17"/>
      <c r="O210" s="17"/>
      <c r="P210" s="5" t="str">
        <f aca="false">IF(OR($B210="",$C210=""),"",$C210-$B210+1)</f>
        <v/>
      </c>
      <c r="Q210" s="18"/>
      <c r="R210" s="12" t="str">
        <f aca="false">IF(OR($Q210="",$K210=""),"",$Q210*$K210)</f>
        <v/>
      </c>
      <c r="S210" s="14"/>
      <c r="T210" s="17"/>
      <c r="U210" s="15"/>
    </row>
    <row r="211" customFormat="false" ht="18.75" hidden="false" customHeight="true" outlineLevel="0" collapsed="false">
      <c r="A211" s="5" t="str">
        <f aca="false">IF($B211="","",COUNT($B$5:$B211))</f>
        <v/>
      </c>
      <c r="B211" s="6"/>
      <c r="C211" s="6"/>
      <c r="D211" s="7"/>
      <c r="E211" s="7"/>
      <c r="F211" s="8"/>
      <c r="G211" s="9"/>
      <c r="H211" s="7"/>
      <c r="I211" s="7"/>
      <c r="J211" s="8"/>
      <c r="K211" s="5" t="str">
        <f aca="false">IF($I211="","",1+IF($J211="",0,LEN($J211)-LEN(SUBSTITUTE($J211,",",""))+1))</f>
        <v/>
      </c>
      <c r="L211" s="7"/>
      <c r="M211" s="8"/>
      <c r="N211" s="10"/>
      <c r="O211" s="10"/>
      <c r="P211" s="5" t="str">
        <f aca="false">IF(OR($B211="",$C211=""),"",$C211-$B211+1)</f>
        <v/>
      </c>
      <c r="Q211" s="11"/>
      <c r="R211" s="12" t="str">
        <f aca="false">IF(OR($Q211="",$K211=""),"",$Q211*$K211)</f>
        <v/>
      </c>
      <c r="S211" s="7"/>
      <c r="T211" s="10"/>
      <c r="U211" s="8"/>
    </row>
    <row r="212" customFormat="false" ht="18.75" hidden="false" customHeight="true" outlineLevel="0" collapsed="false">
      <c r="A212" s="5" t="str">
        <f aca="false">IF($B212="","",COUNT($B$5:$B212))</f>
        <v/>
      </c>
      <c r="B212" s="13"/>
      <c r="C212" s="13"/>
      <c r="D212" s="14"/>
      <c r="E212" s="14"/>
      <c r="F212" s="15"/>
      <c r="G212" s="16"/>
      <c r="H212" s="14"/>
      <c r="I212" s="14"/>
      <c r="J212" s="15"/>
      <c r="K212" s="5" t="str">
        <f aca="false">IF($I212="","",1+IF($J212="",0,LEN($J212)-LEN(SUBSTITUTE($J212,",",""))+1))</f>
        <v/>
      </c>
      <c r="L212" s="14"/>
      <c r="M212" s="15"/>
      <c r="N212" s="17"/>
      <c r="O212" s="17"/>
      <c r="P212" s="5" t="str">
        <f aca="false">IF(OR($B212="",$C212=""),"",$C212-$B212+1)</f>
        <v/>
      </c>
      <c r="Q212" s="18"/>
      <c r="R212" s="12" t="str">
        <f aca="false">IF(OR($Q212="",$K212=""),"",$Q212*$K212)</f>
        <v/>
      </c>
      <c r="S212" s="14"/>
      <c r="T212" s="17"/>
      <c r="U212" s="15"/>
    </row>
    <row r="213" customFormat="false" ht="18.75" hidden="false" customHeight="true" outlineLevel="0" collapsed="false">
      <c r="A213" s="5" t="str">
        <f aca="false">IF($B213="","",COUNT($B$5:$B213))</f>
        <v/>
      </c>
      <c r="B213" s="6"/>
      <c r="C213" s="6"/>
      <c r="D213" s="7"/>
      <c r="E213" s="7"/>
      <c r="F213" s="8"/>
      <c r="G213" s="9"/>
      <c r="H213" s="7"/>
      <c r="I213" s="7"/>
      <c r="J213" s="8"/>
      <c r="K213" s="5" t="str">
        <f aca="false">IF($I213="","",1+IF($J213="",0,LEN($J213)-LEN(SUBSTITUTE($J213,",",""))+1))</f>
        <v/>
      </c>
      <c r="L213" s="7"/>
      <c r="M213" s="8"/>
      <c r="N213" s="10"/>
      <c r="O213" s="10"/>
      <c r="P213" s="5" t="str">
        <f aca="false">IF(OR($B213="",$C213=""),"",$C213-$B213+1)</f>
        <v/>
      </c>
      <c r="Q213" s="11"/>
      <c r="R213" s="12" t="str">
        <f aca="false">IF(OR($Q213="",$K213=""),"",$Q213*$K213)</f>
        <v/>
      </c>
      <c r="S213" s="7"/>
      <c r="T213" s="10"/>
      <c r="U213" s="8"/>
    </row>
    <row r="214" customFormat="false" ht="18.75" hidden="false" customHeight="true" outlineLevel="0" collapsed="false">
      <c r="A214" s="5" t="str">
        <f aca="false">IF($B214="","",COUNT($B$5:$B214))</f>
        <v/>
      </c>
      <c r="B214" s="13"/>
      <c r="C214" s="13"/>
      <c r="D214" s="14"/>
      <c r="E214" s="14"/>
      <c r="F214" s="15"/>
      <c r="G214" s="16"/>
      <c r="H214" s="14"/>
      <c r="I214" s="14"/>
      <c r="J214" s="15"/>
      <c r="K214" s="5" t="str">
        <f aca="false">IF($I214="","",1+IF($J214="",0,LEN($J214)-LEN(SUBSTITUTE($J214,",",""))+1))</f>
        <v/>
      </c>
      <c r="L214" s="14"/>
      <c r="M214" s="15"/>
      <c r="N214" s="17"/>
      <c r="O214" s="17"/>
      <c r="P214" s="5" t="str">
        <f aca="false">IF(OR($B214="",$C214=""),"",$C214-$B214+1)</f>
        <v/>
      </c>
      <c r="Q214" s="18"/>
      <c r="R214" s="12" t="str">
        <f aca="false">IF(OR($Q214="",$K214=""),"",$Q214*$K214)</f>
        <v/>
      </c>
      <c r="S214" s="14"/>
      <c r="T214" s="17"/>
      <c r="U214" s="15"/>
    </row>
    <row r="215" customFormat="false" ht="18.75" hidden="false" customHeight="true" outlineLevel="0" collapsed="false">
      <c r="A215" s="5" t="str">
        <f aca="false">IF($B215="","",COUNT($B$5:$B215))</f>
        <v/>
      </c>
      <c r="B215" s="6"/>
      <c r="C215" s="6"/>
      <c r="D215" s="7"/>
      <c r="E215" s="7"/>
      <c r="F215" s="8"/>
      <c r="G215" s="9"/>
      <c r="H215" s="7"/>
      <c r="I215" s="7"/>
      <c r="J215" s="8"/>
      <c r="K215" s="5" t="str">
        <f aca="false">IF($I215="","",1+IF($J215="",0,LEN($J215)-LEN(SUBSTITUTE($J215,",",""))+1))</f>
        <v/>
      </c>
      <c r="L215" s="7"/>
      <c r="M215" s="8"/>
      <c r="N215" s="10"/>
      <c r="O215" s="10"/>
      <c r="P215" s="5" t="str">
        <f aca="false">IF(OR($B215="",$C215=""),"",$C215-$B215+1)</f>
        <v/>
      </c>
      <c r="Q215" s="11"/>
      <c r="R215" s="12" t="str">
        <f aca="false">IF(OR($Q215="",$K215=""),"",$Q215*$K215)</f>
        <v/>
      </c>
      <c r="S215" s="7"/>
      <c r="T215" s="10"/>
      <c r="U215" s="8"/>
    </row>
    <row r="216" customFormat="false" ht="18.75" hidden="false" customHeight="true" outlineLevel="0" collapsed="false">
      <c r="A216" s="5" t="str">
        <f aca="false">IF($B216="","",COUNT($B$5:$B216))</f>
        <v/>
      </c>
      <c r="B216" s="13"/>
      <c r="C216" s="13"/>
      <c r="D216" s="14"/>
      <c r="E216" s="14"/>
      <c r="F216" s="15"/>
      <c r="G216" s="16"/>
      <c r="H216" s="14"/>
      <c r="I216" s="14"/>
      <c r="J216" s="15"/>
      <c r="K216" s="5" t="str">
        <f aca="false">IF($I216="","",1+IF($J216="",0,LEN($J216)-LEN(SUBSTITUTE($J216,",",""))+1))</f>
        <v/>
      </c>
      <c r="L216" s="14"/>
      <c r="M216" s="15"/>
      <c r="N216" s="17"/>
      <c r="O216" s="17"/>
      <c r="P216" s="5" t="str">
        <f aca="false">IF(OR($B216="",$C216=""),"",$C216-$B216+1)</f>
        <v/>
      </c>
      <c r="Q216" s="18"/>
      <c r="R216" s="12" t="str">
        <f aca="false">IF(OR($Q216="",$K216=""),"",$Q216*$K216)</f>
        <v/>
      </c>
      <c r="S216" s="14"/>
      <c r="T216" s="17"/>
      <c r="U216" s="15"/>
    </row>
    <row r="217" customFormat="false" ht="18.75" hidden="false" customHeight="true" outlineLevel="0" collapsed="false">
      <c r="A217" s="5" t="str">
        <f aca="false">IF($B217="","",COUNT($B$5:$B217))</f>
        <v/>
      </c>
      <c r="B217" s="6"/>
      <c r="C217" s="6"/>
      <c r="D217" s="7"/>
      <c r="E217" s="7"/>
      <c r="F217" s="8"/>
      <c r="G217" s="9"/>
      <c r="H217" s="7"/>
      <c r="I217" s="7"/>
      <c r="J217" s="8"/>
      <c r="K217" s="5" t="str">
        <f aca="false">IF($I217="","",1+IF($J217="",0,LEN($J217)-LEN(SUBSTITUTE($J217,",",""))+1))</f>
        <v/>
      </c>
      <c r="L217" s="7"/>
      <c r="M217" s="8"/>
      <c r="N217" s="10"/>
      <c r="O217" s="10"/>
      <c r="P217" s="5" t="str">
        <f aca="false">IF(OR($B217="",$C217=""),"",$C217-$B217+1)</f>
        <v/>
      </c>
      <c r="Q217" s="11"/>
      <c r="R217" s="12" t="str">
        <f aca="false">IF(OR($Q217="",$K217=""),"",$Q217*$K217)</f>
        <v/>
      </c>
      <c r="S217" s="7"/>
      <c r="T217" s="10"/>
      <c r="U217" s="8"/>
    </row>
    <row r="218" customFormat="false" ht="18.75" hidden="false" customHeight="true" outlineLevel="0" collapsed="false">
      <c r="A218" s="5" t="str">
        <f aca="false">IF($B218="","",COUNT($B$5:$B218))</f>
        <v/>
      </c>
      <c r="B218" s="13"/>
      <c r="C218" s="13"/>
      <c r="D218" s="14"/>
      <c r="E218" s="14"/>
      <c r="F218" s="15"/>
      <c r="G218" s="16"/>
      <c r="H218" s="14"/>
      <c r="I218" s="14"/>
      <c r="J218" s="15"/>
      <c r="K218" s="5" t="str">
        <f aca="false">IF($I218="","",1+IF($J218="",0,LEN($J218)-LEN(SUBSTITUTE($J218,",",""))+1))</f>
        <v/>
      </c>
      <c r="L218" s="14"/>
      <c r="M218" s="15"/>
      <c r="N218" s="17"/>
      <c r="O218" s="17"/>
      <c r="P218" s="5" t="str">
        <f aca="false">IF(OR($B218="",$C218=""),"",$C218-$B218+1)</f>
        <v/>
      </c>
      <c r="Q218" s="18"/>
      <c r="R218" s="12" t="str">
        <f aca="false">IF(OR($Q218="",$K218=""),"",$Q218*$K218)</f>
        <v/>
      </c>
      <c r="S218" s="14"/>
      <c r="T218" s="17"/>
      <c r="U218" s="15"/>
    </row>
    <row r="219" customFormat="false" ht="18.75" hidden="false" customHeight="true" outlineLevel="0" collapsed="false">
      <c r="A219" s="5" t="str">
        <f aca="false">IF($B219="","",COUNT($B$5:$B219))</f>
        <v/>
      </c>
      <c r="B219" s="6"/>
      <c r="C219" s="6"/>
      <c r="D219" s="7"/>
      <c r="E219" s="7"/>
      <c r="F219" s="8"/>
      <c r="G219" s="9"/>
      <c r="H219" s="7"/>
      <c r="I219" s="7"/>
      <c r="J219" s="8"/>
      <c r="K219" s="5" t="str">
        <f aca="false">IF($I219="","",1+IF($J219="",0,LEN($J219)-LEN(SUBSTITUTE($J219,",",""))+1))</f>
        <v/>
      </c>
      <c r="L219" s="7"/>
      <c r="M219" s="8"/>
      <c r="N219" s="10"/>
      <c r="O219" s="10"/>
      <c r="P219" s="5" t="str">
        <f aca="false">IF(OR($B219="",$C219=""),"",$C219-$B219+1)</f>
        <v/>
      </c>
      <c r="Q219" s="11"/>
      <c r="R219" s="12" t="str">
        <f aca="false">IF(OR($Q219="",$K219=""),"",$Q219*$K219)</f>
        <v/>
      </c>
      <c r="S219" s="7"/>
      <c r="T219" s="10"/>
      <c r="U219" s="8"/>
    </row>
    <row r="220" customFormat="false" ht="18.75" hidden="false" customHeight="true" outlineLevel="0" collapsed="false">
      <c r="A220" s="5" t="str">
        <f aca="false">IF($B220="","",COUNT($B$5:$B220))</f>
        <v/>
      </c>
      <c r="B220" s="13"/>
      <c r="C220" s="13"/>
      <c r="D220" s="14"/>
      <c r="E220" s="14"/>
      <c r="F220" s="15"/>
      <c r="G220" s="16"/>
      <c r="H220" s="14"/>
      <c r="I220" s="14"/>
      <c r="J220" s="15"/>
      <c r="K220" s="5" t="str">
        <f aca="false">IF($I220="","",1+IF($J220="",0,LEN($J220)-LEN(SUBSTITUTE($J220,",",""))+1))</f>
        <v/>
      </c>
      <c r="L220" s="14"/>
      <c r="M220" s="15"/>
      <c r="N220" s="17"/>
      <c r="O220" s="17"/>
      <c r="P220" s="5" t="str">
        <f aca="false">IF(OR($B220="",$C220=""),"",$C220-$B220+1)</f>
        <v/>
      </c>
      <c r="Q220" s="18"/>
      <c r="R220" s="12" t="str">
        <f aca="false">IF(OR($Q220="",$K220=""),"",$Q220*$K220)</f>
        <v/>
      </c>
      <c r="S220" s="14"/>
      <c r="T220" s="17"/>
      <c r="U220" s="15"/>
    </row>
    <row r="221" customFormat="false" ht="18.75" hidden="false" customHeight="true" outlineLevel="0" collapsed="false">
      <c r="A221" s="5" t="str">
        <f aca="false">IF($B221="","",COUNT($B$5:$B221))</f>
        <v/>
      </c>
      <c r="B221" s="6"/>
      <c r="C221" s="6"/>
      <c r="D221" s="7"/>
      <c r="E221" s="7"/>
      <c r="F221" s="8"/>
      <c r="G221" s="9"/>
      <c r="H221" s="7"/>
      <c r="I221" s="7"/>
      <c r="J221" s="8"/>
      <c r="K221" s="5" t="str">
        <f aca="false">IF($I221="","",1+IF($J221="",0,LEN($J221)-LEN(SUBSTITUTE($J221,",",""))+1))</f>
        <v/>
      </c>
      <c r="L221" s="7"/>
      <c r="M221" s="8"/>
      <c r="N221" s="10"/>
      <c r="O221" s="10"/>
      <c r="P221" s="5" t="str">
        <f aca="false">IF(OR($B221="",$C221=""),"",$C221-$B221+1)</f>
        <v/>
      </c>
      <c r="Q221" s="11"/>
      <c r="R221" s="12" t="str">
        <f aca="false">IF(OR($Q221="",$K221=""),"",$Q221*$K221)</f>
        <v/>
      </c>
      <c r="S221" s="7"/>
      <c r="T221" s="10"/>
      <c r="U221" s="8"/>
    </row>
    <row r="222" customFormat="false" ht="18.75" hidden="false" customHeight="true" outlineLevel="0" collapsed="false">
      <c r="A222" s="5" t="str">
        <f aca="false">IF($B222="","",COUNT($B$5:$B222))</f>
        <v/>
      </c>
      <c r="B222" s="13"/>
      <c r="C222" s="13"/>
      <c r="D222" s="14"/>
      <c r="E222" s="14"/>
      <c r="F222" s="15"/>
      <c r="G222" s="16"/>
      <c r="H222" s="14"/>
      <c r="I222" s="14"/>
      <c r="J222" s="15"/>
      <c r="K222" s="5" t="str">
        <f aca="false">IF($I222="","",1+IF($J222="",0,LEN($J222)-LEN(SUBSTITUTE($J222,",",""))+1))</f>
        <v/>
      </c>
      <c r="L222" s="14"/>
      <c r="M222" s="15"/>
      <c r="N222" s="17"/>
      <c r="O222" s="17"/>
      <c r="P222" s="5" t="str">
        <f aca="false">IF(OR($B222="",$C222=""),"",$C222-$B222+1)</f>
        <v/>
      </c>
      <c r="Q222" s="18"/>
      <c r="R222" s="12" t="str">
        <f aca="false">IF(OR($Q222="",$K222=""),"",$Q222*$K222)</f>
        <v/>
      </c>
      <c r="S222" s="14"/>
      <c r="T222" s="17"/>
      <c r="U222" s="15"/>
    </row>
    <row r="223" customFormat="false" ht="18.75" hidden="false" customHeight="true" outlineLevel="0" collapsed="false">
      <c r="A223" s="5" t="str">
        <f aca="false">IF($B223="","",COUNT($B$5:$B223))</f>
        <v/>
      </c>
      <c r="B223" s="6"/>
      <c r="C223" s="6"/>
      <c r="D223" s="7"/>
      <c r="E223" s="7"/>
      <c r="F223" s="8"/>
      <c r="G223" s="9"/>
      <c r="H223" s="7"/>
      <c r="I223" s="7"/>
      <c r="J223" s="8"/>
      <c r="K223" s="5" t="str">
        <f aca="false">IF($I223="","",1+IF($J223="",0,LEN($J223)-LEN(SUBSTITUTE($J223,",",""))+1))</f>
        <v/>
      </c>
      <c r="L223" s="7"/>
      <c r="M223" s="8"/>
      <c r="N223" s="10"/>
      <c r="O223" s="10"/>
      <c r="P223" s="5" t="str">
        <f aca="false">IF(OR($B223="",$C223=""),"",$C223-$B223+1)</f>
        <v/>
      </c>
      <c r="Q223" s="11"/>
      <c r="R223" s="12" t="str">
        <f aca="false">IF(OR($Q223="",$K223=""),"",$Q223*$K223)</f>
        <v/>
      </c>
      <c r="S223" s="7"/>
      <c r="T223" s="10"/>
      <c r="U223" s="8"/>
    </row>
    <row r="224" customFormat="false" ht="18.75" hidden="false" customHeight="true" outlineLevel="0" collapsed="false">
      <c r="A224" s="5" t="str">
        <f aca="false">IF($B224="","",COUNT($B$5:$B224))</f>
        <v/>
      </c>
      <c r="B224" s="13"/>
      <c r="C224" s="13"/>
      <c r="D224" s="14"/>
      <c r="E224" s="14"/>
      <c r="F224" s="15"/>
      <c r="G224" s="16"/>
      <c r="H224" s="14"/>
      <c r="I224" s="14"/>
      <c r="J224" s="15"/>
      <c r="K224" s="5" t="str">
        <f aca="false">IF($I224="","",1+IF($J224="",0,LEN($J224)-LEN(SUBSTITUTE($J224,",",""))+1))</f>
        <v/>
      </c>
      <c r="L224" s="14"/>
      <c r="M224" s="15"/>
      <c r="N224" s="17"/>
      <c r="O224" s="17"/>
      <c r="P224" s="5" t="str">
        <f aca="false">IF(OR($B224="",$C224=""),"",$C224-$B224+1)</f>
        <v/>
      </c>
      <c r="Q224" s="18"/>
      <c r="R224" s="12" t="str">
        <f aca="false">IF(OR($Q224="",$K224=""),"",$Q224*$K224)</f>
        <v/>
      </c>
      <c r="S224" s="14"/>
      <c r="T224" s="17"/>
      <c r="U224" s="15"/>
    </row>
    <row r="225" customFormat="false" ht="18.75" hidden="false" customHeight="true" outlineLevel="0" collapsed="false">
      <c r="A225" s="5" t="str">
        <f aca="false">IF($B225="","",COUNT($B$5:$B225))</f>
        <v/>
      </c>
      <c r="B225" s="6"/>
      <c r="C225" s="6"/>
      <c r="D225" s="7"/>
      <c r="E225" s="7"/>
      <c r="F225" s="8"/>
      <c r="G225" s="9"/>
      <c r="H225" s="7"/>
      <c r="I225" s="7"/>
      <c r="J225" s="8"/>
      <c r="K225" s="5" t="str">
        <f aca="false">IF($I225="","",1+IF($J225="",0,LEN($J225)-LEN(SUBSTITUTE($J225,",",""))+1))</f>
        <v/>
      </c>
      <c r="L225" s="7"/>
      <c r="M225" s="8"/>
      <c r="N225" s="10"/>
      <c r="O225" s="10"/>
      <c r="P225" s="5" t="str">
        <f aca="false">IF(OR($B225="",$C225=""),"",$C225-$B225+1)</f>
        <v/>
      </c>
      <c r="Q225" s="11"/>
      <c r="R225" s="12" t="str">
        <f aca="false">IF(OR($Q225="",$K225=""),"",$Q225*$K225)</f>
        <v/>
      </c>
      <c r="S225" s="7"/>
      <c r="T225" s="10"/>
      <c r="U225" s="8"/>
    </row>
    <row r="226" customFormat="false" ht="18.75" hidden="false" customHeight="true" outlineLevel="0" collapsed="false">
      <c r="A226" s="5" t="str">
        <f aca="false">IF($B226="","",COUNT($B$5:$B226))</f>
        <v/>
      </c>
      <c r="B226" s="13"/>
      <c r="C226" s="13"/>
      <c r="D226" s="14"/>
      <c r="E226" s="14"/>
      <c r="F226" s="15"/>
      <c r="G226" s="16"/>
      <c r="H226" s="14"/>
      <c r="I226" s="14"/>
      <c r="J226" s="15"/>
      <c r="K226" s="5" t="str">
        <f aca="false">IF($I226="","",1+IF($J226="",0,LEN($J226)-LEN(SUBSTITUTE($J226,",",""))+1))</f>
        <v/>
      </c>
      <c r="L226" s="14"/>
      <c r="M226" s="15"/>
      <c r="N226" s="17"/>
      <c r="O226" s="17"/>
      <c r="P226" s="5" t="str">
        <f aca="false">IF(OR($B226="",$C226=""),"",$C226-$B226+1)</f>
        <v/>
      </c>
      <c r="Q226" s="18"/>
      <c r="R226" s="12" t="str">
        <f aca="false">IF(OR($Q226="",$K226=""),"",$Q226*$K226)</f>
        <v/>
      </c>
      <c r="S226" s="14"/>
      <c r="T226" s="17"/>
      <c r="U226" s="15"/>
    </row>
    <row r="227" customFormat="false" ht="18.75" hidden="false" customHeight="true" outlineLevel="0" collapsed="false">
      <c r="A227" s="5" t="str">
        <f aca="false">IF($B227="","",COUNT($B$5:$B227))</f>
        <v/>
      </c>
      <c r="B227" s="6"/>
      <c r="C227" s="6"/>
      <c r="D227" s="7"/>
      <c r="E227" s="7"/>
      <c r="F227" s="8"/>
      <c r="G227" s="9"/>
      <c r="H227" s="7"/>
      <c r="I227" s="7"/>
      <c r="J227" s="8"/>
      <c r="K227" s="5" t="str">
        <f aca="false">IF($I227="","",1+IF($J227="",0,LEN($J227)-LEN(SUBSTITUTE($J227,",",""))+1))</f>
        <v/>
      </c>
      <c r="L227" s="7"/>
      <c r="M227" s="8"/>
      <c r="N227" s="10"/>
      <c r="O227" s="10"/>
      <c r="P227" s="5" t="str">
        <f aca="false">IF(OR($B227="",$C227=""),"",$C227-$B227+1)</f>
        <v/>
      </c>
      <c r="Q227" s="11"/>
      <c r="R227" s="12" t="str">
        <f aca="false">IF(OR($Q227="",$K227=""),"",$Q227*$K227)</f>
        <v/>
      </c>
      <c r="S227" s="7"/>
      <c r="T227" s="10"/>
      <c r="U227" s="8"/>
    </row>
    <row r="228" customFormat="false" ht="18.75" hidden="false" customHeight="true" outlineLevel="0" collapsed="false">
      <c r="A228" s="5" t="str">
        <f aca="false">IF($B228="","",COUNT($B$5:$B228))</f>
        <v/>
      </c>
      <c r="B228" s="13"/>
      <c r="C228" s="13"/>
      <c r="D228" s="14"/>
      <c r="E228" s="14"/>
      <c r="F228" s="15"/>
      <c r="G228" s="16"/>
      <c r="H228" s="14"/>
      <c r="I228" s="14"/>
      <c r="J228" s="15"/>
      <c r="K228" s="5" t="str">
        <f aca="false">IF($I228="","",1+IF($J228="",0,LEN($J228)-LEN(SUBSTITUTE($J228,",",""))+1))</f>
        <v/>
      </c>
      <c r="L228" s="14"/>
      <c r="M228" s="15"/>
      <c r="N228" s="17"/>
      <c r="O228" s="17"/>
      <c r="P228" s="5" t="str">
        <f aca="false">IF(OR($B228="",$C228=""),"",$C228-$B228+1)</f>
        <v/>
      </c>
      <c r="Q228" s="18"/>
      <c r="R228" s="12" t="str">
        <f aca="false">IF(OR($Q228="",$K228=""),"",$Q228*$K228)</f>
        <v/>
      </c>
      <c r="S228" s="14"/>
      <c r="T228" s="17"/>
      <c r="U228" s="15"/>
    </row>
    <row r="229" customFormat="false" ht="18.75" hidden="false" customHeight="true" outlineLevel="0" collapsed="false">
      <c r="A229" s="5" t="str">
        <f aca="false">IF($B229="","",COUNT($B$5:$B229))</f>
        <v/>
      </c>
      <c r="B229" s="6"/>
      <c r="C229" s="6"/>
      <c r="D229" s="7"/>
      <c r="E229" s="7"/>
      <c r="F229" s="8"/>
      <c r="G229" s="9"/>
      <c r="H229" s="7"/>
      <c r="I229" s="7"/>
      <c r="J229" s="8"/>
      <c r="K229" s="5" t="str">
        <f aca="false">IF($I229="","",1+IF($J229="",0,LEN($J229)-LEN(SUBSTITUTE($J229,",",""))+1))</f>
        <v/>
      </c>
      <c r="L229" s="7"/>
      <c r="M229" s="8"/>
      <c r="N229" s="10"/>
      <c r="O229" s="10"/>
      <c r="P229" s="5" t="str">
        <f aca="false">IF(OR($B229="",$C229=""),"",$C229-$B229+1)</f>
        <v/>
      </c>
      <c r="Q229" s="11"/>
      <c r="R229" s="12" t="str">
        <f aca="false">IF(OR($Q229="",$K229=""),"",$Q229*$K229)</f>
        <v/>
      </c>
      <c r="S229" s="7"/>
      <c r="T229" s="10"/>
      <c r="U229" s="8"/>
    </row>
    <row r="230" customFormat="false" ht="18.75" hidden="false" customHeight="true" outlineLevel="0" collapsed="false">
      <c r="A230" s="5" t="str">
        <f aca="false">IF($B230="","",COUNT($B$5:$B230))</f>
        <v/>
      </c>
      <c r="B230" s="13"/>
      <c r="C230" s="13"/>
      <c r="D230" s="14"/>
      <c r="E230" s="14"/>
      <c r="F230" s="15"/>
      <c r="G230" s="16"/>
      <c r="H230" s="14"/>
      <c r="I230" s="14"/>
      <c r="J230" s="15"/>
      <c r="K230" s="5" t="str">
        <f aca="false">IF($I230="","",1+IF($J230="",0,LEN($J230)-LEN(SUBSTITUTE($J230,",",""))+1))</f>
        <v/>
      </c>
      <c r="L230" s="14"/>
      <c r="M230" s="15"/>
      <c r="N230" s="17"/>
      <c r="O230" s="17"/>
      <c r="P230" s="5" t="str">
        <f aca="false">IF(OR($B230="",$C230=""),"",$C230-$B230+1)</f>
        <v/>
      </c>
      <c r="Q230" s="18"/>
      <c r="R230" s="12" t="str">
        <f aca="false">IF(OR($Q230="",$K230=""),"",$Q230*$K230)</f>
        <v/>
      </c>
      <c r="S230" s="14"/>
      <c r="T230" s="17"/>
      <c r="U230" s="15"/>
    </row>
    <row r="231" customFormat="false" ht="18.75" hidden="false" customHeight="true" outlineLevel="0" collapsed="false">
      <c r="A231" s="5" t="str">
        <f aca="false">IF($B231="","",COUNT($B$5:$B231))</f>
        <v/>
      </c>
      <c r="B231" s="6"/>
      <c r="C231" s="6"/>
      <c r="D231" s="7"/>
      <c r="E231" s="7"/>
      <c r="F231" s="8"/>
      <c r="G231" s="9"/>
      <c r="H231" s="7"/>
      <c r="I231" s="7"/>
      <c r="J231" s="8"/>
      <c r="K231" s="5" t="str">
        <f aca="false">IF($I231="","",1+IF($J231="",0,LEN($J231)-LEN(SUBSTITUTE($J231,",",""))+1))</f>
        <v/>
      </c>
      <c r="L231" s="7"/>
      <c r="M231" s="8"/>
      <c r="N231" s="10"/>
      <c r="O231" s="10"/>
      <c r="P231" s="5" t="str">
        <f aca="false">IF(OR($B231="",$C231=""),"",$C231-$B231+1)</f>
        <v/>
      </c>
      <c r="Q231" s="11"/>
      <c r="R231" s="12" t="str">
        <f aca="false">IF(OR($Q231="",$K231=""),"",$Q231*$K231)</f>
        <v/>
      </c>
      <c r="S231" s="7"/>
      <c r="T231" s="10"/>
      <c r="U231" s="8"/>
    </row>
    <row r="232" customFormat="false" ht="18.75" hidden="false" customHeight="true" outlineLevel="0" collapsed="false">
      <c r="A232" s="5" t="str">
        <f aca="false">IF($B232="","",COUNT($B$5:$B232))</f>
        <v/>
      </c>
      <c r="B232" s="13"/>
      <c r="C232" s="13"/>
      <c r="D232" s="14"/>
      <c r="E232" s="14"/>
      <c r="F232" s="15"/>
      <c r="G232" s="16"/>
      <c r="H232" s="14"/>
      <c r="I232" s="14"/>
      <c r="J232" s="15"/>
      <c r="K232" s="5" t="str">
        <f aca="false">IF($I232="","",1+IF($J232="",0,LEN($J232)-LEN(SUBSTITUTE($J232,",",""))+1))</f>
        <v/>
      </c>
      <c r="L232" s="14"/>
      <c r="M232" s="15"/>
      <c r="N232" s="17"/>
      <c r="O232" s="17"/>
      <c r="P232" s="5" t="str">
        <f aca="false">IF(OR($B232="",$C232=""),"",$C232-$B232+1)</f>
        <v/>
      </c>
      <c r="Q232" s="18"/>
      <c r="R232" s="12" t="str">
        <f aca="false">IF(OR($Q232="",$K232=""),"",$Q232*$K232)</f>
        <v/>
      </c>
      <c r="S232" s="14"/>
      <c r="T232" s="17"/>
      <c r="U232" s="15"/>
    </row>
    <row r="233" customFormat="false" ht="18.75" hidden="false" customHeight="true" outlineLevel="0" collapsed="false">
      <c r="A233" s="5" t="str">
        <f aca="false">IF($B233="","",COUNT($B$5:$B233))</f>
        <v/>
      </c>
      <c r="B233" s="6"/>
      <c r="C233" s="6"/>
      <c r="D233" s="7"/>
      <c r="E233" s="7"/>
      <c r="F233" s="8"/>
      <c r="G233" s="9"/>
      <c r="H233" s="7"/>
      <c r="I233" s="7"/>
      <c r="J233" s="8"/>
      <c r="K233" s="5" t="str">
        <f aca="false">IF($I233="","",1+IF($J233="",0,LEN($J233)-LEN(SUBSTITUTE($J233,",",""))+1))</f>
        <v/>
      </c>
      <c r="L233" s="7"/>
      <c r="M233" s="8"/>
      <c r="N233" s="10"/>
      <c r="O233" s="10"/>
      <c r="P233" s="5" t="str">
        <f aca="false">IF(OR($B233="",$C233=""),"",$C233-$B233+1)</f>
        <v/>
      </c>
      <c r="Q233" s="11"/>
      <c r="R233" s="12" t="str">
        <f aca="false">IF(OR($Q233="",$K233=""),"",$Q233*$K233)</f>
        <v/>
      </c>
      <c r="S233" s="7"/>
      <c r="T233" s="10"/>
      <c r="U233" s="8"/>
    </row>
    <row r="234" customFormat="false" ht="18.75" hidden="false" customHeight="true" outlineLevel="0" collapsed="false">
      <c r="A234" s="5" t="str">
        <f aca="false">IF($B234="","",COUNT($B$5:$B234))</f>
        <v/>
      </c>
      <c r="B234" s="13"/>
      <c r="C234" s="13"/>
      <c r="D234" s="14"/>
      <c r="E234" s="14"/>
      <c r="F234" s="15"/>
      <c r="G234" s="16"/>
      <c r="H234" s="14"/>
      <c r="I234" s="14"/>
      <c r="J234" s="15"/>
      <c r="K234" s="5" t="str">
        <f aca="false">IF($I234="","",1+IF($J234="",0,LEN($J234)-LEN(SUBSTITUTE($J234,",",""))+1))</f>
        <v/>
      </c>
      <c r="L234" s="14"/>
      <c r="M234" s="15"/>
      <c r="N234" s="17"/>
      <c r="O234" s="17"/>
      <c r="P234" s="5" t="str">
        <f aca="false">IF(OR($B234="",$C234=""),"",$C234-$B234+1)</f>
        <v/>
      </c>
      <c r="Q234" s="18"/>
      <c r="R234" s="12" t="str">
        <f aca="false">IF(OR($Q234="",$K234=""),"",$Q234*$K234)</f>
        <v/>
      </c>
      <c r="S234" s="14"/>
      <c r="T234" s="17"/>
      <c r="U234" s="15"/>
    </row>
    <row r="235" customFormat="false" ht="18.75" hidden="false" customHeight="true" outlineLevel="0" collapsed="false">
      <c r="A235" s="5" t="str">
        <f aca="false">IF($B235="","",COUNT($B$5:$B235))</f>
        <v/>
      </c>
      <c r="B235" s="6"/>
      <c r="C235" s="6"/>
      <c r="D235" s="7"/>
      <c r="E235" s="7"/>
      <c r="F235" s="8"/>
      <c r="G235" s="9"/>
      <c r="H235" s="7"/>
      <c r="I235" s="7"/>
      <c r="J235" s="8"/>
      <c r="K235" s="5" t="str">
        <f aca="false">IF($I235="","",1+IF($J235="",0,LEN($J235)-LEN(SUBSTITUTE($J235,",",""))+1))</f>
        <v/>
      </c>
      <c r="L235" s="7"/>
      <c r="M235" s="8"/>
      <c r="N235" s="10"/>
      <c r="O235" s="10"/>
      <c r="P235" s="5" t="str">
        <f aca="false">IF(OR($B235="",$C235=""),"",$C235-$B235+1)</f>
        <v/>
      </c>
      <c r="Q235" s="11"/>
      <c r="R235" s="12" t="str">
        <f aca="false">IF(OR($Q235="",$K235=""),"",$Q235*$K235)</f>
        <v/>
      </c>
      <c r="S235" s="7"/>
      <c r="T235" s="10"/>
      <c r="U235" s="8"/>
    </row>
    <row r="236" customFormat="false" ht="18.75" hidden="false" customHeight="true" outlineLevel="0" collapsed="false">
      <c r="A236" s="5" t="str">
        <f aca="false">IF($B236="","",COUNT($B$5:$B236))</f>
        <v/>
      </c>
      <c r="B236" s="13"/>
      <c r="C236" s="13"/>
      <c r="D236" s="14"/>
      <c r="E236" s="14"/>
      <c r="F236" s="15"/>
      <c r="G236" s="16"/>
      <c r="H236" s="14"/>
      <c r="I236" s="14"/>
      <c r="J236" s="15"/>
      <c r="K236" s="5" t="str">
        <f aca="false">IF($I236="","",1+IF($J236="",0,LEN($J236)-LEN(SUBSTITUTE($J236,",",""))+1))</f>
        <v/>
      </c>
      <c r="L236" s="14"/>
      <c r="M236" s="15"/>
      <c r="N236" s="17"/>
      <c r="O236" s="17"/>
      <c r="P236" s="5" t="str">
        <f aca="false">IF(OR($B236="",$C236=""),"",$C236-$B236+1)</f>
        <v/>
      </c>
      <c r="Q236" s="18"/>
      <c r="R236" s="12" t="str">
        <f aca="false">IF(OR($Q236="",$K236=""),"",$Q236*$K236)</f>
        <v/>
      </c>
      <c r="S236" s="14"/>
      <c r="T236" s="17"/>
      <c r="U236" s="15"/>
    </row>
    <row r="237" customFormat="false" ht="18.75" hidden="false" customHeight="true" outlineLevel="0" collapsed="false">
      <c r="A237" s="5" t="str">
        <f aca="false">IF($B237="","",COUNT($B$5:$B237))</f>
        <v/>
      </c>
      <c r="B237" s="6"/>
      <c r="C237" s="6"/>
      <c r="D237" s="7"/>
      <c r="E237" s="7"/>
      <c r="F237" s="8"/>
      <c r="G237" s="9"/>
      <c r="H237" s="7"/>
      <c r="I237" s="7"/>
      <c r="J237" s="8"/>
      <c r="K237" s="5" t="str">
        <f aca="false">IF($I237="","",1+IF($J237="",0,LEN($J237)-LEN(SUBSTITUTE($J237,",",""))+1))</f>
        <v/>
      </c>
      <c r="L237" s="7"/>
      <c r="M237" s="8"/>
      <c r="N237" s="10"/>
      <c r="O237" s="10"/>
      <c r="P237" s="5" t="str">
        <f aca="false">IF(OR($B237="",$C237=""),"",$C237-$B237+1)</f>
        <v/>
      </c>
      <c r="Q237" s="11"/>
      <c r="R237" s="12" t="str">
        <f aca="false">IF(OR($Q237="",$K237=""),"",$Q237*$K237)</f>
        <v/>
      </c>
      <c r="S237" s="7"/>
      <c r="T237" s="10"/>
      <c r="U237" s="8"/>
    </row>
    <row r="238" customFormat="false" ht="18.75" hidden="false" customHeight="true" outlineLevel="0" collapsed="false">
      <c r="A238" s="5" t="str">
        <f aca="false">IF($B238="","",COUNT($B$5:$B238))</f>
        <v/>
      </c>
      <c r="B238" s="13"/>
      <c r="C238" s="13"/>
      <c r="D238" s="14"/>
      <c r="E238" s="14"/>
      <c r="F238" s="15"/>
      <c r="G238" s="16"/>
      <c r="H238" s="14"/>
      <c r="I238" s="14"/>
      <c r="J238" s="15"/>
      <c r="K238" s="5" t="str">
        <f aca="false">IF($I238="","",1+IF($J238="",0,LEN($J238)-LEN(SUBSTITUTE($J238,",",""))+1))</f>
        <v/>
      </c>
      <c r="L238" s="14"/>
      <c r="M238" s="15"/>
      <c r="N238" s="17"/>
      <c r="O238" s="17"/>
      <c r="P238" s="5" t="str">
        <f aca="false">IF(OR($B238="",$C238=""),"",$C238-$B238+1)</f>
        <v/>
      </c>
      <c r="Q238" s="18"/>
      <c r="R238" s="12" t="str">
        <f aca="false">IF(OR($Q238="",$K238=""),"",$Q238*$K238)</f>
        <v/>
      </c>
      <c r="S238" s="14"/>
      <c r="T238" s="17"/>
      <c r="U238" s="15"/>
    </row>
    <row r="239" customFormat="false" ht="18.75" hidden="false" customHeight="true" outlineLevel="0" collapsed="false">
      <c r="A239" s="5" t="str">
        <f aca="false">IF($B239="","",COUNT($B$5:$B239))</f>
        <v/>
      </c>
      <c r="B239" s="6"/>
      <c r="C239" s="6"/>
      <c r="D239" s="7"/>
      <c r="E239" s="7"/>
      <c r="F239" s="8"/>
      <c r="G239" s="9"/>
      <c r="H239" s="7"/>
      <c r="I239" s="7"/>
      <c r="J239" s="8"/>
      <c r="K239" s="5" t="str">
        <f aca="false">IF($I239="","",1+IF($J239="",0,LEN($J239)-LEN(SUBSTITUTE($J239,",",""))+1))</f>
        <v/>
      </c>
      <c r="L239" s="7"/>
      <c r="M239" s="8"/>
      <c r="N239" s="10"/>
      <c r="O239" s="10"/>
      <c r="P239" s="5" t="str">
        <f aca="false">IF(OR($B239="",$C239=""),"",$C239-$B239+1)</f>
        <v/>
      </c>
      <c r="Q239" s="11"/>
      <c r="R239" s="12" t="str">
        <f aca="false">IF(OR($Q239="",$K239=""),"",$Q239*$K239)</f>
        <v/>
      </c>
      <c r="S239" s="7"/>
      <c r="T239" s="10"/>
      <c r="U239" s="8"/>
    </row>
    <row r="240" customFormat="false" ht="18.75" hidden="false" customHeight="true" outlineLevel="0" collapsed="false">
      <c r="A240" s="5" t="str">
        <f aca="false">IF($B240="","",COUNT($B$5:$B240))</f>
        <v/>
      </c>
      <c r="B240" s="13"/>
      <c r="C240" s="13"/>
      <c r="D240" s="14"/>
      <c r="E240" s="14"/>
      <c r="F240" s="15"/>
      <c r="G240" s="16"/>
      <c r="H240" s="14"/>
      <c r="I240" s="14"/>
      <c r="J240" s="15"/>
      <c r="K240" s="5" t="str">
        <f aca="false">IF($I240="","",1+IF($J240="",0,LEN($J240)-LEN(SUBSTITUTE($J240,",",""))+1))</f>
        <v/>
      </c>
      <c r="L240" s="14"/>
      <c r="M240" s="15"/>
      <c r="N240" s="17"/>
      <c r="O240" s="17"/>
      <c r="P240" s="5" t="str">
        <f aca="false">IF(OR($B240="",$C240=""),"",$C240-$B240+1)</f>
        <v/>
      </c>
      <c r="Q240" s="18"/>
      <c r="R240" s="12" t="str">
        <f aca="false">IF(OR($Q240="",$K240=""),"",$Q240*$K240)</f>
        <v/>
      </c>
      <c r="S240" s="14"/>
      <c r="T240" s="17"/>
      <c r="U240" s="15"/>
    </row>
    <row r="241" customFormat="false" ht="18.75" hidden="false" customHeight="true" outlineLevel="0" collapsed="false">
      <c r="A241" s="5" t="str">
        <f aca="false">IF($B241="","",COUNT($B$5:$B241))</f>
        <v/>
      </c>
      <c r="B241" s="6"/>
      <c r="C241" s="6"/>
      <c r="D241" s="7"/>
      <c r="E241" s="7"/>
      <c r="F241" s="8"/>
      <c r="G241" s="9"/>
      <c r="H241" s="7"/>
      <c r="I241" s="7"/>
      <c r="J241" s="8"/>
      <c r="K241" s="5" t="str">
        <f aca="false">IF($I241="","",1+IF($J241="",0,LEN($J241)-LEN(SUBSTITUTE($J241,",",""))+1))</f>
        <v/>
      </c>
      <c r="L241" s="7"/>
      <c r="M241" s="8"/>
      <c r="N241" s="10"/>
      <c r="O241" s="10"/>
      <c r="P241" s="5" t="str">
        <f aca="false">IF(OR($B241="",$C241=""),"",$C241-$B241+1)</f>
        <v/>
      </c>
      <c r="Q241" s="11"/>
      <c r="R241" s="12" t="str">
        <f aca="false">IF(OR($Q241="",$K241=""),"",$Q241*$K241)</f>
        <v/>
      </c>
      <c r="S241" s="7"/>
      <c r="T241" s="10"/>
      <c r="U241" s="8"/>
    </row>
    <row r="242" customFormat="false" ht="18.75" hidden="false" customHeight="true" outlineLevel="0" collapsed="false">
      <c r="A242" s="5" t="str">
        <f aca="false">IF($B242="","",COUNT($B$5:$B242))</f>
        <v/>
      </c>
      <c r="B242" s="13"/>
      <c r="C242" s="13"/>
      <c r="D242" s="14"/>
      <c r="E242" s="14"/>
      <c r="F242" s="15"/>
      <c r="G242" s="16"/>
      <c r="H242" s="14"/>
      <c r="I242" s="14"/>
      <c r="J242" s="15"/>
      <c r="K242" s="5" t="str">
        <f aca="false">IF($I242="","",1+IF($J242="",0,LEN($J242)-LEN(SUBSTITUTE($J242,",",""))+1))</f>
        <v/>
      </c>
      <c r="L242" s="14"/>
      <c r="M242" s="15"/>
      <c r="N242" s="17"/>
      <c r="O242" s="17"/>
      <c r="P242" s="5" t="str">
        <f aca="false">IF(OR($B242="",$C242=""),"",$C242-$B242+1)</f>
        <v/>
      </c>
      <c r="Q242" s="18"/>
      <c r="R242" s="12" t="str">
        <f aca="false">IF(OR($Q242="",$K242=""),"",$Q242*$K242)</f>
        <v/>
      </c>
      <c r="S242" s="14"/>
      <c r="T242" s="17"/>
      <c r="U242" s="15"/>
    </row>
    <row r="243" customFormat="false" ht="18.75" hidden="false" customHeight="true" outlineLevel="0" collapsed="false">
      <c r="A243" s="5" t="str">
        <f aca="false">IF($B243="","",COUNT($B$5:$B243))</f>
        <v/>
      </c>
      <c r="B243" s="6"/>
      <c r="C243" s="6"/>
      <c r="D243" s="7"/>
      <c r="E243" s="7"/>
      <c r="F243" s="8"/>
      <c r="G243" s="9"/>
      <c r="H243" s="7"/>
      <c r="I243" s="7"/>
      <c r="J243" s="8"/>
      <c r="K243" s="5" t="str">
        <f aca="false">IF($I243="","",1+IF($J243="",0,LEN($J243)-LEN(SUBSTITUTE($J243,",",""))+1))</f>
        <v/>
      </c>
      <c r="L243" s="7"/>
      <c r="M243" s="8"/>
      <c r="N243" s="10"/>
      <c r="O243" s="10"/>
      <c r="P243" s="5" t="str">
        <f aca="false">IF(OR($B243="",$C243=""),"",$C243-$B243+1)</f>
        <v/>
      </c>
      <c r="Q243" s="11"/>
      <c r="R243" s="12" t="str">
        <f aca="false">IF(OR($Q243="",$K243=""),"",$Q243*$K243)</f>
        <v/>
      </c>
      <c r="S243" s="7"/>
      <c r="T243" s="10"/>
      <c r="U243" s="8"/>
    </row>
    <row r="244" customFormat="false" ht="18.75" hidden="false" customHeight="true" outlineLevel="0" collapsed="false">
      <c r="A244" s="5" t="str">
        <f aca="false">IF($B244="","",COUNT($B$5:$B244))</f>
        <v/>
      </c>
      <c r="B244" s="13"/>
      <c r="C244" s="13"/>
      <c r="D244" s="14"/>
      <c r="E244" s="14"/>
      <c r="F244" s="15"/>
      <c r="G244" s="16"/>
      <c r="H244" s="14"/>
      <c r="I244" s="14"/>
      <c r="J244" s="15"/>
      <c r="K244" s="5" t="str">
        <f aca="false">IF($I244="","",1+IF($J244="",0,LEN($J244)-LEN(SUBSTITUTE($J244,",",""))+1))</f>
        <v/>
      </c>
      <c r="L244" s="14"/>
      <c r="M244" s="15"/>
      <c r="N244" s="17"/>
      <c r="O244" s="17"/>
      <c r="P244" s="5" t="str">
        <f aca="false">IF(OR($B244="",$C244=""),"",$C244-$B244+1)</f>
        <v/>
      </c>
      <c r="Q244" s="18"/>
      <c r="R244" s="12" t="str">
        <f aca="false">IF(OR($Q244="",$K244=""),"",$Q244*$K244)</f>
        <v/>
      </c>
      <c r="S244" s="14"/>
      <c r="T244" s="17"/>
      <c r="U244" s="15"/>
    </row>
    <row r="245" customFormat="false" ht="18.75" hidden="false" customHeight="true" outlineLevel="0" collapsed="false">
      <c r="A245" s="5" t="str">
        <f aca="false">IF($B245="","",COUNT($B$5:$B245))</f>
        <v/>
      </c>
      <c r="B245" s="6"/>
      <c r="C245" s="6"/>
      <c r="D245" s="7"/>
      <c r="E245" s="7"/>
      <c r="F245" s="8"/>
      <c r="G245" s="9"/>
      <c r="H245" s="7"/>
      <c r="I245" s="7"/>
      <c r="J245" s="8"/>
      <c r="K245" s="5" t="str">
        <f aca="false">IF($I245="","",1+IF($J245="",0,LEN($J245)-LEN(SUBSTITUTE($J245,",",""))+1))</f>
        <v/>
      </c>
      <c r="L245" s="7"/>
      <c r="M245" s="8"/>
      <c r="N245" s="10"/>
      <c r="O245" s="10"/>
      <c r="P245" s="5" t="str">
        <f aca="false">IF(OR($B245="",$C245=""),"",$C245-$B245+1)</f>
        <v/>
      </c>
      <c r="Q245" s="11"/>
      <c r="R245" s="12" t="str">
        <f aca="false">IF(OR($Q245="",$K245=""),"",$Q245*$K245)</f>
        <v/>
      </c>
      <c r="S245" s="7"/>
      <c r="T245" s="10"/>
      <c r="U245" s="8"/>
    </row>
    <row r="246" customFormat="false" ht="18.75" hidden="false" customHeight="true" outlineLevel="0" collapsed="false">
      <c r="A246" s="5" t="str">
        <f aca="false">IF($B246="","",COUNT($B$5:$B246))</f>
        <v/>
      </c>
      <c r="B246" s="13"/>
      <c r="C246" s="13"/>
      <c r="D246" s="14"/>
      <c r="E246" s="14"/>
      <c r="F246" s="15"/>
      <c r="G246" s="16"/>
      <c r="H246" s="14"/>
      <c r="I246" s="14"/>
      <c r="J246" s="15"/>
      <c r="K246" s="5" t="str">
        <f aca="false">IF($I246="","",1+IF($J246="",0,LEN($J246)-LEN(SUBSTITUTE($J246,",",""))+1))</f>
        <v/>
      </c>
      <c r="L246" s="14"/>
      <c r="M246" s="15"/>
      <c r="N246" s="17"/>
      <c r="O246" s="17"/>
      <c r="P246" s="5" t="str">
        <f aca="false">IF(OR($B246="",$C246=""),"",$C246-$B246+1)</f>
        <v/>
      </c>
      <c r="Q246" s="18"/>
      <c r="R246" s="12" t="str">
        <f aca="false">IF(OR($Q246="",$K246=""),"",$Q246*$K246)</f>
        <v/>
      </c>
      <c r="S246" s="14"/>
      <c r="T246" s="17"/>
      <c r="U246" s="15"/>
    </row>
    <row r="247" customFormat="false" ht="18.75" hidden="false" customHeight="true" outlineLevel="0" collapsed="false">
      <c r="A247" s="5" t="str">
        <f aca="false">IF($B247="","",COUNT($B$5:$B247))</f>
        <v/>
      </c>
      <c r="B247" s="6"/>
      <c r="C247" s="6"/>
      <c r="D247" s="7"/>
      <c r="E247" s="7"/>
      <c r="F247" s="8"/>
      <c r="G247" s="9"/>
      <c r="H247" s="7"/>
      <c r="I247" s="7"/>
      <c r="J247" s="8"/>
      <c r="K247" s="5" t="str">
        <f aca="false">IF($I247="","",1+IF($J247="",0,LEN($J247)-LEN(SUBSTITUTE($J247,",",""))+1))</f>
        <v/>
      </c>
      <c r="L247" s="7"/>
      <c r="M247" s="8"/>
      <c r="N247" s="10"/>
      <c r="O247" s="10"/>
      <c r="P247" s="5" t="str">
        <f aca="false">IF(OR($B247="",$C247=""),"",$C247-$B247+1)</f>
        <v/>
      </c>
      <c r="Q247" s="11"/>
      <c r="R247" s="12" t="str">
        <f aca="false">IF(OR($Q247="",$K247=""),"",$Q247*$K247)</f>
        <v/>
      </c>
      <c r="S247" s="7"/>
      <c r="T247" s="10"/>
      <c r="U247" s="8"/>
    </row>
    <row r="248" customFormat="false" ht="18.75" hidden="false" customHeight="true" outlineLevel="0" collapsed="false">
      <c r="A248" s="5" t="str">
        <f aca="false">IF($B248="","",COUNT($B$5:$B248))</f>
        <v/>
      </c>
      <c r="B248" s="13"/>
      <c r="C248" s="13"/>
      <c r="D248" s="14"/>
      <c r="E248" s="14"/>
      <c r="F248" s="15"/>
      <c r="G248" s="16"/>
      <c r="H248" s="14"/>
      <c r="I248" s="14"/>
      <c r="J248" s="15"/>
      <c r="K248" s="5" t="str">
        <f aca="false">IF($I248="","",1+IF($J248="",0,LEN($J248)-LEN(SUBSTITUTE($J248,",",""))+1))</f>
        <v/>
      </c>
      <c r="L248" s="14"/>
      <c r="M248" s="15"/>
      <c r="N248" s="17"/>
      <c r="O248" s="17"/>
      <c r="P248" s="5" t="str">
        <f aca="false">IF(OR($B248="",$C248=""),"",$C248-$B248+1)</f>
        <v/>
      </c>
      <c r="Q248" s="18"/>
      <c r="R248" s="12" t="str">
        <f aca="false">IF(OR($Q248="",$K248=""),"",$Q248*$K248)</f>
        <v/>
      </c>
      <c r="S248" s="14"/>
      <c r="T248" s="17"/>
      <c r="U248" s="15"/>
    </row>
    <row r="249" customFormat="false" ht="18.75" hidden="false" customHeight="true" outlineLevel="0" collapsed="false">
      <c r="A249" s="5" t="str">
        <f aca="false">IF($B249="","",COUNT($B$5:$B249))</f>
        <v/>
      </c>
      <c r="B249" s="6"/>
      <c r="C249" s="6"/>
      <c r="D249" s="7"/>
      <c r="E249" s="7"/>
      <c r="F249" s="8"/>
      <c r="G249" s="9"/>
      <c r="H249" s="7"/>
      <c r="I249" s="7"/>
      <c r="J249" s="8"/>
      <c r="K249" s="5" t="str">
        <f aca="false">IF($I249="","",1+IF($J249="",0,LEN($J249)-LEN(SUBSTITUTE($J249,",",""))+1))</f>
        <v/>
      </c>
      <c r="L249" s="7"/>
      <c r="M249" s="8"/>
      <c r="N249" s="10"/>
      <c r="O249" s="10"/>
      <c r="P249" s="5" t="str">
        <f aca="false">IF(OR($B249="",$C249=""),"",$C249-$B249+1)</f>
        <v/>
      </c>
      <c r="Q249" s="11"/>
      <c r="R249" s="12" t="str">
        <f aca="false">IF(OR($Q249="",$K249=""),"",$Q249*$K249)</f>
        <v/>
      </c>
      <c r="S249" s="7"/>
      <c r="T249" s="10"/>
      <c r="U249" s="8"/>
    </row>
    <row r="250" customFormat="false" ht="18.75" hidden="false" customHeight="true" outlineLevel="0" collapsed="false">
      <c r="A250" s="5" t="str">
        <f aca="false">IF($B250="","",COUNT($B$5:$B250))</f>
        <v/>
      </c>
      <c r="B250" s="13"/>
      <c r="C250" s="13"/>
      <c r="D250" s="14"/>
      <c r="E250" s="14"/>
      <c r="F250" s="15"/>
      <c r="G250" s="16"/>
      <c r="H250" s="14"/>
      <c r="I250" s="14"/>
      <c r="J250" s="15"/>
      <c r="K250" s="5" t="str">
        <f aca="false">IF($I250="","",1+IF($J250="",0,LEN($J250)-LEN(SUBSTITUTE($J250,",",""))+1))</f>
        <v/>
      </c>
      <c r="L250" s="14"/>
      <c r="M250" s="15"/>
      <c r="N250" s="17"/>
      <c r="O250" s="17"/>
      <c r="P250" s="5" t="str">
        <f aca="false">IF(OR($B250="",$C250=""),"",$C250-$B250+1)</f>
        <v/>
      </c>
      <c r="Q250" s="18"/>
      <c r="R250" s="12" t="str">
        <f aca="false">IF(OR($Q250="",$K250=""),"",$Q250*$K250)</f>
        <v/>
      </c>
      <c r="S250" s="14"/>
      <c r="T250" s="17"/>
      <c r="U250" s="15"/>
    </row>
    <row r="251" customFormat="false" ht="18.75" hidden="false" customHeight="true" outlineLevel="0" collapsed="false">
      <c r="A251" s="5" t="str">
        <f aca="false">IF($B251="","",COUNT($B$5:$B251))</f>
        <v/>
      </c>
      <c r="B251" s="6"/>
      <c r="C251" s="6"/>
      <c r="D251" s="7"/>
      <c r="E251" s="7"/>
      <c r="F251" s="8"/>
      <c r="G251" s="9"/>
      <c r="H251" s="7"/>
      <c r="I251" s="7"/>
      <c r="J251" s="8"/>
      <c r="K251" s="5" t="str">
        <f aca="false">IF($I251="","",1+IF($J251="",0,LEN($J251)-LEN(SUBSTITUTE($J251,",",""))+1))</f>
        <v/>
      </c>
      <c r="L251" s="7"/>
      <c r="M251" s="8"/>
      <c r="N251" s="10"/>
      <c r="O251" s="10"/>
      <c r="P251" s="5" t="str">
        <f aca="false">IF(OR($B251="",$C251=""),"",$C251-$B251+1)</f>
        <v/>
      </c>
      <c r="Q251" s="11"/>
      <c r="R251" s="12" t="str">
        <f aca="false">IF(OR($Q251="",$K251=""),"",$Q251*$K251)</f>
        <v/>
      </c>
      <c r="S251" s="7"/>
      <c r="T251" s="10"/>
      <c r="U251" s="8"/>
    </row>
    <row r="252" customFormat="false" ht="18.75" hidden="false" customHeight="true" outlineLevel="0" collapsed="false">
      <c r="A252" s="5" t="str">
        <f aca="false">IF($B252="","",COUNT($B$5:$B252))</f>
        <v/>
      </c>
      <c r="B252" s="13"/>
      <c r="C252" s="13"/>
      <c r="D252" s="14"/>
      <c r="E252" s="14"/>
      <c r="F252" s="15"/>
      <c r="G252" s="16"/>
      <c r="H252" s="14"/>
      <c r="I252" s="14"/>
      <c r="J252" s="15"/>
      <c r="K252" s="5" t="str">
        <f aca="false">IF($I252="","",1+IF($J252="",0,LEN($J252)-LEN(SUBSTITUTE($J252,",",""))+1))</f>
        <v/>
      </c>
      <c r="L252" s="14"/>
      <c r="M252" s="15"/>
      <c r="N252" s="17"/>
      <c r="O252" s="17"/>
      <c r="P252" s="5" t="str">
        <f aca="false">IF(OR($B252="",$C252=""),"",$C252-$B252+1)</f>
        <v/>
      </c>
      <c r="Q252" s="18"/>
      <c r="R252" s="12" t="str">
        <f aca="false">IF(OR($Q252="",$K252=""),"",$Q252*$K252)</f>
        <v/>
      </c>
      <c r="S252" s="14"/>
      <c r="T252" s="17"/>
      <c r="U252" s="15"/>
    </row>
    <row r="253" customFormat="false" ht="18.75" hidden="false" customHeight="true" outlineLevel="0" collapsed="false">
      <c r="A253" s="5" t="str">
        <f aca="false">IF($B253="","",COUNT($B$5:$B253))</f>
        <v/>
      </c>
      <c r="B253" s="6"/>
      <c r="C253" s="6"/>
      <c r="D253" s="7"/>
      <c r="E253" s="7"/>
      <c r="F253" s="8"/>
      <c r="G253" s="9"/>
      <c r="H253" s="7"/>
      <c r="I253" s="7"/>
      <c r="J253" s="8"/>
      <c r="K253" s="5" t="str">
        <f aca="false">IF($I253="","",1+IF($J253="",0,LEN($J253)-LEN(SUBSTITUTE($J253,",",""))+1))</f>
        <v/>
      </c>
      <c r="L253" s="7"/>
      <c r="M253" s="8"/>
      <c r="N253" s="10"/>
      <c r="O253" s="10"/>
      <c r="P253" s="5" t="str">
        <f aca="false">IF(OR($B253="",$C253=""),"",$C253-$B253+1)</f>
        <v/>
      </c>
      <c r="Q253" s="11"/>
      <c r="R253" s="12" t="str">
        <f aca="false">IF(OR($Q253="",$K253=""),"",$Q253*$K253)</f>
        <v/>
      </c>
      <c r="S253" s="7"/>
      <c r="T253" s="10"/>
      <c r="U253" s="8"/>
    </row>
    <row r="254" customFormat="false" ht="18.75" hidden="false" customHeight="true" outlineLevel="0" collapsed="false">
      <c r="A254" s="5" t="str">
        <f aca="false">IF($B254="","",COUNT($B$5:$B254))</f>
        <v/>
      </c>
      <c r="B254" s="13"/>
      <c r="C254" s="13"/>
      <c r="D254" s="14"/>
      <c r="E254" s="14"/>
      <c r="F254" s="15"/>
      <c r="G254" s="16"/>
      <c r="H254" s="14"/>
      <c r="I254" s="14"/>
      <c r="J254" s="15"/>
      <c r="K254" s="5" t="str">
        <f aca="false">IF($I254="","",1+IF($J254="",0,LEN($J254)-LEN(SUBSTITUTE($J254,",",""))+1))</f>
        <v/>
      </c>
      <c r="L254" s="14"/>
      <c r="M254" s="15"/>
      <c r="N254" s="17"/>
      <c r="O254" s="17"/>
      <c r="P254" s="5" t="str">
        <f aca="false">IF(OR($B254="",$C254=""),"",$C254-$B254+1)</f>
        <v/>
      </c>
      <c r="Q254" s="18"/>
      <c r="R254" s="12" t="str">
        <f aca="false">IF(OR($Q254="",$K254=""),"",$Q254*$K254)</f>
        <v/>
      </c>
      <c r="S254" s="14"/>
      <c r="T254" s="17"/>
      <c r="U254" s="15"/>
    </row>
    <row r="255" customFormat="false" ht="18.75" hidden="false" customHeight="true" outlineLevel="0" collapsed="false">
      <c r="A255" s="5" t="str">
        <f aca="false">IF($B255="","",COUNT($B$5:$B255))</f>
        <v/>
      </c>
      <c r="B255" s="6"/>
      <c r="C255" s="6"/>
      <c r="D255" s="7"/>
      <c r="E255" s="7"/>
      <c r="F255" s="8"/>
      <c r="G255" s="9"/>
      <c r="H255" s="7"/>
      <c r="I255" s="7"/>
      <c r="J255" s="8"/>
      <c r="K255" s="5" t="str">
        <f aca="false">IF($I255="","",1+IF($J255="",0,LEN($J255)-LEN(SUBSTITUTE($J255,",",""))+1))</f>
        <v/>
      </c>
      <c r="L255" s="7"/>
      <c r="M255" s="8"/>
      <c r="N255" s="10"/>
      <c r="O255" s="10"/>
      <c r="P255" s="5" t="str">
        <f aca="false">IF(OR($B255="",$C255=""),"",$C255-$B255+1)</f>
        <v/>
      </c>
      <c r="Q255" s="11"/>
      <c r="R255" s="12" t="str">
        <f aca="false">IF(OR($Q255="",$K255=""),"",$Q255*$K255)</f>
        <v/>
      </c>
      <c r="S255" s="7"/>
      <c r="T255" s="10"/>
      <c r="U255" s="8"/>
    </row>
    <row r="256" customFormat="false" ht="18.75" hidden="false" customHeight="true" outlineLevel="0" collapsed="false">
      <c r="A256" s="5" t="str">
        <f aca="false">IF($B256="","",COUNT($B$5:$B256))</f>
        <v/>
      </c>
      <c r="B256" s="13"/>
      <c r="C256" s="13"/>
      <c r="D256" s="14"/>
      <c r="E256" s="14"/>
      <c r="F256" s="15"/>
      <c r="G256" s="16"/>
      <c r="H256" s="14"/>
      <c r="I256" s="14"/>
      <c r="J256" s="15"/>
      <c r="K256" s="5" t="str">
        <f aca="false">IF($I256="","",1+IF($J256="",0,LEN($J256)-LEN(SUBSTITUTE($J256,",",""))+1))</f>
        <v/>
      </c>
      <c r="L256" s="14"/>
      <c r="M256" s="15"/>
      <c r="N256" s="17"/>
      <c r="O256" s="17"/>
      <c r="P256" s="5" t="str">
        <f aca="false">IF(OR($B256="",$C256=""),"",$C256-$B256+1)</f>
        <v/>
      </c>
      <c r="Q256" s="18"/>
      <c r="R256" s="12" t="str">
        <f aca="false">IF(OR($Q256="",$K256=""),"",$Q256*$K256)</f>
        <v/>
      </c>
      <c r="S256" s="14"/>
      <c r="T256" s="17"/>
      <c r="U256" s="15"/>
    </row>
    <row r="257" customFormat="false" ht="18.75" hidden="false" customHeight="true" outlineLevel="0" collapsed="false">
      <c r="A257" s="5" t="str">
        <f aca="false">IF($B257="","",COUNT($B$5:$B257))</f>
        <v/>
      </c>
      <c r="B257" s="6"/>
      <c r="C257" s="6"/>
      <c r="D257" s="7"/>
      <c r="E257" s="7"/>
      <c r="F257" s="8"/>
      <c r="G257" s="9"/>
      <c r="H257" s="7"/>
      <c r="I257" s="7"/>
      <c r="J257" s="8"/>
      <c r="K257" s="5" t="str">
        <f aca="false">IF($I257="","",1+IF($J257="",0,LEN($J257)-LEN(SUBSTITUTE($J257,",",""))+1))</f>
        <v/>
      </c>
      <c r="L257" s="7"/>
      <c r="M257" s="8"/>
      <c r="N257" s="10"/>
      <c r="O257" s="10"/>
      <c r="P257" s="5" t="str">
        <f aca="false">IF(OR($B257="",$C257=""),"",$C257-$B257+1)</f>
        <v/>
      </c>
      <c r="Q257" s="11"/>
      <c r="R257" s="12" t="str">
        <f aca="false">IF(OR($Q257="",$K257=""),"",$Q257*$K257)</f>
        <v/>
      </c>
      <c r="S257" s="7"/>
      <c r="T257" s="10"/>
      <c r="U257" s="8"/>
    </row>
    <row r="258" customFormat="false" ht="18.75" hidden="false" customHeight="true" outlineLevel="0" collapsed="false">
      <c r="A258" s="5" t="str">
        <f aca="false">IF($B258="","",COUNT($B$5:$B258))</f>
        <v/>
      </c>
      <c r="B258" s="13"/>
      <c r="C258" s="13"/>
      <c r="D258" s="14"/>
      <c r="E258" s="14"/>
      <c r="F258" s="15"/>
      <c r="G258" s="16"/>
      <c r="H258" s="14"/>
      <c r="I258" s="14"/>
      <c r="J258" s="15"/>
      <c r="K258" s="5" t="str">
        <f aca="false">IF($I258="","",1+IF($J258="",0,LEN($J258)-LEN(SUBSTITUTE($J258,",",""))+1))</f>
        <v/>
      </c>
      <c r="L258" s="14"/>
      <c r="M258" s="15"/>
      <c r="N258" s="17"/>
      <c r="O258" s="17"/>
      <c r="P258" s="5" t="str">
        <f aca="false">IF(OR($B258="",$C258=""),"",$C258-$B258+1)</f>
        <v/>
      </c>
      <c r="Q258" s="18"/>
      <c r="R258" s="12" t="str">
        <f aca="false">IF(OR($Q258="",$K258=""),"",$Q258*$K258)</f>
        <v/>
      </c>
      <c r="S258" s="14"/>
      <c r="T258" s="17"/>
      <c r="U258" s="15"/>
    </row>
    <row r="259" customFormat="false" ht="18.75" hidden="false" customHeight="true" outlineLevel="0" collapsed="false">
      <c r="A259" s="5" t="str">
        <f aca="false">IF($B259="","",COUNT($B$5:$B259))</f>
        <v/>
      </c>
      <c r="B259" s="6"/>
      <c r="C259" s="6"/>
      <c r="D259" s="7"/>
      <c r="E259" s="7"/>
      <c r="F259" s="8"/>
      <c r="G259" s="9"/>
      <c r="H259" s="7"/>
      <c r="I259" s="7"/>
      <c r="J259" s="8"/>
      <c r="K259" s="5" t="str">
        <f aca="false">IF($I259="","",1+IF($J259="",0,LEN($J259)-LEN(SUBSTITUTE($J259,",",""))+1))</f>
        <v/>
      </c>
      <c r="L259" s="7"/>
      <c r="M259" s="8"/>
      <c r="N259" s="10"/>
      <c r="O259" s="10"/>
      <c r="P259" s="5" t="str">
        <f aca="false">IF(OR($B259="",$C259=""),"",$C259-$B259+1)</f>
        <v/>
      </c>
      <c r="Q259" s="11"/>
      <c r="R259" s="12" t="str">
        <f aca="false">IF(OR($Q259="",$K259=""),"",$Q259*$K259)</f>
        <v/>
      </c>
      <c r="S259" s="7"/>
      <c r="T259" s="10"/>
      <c r="U259" s="8"/>
    </row>
    <row r="260" customFormat="false" ht="18.75" hidden="false" customHeight="true" outlineLevel="0" collapsed="false">
      <c r="A260" s="5" t="str">
        <f aca="false">IF($B260="","",COUNT($B$5:$B260))</f>
        <v/>
      </c>
      <c r="B260" s="13"/>
      <c r="C260" s="13"/>
      <c r="D260" s="14"/>
      <c r="E260" s="14"/>
      <c r="F260" s="15"/>
      <c r="G260" s="16"/>
      <c r="H260" s="14"/>
      <c r="I260" s="14"/>
      <c r="J260" s="15"/>
      <c r="K260" s="5" t="str">
        <f aca="false">IF($I260="","",1+IF($J260="",0,LEN($J260)-LEN(SUBSTITUTE($J260,",",""))+1))</f>
        <v/>
      </c>
      <c r="L260" s="14"/>
      <c r="M260" s="15"/>
      <c r="N260" s="17"/>
      <c r="O260" s="17"/>
      <c r="P260" s="5" t="str">
        <f aca="false">IF(OR($B260="",$C260=""),"",$C260-$B260+1)</f>
        <v/>
      </c>
      <c r="Q260" s="18"/>
      <c r="R260" s="12" t="str">
        <f aca="false">IF(OR($Q260="",$K260=""),"",$Q260*$K260)</f>
        <v/>
      </c>
      <c r="S260" s="14"/>
      <c r="T260" s="17"/>
      <c r="U260" s="15"/>
    </row>
    <row r="261" customFormat="false" ht="18.75" hidden="false" customHeight="true" outlineLevel="0" collapsed="false">
      <c r="A261" s="5" t="str">
        <f aca="false">IF($B261="","",COUNT($B$5:$B261))</f>
        <v/>
      </c>
      <c r="B261" s="6"/>
      <c r="C261" s="6"/>
      <c r="D261" s="7"/>
      <c r="E261" s="7"/>
      <c r="F261" s="8"/>
      <c r="G261" s="9"/>
      <c r="H261" s="7"/>
      <c r="I261" s="7"/>
      <c r="J261" s="8"/>
      <c r="K261" s="5" t="str">
        <f aca="false">IF($I261="","",1+IF($J261="",0,LEN($J261)-LEN(SUBSTITUTE($J261,",",""))+1))</f>
        <v/>
      </c>
      <c r="L261" s="7"/>
      <c r="M261" s="8"/>
      <c r="N261" s="10"/>
      <c r="O261" s="10"/>
      <c r="P261" s="5" t="str">
        <f aca="false">IF(OR($B261="",$C261=""),"",$C261-$B261+1)</f>
        <v/>
      </c>
      <c r="Q261" s="11"/>
      <c r="R261" s="12" t="str">
        <f aca="false">IF(OR($Q261="",$K261=""),"",$Q261*$K261)</f>
        <v/>
      </c>
      <c r="S261" s="7"/>
      <c r="T261" s="10"/>
      <c r="U261" s="8"/>
    </row>
    <row r="262" customFormat="false" ht="18.75" hidden="false" customHeight="true" outlineLevel="0" collapsed="false">
      <c r="A262" s="5" t="str">
        <f aca="false">IF($B262="","",COUNT($B$5:$B262))</f>
        <v/>
      </c>
      <c r="B262" s="13"/>
      <c r="C262" s="13"/>
      <c r="D262" s="14"/>
      <c r="E262" s="14"/>
      <c r="F262" s="15"/>
      <c r="G262" s="16"/>
      <c r="H262" s="14"/>
      <c r="I262" s="14"/>
      <c r="J262" s="15"/>
      <c r="K262" s="5" t="str">
        <f aca="false">IF($I262="","",1+IF($J262="",0,LEN($J262)-LEN(SUBSTITUTE($J262,",",""))+1))</f>
        <v/>
      </c>
      <c r="L262" s="14"/>
      <c r="M262" s="15"/>
      <c r="N262" s="17"/>
      <c r="O262" s="17"/>
      <c r="P262" s="5" t="str">
        <f aca="false">IF(OR($B262="",$C262=""),"",$C262-$B262+1)</f>
        <v/>
      </c>
      <c r="Q262" s="18"/>
      <c r="R262" s="12" t="str">
        <f aca="false">IF(OR($Q262="",$K262=""),"",$Q262*$K262)</f>
        <v/>
      </c>
      <c r="S262" s="14"/>
      <c r="T262" s="17"/>
      <c r="U262" s="15"/>
    </row>
    <row r="263" customFormat="false" ht="18.75" hidden="false" customHeight="true" outlineLevel="0" collapsed="false">
      <c r="A263" s="5" t="str">
        <f aca="false">IF($B263="","",COUNT($B$5:$B263))</f>
        <v/>
      </c>
      <c r="B263" s="6"/>
      <c r="C263" s="6"/>
      <c r="D263" s="7"/>
      <c r="E263" s="7"/>
      <c r="F263" s="8"/>
      <c r="G263" s="9"/>
      <c r="H263" s="7"/>
      <c r="I263" s="7"/>
      <c r="J263" s="8"/>
      <c r="K263" s="5" t="str">
        <f aca="false">IF($I263="","",1+IF($J263="",0,LEN($J263)-LEN(SUBSTITUTE($J263,",",""))+1))</f>
        <v/>
      </c>
      <c r="L263" s="7"/>
      <c r="M263" s="8"/>
      <c r="N263" s="10"/>
      <c r="O263" s="10"/>
      <c r="P263" s="5" t="str">
        <f aca="false">IF(OR($B263="",$C263=""),"",$C263-$B263+1)</f>
        <v/>
      </c>
      <c r="Q263" s="11"/>
      <c r="R263" s="12" t="str">
        <f aca="false">IF(OR($Q263="",$K263=""),"",$Q263*$K263)</f>
        <v/>
      </c>
      <c r="S263" s="7"/>
      <c r="T263" s="10"/>
      <c r="U263" s="8"/>
    </row>
    <row r="264" customFormat="false" ht="18.75" hidden="false" customHeight="true" outlineLevel="0" collapsed="false">
      <c r="A264" s="5" t="str">
        <f aca="false">IF($B264="","",COUNT($B$5:$B264))</f>
        <v/>
      </c>
      <c r="B264" s="13"/>
      <c r="C264" s="13"/>
      <c r="D264" s="14"/>
      <c r="E264" s="14"/>
      <c r="F264" s="15"/>
      <c r="G264" s="16"/>
      <c r="H264" s="14"/>
      <c r="I264" s="14"/>
      <c r="J264" s="15"/>
      <c r="K264" s="5" t="str">
        <f aca="false">IF($I264="","",1+IF($J264="",0,LEN($J264)-LEN(SUBSTITUTE($J264,",",""))+1))</f>
        <v/>
      </c>
      <c r="L264" s="14"/>
      <c r="M264" s="15"/>
      <c r="N264" s="17"/>
      <c r="O264" s="17"/>
      <c r="P264" s="5" t="str">
        <f aca="false">IF(OR($B264="",$C264=""),"",$C264-$B264+1)</f>
        <v/>
      </c>
      <c r="Q264" s="18"/>
      <c r="R264" s="12" t="str">
        <f aca="false">IF(OR($Q264="",$K264=""),"",$Q264*$K264)</f>
        <v/>
      </c>
      <c r="S264" s="14"/>
      <c r="T264" s="17"/>
      <c r="U264" s="15"/>
    </row>
    <row r="265" customFormat="false" ht="18.75" hidden="false" customHeight="true" outlineLevel="0" collapsed="false">
      <c r="A265" s="5" t="str">
        <f aca="false">IF($B265="","",COUNT($B$5:$B265))</f>
        <v/>
      </c>
      <c r="B265" s="6"/>
      <c r="C265" s="6"/>
      <c r="D265" s="7"/>
      <c r="E265" s="7"/>
      <c r="F265" s="8"/>
      <c r="G265" s="9"/>
      <c r="H265" s="7"/>
      <c r="I265" s="7"/>
      <c r="J265" s="8"/>
      <c r="K265" s="5" t="str">
        <f aca="false">IF($I265="","",1+IF($J265="",0,LEN($J265)-LEN(SUBSTITUTE($J265,",",""))+1))</f>
        <v/>
      </c>
      <c r="L265" s="7"/>
      <c r="M265" s="8"/>
      <c r="N265" s="10"/>
      <c r="O265" s="10"/>
      <c r="P265" s="5" t="str">
        <f aca="false">IF(OR($B265="",$C265=""),"",$C265-$B265+1)</f>
        <v/>
      </c>
      <c r="Q265" s="11"/>
      <c r="R265" s="12" t="str">
        <f aca="false">IF(OR($Q265="",$K265=""),"",$Q265*$K265)</f>
        <v/>
      </c>
      <c r="S265" s="7"/>
      <c r="T265" s="10"/>
      <c r="U265" s="8"/>
    </row>
    <row r="266" customFormat="false" ht="18.75" hidden="false" customHeight="true" outlineLevel="0" collapsed="false">
      <c r="A266" s="5" t="str">
        <f aca="false">IF($B266="","",COUNT($B$5:$B266))</f>
        <v/>
      </c>
      <c r="B266" s="13"/>
      <c r="C266" s="13"/>
      <c r="D266" s="14"/>
      <c r="E266" s="14"/>
      <c r="F266" s="15"/>
      <c r="G266" s="16"/>
      <c r="H266" s="14"/>
      <c r="I266" s="14"/>
      <c r="J266" s="15"/>
      <c r="K266" s="5" t="str">
        <f aca="false">IF($I266="","",1+IF($J266="",0,LEN($J266)-LEN(SUBSTITUTE($J266,",",""))+1))</f>
        <v/>
      </c>
      <c r="L266" s="14"/>
      <c r="M266" s="15"/>
      <c r="N266" s="17"/>
      <c r="O266" s="17"/>
      <c r="P266" s="5" t="str">
        <f aca="false">IF(OR($B266="",$C266=""),"",$C266-$B266+1)</f>
        <v/>
      </c>
      <c r="Q266" s="18"/>
      <c r="R266" s="12" t="str">
        <f aca="false">IF(OR($Q266="",$K266=""),"",$Q266*$K266)</f>
        <v/>
      </c>
      <c r="S266" s="14"/>
      <c r="T266" s="17"/>
      <c r="U266" s="15"/>
    </row>
    <row r="267" customFormat="false" ht="18.75" hidden="false" customHeight="true" outlineLevel="0" collapsed="false">
      <c r="A267" s="5" t="str">
        <f aca="false">IF($B267="","",COUNT($B$5:$B267))</f>
        <v/>
      </c>
      <c r="B267" s="6"/>
      <c r="C267" s="6"/>
      <c r="D267" s="7"/>
      <c r="E267" s="7"/>
      <c r="F267" s="8"/>
      <c r="G267" s="9"/>
      <c r="H267" s="7"/>
      <c r="I267" s="7"/>
      <c r="J267" s="8"/>
      <c r="K267" s="5" t="str">
        <f aca="false">IF($I267="","",1+IF($J267="",0,LEN($J267)-LEN(SUBSTITUTE($J267,",",""))+1))</f>
        <v/>
      </c>
      <c r="L267" s="7"/>
      <c r="M267" s="8"/>
      <c r="N267" s="10"/>
      <c r="O267" s="10"/>
      <c r="P267" s="5" t="str">
        <f aca="false">IF(OR($B267="",$C267=""),"",$C267-$B267+1)</f>
        <v/>
      </c>
      <c r="Q267" s="11"/>
      <c r="R267" s="12" t="str">
        <f aca="false">IF(OR($Q267="",$K267=""),"",$Q267*$K267)</f>
        <v/>
      </c>
      <c r="S267" s="7"/>
      <c r="T267" s="10"/>
      <c r="U267" s="8"/>
    </row>
    <row r="268" customFormat="false" ht="18.75" hidden="false" customHeight="true" outlineLevel="0" collapsed="false">
      <c r="A268" s="5" t="str">
        <f aca="false">IF($B268="","",COUNT($B$5:$B268))</f>
        <v/>
      </c>
      <c r="B268" s="13"/>
      <c r="C268" s="13"/>
      <c r="D268" s="14"/>
      <c r="E268" s="14"/>
      <c r="F268" s="15"/>
      <c r="G268" s="16"/>
      <c r="H268" s="14"/>
      <c r="I268" s="14"/>
      <c r="J268" s="15"/>
      <c r="K268" s="5" t="str">
        <f aca="false">IF($I268="","",1+IF($J268="",0,LEN($J268)-LEN(SUBSTITUTE($J268,",",""))+1))</f>
        <v/>
      </c>
      <c r="L268" s="14"/>
      <c r="M268" s="15"/>
      <c r="N268" s="17"/>
      <c r="O268" s="17"/>
      <c r="P268" s="5" t="str">
        <f aca="false">IF(OR($B268="",$C268=""),"",$C268-$B268+1)</f>
        <v/>
      </c>
      <c r="Q268" s="18"/>
      <c r="R268" s="12" t="str">
        <f aca="false">IF(OR($Q268="",$K268=""),"",$Q268*$K268)</f>
        <v/>
      </c>
      <c r="S268" s="14"/>
      <c r="T268" s="17"/>
      <c r="U268" s="15"/>
    </row>
    <row r="269" customFormat="false" ht="18.75" hidden="false" customHeight="true" outlineLevel="0" collapsed="false">
      <c r="A269" s="5" t="str">
        <f aca="false">IF($B269="","",COUNT($B$5:$B269))</f>
        <v/>
      </c>
      <c r="B269" s="6"/>
      <c r="C269" s="6"/>
      <c r="D269" s="7"/>
      <c r="E269" s="7"/>
      <c r="F269" s="8"/>
      <c r="G269" s="9"/>
      <c r="H269" s="7"/>
      <c r="I269" s="7"/>
      <c r="J269" s="8"/>
      <c r="K269" s="5" t="str">
        <f aca="false">IF($I269="","",1+IF($J269="",0,LEN($J269)-LEN(SUBSTITUTE($J269,",",""))+1))</f>
        <v/>
      </c>
      <c r="L269" s="7"/>
      <c r="M269" s="8"/>
      <c r="N269" s="10"/>
      <c r="O269" s="10"/>
      <c r="P269" s="5" t="str">
        <f aca="false">IF(OR($B269="",$C269=""),"",$C269-$B269+1)</f>
        <v/>
      </c>
      <c r="Q269" s="11"/>
      <c r="R269" s="12" t="str">
        <f aca="false">IF(OR($Q269="",$K269=""),"",$Q269*$K269)</f>
        <v/>
      </c>
      <c r="S269" s="7"/>
      <c r="T269" s="10"/>
      <c r="U269" s="8"/>
    </row>
    <row r="270" customFormat="false" ht="18.75" hidden="false" customHeight="true" outlineLevel="0" collapsed="false">
      <c r="A270" s="5" t="str">
        <f aca="false">IF($B270="","",COUNT($B$5:$B270))</f>
        <v/>
      </c>
      <c r="B270" s="13"/>
      <c r="C270" s="13"/>
      <c r="D270" s="14"/>
      <c r="E270" s="14"/>
      <c r="F270" s="15"/>
      <c r="G270" s="16"/>
      <c r="H270" s="14"/>
      <c r="I270" s="14"/>
      <c r="J270" s="15"/>
      <c r="K270" s="5" t="str">
        <f aca="false">IF($I270="","",1+IF($J270="",0,LEN($J270)-LEN(SUBSTITUTE($J270,",",""))+1))</f>
        <v/>
      </c>
      <c r="L270" s="14"/>
      <c r="M270" s="15"/>
      <c r="N270" s="17"/>
      <c r="O270" s="17"/>
      <c r="P270" s="5" t="str">
        <f aca="false">IF(OR($B270="",$C270=""),"",$C270-$B270+1)</f>
        <v/>
      </c>
      <c r="Q270" s="18"/>
      <c r="R270" s="12" t="str">
        <f aca="false">IF(OR($Q270="",$K270=""),"",$Q270*$K270)</f>
        <v/>
      </c>
      <c r="S270" s="14"/>
      <c r="T270" s="17"/>
      <c r="U270" s="15"/>
    </row>
    <row r="271" customFormat="false" ht="18.75" hidden="false" customHeight="true" outlineLevel="0" collapsed="false">
      <c r="A271" s="5" t="str">
        <f aca="false">IF($B271="","",COUNT($B$5:$B271))</f>
        <v/>
      </c>
      <c r="B271" s="6"/>
      <c r="C271" s="6"/>
      <c r="D271" s="7"/>
      <c r="E271" s="7"/>
      <c r="F271" s="8"/>
      <c r="G271" s="9"/>
      <c r="H271" s="7"/>
      <c r="I271" s="7"/>
      <c r="J271" s="8"/>
      <c r="K271" s="5" t="str">
        <f aca="false">IF($I271="","",1+IF($J271="",0,LEN($J271)-LEN(SUBSTITUTE($J271,",",""))+1))</f>
        <v/>
      </c>
      <c r="L271" s="7"/>
      <c r="M271" s="8"/>
      <c r="N271" s="10"/>
      <c r="O271" s="10"/>
      <c r="P271" s="5" t="str">
        <f aca="false">IF(OR($B271="",$C271=""),"",$C271-$B271+1)</f>
        <v/>
      </c>
      <c r="Q271" s="11"/>
      <c r="R271" s="12" t="str">
        <f aca="false">IF(OR($Q271="",$K271=""),"",$Q271*$K271)</f>
        <v/>
      </c>
      <c r="S271" s="7"/>
      <c r="T271" s="10"/>
      <c r="U271" s="8"/>
    </row>
    <row r="272" customFormat="false" ht="18.75" hidden="false" customHeight="true" outlineLevel="0" collapsed="false">
      <c r="A272" s="5" t="str">
        <f aca="false">IF($B272="","",COUNT($B$5:$B272))</f>
        <v/>
      </c>
      <c r="B272" s="13"/>
      <c r="C272" s="13"/>
      <c r="D272" s="14"/>
      <c r="E272" s="14"/>
      <c r="F272" s="15"/>
      <c r="G272" s="16"/>
      <c r="H272" s="14"/>
      <c r="I272" s="14"/>
      <c r="J272" s="15"/>
      <c r="K272" s="5" t="str">
        <f aca="false">IF($I272="","",1+IF($J272="",0,LEN($J272)-LEN(SUBSTITUTE($J272,",",""))+1))</f>
        <v/>
      </c>
      <c r="L272" s="14"/>
      <c r="M272" s="15"/>
      <c r="N272" s="17"/>
      <c r="O272" s="17"/>
      <c r="P272" s="5" t="str">
        <f aca="false">IF(OR($B272="",$C272=""),"",$C272-$B272+1)</f>
        <v/>
      </c>
      <c r="Q272" s="18"/>
      <c r="R272" s="12" t="str">
        <f aca="false">IF(OR($Q272="",$K272=""),"",$Q272*$K272)</f>
        <v/>
      </c>
      <c r="S272" s="14"/>
      <c r="T272" s="17"/>
      <c r="U272" s="15"/>
    </row>
    <row r="273" customFormat="false" ht="18.75" hidden="false" customHeight="true" outlineLevel="0" collapsed="false">
      <c r="A273" s="5" t="str">
        <f aca="false">IF($B273="","",COUNT($B$5:$B273))</f>
        <v/>
      </c>
      <c r="B273" s="6"/>
      <c r="C273" s="6"/>
      <c r="D273" s="7"/>
      <c r="E273" s="7"/>
      <c r="F273" s="8"/>
      <c r="G273" s="9"/>
      <c r="H273" s="7"/>
      <c r="I273" s="7"/>
      <c r="J273" s="8"/>
      <c r="K273" s="5" t="str">
        <f aca="false">IF($I273="","",1+IF($J273="",0,LEN($J273)-LEN(SUBSTITUTE($J273,",",""))+1))</f>
        <v/>
      </c>
      <c r="L273" s="7"/>
      <c r="M273" s="8"/>
      <c r="N273" s="10"/>
      <c r="O273" s="10"/>
      <c r="P273" s="5" t="str">
        <f aca="false">IF(OR($B273="",$C273=""),"",$C273-$B273+1)</f>
        <v/>
      </c>
      <c r="Q273" s="11"/>
      <c r="R273" s="12" t="str">
        <f aca="false">IF(OR($Q273="",$K273=""),"",$Q273*$K273)</f>
        <v/>
      </c>
      <c r="S273" s="7"/>
      <c r="T273" s="10"/>
      <c r="U273" s="8"/>
    </row>
    <row r="274" customFormat="false" ht="18.75" hidden="false" customHeight="true" outlineLevel="0" collapsed="false">
      <c r="A274" s="5" t="str">
        <f aca="false">IF($B274="","",COUNT($B$5:$B274))</f>
        <v/>
      </c>
      <c r="B274" s="13"/>
      <c r="C274" s="13"/>
      <c r="D274" s="14"/>
      <c r="E274" s="14"/>
      <c r="F274" s="15"/>
      <c r="G274" s="16"/>
      <c r="H274" s="14"/>
      <c r="I274" s="14"/>
      <c r="J274" s="15"/>
      <c r="K274" s="5" t="str">
        <f aca="false">IF($I274="","",1+IF($J274="",0,LEN($J274)-LEN(SUBSTITUTE($J274,",",""))+1))</f>
        <v/>
      </c>
      <c r="L274" s="14"/>
      <c r="M274" s="15"/>
      <c r="N274" s="17"/>
      <c r="O274" s="17"/>
      <c r="P274" s="5" t="str">
        <f aca="false">IF(OR($B274="",$C274=""),"",$C274-$B274+1)</f>
        <v/>
      </c>
      <c r="Q274" s="18"/>
      <c r="R274" s="12" t="str">
        <f aca="false">IF(OR($Q274="",$K274=""),"",$Q274*$K274)</f>
        <v/>
      </c>
      <c r="S274" s="14"/>
      <c r="T274" s="17"/>
      <c r="U274" s="15"/>
    </row>
    <row r="275" customFormat="false" ht="18.75" hidden="false" customHeight="true" outlineLevel="0" collapsed="false">
      <c r="A275" s="5" t="str">
        <f aca="false">IF($B275="","",COUNT($B$5:$B275))</f>
        <v/>
      </c>
      <c r="B275" s="6"/>
      <c r="C275" s="6"/>
      <c r="D275" s="7"/>
      <c r="E275" s="7"/>
      <c r="F275" s="8"/>
      <c r="G275" s="9"/>
      <c r="H275" s="7"/>
      <c r="I275" s="7"/>
      <c r="J275" s="8"/>
      <c r="K275" s="5" t="str">
        <f aca="false">IF($I275="","",1+IF($J275="",0,LEN($J275)-LEN(SUBSTITUTE($J275,",",""))+1))</f>
        <v/>
      </c>
      <c r="L275" s="7"/>
      <c r="M275" s="8"/>
      <c r="N275" s="10"/>
      <c r="O275" s="10"/>
      <c r="P275" s="5" t="str">
        <f aca="false">IF(OR($B275="",$C275=""),"",$C275-$B275+1)</f>
        <v/>
      </c>
      <c r="Q275" s="11"/>
      <c r="R275" s="12" t="str">
        <f aca="false">IF(OR($Q275="",$K275=""),"",$Q275*$K275)</f>
        <v/>
      </c>
      <c r="S275" s="7"/>
      <c r="T275" s="10"/>
      <c r="U275" s="8"/>
    </row>
    <row r="276" customFormat="false" ht="18.75" hidden="false" customHeight="true" outlineLevel="0" collapsed="false">
      <c r="A276" s="5" t="str">
        <f aca="false">IF($B276="","",COUNT($B$5:$B276))</f>
        <v/>
      </c>
      <c r="B276" s="13"/>
      <c r="C276" s="13"/>
      <c r="D276" s="14"/>
      <c r="E276" s="14"/>
      <c r="F276" s="15"/>
      <c r="G276" s="16"/>
      <c r="H276" s="14"/>
      <c r="I276" s="14"/>
      <c r="J276" s="15"/>
      <c r="K276" s="5" t="str">
        <f aca="false">IF($I276="","",1+IF($J276="",0,LEN($J276)-LEN(SUBSTITUTE($J276,",",""))+1))</f>
        <v/>
      </c>
      <c r="L276" s="14"/>
      <c r="M276" s="15"/>
      <c r="N276" s="17"/>
      <c r="O276" s="17"/>
      <c r="P276" s="5" t="str">
        <f aca="false">IF(OR($B276="",$C276=""),"",$C276-$B276+1)</f>
        <v/>
      </c>
      <c r="Q276" s="18"/>
      <c r="R276" s="12" t="str">
        <f aca="false">IF(OR($Q276="",$K276=""),"",$Q276*$K276)</f>
        <v/>
      </c>
      <c r="S276" s="14"/>
      <c r="T276" s="17"/>
      <c r="U276" s="15"/>
    </row>
    <row r="277" customFormat="false" ht="18.75" hidden="false" customHeight="true" outlineLevel="0" collapsed="false">
      <c r="A277" s="5" t="str">
        <f aca="false">IF($B277="","",COUNT($B$5:$B277))</f>
        <v/>
      </c>
      <c r="B277" s="6"/>
      <c r="C277" s="6"/>
      <c r="D277" s="7"/>
      <c r="E277" s="7"/>
      <c r="F277" s="8"/>
      <c r="G277" s="9"/>
      <c r="H277" s="7"/>
      <c r="I277" s="7"/>
      <c r="J277" s="8"/>
      <c r="K277" s="5" t="str">
        <f aca="false">IF($I277="","",1+IF($J277="",0,LEN($J277)-LEN(SUBSTITUTE($J277,",",""))+1))</f>
        <v/>
      </c>
      <c r="L277" s="7"/>
      <c r="M277" s="8"/>
      <c r="N277" s="10"/>
      <c r="O277" s="10"/>
      <c r="P277" s="5" t="str">
        <f aca="false">IF(OR($B277="",$C277=""),"",$C277-$B277+1)</f>
        <v/>
      </c>
      <c r="Q277" s="11"/>
      <c r="R277" s="12" t="str">
        <f aca="false">IF(OR($Q277="",$K277=""),"",$Q277*$K277)</f>
        <v/>
      </c>
      <c r="S277" s="7"/>
      <c r="T277" s="10"/>
      <c r="U277" s="8"/>
    </row>
    <row r="278" customFormat="false" ht="18.75" hidden="false" customHeight="true" outlineLevel="0" collapsed="false">
      <c r="A278" s="5" t="str">
        <f aca="false">IF($B278="","",COUNT($B$5:$B278))</f>
        <v/>
      </c>
      <c r="B278" s="13"/>
      <c r="C278" s="13"/>
      <c r="D278" s="14"/>
      <c r="E278" s="14"/>
      <c r="F278" s="15"/>
      <c r="G278" s="16"/>
      <c r="H278" s="14"/>
      <c r="I278" s="14"/>
      <c r="J278" s="15"/>
      <c r="K278" s="5" t="str">
        <f aca="false">IF($I278="","",1+IF($J278="",0,LEN($J278)-LEN(SUBSTITUTE($J278,",",""))+1))</f>
        <v/>
      </c>
      <c r="L278" s="14"/>
      <c r="M278" s="15"/>
      <c r="N278" s="17"/>
      <c r="O278" s="17"/>
      <c r="P278" s="5" t="str">
        <f aca="false">IF(OR($B278="",$C278=""),"",$C278-$B278+1)</f>
        <v/>
      </c>
      <c r="Q278" s="18"/>
      <c r="R278" s="12" t="str">
        <f aca="false">IF(OR($Q278="",$K278=""),"",$Q278*$K278)</f>
        <v/>
      </c>
      <c r="S278" s="14"/>
      <c r="T278" s="17"/>
      <c r="U278" s="15"/>
    </row>
    <row r="279" customFormat="false" ht="18.75" hidden="false" customHeight="true" outlineLevel="0" collapsed="false">
      <c r="A279" s="5" t="str">
        <f aca="false">IF($B279="","",COUNT($B$5:$B279))</f>
        <v/>
      </c>
      <c r="B279" s="6"/>
      <c r="C279" s="6"/>
      <c r="D279" s="7"/>
      <c r="E279" s="7"/>
      <c r="F279" s="8"/>
      <c r="G279" s="9"/>
      <c r="H279" s="7"/>
      <c r="I279" s="7"/>
      <c r="J279" s="8"/>
      <c r="K279" s="5" t="str">
        <f aca="false">IF($I279="","",1+IF($J279="",0,LEN($J279)-LEN(SUBSTITUTE($J279,",",""))+1))</f>
        <v/>
      </c>
      <c r="L279" s="7"/>
      <c r="M279" s="8"/>
      <c r="N279" s="10"/>
      <c r="O279" s="10"/>
      <c r="P279" s="5" t="str">
        <f aca="false">IF(OR($B279="",$C279=""),"",$C279-$B279+1)</f>
        <v/>
      </c>
      <c r="Q279" s="11"/>
      <c r="R279" s="12" t="str">
        <f aca="false">IF(OR($Q279="",$K279=""),"",$Q279*$K279)</f>
        <v/>
      </c>
      <c r="S279" s="7"/>
      <c r="T279" s="10"/>
      <c r="U279" s="8"/>
    </row>
    <row r="280" customFormat="false" ht="18.75" hidden="false" customHeight="true" outlineLevel="0" collapsed="false">
      <c r="A280" s="5" t="str">
        <f aca="false">IF($B280="","",COUNT($B$5:$B280))</f>
        <v/>
      </c>
      <c r="B280" s="13"/>
      <c r="C280" s="13"/>
      <c r="D280" s="14"/>
      <c r="E280" s="14"/>
      <c r="F280" s="15"/>
      <c r="G280" s="16"/>
      <c r="H280" s="14"/>
      <c r="I280" s="14"/>
      <c r="J280" s="15"/>
      <c r="K280" s="5" t="str">
        <f aca="false">IF($I280="","",1+IF($J280="",0,LEN($J280)-LEN(SUBSTITUTE($J280,",",""))+1))</f>
        <v/>
      </c>
      <c r="L280" s="14"/>
      <c r="M280" s="15"/>
      <c r="N280" s="17"/>
      <c r="O280" s="17"/>
      <c r="P280" s="5" t="str">
        <f aca="false">IF(OR($B280="",$C280=""),"",$C280-$B280+1)</f>
        <v/>
      </c>
      <c r="Q280" s="18"/>
      <c r="R280" s="12" t="str">
        <f aca="false">IF(OR($Q280="",$K280=""),"",$Q280*$K280)</f>
        <v/>
      </c>
      <c r="S280" s="14"/>
      <c r="T280" s="17"/>
      <c r="U280" s="15"/>
    </row>
    <row r="281" customFormat="false" ht="18.75" hidden="false" customHeight="true" outlineLevel="0" collapsed="false">
      <c r="A281" s="5" t="str">
        <f aca="false">IF($B281="","",COUNT($B$5:$B281))</f>
        <v/>
      </c>
      <c r="B281" s="6"/>
      <c r="C281" s="6"/>
      <c r="D281" s="7"/>
      <c r="E281" s="7"/>
      <c r="F281" s="8"/>
      <c r="G281" s="9"/>
      <c r="H281" s="7"/>
      <c r="I281" s="7"/>
      <c r="J281" s="8"/>
      <c r="K281" s="5" t="str">
        <f aca="false">IF($I281="","",1+IF($J281="",0,LEN($J281)-LEN(SUBSTITUTE($J281,",",""))+1))</f>
        <v/>
      </c>
      <c r="L281" s="7"/>
      <c r="M281" s="8"/>
      <c r="N281" s="10"/>
      <c r="O281" s="10"/>
      <c r="P281" s="5" t="str">
        <f aca="false">IF(OR($B281="",$C281=""),"",$C281-$B281+1)</f>
        <v/>
      </c>
      <c r="Q281" s="11"/>
      <c r="R281" s="12" t="str">
        <f aca="false">IF(OR($Q281="",$K281=""),"",$Q281*$K281)</f>
        <v/>
      </c>
      <c r="S281" s="7"/>
      <c r="T281" s="10"/>
      <c r="U281" s="8"/>
    </row>
    <row r="282" customFormat="false" ht="18.75" hidden="false" customHeight="true" outlineLevel="0" collapsed="false">
      <c r="A282" s="5" t="str">
        <f aca="false">IF($B282="","",COUNT($B$5:$B282))</f>
        <v/>
      </c>
      <c r="B282" s="13"/>
      <c r="C282" s="13"/>
      <c r="D282" s="14"/>
      <c r="E282" s="14"/>
      <c r="F282" s="15"/>
      <c r="G282" s="16"/>
      <c r="H282" s="14"/>
      <c r="I282" s="14"/>
      <c r="J282" s="15"/>
      <c r="K282" s="5" t="str">
        <f aca="false">IF($I282="","",1+IF($J282="",0,LEN($J282)-LEN(SUBSTITUTE($J282,",",""))+1))</f>
        <v/>
      </c>
      <c r="L282" s="14"/>
      <c r="M282" s="15"/>
      <c r="N282" s="17"/>
      <c r="O282" s="17"/>
      <c r="P282" s="5" t="str">
        <f aca="false">IF(OR($B282="",$C282=""),"",$C282-$B282+1)</f>
        <v/>
      </c>
      <c r="Q282" s="18"/>
      <c r="R282" s="12" t="str">
        <f aca="false">IF(OR($Q282="",$K282=""),"",$Q282*$K282)</f>
        <v/>
      </c>
      <c r="S282" s="14"/>
      <c r="T282" s="17"/>
      <c r="U282" s="15"/>
    </row>
    <row r="283" customFormat="false" ht="18.75" hidden="false" customHeight="true" outlineLevel="0" collapsed="false">
      <c r="A283" s="5" t="str">
        <f aca="false">IF($B283="","",COUNT($B$5:$B283))</f>
        <v/>
      </c>
      <c r="B283" s="6"/>
      <c r="C283" s="6"/>
      <c r="D283" s="7"/>
      <c r="E283" s="7"/>
      <c r="F283" s="8"/>
      <c r="G283" s="9"/>
      <c r="H283" s="7"/>
      <c r="I283" s="7"/>
      <c r="J283" s="8"/>
      <c r="K283" s="5" t="str">
        <f aca="false">IF($I283="","",1+IF($J283="",0,LEN($J283)-LEN(SUBSTITUTE($J283,",",""))+1))</f>
        <v/>
      </c>
      <c r="L283" s="7"/>
      <c r="M283" s="8"/>
      <c r="N283" s="10"/>
      <c r="O283" s="10"/>
      <c r="P283" s="5" t="str">
        <f aca="false">IF(OR($B283="",$C283=""),"",$C283-$B283+1)</f>
        <v/>
      </c>
      <c r="Q283" s="11"/>
      <c r="R283" s="12" t="str">
        <f aca="false">IF(OR($Q283="",$K283=""),"",$Q283*$K283)</f>
        <v/>
      </c>
      <c r="S283" s="7"/>
      <c r="T283" s="10"/>
      <c r="U283" s="8"/>
    </row>
    <row r="284" customFormat="false" ht="18.75" hidden="false" customHeight="true" outlineLevel="0" collapsed="false">
      <c r="A284" s="5" t="str">
        <f aca="false">IF($B284="","",COUNT($B$5:$B284))</f>
        <v/>
      </c>
      <c r="B284" s="13"/>
      <c r="C284" s="13"/>
      <c r="D284" s="14"/>
      <c r="E284" s="14"/>
      <c r="F284" s="15"/>
      <c r="G284" s="16"/>
      <c r="H284" s="14"/>
      <c r="I284" s="14"/>
      <c r="J284" s="15"/>
      <c r="K284" s="5" t="str">
        <f aca="false">IF($I284="","",1+IF($J284="",0,LEN($J284)-LEN(SUBSTITUTE($J284,",",""))+1))</f>
        <v/>
      </c>
      <c r="L284" s="14"/>
      <c r="M284" s="15"/>
      <c r="N284" s="17"/>
      <c r="O284" s="17"/>
      <c r="P284" s="5" t="str">
        <f aca="false">IF(OR($B284="",$C284=""),"",$C284-$B284+1)</f>
        <v/>
      </c>
      <c r="Q284" s="18"/>
      <c r="R284" s="12" t="str">
        <f aca="false">IF(OR($Q284="",$K284=""),"",$Q284*$K284)</f>
        <v/>
      </c>
      <c r="S284" s="14"/>
      <c r="T284" s="17"/>
      <c r="U284" s="15"/>
    </row>
    <row r="285" customFormat="false" ht="18.75" hidden="false" customHeight="true" outlineLevel="0" collapsed="false">
      <c r="A285" s="5" t="str">
        <f aca="false">IF($B285="","",COUNT($B$5:$B285))</f>
        <v/>
      </c>
      <c r="B285" s="6"/>
      <c r="C285" s="6"/>
      <c r="D285" s="7"/>
      <c r="E285" s="7"/>
      <c r="F285" s="8"/>
      <c r="G285" s="9"/>
      <c r="H285" s="7"/>
      <c r="I285" s="7"/>
      <c r="J285" s="8"/>
      <c r="K285" s="5" t="str">
        <f aca="false">IF($I285="","",1+IF($J285="",0,LEN($J285)-LEN(SUBSTITUTE($J285,",",""))+1))</f>
        <v/>
      </c>
      <c r="L285" s="7"/>
      <c r="M285" s="8"/>
      <c r="N285" s="10"/>
      <c r="O285" s="10"/>
      <c r="P285" s="5" t="str">
        <f aca="false">IF(OR($B285="",$C285=""),"",$C285-$B285+1)</f>
        <v/>
      </c>
      <c r="Q285" s="11"/>
      <c r="R285" s="12" t="str">
        <f aca="false">IF(OR($Q285="",$K285=""),"",$Q285*$K285)</f>
        <v/>
      </c>
      <c r="S285" s="7"/>
      <c r="T285" s="10"/>
      <c r="U285" s="8"/>
    </row>
    <row r="286" customFormat="false" ht="18.75" hidden="false" customHeight="true" outlineLevel="0" collapsed="false">
      <c r="A286" s="5" t="str">
        <f aca="false">IF($B286="","",COUNT($B$5:$B286))</f>
        <v/>
      </c>
      <c r="B286" s="13"/>
      <c r="C286" s="13"/>
      <c r="D286" s="14"/>
      <c r="E286" s="14"/>
      <c r="F286" s="15"/>
      <c r="G286" s="16"/>
      <c r="H286" s="14"/>
      <c r="I286" s="14"/>
      <c r="J286" s="15"/>
      <c r="K286" s="5" t="str">
        <f aca="false">IF($I286="","",1+IF($J286="",0,LEN($J286)-LEN(SUBSTITUTE($J286,",",""))+1))</f>
        <v/>
      </c>
      <c r="L286" s="14"/>
      <c r="M286" s="15"/>
      <c r="N286" s="17"/>
      <c r="O286" s="17"/>
      <c r="P286" s="5" t="str">
        <f aca="false">IF(OR($B286="",$C286=""),"",$C286-$B286+1)</f>
        <v/>
      </c>
      <c r="Q286" s="18"/>
      <c r="R286" s="12" t="str">
        <f aca="false">IF(OR($Q286="",$K286=""),"",$Q286*$K286)</f>
        <v/>
      </c>
      <c r="S286" s="14"/>
      <c r="T286" s="17"/>
      <c r="U286" s="15"/>
    </row>
    <row r="287" customFormat="false" ht="18.75" hidden="false" customHeight="true" outlineLevel="0" collapsed="false">
      <c r="A287" s="5" t="str">
        <f aca="false">IF($B287="","",COUNT($B$5:$B287))</f>
        <v/>
      </c>
      <c r="B287" s="6"/>
      <c r="C287" s="6"/>
      <c r="D287" s="7"/>
      <c r="E287" s="7"/>
      <c r="F287" s="8"/>
      <c r="G287" s="9"/>
      <c r="H287" s="7"/>
      <c r="I287" s="7"/>
      <c r="J287" s="8"/>
      <c r="K287" s="5" t="str">
        <f aca="false">IF($I287="","",1+IF($J287="",0,LEN($J287)-LEN(SUBSTITUTE($J287,",",""))+1))</f>
        <v/>
      </c>
      <c r="L287" s="7"/>
      <c r="M287" s="8"/>
      <c r="N287" s="10"/>
      <c r="O287" s="10"/>
      <c r="P287" s="5" t="str">
        <f aca="false">IF(OR($B287="",$C287=""),"",$C287-$B287+1)</f>
        <v/>
      </c>
      <c r="Q287" s="11"/>
      <c r="R287" s="12" t="str">
        <f aca="false">IF(OR($Q287="",$K287=""),"",$Q287*$K287)</f>
        <v/>
      </c>
      <c r="S287" s="7"/>
      <c r="T287" s="10"/>
      <c r="U287" s="8"/>
    </row>
    <row r="288" customFormat="false" ht="18.75" hidden="false" customHeight="true" outlineLevel="0" collapsed="false">
      <c r="A288" s="5" t="str">
        <f aca="false">IF($B288="","",COUNT($B$5:$B288))</f>
        <v/>
      </c>
      <c r="B288" s="13"/>
      <c r="C288" s="13"/>
      <c r="D288" s="14"/>
      <c r="E288" s="14"/>
      <c r="F288" s="15"/>
      <c r="G288" s="16"/>
      <c r="H288" s="14"/>
      <c r="I288" s="14"/>
      <c r="J288" s="15"/>
      <c r="K288" s="5" t="str">
        <f aca="false">IF($I288="","",1+IF($J288="",0,LEN($J288)-LEN(SUBSTITUTE($J288,",",""))+1))</f>
        <v/>
      </c>
      <c r="L288" s="14"/>
      <c r="M288" s="15"/>
      <c r="N288" s="17"/>
      <c r="O288" s="17"/>
      <c r="P288" s="5" t="str">
        <f aca="false">IF(OR($B288="",$C288=""),"",$C288-$B288+1)</f>
        <v/>
      </c>
      <c r="Q288" s="18"/>
      <c r="R288" s="12" t="str">
        <f aca="false">IF(OR($Q288="",$K288=""),"",$Q288*$K288)</f>
        <v/>
      </c>
      <c r="S288" s="14"/>
      <c r="T288" s="17"/>
      <c r="U288" s="15"/>
    </row>
    <row r="289" customFormat="false" ht="18.75" hidden="false" customHeight="true" outlineLevel="0" collapsed="false">
      <c r="A289" s="5" t="str">
        <f aca="false">IF($B289="","",COUNT($B$5:$B289))</f>
        <v/>
      </c>
      <c r="B289" s="6"/>
      <c r="C289" s="6"/>
      <c r="D289" s="7"/>
      <c r="E289" s="7"/>
      <c r="F289" s="8"/>
      <c r="G289" s="9"/>
      <c r="H289" s="7"/>
      <c r="I289" s="7"/>
      <c r="J289" s="8"/>
      <c r="K289" s="5" t="str">
        <f aca="false">IF($I289="","",1+IF($J289="",0,LEN($J289)-LEN(SUBSTITUTE($J289,",",""))+1))</f>
        <v/>
      </c>
      <c r="L289" s="7"/>
      <c r="M289" s="8"/>
      <c r="N289" s="10"/>
      <c r="O289" s="10"/>
      <c r="P289" s="5" t="str">
        <f aca="false">IF(OR($B289="",$C289=""),"",$C289-$B289+1)</f>
        <v/>
      </c>
      <c r="Q289" s="11"/>
      <c r="R289" s="12" t="str">
        <f aca="false">IF(OR($Q289="",$K289=""),"",$Q289*$K289)</f>
        <v/>
      </c>
      <c r="S289" s="7"/>
      <c r="T289" s="10"/>
      <c r="U289" s="8"/>
    </row>
    <row r="290" customFormat="false" ht="18.75" hidden="false" customHeight="true" outlineLevel="0" collapsed="false">
      <c r="A290" s="5" t="str">
        <f aca="false">IF($B290="","",COUNT($B$5:$B290))</f>
        <v/>
      </c>
      <c r="B290" s="13"/>
      <c r="C290" s="13"/>
      <c r="D290" s="14"/>
      <c r="E290" s="14"/>
      <c r="F290" s="15"/>
      <c r="G290" s="16"/>
      <c r="H290" s="14"/>
      <c r="I290" s="14"/>
      <c r="J290" s="15"/>
      <c r="K290" s="5" t="str">
        <f aca="false">IF($I290="","",1+IF($J290="",0,LEN($J290)-LEN(SUBSTITUTE($J290,",",""))+1))</f>
        <v/>
      </c>
      <c r="L290" s="14"/>
      <c r="M290" s="15"/>
      <c r="N290" s="17"/>
      <c r="O290" s="17"/>
      <c r="P290" s="5" t="str">
        <f aca="false">IF(OR($B290="",$C290=""),"",$C290-$B290+1)</f>
        <v/>
      </c>
      <c r="Q290" s="18"/>
      <c r="R290" s="12" t="str">
        <f aca="false">IF(OR($Q290="",$K290=""),"",$Q290*$K290)</f>
        <v/>
      </c>
      <c r="S290" s="14"/>
      <c r="T290" s="17"/>
      <c r="U290" s="15"/>
    </row>
    <row r="291" customFormat="false" ht="18.75" hidden="false" customHeight="true" outlineLevel="0" collapsed="false">
      <c r="A291" s="5" t="str">
        <f aca="false">IF($B291="","",COUNT($B$5:$B291))</f>
        <v/>
      </c>
      <c r="B291" s="6"/>
      <c r="C291" s="6"/>
      <c r="D291" s="7"/>
      <c r="E291" s="7"/>
      <c r="F291" s="8"/>
      <c r="G291" s="9"/>
      <c r="H291" s="7"/>
      <c r="I291" s="7"/>
      <c r="J291" s="8"/>
      <c r="K291" s="5" t="str">
        <f aca="false">IF($I291="","",1+IF($J291="",0,LEN($J291)-LEN(SUBSTITUTE($J291,",",""))+1))</f>
        <v/>
      </c>
      <c r="L291" s="7"/>
      <c r="M291" s="8"/>
      <c r="N291" s="10"/>
      <c r="O291" s="10"/>
      <c r="P291" s="5" t="str">
        <f aca="false">IF(OR($B291="",$C291=""),"",$C291-$B291+1)</f>
        <v/>
      </c>
      <c r="Q291" s="11"/>
      <c r="R291" s="12" t="str">
        <f aca="false">IF(OR($Q291="",$K291=""),"",$Q291*$K291)</f>
        <v/>
      </c>
      <c r="S291" s="7"/>
      <c r="T291" s="10"/>
      <c r="U291" s="8"/>
    </row>
    <row r="292" customFormat="false" ht="18.75" hidden="false" customHeight="true" outlineLevel="0" collapsed="false">
      <c r="A292" s="5" t="str">
        <f aca="false">IF($B292="","",COUNT($B$5:$B292))</f>
        <v/>
      </c>
      <c r="B292" s="13"/>
      <c r="C292" s="13"/>
      <c r="D292" s="14"/>
      <c r="E292" s="14"/>
      <c r="F292" s="15"/>
      <c r="G292" s="16"/>
      <c r="H292" s="14"/>
      <c r="I292" s="14"/>
      <c r="J292" s="15"/>
      <c r="K292" s="5" t="str">
        <f aca="false">IF($I292="","",1+IF($J292="",0,LEN($J292)-LEN(SUBSTITUTE($J292,",",""))+1))</f>
        <v/>
      </c>
      <c r="L292" s="14"/>
      <c r="M292" s="15"/>
      <c r="N292" s="17"/>
      <c r="O292" s="17"/>
      <c r="P292" s="5" t="str">
        <f aca="false">IF(OR($B292="",$C292=""),"",$C292-$B292+1)</f>
        <v/>
      </c>
      <c r="Q292" s="18"/>
      <c r="R292" s="12" t="str">
        <f aca="false">IF(OR($Q292="",$K292=""),"",$Q292*$K292)</f>
        <v/>
      </c>
      <c r="S292" s="14"/>
      <c r="T292" s="17"/>
      <c r="U292" s="15"/>
    </row>
    <row r="293" customFormat="false" ht="18.75" hidden="false" customHeight="true" outlineLevel="0" collapsed="false">
      <c r="A293" s="5" t="str">
        <f aca="false">IF($B293="","",COUNT($B$5:$B293))</f>
        <v/>
      </c>
      <c r="B293" s="6"/>
      <c r="C293" s="6"/>
      <c r="D293" s="7"/>
      <c r="E293" s="7"/>
      <c r="F293" s="8"/>
      <c r="G293" s="9"/>
      <c r="H293" s="7"/>
      <c r="I293" s="7"/>
      <c r="J293" s="8"/>
      <c r="K293" s="5" t="str">
        <f aca="false">IF($I293="","",1+IF($J293="",0,LEN($J293)-LEN(SUBSTITUTE($J293,",",""))+1))</f>
        <v/>
      </c>
      <c r="L293" s="7"/>
      <c r="M293" s="8"/>
      <c r="N293" s="10"/>
      <c r="O293" s="10"/>
      <c r="P293" s="5" t="str">
        <f aca="false">IF(OR($B293="",$C293=""),"",$C293-$B293+1)</f>
        <v/>
      </c>
      <c r="Q293" s="11"/>
      <c r="R293" s="12" t="str">
        <f aca="false">IF(OR($Q293="",$K293=""),"",$Q293*$K293)</f>
        <v/>
      </c>
      <c r="S293" s="7"/>
      <c r="T293" s="10"/>
      <c r="U293" s="8"/>
    </row>
    <row r="294" customFormat="false" ht="18.75" hidden="false" customHeight="true" outlineLevel="0" collapsed="false">
      <c r="A294" s="5" t="str">
        <f aca="false">IF($B294="","",COUNT($B$5:$B294))</f>
        <v/>
      </c>
      <c r="B294" s="13"/>
      <c r="C294" s="13"/>
      <c r="D294" s="14"/>
      <c r="E294" s="14"/>
      <c r="F294" s="15"/>
      <c r="G294" s="16"/>
      <c r="H294" s="14"/>
      <c r="I294" s="14"/>
      <c r="J294" s="15"/>
      <c r="K294" s="5" t="str">
        <f aca="false">IF($I294="","",1+IF($J294="",0,LEN($J294)-LEN(SUBSTITUTE($J294,",",""))+1))</f>
        <v/>
      </c>
      <c r="L294" s="14"/>
      <c r="M294" s="15"/>
      <c r="N294" s="17"/>
      <c r="O294" s="17"/>
      <c r="P294" s="5" t="str">
        <f aca="false">IF(OR($B294="",$C294=""),"",$C294-$B294+1)</f>
        <v/>
      </c>
      <c r="Q294" s="18"/>
      <c r="R294" s="12" t="str">
        <f aca="false">IF(OR($Q294="",$K294=""),"",$Q294*$K294)</f>
        <v/>
      </c>
      <c r="S294" s="14"/>
      <c r="T294" s="17"/>
      <c r="U294" s="15"/>
    </row>
    <row r="295" customFormat="false" ht="18.75" hidden="false" customHeight="true" outlineLevel="0" collapsed="false">
      <c r="A295" s="5" t="str">
        <f aca="false">IF($B295="","",COUNT($B$5:$B295))</f>
        <v/>
      </c>
      <c r="B295" s="6"/>
      <c r="C295" s="6"/>
      <c r="D295" s="7"/>
      <c r="E295" s="7"/>
      <c r="F295" s="8"/>
      <c r="G295" s="9"/>
      <c r="H295" s="7"/>
      <c r="I295" s="7"/>
      <c r="J295" s="8"/>
      <c r="K295" s="5" t="str">
        <f aca="false">IF($I295="","",1+IF($J295="",0,LEN($J295)-LEN(SUBSTITUTE($J295,",",""))+1))</f>
        <v/>
      </c>
      <c r="L295" s="7"/>
      <c r="M295" s="8"/>
      <c r="N295" s="10"/>
      <c r="O295" s="10"/>
      <c r="P295" s="5" t="str">
        <f aca="false">IF(OR($B295="",$C295=""),"",$C295-$B295+1)</f>
        <v/>
      </c>
      <c r="Q295" s="11"/>
      <c r="R295" s="12" t="str">
        <f aca="false">IF(OR($Q295="",$K295=""),"",$Q295*$K295)</f>
        <v/>
      </c>
      <c r="S295" s="7"/>
      <c r="T295" s="10"/>
      <c r="U295" s="8"/>
    </row>
    <row r="296" customFormat="false" ht="18.75" hidden="false" customHeight="true" outlineLevel="0" collapsed="false">
      <c r="A296" s="5" t="str">
        <f aca="false">IF($B296="","",COUNT($B$5:$B296))</f>
        <v/>
      </c>
      <c r="B296" s="13"/>
      <c r="C296" s="13"/>
      <c r="D296" s="14"/>
      <c r="E296" s="14"/>
      <c r="F296" s="15"/>
      <c r="G296" s="16"/>
      <c r="H296" s="14"/>
      <c r="I296" s="14"/>
      <c r="J296" s="15"/>
      <c r="K296" s="5" t="str">
        <f aca="false">IF($I296="","",1+IF($J296="",0,LEN($J296)-LEN(SUBSTITUTE($J296,",",""))+1))</f>
        <v/>
      </c>
      <c r="L296" s="14"/>
      <c r="M296" s="15"/>
      <c r="N296" s="17"/>
      <c r="O296" s="17"/>
      <c r="P296" s="5" t="str">
        <f aca="false">IF(OR($B296="",$C296=""),"",$C296-$B296+1)</f>
        <v/>
      </c>
      <c r="Q296" s="18"/>
      <c r="R296" s="12" t="str">
        <f aca="false">IF(OR($Q296="",$K296=""),"",$Q296*$K296)</f>
        <v/>
      </c>
      <c r="S296" s="14"/>
      <c r="T296" s="17"/>
      <c r="U296" s="15"/>
    </row>
    <row r="297" customFormat="false" ht="18.75" hidden="false" customHeight="true" outlineLevel="0" collapsed="false">
      <c r="A297" s="5" t="str">
        <f aca="false">IF($B297="","",COUNT($B$5:$B297))</f>
        <v/>
      </c>
      <c r="B297" s="6"/>
      <c r="C297" s="6"/>
      <c r="D297" s="7"/>
      <c r="E297" s="7"/>
      <c r="F297" s="8"/>
      <c r="G297" s="9"/>
      <c r="H297" s="7"/>
      <c r="I297" s="7"/>
      <c r="J297" s="8"/>
      <c r="K297" s="5" t="str">
        <f aca="false">IF($I297="","",1+IF($J297="",0,LEN($J297)-LEN(SUBSTITUTE($J297,",",""))+1))</f>
        <v/>
      </c>
      <c r="L297" s="7"/>
      <c r="M297" s="8"/>
      <c r="N297" s="10"/>
      <c r="O297" s="10"/>
      <c r="P297" s="5" t="str">
        <f aca="false">IF(OR($B297="",$C297=""),"",$C297-$B297+1)</f>
        <v/>
      </c>
      <c r="Q297" s="11"/>
      <c r="R297" s="12" t="str">
        <f aca="false">IF(OR($Q297="",$K297=""),"",$Q297*$K297)</f>
        <v/>
      </c>
      <c r="S297" s="7"/>
      <c r="T297" s="10"/>
      <c r="U297" s="8"/>
    </row>
    <row r="298" customFormat="false" ht="18.75" hidden="false" customHeight="true" outlineLevel="0" collapsed="false">
      <c r="A298" s="5" t="str">
        <f aca="false">IF($B298="","",COUNT($B$5:$B298))</f>
        <v/>
      </c>
      <c r="B298" s="13"/>
      <c r="C298" s="13"/>
      <c r="D298" s="14"/>
      <c r="E298" s="14"/>
      <c r="F298" s="15"/>
      <c r="G298" s="16"/>
      <c r="H298" s="14"/>
      <c r="I298" s="14"/>
      <c r="J298" s="15"/>
      <c r="K298" s="5" t="str">
        <f aca="false">IF($I298="","",1+IF($J298="",0,LEN($J298)-LEN(SUBSTITUTE($J298,",",""))+1))</f>
        <v/>
      </c>
      <c r="L298" s="14"/>
      <c r="M298" s="15"/>
      <c r="N298" s="17"/>
      <c r="O298" s="17"/>
      <c r="P298" s="5" t="str">
        <f aca="false">IF(OR($B298="",$C298=""),"",$C298-$B298+1)</f>
        <v/>
      </c>
      <c r="Q298" s="18"/>
      <c r="R298" s="12" t="str">
        <f aca="false">IF(OR($Q298="",$K298=""),"",$Q298*$K298)</f>
        <v/>
      </c>
      <c r="S298" s="14"/>
      <c r="T298" s="17"/>
      <c r="U298" s="15"/>
    </row>
    <row r="299" customFormat="false" ht="18.75" hidden="false" customHeight="true" outlineLevel="0" collapsed="false">
      <c r="A299" s="5" t="str">
        <f aca="false">IF($B299="","",COUNT($B$5:$B299))</f>
        <v/>
      </c>
      <c r="B299" s="6"/>
      <c r="C299" s="6"/>
      <c r="D299" s="7"/>
      <c r="E299" s="7"/>
      <c r="F299" s="8"/>
      <c r="G299" s="9"/>
      <c r="H299" s="7"/>
      <c r="I299" s="7"/>
      <c r="J299" s="8"/>
      <c r="K299" s="5" t="str">
        <f aca="false">IF($I299="","",1+IF($J299="",0,LEN($J299)-LEN(SUBSTITUTE($J299,",",""))+1))</f>
        <v/>
      </c>
      <c r="L299" s="7"/>
      <c r="M299" s="8"/>
      <c r="N299" s="10"/>
      <c r="O299" s="10"/>
      <c r="P299" s="5" t="str">
        <f aca="false">IF(OR($B299="",$C299=""),"",$C299-$B299+1)</f>
        <v/>
      </c>
      <c r="Q299" s="11"/>
      <c r="R299" s="12" t="str">
        <f aca="false">IF(OR($Q299="",$K299=""),"",$Q299*$K299)</f>
        <v/>
      </c>
      <c r="S299" s="7"/>
      <c r="T299" s="10"/>
      <c r="U299" s="8"/>
    </row>
    <row r="300" customFormat="false" ht="18.75" hidden="false" customHeight="true" outlineLevel="0" collapsed="false">
      <c r="A300" s="5" t="str">
        <f aca="false">IF($B300="","",COUNT($B$5:$B300))</f>
        <v/>
      </c>
      <c r="B300" s="13"/>
      <c r="C300" s="13"/>
      <c r="D300" s="14"/>
      <c r="E300" s="14"/>
      <c r="F300" s="15"/>
      <c r="G300" s="16"/>
      <c r="H300" s="14"/>
      <c r="I300" s="14"/>
      <c r="J300" s="15"/>
      <c r="K300" s="5" t="str">
        <f aca="false">IF($I300="","",1+IF($J300="",0,LEN($J300)-LEN(SUBSTITUTE($J300,",",""))+1))</f>
        <v/>
      </c>
      <c r="L300" s="14"/>
      <c r="M300" s="15"/>
      <c r="N300" s="17"/>
      <c r="O300" s="17"/>
      <c r="P300" s="5" t="str">
        <f aca="false">IF(OR($B300="",$C300=""),"",$C300-$B300+1)</f>
        <v/>
      </c>
      <c r="Q300" s="18"/>
      <c r="R300" s="12" t="str">
        <f aca="false">IF(OR($Q300="",$K300=""),"",$Q300*$K300)</f>
        <v/>
      </c>
      <c r="S300" s="14"/>
      <c r="T300" s="17"/>
      <c r="U300" s="15"/>
    </row>
    <row r="301" customFormat="false" ht="18.75" hidden="false" customHeight="true" outlineLevel="0" collapsed="false">
      <c r="A301" s="5" t="str">
        <f aca="false">IF($B301="","",COUNT($B$5:$B301))</f>
        <v/>
      </c>
      <c r="B301" s="6"/>
      <c r="C301" s="6"/>
      <c r="D301" s="7"/>
      <c r="E301" s="7"/>
      <c r="F301" s="8"/>
      <c r="G301" s="9"/>
      <c r="H301" s="7"/>
      <c r="I301" s="7"/>
      <c r="J301" s="8"/>
      <c r="K301" s="5" t="str">
        <f aca="false">IF($I301="","",1+IF($J301="",0,LEN($J301)-LEN(SUBSTITUTE($J301,",",""))+1))</f>
        <v/>
      </c>
      <c r="L301" s="7"/>
      <c r="M301" s="8"/>
      <c r="N301" s="10"/>
      <c r="O301" s="10"/>
      <c r="P301" s="5" t="str">
        <f aca="false">IF(OR($B301="",$C301=""),"",$C301-$B301+1)</f>
        <v/>
      </c>
      <c r="Q301" s="11"/>
      <c r="R301" s="12" t="str">
        <f aca="false">IF(OR($Q301="",$K301=""),"",$Q301*$K301)</f>
        <v/>
      </c>
      <c r="S301" s="7"/>
      <c r="T301" s="10"/>
      <c r="U301" s="8"/>
    </row>
    <row r="302" customFormat="false" ht="18.75" hidden="false" customHeight="true" outlineLevel="0" collapsed="false">
      <c r="A302" s="5" t="str">
        <f aca="false">IF($B302="","",COUNT($B$5:$B302))</f>
        <v/>
      </c>
      <c r="B302" s="13"/>
      <c r="C302" s="13"/>
      <c r="D302" s="14"/>
      <c r="E302" s="14"/>
      <c r="F302" s="15"/>
      <c r="G302" s="16"/>
      <c r="H302" s="14"/>
      <c r="I302" s="14"/>
      <c r="J302" s="15"/>
      <c r="K302" s="5" t="str">
        <f aca="false">IF($I302="","",1+IF($J302="",0,LEN($J302)-LEN(SUBSTITUTE($J302,",",""))+1))</f>
        <v/>
      </c>
      <c r="L302" s="14"/>
      <c r="M302" s="15"/>
      <c r="N302" s="17"/>
      <c r="O302" s="17"/>
      <c r="P302" s="5" t="str">
        <f aca="false">IF(OR($B302="",$C302=""),"",$C302-$B302+1)</f>
        <v/>
      </c>
      <c r="Q302" s="18"/>
      <c r="R302" s="12" t="str">
        <f aca="false">IF(OR($Q302="",$K302=""),"",$Q302*$K302)</f>
        <v/>
      </c>
      <c r="S302" s="14"/>
      <c r="T302" s="17"/>
      <c r="U302" s="15"/>
    </row>
    <row r="303" customFormat="false" ht="18.75" hidden="false" customHeight="true" outlineLevel="0" collapsed="false">
      <c r="A303" s="5" t="str">
        <f aca="false">IF($B303="","",COUNT($B$5:$B303))</f>
        <v/>
      </c>
      <c r="B303" s="6"/>
      <c r="C303" s="6"/>
      <c r="D303" s="7"/>
      <c r="E303" s="7"/>
      <c r="F303" s="8"/>
      <c r="G303" s="9"/>
      <c r="H303" s="7"/>
      <c r="I303" s="7"/>
      <c r="J303" s="8"/>
      <c r="K303" s="5" t="str">
        <f aca="false">IF($I303="","",1+IF($J303="",0,LEN($J303)-LEN(SUBSTITUTE($J303,",",""))+1))</f>
        <v/>
      </c>
      <c r="L303" s="7"/>
      <c r="M303" s="8"/>
      <c r="N303" s="10"/>
      <c r="O303" s="10"/>
      <c r="P303" s="5" t="str">
        <f aca="false">IF(OR($B303="",$C303=""),"",$C303-$B303+1)</f>
        <v/>
      </c>
      <c r="Q303" s="11"/>
      <c r="R303" s="12" t="str">
        <f aca="false">IF(OR($Q303="",$K303=""),"",$Q303*$K303)</f>
        <v/>
      </c>
      <c r="S303" s="7"/>
      <c r="T303" s="10"/>
      <c r="U303" s="8"/>
    </row>
    <row r="304" customFormat="false" ht="18.75" hidden="false" customHeight="true" outlineLevel="0" collapsed="false">
      <c r="A304" s="5" t="str">
        <f aca="false">IF($B304="","",COUNT($B$5:$B304))</f>
        <v/>
      </c>
      <c r="B304" s="13"/>
      <c r="C304" s="13"/>
      <c r="D304" s="14"/>
      <c r="E304" s="14"/>
      <c r="F304" s="15"/>
      <c r="G304" s="16"/>
      <c r="H304" s="14"/>
      <c r="I304" s="14"/>
      <c r="J304" s="15"/>
      <c r="K304" s="5" t="str">
        <f aca="false">IF($I304="","",1+IF($J304="",0,LEN($J304)-LEN(SUBSTITUTE($J304,",",""))+1))</f>
        <v/>
      </c>
      <c r="L304" s="14"/>
      <c r="M304" s="15"/>
      <c r="N304" s="17"/>
      <c r="O304" s="17"/>
      <c r="P304" s="5" t="str">
        <f aca="false">IF(OR($B304="",$C304=""),"",$C304-$B304+1)</f>
        <v/>
      </c>
      <c r="Q304" s="18"/>
      <c r="R304" s="12" t="str">
        <f aca="false">IF(OR($Q304="",$K304=""),"",$Q304*$K304)</f>
        <v/>
      </c>
      <c r="S304" s="14"/>
      <c r="T304" s="17"/>
      <c r="U304" s="15"/>
    </row>
    <row r="305" customFormat="false" ht="18.75" hidden="false" customHeight="true" outlineLevel="0" collapsed="false">
      <c r="A305" s="5" t="str">
        <f aca="false">IF($B305="","",COUNT($B$5:$B305))</f>
        <v/>
      </c>
      <c r="B305" s="6"/>
      <c r="C305" s="6"/>
      <c r="D305" s="7"/>
      <c r="E305" s="7"/>
      <c r="F305" s="8"/>
      <c r="G305" s="9"/>
      <c r="H305" s="7"/>
      <c r="I305" s="7"/>
      <c r="J305" s="8"/>
      <c r="K305" s="5" t="str">
        <f aca="false">IF($I305="","",1+IF($J305="",0,LEN($J305)-LEN(SUBSTITUTE($J305,",",""))+1))</f>
        <v/>
      </c>
      <c r="L305" s="7"/>
      <c r="M305" s="8"/>
      <c r="N305" s="10"/>
      <c r="O305" s="10"/>
      <c r="P305" s="5" t="str">
        <f aca="false">IF(OR($B305="",$C305=""),"",$C305-$B305+1)</f>
        <v/>
      </c>
      <c r="Q305" s="11"/>
      <c r="R305" s="12" t="str">
        <f aca="false">IF(OR($Q305="",$K305=""),"",$Q305*$K305)</f>
        <v/>
      </c>
      <c r="S305" s="7"/>
      <c r="T305" s="10"/>
      <c r="U305" s="8"/>
    </row>
    <row r="306" customFormat="false" ht="18.75" hidden="false" customHeight="true" outlineLevel="0" collapsed="false">
      <c r="A306" s="5" t="str">
        <f aca="false">IF($B306="","",COUNT($B$5:$B306))</f>
        <v/>
      </c>
      <c r="B306" s="13"/>
      <c r="C306" s="13"/>
      <c r="D306" s="14"/>
      <c r="E306" s="14"/>
      <c r="F306" s="15"/>
      <c r="G306" s="16"/>
      <c r="H306" s="14"/>
      <c r="I306" s="14"/>
      <c r="J306" s="15"/>
      <c r="K306" s="5" t="str">
        <f aca="false">IF($I306="","",1+IF($J306="",0,LEN($J306)-LEN(SUBSTITUTE($J306,",",""))+1))</f>
        <v/>
      </c>
      <c r="L306" s="14"/>
      <c r="M306" s="15"/>
      <c r="N306" s="17"/>
      <c r="O306" s="17"/>
      <c r="P306" s="5" t="str">
        <f aca="false">IF(OR($B306="",$C306=""),"",$C306-$B306+1)</f>
        <v/>
      </c>
      <c r="Q306" s="18"/>
      <c r="R306" s="12" t="str">
        <f aca="false">IF(OR($Q306="",$K306=""),"",$Q306*$K306)</f>
        <v/>
      </c>
      <c r="S306" s="14"/>
      <c r="T306" s="17"/>
      <c r="U306" s="15"/>
    </row>
    <row r="307" customFormat="false" ht="18.75" hidden="false" customHeight="true" outlineLevel="0" collapsed="false">
      <c r="A307" s="5" t="str">
        <f aca="false">IF($B307="","",COUNT($B$5:$B307))</f>
        <v/>
      </c>
      <c r="B307" s="6"/>
      <c r="C307" s="6"/>
      <c r="D307" s="7"/>
      <c r="E307" s="7"/>
      <c r="F307" s="8"/>
      <c r="G307" s="9"/>
      <c r="H307" s="7"/>
      <c r="I307" s="7"/>
      <c r="J307" s="8"/>
      <c r="K307" s="5" t="str">
        <f aca="false">IF($I307="","",1+IF($J307="",0,LEN($J307)-LEN(SUBSTITUTE($J307,",",""))+1))</f>
        <v/>
      </c>
      <c r="L307" s="7"/>
      <c r="M307" s="8"/>
      <c r="N307" s="10"/>
      <c r="O307" s="10"/>
      <c r="P307" s="5" t="str">
        <f aca="false">IF(OR($B307="",$C307=""),"",$C307-$B307+1)</f>
        <v/>
      </c>
      <c r="Q307" s="11"/>
      <c r="R307" s="12" t="str">
        <f aca="false">IF(OR($Q307="",$K307=""),"",$Q307*$K307)</f>
        <v/>
      </c>
      <c r="S307" s="7"/>
      <c r="T307" s="10"/>
      <c r="U307" s="8"/>
    </row>
    <row r="308" customFormat="false" ht="18.75" hidden="false" customHeight="true" outlineLevel="0" collapsed="false">
      <c r="A308" s="5" t="str">
        <f aca="false">IF($B308="","",COUNT($B$5:$B308))</f>
        <v/>
      </c>
      <c r="B308" s="13"/>
      <c r="C308" s="13"/>
      <c r="D308" s="14"/>
      <c r="E308" s="14"/>
      <c r="F308" s="15"/>
      <c r="G308" s="16"/>
      <c r="H308" s="14"/>
      <c r="I308" s="14"/>
      <c r="J308" s="15"/>
      <c r="K308" s="5" t="str">
        <f aca="false">IF($I308="","",1+IF($J308="",0,LEN($J308)-LEN(SUBSTITUTE($J308,",",""))+1))</f>
        <v/>
      </c>
      <c r="L308" s="14"/>
      <c r="M308" s="15"/>
      <c r="N308" s="17"/>
      <c r="O308" s="17"/>
      <c r="P308" s="5" t="str">
        <f aca="false">IF(OR($B308="",$C308=""),"",$C308-$B308+1)</f>
        <v/>
      </c>
      <c r="Q308" s="18"/>
      <c r="R308" s="12" t="str">
        <f aca="false">IF(OR($Q308="",$K308=""),"",$Q308*$K308)</f>
        <v/>
      </c>
      <c r="S308" s="14"/>
      <c r="T308" s="17"/>
      <c r="U308" s="15"/>
    </row>
    <row r="309" customFormat="false" ht="18.75" hidden="false" customHeight="true" outlineLevel="0" collapsed="false">
      <c r="A309" s="5" t="str">
        <f aca="false">IF($B309="","",COUNT($B$5:$B309))</f>
        <v/>
      </c>
      <c r="B309" s="6"/>
      <c r="C309" s="6"/>
      <c r="D309" s="7"/>
      <c r="E309" s="7"/>
      <c r="F309" s="8"/>
      <c r="G309" s="9"/>
      <c r="H309" s="7"/>
      <c r="I309" s="7"/>
      <c r="J309" s="8"/>
      <c r="K309" s="5" t="str">
        <f aca="false">IF($I309="","",1+IF($J309="",0,LEN($J309)-LEN(SUBSTITUTE($J309,",",""))+1))</f>
        <v/>
      </c>
      <c r="L309" s="7"/>
      <c r="M309" s="8"/>
      <c r="N309" s="10"/>
      <c r="O309" s="10"/>
      <c r="P309" s="5" t="str">
        <f aca="false">IF(OR($B309="",$C309=""),"",$C309-$B309+1)</f>
        <v/>
      </c>
      <c r="Q309" s="11"/>
      <c r="R309" s="12" t="str">
        <f aca="false">IF(OR($Q309="",$K309=""),"",$Q309*$K309)</f>
        <v/>
      </c>
      <c r="S309" s="7"/>
      <c r="T309" s="10"/>
      <c r="U309" s="8"/>
    </row>
    <row r="310" customFormat="false" ht="18.75" hidden="false" customHeight="true" outlineLevel="0" collapsed="false">
      <c r="A310" s="5" t="str">
        <f aca="false">IF($B310="","",COUNT($B$5:$B310))</f>
        <v/>
      </c>
      <c r="B310" s="13"/>
      <c r="C310" s="13"/>
      <c r="D310" s="14"/>
      <c r="E310" s="14"/>
      <c r="F310" s="15"/>
      <c r="G310" s="16"/>
      <c r="H310" s="14"/>
      <c r="I310" s="14"/>
      <c r="J310" s="15"/>
      <c r="K310" s="5" t="str">
        <f aca="false">IF($I310="","",1+IF($J310="",0,LEN($J310)-LEN(SUBSTITUTE($J310,",",""))+1))</f>
        <v/>
      </c>
      <c r="L310" s="14"/>
      <c r="M310" s="15"/>
      <c r="N310" s="17"/>
      <c r="O310" s="17"/>
      <c r="P310" s="5" t="str">
        <f aca="false">IF(OR($B310="",$C310=""),"",$C310-$B310+1)</f>
        <v/>
      </c>
      <c r="Q310" s="18"/>
      <c r="R310" s="12" t="str">
        <f aca="false">IF(OR($Q310="",$K310=""),"",$Q310*$K310)</f>
        <v/>
      </c>
      <c r="S310" s="14"/>
      <c r="T310" s="17"/>
      <c r="U310" s="15"/>
    </row>
    <row r="311" customFormat="false" ht="18.75" hidden="false" customHeight="true" outlineLevel="0" collapsed="false">
      <c r="A311" s="5" t="str">
        <f aca="false">IF($B311="","",COUNT($B$5:$B311))</f>
        <v/>
      </c>
      <c r="B311" s="6"/>
      <c r="C311" s="6"/>
      <c r="D311" s="7"/>
      <c r="E311" s="7"/>
      <c r="F311" s="8"/>
      <c r="G311" s="9"/>
      <c r="H311" s="7"/>
      <c r="I311" s="7"/>
      <c r="J311" s="8"/>
      <c r="K311" s="5" t="str">
        <f aca="false">IF($I311="","",1+IF($J311="",0,LEN($J311)-LEN(SUBSTITUTE($J311,",",""))+1))</f>
        <v/>
      </c>
      <c r="L311" s="7"/>
      <c r="M311" s="8"/>
      <c r="N311" s="10"/>
      <c r="O311" s="10"/>
      <c r="P311" s="5" t="str">
        <f aca="false">IF(OR($B311="",$C311=""),"",$C311-$B311+1)</f>
        <v/>
      </c>
      <c r="Q311" s="11"/>
      <c r="R311" s="12" t="str">
        <f aca="false">IF(OR($Q311="",$K311=""),"",$Q311*$K311)</f>
        <v/>
      </c>
      <c r="S311" s="7"/>
      <c r="T311" s="10"/>
      <c r="U311" s="8"/>
    </row>
    <row r="312" customFormat="false" ht="18.75" hidden="false" customHeight="true" outlineLevel="0" collapsed="false">
      <c r="A312" s="5" t="str">
        <f aca="false">IF($B312="","",COUNT($B$5:$B312))</f>
        <v/>
      </c>
      <c r="B312" s="13"/>
      <c r="C312" s="13"/>
      <c r="D312" s="14"/>
      <c r="E312" s="14"/>
      <c r="F312" s="15"/>
      <c r="G312" s="16"/>
      <c r="H312" s="14"/>
      <c r="I312" s="14"/>
      <c r="J312" s="15"/>
      <c r="K312" s="5" t="str">
        <f aca="false">IF($I312="","",1+IF($J312="",0,LEN($J312)-LEN(SUBSTITUTE($J312,",",""))+1))</f>
        <v/>
      </c>
      <c r="L312" s="14"/>
      <c r="M312" s="15"/>
      <c r="N312" s="17"/>
      <c r="O312" s="17"/>
      <c r="P312" s="5" t="str">
        <f aca="false">IF(OR($B312="",$C312=""),"",$C312-$B312+1)</f>
        <v/>
      </c>
      <c r="Q312" s="18"/>
      <c r="R312" s="12" t="str">
        <f aca="false">IF(OR($Q312="",$K312=""),"",$Q312*$K312)</f>
        <v/>
      </c>
      <c r="S312" s="14"/>
      <c r="T312" s="17"/>
      <c r="U312" s="15"/>
    </row>
    <row r="313" customFormat="false" ht="18.75" hidden="false" customHeight="true" outlineLevel="0" collapsed="false">
      <c r="A313" s="5" t="str">
        <f aca="false">IF($B313="","",COUNT($B$5:$B313))</f>
        <v/>
      </c>
      <c r="B313" s="6"/>
      <c r="C313" s="6"/>
      <c r="D313" s="7"/>
      <c r="E313" s="7"/>
      <c r="F313" s="8"/>
      <c r="G313" s="9"/>
      <c r="H313" s="7"/>
      <c r="I313" s="7"/>
      <c r="J313" s="8"/>
      <c r="K313" s="5" t="str">
        <f aca="false">IF($I313="","",1+IF($J313="",0,LEN($J313)-LEN(SUBSTITUTE($J313,",",""))+1))</f>
        <v/>
      </c>
      <c r="L313" s="7"/>
      <c r="M313" s="8"/>
      <c r="N313" s="10"/>
      <c r="O313" s="10"/>
      <c r="P313" s="5" t="str">
        <f aca="false">IF(OR($B313="",$C313=""),"",$C313-$B313+1)</f>
        <v/>
      </c>
      <c r="Q313" s="11"/>
      <c r="R313" s="12" t="str">
        <f aca="false">IF(OR($Q313="",$K313=""),"",$Q313*$K313)</f>
        <v/>
      </c>
      <c r="S313" s="7"/>
      <c r="T313" s="10"/>
      <c r="U313" s="8"/>
    </row>
    <row r="314" customFormat="false" ht="18.75" hidden="false" customHeight="true" outlineLevel="0" collapsed="false">
      <c r="A314" s="5" t="str">
        <f aca="false">IF($B314="","",COUNT($B$5:$B314))</f>
        <v/>
      </c>
      <c r="B314" s="13"/>
      <c r="C314" s="13"/>
      <c r="D314" s="14"/>
      <c r="E314" s="14"/>
      <c r="F314" s="15"/>
      <c r="G314" s="16"/>
      <c r="H314" s="14"/>
      <c r="I314" s="14"/>
      <c r="J314" s="15"/>
      <c r="K314" s="5" t="str">
        <f aca="false">IF($I314="","",1+IF($J314="",0,LEN($J314)-LEN(SUBSTITUTE($J314,",",""))+1))</f>
        <v/>
      </c>
      <c r="L314" s="14"/>
      <c r="M314" s="15"/>
      <c r="N314" s="17"/>
      <c r="O314" s="17"/>
      <c r="P314" s="5" t="str">
        <f aca="false">IF(OR($B314="",$C314=""),"",$C314-$B314+1)</f>
        <v/>
      </c>
      <c r="Q314" s="18"/>
      <c r="R314" s="12" t="str">
        <f aca="false">IF(OR($Q314="",$K314=""),"",$Q314*$K314)</f>
        <v/>
      </c>
      <c r="S314" s="14"/>
      <c r="T314" s="17"/>
      <c r="U314" s="15"/>
    </row>
    <row r="315" customFormat="false" ht="18.75" hidden="false" customHeight="true" outlineLevel="0" collapsed="false">
      <c r="A315" s="5" t="str">
        <f aca="false">IF($B315="","",COUNT($B$5:$B315))</f>
        <v/>
      </c>
      <c r="B315" s="6"/>
      <c r="C315" s="6"/>
      <c r="D315" s="7"/>
      <c r="E315" s="7"/>
      <c r="F315" s="8"/>
      <c r="G315" s="9"/>
      <c r="H315" s="7"/>
      <c r="I315" s="7"/>
      <c r="J315" s="8"/>
      <c r="K315" s="5" t="str">
        <f aca="false">IF($I315="","",1+IF($J315="",0,LEN($J315)-LEN(SUBSTITUTE($J315,",",""))+1))</f>
        <v/>
      </c>
      <c r="L315" s="7"/>
      <c r="M315" s="8"/>
      <c r="N315" s="10"/>
      <c r="O315" s="10"/>
      <c r="P315" s="5" t="str">
        <f aca="false">IF(OR($B315="",$C315=""),"",$C315-$B315+1)</f>
        <v/>
      </c>
      <c r="Q315" s="11"/>
      <c r="R315" s="12" t="str">
        <f aca="false">IF(OR($Q315="",$K315=""),"",$Q315*$K315)</f>
        <v/>
      </c>
      <c r="S315" s="7"/>
      <c r="T315" s="10"/>
      <c r="U315" s="8"/>
    </row>
    <row r="316" customFormat="false" ht="18.75" hidden="false" customHeight="true" outlineLevel="0" collapsed="false">
      <c r="A316" s="5" t="str">
        <f aca="false">IF($B316="","",COUNT($B$5:$B316))</f>
        <v/>
      </c>
      <c r="B316" s="13"/>
      <c r="C316" s="13"/>
      <c r="D316" s="14"/>
      <c r="E316" s="14"/>
      <c r="F316" s="15"/>
      <c r="G316" s="16"/>
      <c r="H316" s="14"/>
      <c r="I316" s="14"/>
      <c r="J316" s="15"/>
      <c r="K316" s="5" t="str">
        <f aca="false">IF($I316="","",1+IF($J316="",0,LEN($J316)-LEN(SUBSTITUTE($J316,",",""))+1))</f>
        <v/>
      </c>
      <c r="L316" s="14"/>
      <c r="M316" s="15"/>
      <c r="N316" s="17"/>
      <c r="O316" s="17"/>
      <c r="P316" s="5" t="str">
        <f aca="false">IF(OR($B316="",$C316=""),"",$C316-$B316+1)</f>
        <v/>
      </c>
      <c r="Q316" s="18"/>
      <c r="R316" s="12" t="str">
        <f aca="false">IF(OR($Q316="",$K316=""),"",$Q316*$K316)</f>
        <v/>
      </c>
      <c r="S316" s="14"/>
      <c r="T316" s="17"/>
      <c r="U316" s="15"/>
    </row>
    <row r="317" customFormat="false" ht="18.75" hidden="false" customHeight="true" outlineLevel="0" collapsed="false">
      <c r="A317" s="5" t="str">
        <f aca="false">IF($B317="","",COUNT($B$5:$B317))</f>
        <v/>
      </c>
      <c r="B317" s="6"/>
      <c r="C317" s="6"/>
      <c r="D317" s="7"/>
      <c r="E317" s="7"/>
      <c r="F317" s="8"/>
      <c r="G317" s="9"/>
      <c r="H317" s="7"/>
      <c r="I317" s="7"/>
      <c r="J317" s="8"/>
      <c r="K317" s="5" t="str">
        <f aca="false">IF($I317="","",1+IF($J317="",0,LEN($J317)-LEN(SUBSTITUTE($J317,",",""))+1))</f>
        <v/>
      </c>
      <c r="L317" s="7"/>
      <c r="M317" s="8"/>
      <c r="N317" s="10"/>
      <c r="O317" s="10"/>
      <c r="P317" s="5" t="str">
        <f aca="false">IF(OR($B317="",$C317=""),"",$C317-$B317+1)</f>
        <v/>
      </c>
      <c r="Q317" s="11"/>
      <c r="R317" s="12" t="str">
        <f aca="false">IF(OR($Q317="",$K317=""),"",$Q317*$K317)</f>
        <v/>
      </c>
      <c r="S317" s="7"/>
      <c r="T317" s="10"/>
      <c r="U317" s="8"/>
    </row>
    <row r="318" customFormat="false" ht="18.75" hidden="false" customHeight="true" outlineLevel="0" collapsed="false">
      <c r="A318" s="5" t="str">
        <f aca="false">IF($B318="","",COUNT($B$5:$B318))</f>
        <v/>
      </c>
      <c r="B318" s="13"/>
      <c r="C318" s="13"/>
      <c r="D318" s="14"/>
      <c r="E318" s="14"/>
      <c r="F318" s="15"/>
      <c r="G318" s="16"/>
      <c r="H318" s="14"/>
      <c r="I318" s="14"/>
      <c r="J318" s="15"/>
      <c r="K318" s="5" t="str">
        <f aca="false">IF($I318="","",1+IF($J318="",0,LEN($J318)-LEN(SUBSTITUTE($J318,",",""))+1))</f>
        <v/>
      </c>
      <c r="L318" s="14"/>
      <c r="M318" s="15"/>
      <c r="N318" s="17"/>
      <c r="O318" s="17"/>
      <c r="P318" s="5" t="str">
        <f aca="false">IF(OR($B318="",$C318=""),"",$C318-$B318+1)</f>
        <v/>
      </c>
      <c r="Q318" s="18"/>
      <c r="R318" s="12" t="str">
        <f aca="false">IF(OR($Q318="",$K318=""),"",$Q318*$K318)</f>
        <v/>
      </c>
      <c r="S318" s="14"/>
      <c r="T318" s="17"/>
      <c r="U318" s="15"/>
    </row>
    <row r="319" customFormat="false" ht="18.75" hidden="false" customHeight="true" outlineLevel="0" collapsed="false">
      <c r="A319" s="5" t="str">
        <f aca="false">IF($B319="","",COUNT($B$5:$B319))</f>
        <v/>
      </c>
      <c r="B319" s="6"/>
      <c r="C319" s="6"/>
      <c r="D319" s="7"/>
      <c r="E319" s="7"/>
      <c r="F319" s="8"/>
      <c r="G319" s="9"/>
      <c r="H319" s="7"/>
      <c r="I319" s="7"/>
      <c r="J319" s="8"/>
      <c r="K319" s="5" t="str">
        <f aca="false">IF($I319="","",1+IF($J319="",0,LEN($J319)-LEN(SUBSTITUTE($J319,",",""))+1))</f>
        <v/>
      </c>
      <c r="L319" s="7"/>
      <c r="M319" s="8"/>
      <c r="N319" s="10"/>
      <c r="O319" s="10"/>
      <c r="P319" s="5" t="str">
        <f aca="false">IF(OR($B319="",$C319=""),"",$C319-$B319+1)</f>
        <v/>
      </c>
      <c r="Q319" s="11"/>
      <c r="R319" s="12" t="str">
        <f aca="false">IF(OR($Q319="",$K319=""),"",$Q319*$K319)</f>
        <v/>
      </c>
      <c r="S319" s="7"/>
      <c r="T319" s="10"/>
      <c r="U319" s="8"/>
    </row>
    <row r="320" customFormat="false" ht="18.75" hidden="false" customHeight="true" outlineLevel="0" collapsed="false">
      <c r="A320" s="5" t="str">
        <f aca="false">IF($B320="","",COUNT($B$5:$B320))</f>
        <v/>
      </c>
      <c r="B320" s="13"/>
      <c r="C320" s="13"/>
      <c r="D320" s="14"/>
      <c r="E320" s="14"/>
      <c r="F320" s="15"/>
      <c r="G320" s="16"/>
      <c r="H320" s="14"/>
      <c r="I320" s="14"/>
      <c r="J320" s="15"/>
      <c r="K320" s="5" t="str">
        <f aca="false">IF($I320="","",1+IF($J320="",0,LEN($J320)-LEN(SUBSTITUTE($J320,",",""))+1))</f>
        <v/>
      </c>
      <c r="L320" s="14"/>
      <c r="M320" s="15"/>
      <c r="N320" s="17"/>
      <c r="O320" s="17"/>
      <c r="P320" s="5" t="str">
        <f aca="false">IF(OR($B320="",$C320=""),"",$C320-$B320+1)</f>
        <v/>
      </c>
      <c r="Q320" s="18"/>
      <c r="R320" s="12" t="str">
        <f aca="false">IF(OR($Q320="",$K320=""),"",$Q320*$K320)</f>
        <v/>
      </c>
      <c r="S320" s="14"/>
      <c r="T320" s="17"/>
      <c r="U320" s="15"/>
    </row>
    <row r="321" customFormat="false" ht="18.75" hidden="false" customHeight="true" outlineLevel="0" collapsed="false">
      <c r="A321" s="5" t="str">
        <f aca="false">IF($B321="","",COUNT($B$5:$B321))</f>
        <v/>
      </c>
      <c r="B321" s="6"/>
      <c r="C321" s="6"/>
      <c r="D321" s="7"/>
      <c r="E321" s="7"/>
      <c r="F321" s="8"/>
      <c r="G321" s="9"/>
      <c r="H321" s="7"/>
      <c r="I321" s="7"/>
      <c r="J321" s="8"/>
      <c r="K321" s="5" t="str">
        <f aca="false">IF($I321="","",1+IF($J321="",0,LEN($J321)-LEN(SUBSTITUTE($J321,",",""))+1))</f>
        <v/>
      </c>
      <c r="L321" s="7"/>
      <c r="M321" s="8"/>
      <c r="N321" s="10"/>
      <c r="O321" s="10"/>
      <c r="P321" s="5" t="str">
        <f aca="false">IF(OR($B321="",$C321=""),"",$C321-$B321+1)</f>
        <v/>
      </c>
      <c r="Q321" s="11"/>
      <c r="R321" s="12" t="str">
        <f aca="false">IF(OR($Q321="",$K321=""),"",$Q321*$K321)</f>
        <v/>
      </c>
      <c r="S321" s="7"/>
      <c r="T321" s="10"/>
      <c r="U321" s="8"/>
    </row>
    <row r="322" customFormat="false" ht="18.75" hidden="false" customHeight="true" outlineLevel="0" collapsed="false">
      <c r="A322" s="5" t="str">
        <f aca="false">IF($B322="","",COUNT($B$5:$B322))</f>
        <v/>
      </c>
      <c r="B322" s="13"/>
      <c r="C322" s="13"/>
      <c r="D322" s="14"/>
      <c r="E322" s="14"/>
      <c r="F322" s="15"/>
      <c r="G322" s="16"/>
      <c r="H322" s="14"/>
      <c r="I322" s="14"/>
      <c r="J322" s="15"/>
      <c r="K322" s="5" t="str">
        <f aca="false">IF($I322="","",1+IF($J322="",0,LEN($J322)-LEN(SUBSTITUTE($J322,",",""))+1))</f>
        <v/>
      </c>
      <c r="L322" s="14"/>
      <c r="M322" s="15"/>
      <c r="N322" s="17"/>
      <c r="O322" s="17"/>
      <c r="P322" s="5" t="str">
        <f aca="false">IF(OR($B322="",$C322=""),"",$C322-$B322+1)</f>
        <v/>
      </c>
      <c r="Q322" s="18"/>
      <c r="R322" s="12" t="str">
        <f aca="false">IF(OR($Q322="",$K322=""),"",$Q322*$K322)</f>
        <v/>
      </c>
      <c r="S322" s="14"/>
      <c r="T322" s="17"/>
      <c r="U322" s="15"/>
    </row>
    <row r="323" customFormat="false" ht="18.75" hidden="false" customHeight="true" outlineLevel="0" collapsed="false">
      <c r="A323" s="5" t="str">
        <f aca="false">IF($B323="","",COUNT($B$5:$B323))</f>
        <v/>
      </c>
      <c r="B323" s="6"/>
      <c r="C323" s="6"/>
      <c r="D323" s="7"/>
      <c r="E323" s="7"/>
      <c r="F323" s="8"/>
      <c r="G323" s="9"/>
      <c r="H323" s="7"/>
      <c r="I323" s="7"/>
      <c r="J323" s="8"/>
      <c r="K323" s="5" t="str">
        <f aca="false">IF($I323="","",1+IF($J323="",0,LEN($J323)-LEN(SUBSTITUTE($J323,",",""))+1))</f>
        <v/>
      </c>
      <c r="L323" s="7"/>
      <c r="M323" s="8"/>
      <c r="N323" s="10"/>
      <c r="O323" s="10"/>
      <c r="P323" s="5" t="str">
        <f aca="false">IF(OR($B323="",$C323=""),"",$C323-$B323+1)</f>
        <v/>
      </c>
      <c r="Q323" s="11"/>
      <c r="R323" s="12" t="str">
        <f aca="false">IF(OR($Q323="",$K323=""),"",$Q323*$K323)</f>
        <v/>
      </c>
      <c r="S323" s="7"/>
      <c r="T323" s="10"/>
      <c r="U323" s="8"/>
    </row>
    <row r="324" customFormat="false" ht="18.75" hidden="false" customHeight="true" outlineLevel="0" collapsed="false">
      <c r="A324" s="5" t="str">
        <f aca="false">IF($B324="","",COUNT($B$5:$B324))</f>
        <v/>
      </c>
      <c r="B324" s="13"/>
      <c r="C324" s="13"/>
      <c r="D324" s="14"/>
      <c r="E324" s="14"/>
      <c r="F324" s="15"/>
      <c r="G324" s="16"/>
      <c r="H324" s="14"/>
      <c r="I324" s="14"/>
      <c r="J324" s="15"/>
      <c r="K324" s="5" t="str">
        <f aca="false">IF($I324="","",1+IF($J324="",0,LEN($J324)-LEN(SUBSTITUTE($J324,",",""))+1))</f>
        <v/>
      </c>
      <c r="L324" s="14"/>
      <c r="M324" s="15"/>
      <c r="N324" s="17"/>
      <c r="O324" s="17"/>
      <c r="P324" s="5" t="str">
        <f aca="false">IF(OR($B324="",$C324=""),"",$C324-$B324+1)</f>
        <v/>
      </c>
      <c r="Q324" s="18"/>
      <c r="R324" s="12" t="str">
        <f aca="false">IF(OR($Q324="",$K324=""),"",$Q324*$K324)</f>
        <v/>
      </c>
      <c r="S324" s="14"/>
      <c r="T324" s="17"/>
      <c r="U324" s="15"/>
    </row>
    <row r="325" customFormat="false" ht="18.75" hidden="false" customHeight="true" outlineLevel="0" collapsed="false">
      <c r="A325" s="5" t="str">
        <f aca="false">IF($B325="","",COUNT($B$5:$B325))</f>
        <v/>
      </c>
      <c r="B325" s="6"/>
      <c r="C325" s="6"/>
      <c r="D325" s="7"/>
      <c r="E325" s="7"/>
      <c r="F325" s="8"/>
      <c r="G325" s="9"/>
      <c r="H325" s="7"/>
      <c r="I325" s="7"/>
      <c r="J325" s="8"/>
      <c r="K325" s="5" t="str">
        <f aca="false">IF($I325="","",1+IF($J325="",0,LEN($J325)-LEN(SUBSTITUTE($J325,",",""))+1))</f>
        <v/>
      </c>
      <c r="L325" s="7"/>
      <c r="M325" s="8"/>
      <c r="N325" s="10"/>
      <c r="O325" s="10"/>
      <c r="P325" s="5" t="str">
        <f aca="false">IF(OR($B325="",$C325=""),"",$C325-$B325+1)</f>
        <v/>
      </c>
      <c r="Q325" s="11"/>
      <c r="R325" s="12" t="str">
        <f aca="false">IF(OR($Q325="",$K325=""),"",$Q325*$K325)</f>
        <v/>
      </c>
      <c r="S325" s="7"/>
      <c r="T325" s="10"/>
      <c r="U325" s="8"/>
    </row>
    <row r="326" customFormat="false" ht="18.75" hidden="false" customHeight="true" outlineLevel="0" collapsed="false">
      <c r="A326" s="5" t="str">
        <f aca="false">IF($B326="","",COUNT($B$5:$B326))</f>
        <v/>
      </c>
      <c r="B326" s="13"/>
      <c r="C326" s="13"/>
      <c r="D326" s="14"/>
      <c r="E326" s="14"/>
      <c r="F326" s="15"/>
      <c r="G326" s="16"/>
      <c r="H326" s="14"/>
      <c r="I326" s="14"/>
      <c r="J326" s="15"/>
      <c r="K326" s="5" t="str">
        <f aca="false">IF($I326="","",1+IF($J326="",0,LEN($J326)-LEN(SUBSTITUTE($J326,",",""))+1))</f>
        <v/>
      </c>
      <c r="L326" s="14"/>
      <c r="M326" s="15"/>
      <c r="N326" s="17"/>
      <c r="O326" s="17"/>
      <c r="P326" s="5" t="str">
        <f aca="false">IF(OR($B326="",$C326=""),"",$C326-$B326+1)</f>
        <v/>
      </c>
      <c r="Q326" s="18"/>
      <c r="R326" s="12" t="str">
        <f aca="false">IF(OR($Q326="",$K326=""),"",$Q326*$K326)</f>
        <v/>
      </c>
      <c r="S326" s="14"/>
      <c r="T326" s="17"/>
      <c r="U326" s="15"/>
    </row>
    <row r="327" customFormat="false" ht="18.75" hidden="false" customHeight="true" outlineLevel="0" collapsed="false">
      <c r="A327" s="5" t="str">
        <f aca="false">IF($B327="","",COUNT($B$5:$B327))</f>
        <v/>
      </c>
      <c r="B327" s="6"/>
      <c r="C327" s="6"/>
      <c r="D327" s="7"/>
      <c r="E327" s="7"/>
      <c r="F327" s="8"/>
      <c r="G327" s="9"/>
      <c r="H327" s="7"/>
      <c r="I327" s="7"/>
      <c r="J327" s="8"/>
      <c r="K327" s="5" t="str">
        <f aca="false">IF($I327="","",1+IF($J327="",0,LEN($J327)-LEN(SUBSTITUTE($J327,",",""))+1))</f>
        <v/>
      </c>
      <c r="L327" s="7"/>
      <c r="M327" s="8"/>
      <c r="N327" s="10"/>
      <c r="O327" s="10"/>
      <c r="P327" s="5" t="str">
        <f aca="false">IF(OR($B327="",$C327=""),"",$C327-$B327+1)</f>
        <v/>
      </c>
      <c r="Q327" s="11"/>
      <c r="R327" s="12" t="str">
        <f aca="false">IF(OR($Q327="",$K327=""),"",$Q327*$K327)</f>
        <v/>
      </c>
      <c r="S327" s="7"/>
      <c r="T327" s="10"/>
      <c r="U327" s="8"/>
    </row>
    <row r="328" customFormat="false" ht="18.75" hidden="false" customHeight="true" outlineLevel="0" collapsed="false">
      <c r="A328" s="5" t="str">
        <f aca="false">IF($B328="","",COUNT($B$5:$B328))</f>
        <v/>
      </c>
      <c r="B328" s="13"/>
      <c r="C328" s="13"/>
      <c r="D328" s="14"/>
      <c r="E328" s="14"/>
      <c r="F328" s="15"/>
      <c r="G328" s="16"/>
      <c r="H328" s="14"/>
      <c r="I328" s="14"/>
      <c r="J328" s="15"/>
      <c r="K328" s="5" t="str">
        <f aca="false">IF($I328="","",1+IF($J328="",0,LEN($J328)-LEN(SUBSTITUTE($J328,",",""))+1))</f>
        <v/>
      </c>
      <c r="L328" s="14"/>
      <c r="M328" s="15"/>
      <c r="N328" s="17"/>
      <c r="O328" s="17"/>
      <c r="P328" s="5" t="str">
        <f aca="false">IF(OR($B328="",$C328=""),"",$C328-$B328+1)</f>
        <v/>
      </c>
      <c r="Q328" s="18"/>
      <c r="R328" s="12" t="str">
        <f aca="false">IF(OR($Q328="",$K328=""),"",$Q328*$K328)</f>
        <v/>
      </c>
      <c r="S328" s="14"/>
      <c r="T328" s="17"/>
      <c r="U328" s="15"/>
    </row>
    <row r="329" customFormat="false" ht="18.75" hidden="false" customHeight="true" outlineLevel="0" collapsed="false">
      <c r="A329" s="5" t="str">
        <f aca="false">IF($B329="","",COUNT($B$5:$B329))</f>
        <v/>
      </c>
      <c r="B329" s="6"/>
      <c r="C329" s="6"/>
      <c r="D329" s="7"/>
      <c r="E329" s="7"/>
      <c r="F329" s="8"/>
      <c r="G329" s="9"/>
      <c r="H329" s="7"/>
      <c r="I329" s="7"/>
      <c r="J329" s="8"/>
      <c r="K329" s="5" t="str">
        <f aca="false">IF($I329="","",1+IF($J329="",0,LEN($J329)-LEN(SUBSTITUTE($J329,",",""))+1))</f>
        <v/>
      </c>
      <c r="L329" s="7"/>
      <c r="M329" s="8"/>
      <c r="N329" s="10"/>
      <c r="O329" s="10"/>
      <c r="P329" s="5" t="str">
        <f aca="false">IF(OR($B329="",$C329=""),"",$C329-$B329+1)</f>
        <v/>
      </c>
      <c r="Q329" s="11"/>
      <c r="R329" s="12" t="str">
        <f aca="false">IF(OR($Q329="",$K329=""),"",$Q329*$K329)</f>
        <v/>
      </c>
      <c r="S329" s="7"/>
      <c r="T329" s="10"/>
      <c r="U329" s="8"/>
    </row>
    <row r="330" customFormat="false" ht="18.75" hidden="false" customHeight="true" outlineLevel="0" collapsed="false">
      <c r="A330" s="5" t="str">
        <f aca="false">IF($B330="","",COUNT($B$5:$B330))</f>
        <v/>
      </c>
      <c r="B330" s="13"/>
      <c r="C330" s="13"/>
      <c r="D330" s="14"/>
      <c r="E330" s="14"/>
      <c r="F330" s="15"/>
      <c r="G330" s="16"/>
      <c r="H330" s="14"/>
      <c r="I330" s="14"/>
      <c r="J330" s="15"/>
      <c r="K330" s="5" t="str">
        <f aca="false">IF($I330="","",1+IF($J330="",0,LEN($J330)-LEN(SUBSTITUTE($J330,",",""))+1))</f>
        <v/>
      </c>
      <c r="L330" s="14"/>
      <c r="M330" s="15"/>
      <c r="N330" s="17"/>
      <c r="O330" s="17"/>
      <c r="P330" s="5" t="str">
        <f aca="false">IF(OR($B330="",$C330=""),"",$C330-$B330+1)</f>
        <v/>
      </c>
      <c r="Q330" s="18"/>
      <c r="R330" s="12" t="str">
        <f aca="false">IF(OR($Q330="",$K330=""),"",$Q330*$K330)</f>
        <v/>
      </c>
      <c r="S330" s="14"/>
      <c r="T330" s="17"/>
      <c r="U330" s="15"/>
    </row>
    <row r="331" customFormat="false" ht="18.75" hidden="false" customHeight="true" outlineLevel="0" collapsed="false">
      <c r="A331" s="5" t="str">
        <f aca="false">IF($B331="","",COUNT($B$5:$B331))</f>
        <v/>
      </c>
      <c r="B331" s="6"/>
      <c r="C331" s="6"/>
      <c r="D331" s="7"/>
      <c r="E331" s="7"/>
      <c r="F331" s="8"/>
      <c r="G331" s="9"/>
      <c r="H331" s="7"/>
      <c r="I331" s="7"/>
      <c r="J331" s="8"/>
      <c r="K331" s="5" t="str">
        <f aca="false">IF($I331="","",1+IF($J331="",0,LEN($J331)-LEN(SUBSTITUTE($J331,",",""))+1))</f>
        <v/>
      </c>
      <c r="L331" s="7"/>
      <c r="M331" s="8"/>
      <c r="N331" s="10"/>
      <c r="O331" s="10"/>
      <c r="P331" s="5" t="str">
        <f aca="false">IF(OR($B331="",$C331=""),"",$C331-$B331+1)</f>
        <v/>
      </c>
      <c r="Q331" s="11"/>
      <c r="R331" s="12" t="str">
        <f aca="false">IF(OR($Q331="",$K331=""),"",$Q331*$K331)</f>
        <v/>
      </c>
      <c r="S331" s="7"/>
      <c r="T331" s="10"/>
      <c r="U331" s="8"/>
    </row>
    <row r="332" customFormat="false" ht="18.75" hidden="false" customHeight="true" outlineLevel="0" collapsed="false">
      <c r="A332" s="5" t="str">
        <f aca="false">IF($B332="","",COUNT($B$5:$B332))</f>
        <v/>
      </c>
      <c r="B332" s="13"/>
      <c r="C332" s="13"/>
      <c r="D332" s="14"/>
      <c r="E332" s="14"/>
      <c r="F332" s="15"/>
      <c r="G332" s="16"/>
      <c r="H332" s="14"/>
      <c r="I332" s="14"/>
      <c r="J332" s="15"/>
      <c r="K332" s="5" t="str">
        <f aca="false">IF($I332="","",1+IF($J332="",0,LEN($J332)-LEN(SUBSTITUTE($J332,",",""))+1))</f>
        <v/>
      </c>
      <c r="L332" s="14"/>
      <c r="M332" s="15"/>
      <c r="N332" s="17"/>
      <c r="O332" s="17"/>
      <c r="P332" s="5" t="str">
        <f aca="false">IF(OR($B332="",$C332=""),"",$C332-$B332+1)</f>
        <v/>
      </c>
      <c r="Q332" s="18"/>
      <c r="R332" s="12" t="str">
        <f aca="false">IF(OR($Q332="",$K332=""),"",$Q332*$K332)</f>
        <v/>
      </c>
      <c r="S332" s="14"/>
      <c r="T332" s="17"/>
      <c r="U332" s="15"/>
    </row>
    <row r="333" customFormat="false" ht="18.75" hidden="false" customHeight="true" outlineLevel="0" collapsed="false">
      <c r="A333" s="5" t="str">
        <f aca="false">IF($B333="","",COUNT($B$5:$B333))</f>
        <v/>
      </c>
      <c r="B333" s="6"/>
      <c r="C333" s="6"/>
      <c r="D333" s="7"/>
      <c r="E333" s="7"/>
      <c r="F333" s="8"/>
      <c r="G333" s="9"/>
      <c r="H333" s="7"/>
      <c r="I333" s="7"/>
      <c r="J333" s="8"/>
      <c r="K333" s="5" t="str">
        <f aca="false">IF($I333="","",1+IF($J333="",0,LEN($J333)-LEN(SUBSTITUTE($J333,",",""))+1))</f>
        <v/>
      </c>
      <c r="L333" s="7"/>
      <c r="M333" s="8"/>
      <c r="N333" s="10"/>
      <c r="O333" s="10"/>
      <c r="P333" s="5" t="str">
        <f aca="false">IF(OR($B333="",$C333=""),"",$C333-$B333+1)</f>
        <v/>
      </c>
      <c r="Q333" s="11"/>
      <c r="R333" s="12" t="str">
        <f aca="false">IF(OR($Q333="",$K333=""),"",$Q333*$K333)</f>
        <v/>
      </c>
      <c r="S333" s="7"/>
      <c r="T333" s="10"/>
      <c r="U333" s="8"/>
    </row>
    <row r="334" customFormat="false" ht="18.75" hidden="false" customHeight="true" outlineLevel="0" collapsed="false">
      <c r="A334" s="5" t="str">
        <f aca="false">IF($B334="","",COUNT($B$5:$B334))</f>
        <v/>
      </c>
      <c r="B334" s="13"/>
      <c r="C334" s="13"/>
      <c r="D334" s="14"/>
      <c r="E334" s="14"/>
      <c r="F334" s="15"/>
      <c r="G334" s="16"/>
      <c r="H334" s="14"/>
      <c r="I334" s="14"/>
      <c r="J334" s="15"/>
      <c r="K334" s="5" t="str">
        <f aca="false">IF($I334="","",1+IF($J334="",0,LEN($J334)-LEN(SUBSTITUTE($J334,",",""))+1))</f>
        <v/>
      </c>
      <c r="L334" s="14"/>
      <c r="M334" s="15"/>
      <c r="N334" s="17"/>
      <c r="O334" s="17"/>
      <c r="P334" s="5" t="str">
        <f aca="false">IF(OR($B334="",$C334=""),"",$C334-$B334+1)</f>
        <v/>
      </c>
      <c r="Q334" s="18"/>
      <c r="R334" s="12" t="str">
        <f aca="false">IF(OR($Q334="",$K334=""),"",$Q334*$K334)</f>
        <v/>
      </c>
      <c r="S334" s="14"/>
      <c r="T334" s="17"/>
      <c r="U334" s="15"/>
    </row>
    <row r="335" customFormat="false" ht="18.75" hidden="false" customHeight="true" outlineLevel="0" collapsed="false">
      <c r="A335" s="5" t="str">
        <f aca="false">IF($B335="","",COUNT($B$5:$B335))</f>
        <v/>
      </c>
      <c r="B335" s="6"/>
      <c r="C335" s="6"/>
      <c r="D335" s="7"/>
      <c r="E335" s="7"/>
      <c r="F335" s="8"/>
      <c r="G335" s="9"/>
      <c r="H335" s="7"/>
      <c r="I335" s="7"/>
      <c r="J335" s="8"/>
      <c r="K335" s="5" t="str">
        <f aca="false">IF($I335="","",1+IF($J335="",0,LEN($J335)-LEN(SUBSTITUTE($J335,",",""))+1))</f>
        <v/>
      </c>
      <c r="L335" s="7"/>
      <c r="M335" s="8"/>
      <c r="N335" s="10"/>
      <c r="O335" s="10"/>
      <c r="P335" s="5" t="str">
        <f aca="false">IF(OR($B335="",$C335=""),"",$C335-$B335+1)</f>
        <v/>
      </c>
      <c r="Q335" s="11"/>
      <c r="R335" s="12" t="str">
        <f aca="false">IF(OR($Q335="",$K335=""),"",$Q335*$K335)</f>
        <v/>
      </c>
      <c r="S335" s="7"/>
      <c r="T335" s="10"/>
      <c r="U335" s="8"/>
    </row>
    <row r="336" customFormat="false" ht="18.75" hidden="false" customHeight="true" outlineLevel="0" collapsed="false">
      <c r="A336" s="5" t="str">
        <f aca="false">IF($B336="","",COUNT($B$5:$B336))</f>
        <v/>
      </c>
      <c r="B336" s="13"/>
      <c r="C336" s="13"/>
      <c r="D336" s="14"/>
      <c r="E336" s="14"/>
      <c r="F336" s="15"/>
      <c r="G336" s="16"/>
      <c r="H336" s="14"/>
      <c r="I336" s="14"/>
      <c r="J336" s="15"/>
      <c r="K336" s="5" t="str">
        <f aca="false">IF($I336="","",1+IF($J336="",0,LEN($J336)-LEN(SUBSTITUTE($J336,",",""))+1))</f>
        <v/>
      </c>
      <c r="L336" s="14"/>
      <c r="M336" s="15"/>
      <c r="N336" s="17"/>
      <c r="O336" s="17"/>
      <c r="P336" s="5" t="str">
        <f aca="false">IF(OR($B336="",$C336=""),"",$C336-$B336+1)</f>
        <v/>
      </c>
      <c r="Q336" s="18"/>
      <c r="R336" s="12" t="str">
        <f aca="false">IF(OR($Q336="",$K336=""),"",$Q336*$K336)</f>
        <v/>
      </c>
      <c r="S336" s="14"/>
      <c r="T336" s="17"/>
      <c r="U336" s="15"/>
    </row>
    <row r="337" customFormat="false" ht="18.75" hidden="false" customHeight="true" outlineLevel="0" collapsed="false">
      <c r="A337" s="5" t="str">
        <f aca="false">IF($B337="","",COUNT($B$5:$B337))</f>
        <v/>
      </c>
      <c r="B337" s="6"/>
      <c r="C337" s="6"/>
      <c r="D337" s="7"/>
      <c r="E337" s="7"/>
      <c r="F337" s="8"/>
      <c r="G337" s="9"/>
      <c r="H337" s="7"/>
      <c r="I337" s="7"/>
      <c r="J337" s="8"/>
      <c r="K337" s="5" t="str">
        <f aca="false">IF($I337="","",1+IF($J337="",0,LEN($J337)-LEN(SUBSTITUTE($J337,",",""))+1))</f>
        <v/>
      </c>
      <c r="L337" s="7"/>
      <c r="M337" s="8"/>
      <c r="N337" s="10"/>
      <c r="O337" s="10"/>
      <c r="P337" s="5" t="str">
        <f aca="false">IF(OR($B337="",$C337=""),"",$C337-$B337+1)</f>
        <v/>
      </c>
      <c r="Q337" s="11"/>
      <c r="R337" s="12" t="str">
        <f aca="false">IF(OR($Q337="",$K337=""),"",$Q337*$K337)</f>
        <v/>
      </c>
      <c r="S337" s="7"/>
      <c r="T337" s="10"/>
      <c r="U337" s="8"/>
    </row>
    <row r="338" customFormat="false" ht="18.75" hidden="false" customHeight="true" outlineLevel="0" collapsed="false">
      <c r="A338" s="5" t="str">
        <f aca="false">IF($B338="","",COUNT($B$5:$B338))</f>
        <v/>
      </c>
      <c r="B338" s="13"/>
      <c r="C338" s="13"/>
      <c r="D338" s="14"/>
      <c r="E338" s="14"/>
      <c r="F338" s="15"/>
      <c r="G338" s="16"/>
      <c r="H338" s="14"/>
      <c r="I338" s="14"/>
      <c r="J338" s="15"/>
      <c r="K338" s="5" t="str">
        <f aca="false">IF($I338="","",1+IF($J338="",0,LEN($J338)-LEN(SUBSTITUTE($J338,",",""))+1))</f>
        <v/>
      </c>
      <c r="L338" s="14"/>
      <c r="M338" s="15"/>
      <c r="N338" s="17"/>
      <c r="O338" s="17"/>
      <c r="P338" s="5" t="str">
        <f aca="false">IF(OR($B338="",$C338=""),"",$C338-$B338+1)</f>
        <v/>
      </c>
      <c r="Q338" s="18"/>
      <c r="R338" s="12" t="str">
        <f aca="false">IF(OR($Q338="",$K338=""),"",$Q338*$K338)</f>
        <v/>
      </c>
      <c r="S338" s="14"/>
      <c r="T338" s="17"/>
      <c r="U338" s="15"/>
    </row>
    <row r="339" customFormat="false" ht="18.75" hidden="false" customHeight="true" outlineLevel="0" collapsed="false">
      <c r="A339" s="5" t="str">
        <f aca="false">IF($B339="","",COUNT($B$5:$B339))</f>
        <v/>
      </c>
      <c r="B339" s="6"/>
      <c r="C339" s="6"/>
      <c r="D339" s="7"/>
      <c r="E339" s="7"/>
      <c r="F339" s="8"/>
      <c r="G339" s="9"/>
      <c r="H339" s="7"/>
      <c r="I339" s="7"/>
      <c r="J339" s="8"/>
      <c r="K339" s="5" t="str">
        <f aca="false">IF($I339="","",1+IF($J339="",0,LEN($J339)-LEN(SUBSTITUTE($J339,",",""))+1))</f>
        <v/>
      </c>
      <c r="L339" s="7"/>
      <c r="M339" s="8"/>
      <c r="N339" s="10"/>
      <c r="O339" s="10"/>
      <c r="P339" s="5" t="str">
        <f aca="false">IF(OR($B339="",$C339=""),"",$C339-$B339+1)</f>
        <v/>
      </c>
      <c r="Q339" s="11"/>
      <c r="R339" s="12" t="str">
        <f aca="false">IF(OR($Q339="",$K339=""),"",$Q339*$K339)</f>
        <v/>
      </c>
      <c r="S339" s="7"/>
      <c r="T339" s="10"/>
      <c r="U339" s="8"/>
    </row>
    <row r="340" customFormat="false" ht="18.75" hidden="false" customHeight="true" outlineLevel="0" collapsed="false">
      <c r="A340" s="5" t="str">
        <f aca="false">IF($B340="","",COUNT($B$5:$B340))</f>
        <v/>
      </c>
      <c r="B340" s="13"/>
      <c r="C340" s="13"/>
      <c r="D340" s="14"/>
      <c r="E340" s="14"/>
      <c r="F340" s="15"/>
      <c r="G340" s="16"/>
      <c r="H340" s="14"/>
      <c r="I340" s="14"/>
      <c r="J340" s="15"/>
      <c r="K340" s="5" t="str">
        <f aca="false">IF($I340="","",1+IF($J340="",0,LEN($J340)-LEN(SUBSTITUTE($J340,",",""))+1))</f>
        <v/>
      </c>
      <c r="L340" s="14"/>
      <c r="M340" s="15"/>
      <c r="N340" s="17"/>
      <c r="O340" s="17"/>
      <c r="P340" s="5" t="str">
        <f aca="false">IF(OR($B340="",$C340=""),"",$C340-$B340+1)</f>
        <v/>
      </c>
      <c r="Q340" s="18"/>
      <c r="R340" s="12" t="str">
        <f aca="false">IF(OR($Q340="",$K340=""),"",$Q340*$K340)</f>
        <v/>
      </c>
      <c r="S340" s="14"/>
      <c r="T340" s="17"/>
      <c r="U340" s="15"/>
    </row>
    <row r="341" customFormat="false" ht="18.75" hidden="false" customHeight="true" outlineLevel="0" collapsed="false">
      <c r="A341" s="5" t="str">
        <f aca="false">IF($B341="","",COUNT($B$5:$B341))</f>
        <v/>
      </c>
      <c r="B341" s="6"/>
      <c r="C341" s="6"/>
      <c r="D341" s="7"/>
      <c r="E341" s="7"/>
      <c r="F341" s="8"/>
      <c r="G341" s="9"/>
      <c r="H341" s="7"/>
      <c r="I341" s="7"/>
      <c r="J341" s="8"/>
      <c r="K341" s="5" t="str">
        <f aca="false">IF($I341="","",1+IF($J341="",0,LEN($J341)-LEN(SUBSTITUTE($J341,",",""))+1))</f>
        <v/>
      </c>
      <c r="L341" s="7"/>
      <c r="M341" s="8"/>
      <c r="N341" s="10"/>
      <c r="O341" s="10"/>
      <c r="P341" s="5" t="str">
        <f aca="false">IF(OR($B341="",$C341=""),"",$C341-$B341+1)</f>
        <v/>
      </c>
      <c r="Q341" s="11"/>
      <c r="R341" s="12" t="str">
        <f aca="false">IF(OR($Q341="",$K341=""),"",$Q341*$K341)</f>
        <v/>
      </c>
      <c r="S341" s="7"/>
      <c r="T341" s="10"/>
      <c r="U341" s="8"/>
    </row>
    <row r="342" customFormat="false" ht="18.75" hidden="false" customHeight="true" outlineLevel="0" collapsed="false">
      <c r="A342" s="5" t="str">
        <f aca="false">IF($B342="","",COUNT($B$5:$B342))</f>
        <v/>
      </c>
      <c r="B342" s="13"/>
      <c r="C342" s="13"/>
      <c r="D342" s="14"/>
      <c r="E342" s="14"/>
      <c r="F342" s="15"/>
      <c r="G342" s="16"/>
      <c r="H342" s="14"/>
      <c r="I342" s="14"/>
      <c r="J342" s="15"/>
      <c r="K342" s="5" t="str">
        <f aca="false">IF($I342="","",1+IF($J342="",0,LEN($J342)-LEN(SUBSTITUTE($J342,",",""))+1))</f>
        <v/>
      </c>
      <c r="L342" s="14"/>
      <c r="M342" s="15"/>
      <c r="N342" s="17"/>
      <c r="O342" s="17"/>
      <c r="P342" s="5" t="str">
        <f aca="false">IF(OR($B342="",$C342=""),"",$C342-$B342+1)</f>
        <v/>
      </c>
      <c r="Q342" s="18"/>
      <c r="R342" s="12" t="str">
        <f aca="false">IF(OR($Q342="",$K342=""),"",$Q342*$K342)</f>
        <v/>
      </c>
      <c r="S342" s="14"/>
      <c r="T342" s="17"/>
      <c r="U342" s="15"/>
    </row>
    <row r="343" customFormat="false" ht="18.75" hidden="false" customHeight="true" outlineLevel="0" collapsed="false">
      <c r="A343" s="5" t="str">
        <f aca="false">IF($B343="","",COUNT($B$5:$B343))</f>
        <v/>
      </c>
      <c r="B343" s="6"/>
      <c r="C343" s="6"/>
      <c r="D343" s="7"/>
      <c r="E343" s="7"/>
      <c r="F343" s="8"/>
      <c r="G343" s="9"/>
      <c r="H343" s="7"/>
      <c r="I343" s="7"/>
      <c r="J343" s="8"/>
      <c r="K343" s="5" t="str">
        <f aca="false">IF($I343="","",1+IF($J343="",0,LEN($J343)-LEN(SUBSTITUTE($J343,",",""))+1))</f>
        <v/>
      </c>
      <c r="L343" s="7"/>
      <c r="M343" s="8"/>
      <c r="N343" s="10"/>
      <c r="O343" s="10"/>
      <c r="P343" s="5" t="str">
        <f aca="false">IF(OR($B343="",$C343=""),"",$C343-$B343+1)</f>
        <v/>
      </c>
      <c r="Q343" s="11"/>
      <c r="R343" s="12" t="str">
        <f aca="false">IF(OR($Q343="",$K343=""),"",$Q343*$K343)</f>
        <v/>
      </c>
      <c r="S343" s="7"/>
      <c r="T343" s="10"/>
      <c r="U343" s="8"/>
    </row>
    <row r="344" customFormat="false" ht="18.75" hidden="false" customHeight="true" outlineLevel="0" collapsed="false">
      <c r="A344" s="5" t="str">
        <f aca="false">IF($B344="","",COUNT($B$5:$B344))</f>
        <v/>
      </c>
      <c r="B344" s="13"/>
      <c r="C344" s="13"/>
      <c r="D344" s="14"/>
      <c r="E344" s="14"/>
      <c r="F344" s="15"/>
      <c r="G344" s="16"/>
      <c r="H344" s="14"/>
      <c r="I344" s="14"/>
      <c r="J344" s="15"/>
      <c r="K344" s="5" t="str">
        <f aca="false">IF($I344="","",1+IF($J344="",0,LEN($J344)-LEN(SUBSTITUTE($J344,",",""))+1))</f>
        <v/>
      </c>
      <c r="L344" s="14"/>
      <c r="M344" s="15"/>
      <c r="N344" s="17"/>
      <c r="O344" s="17"/>
      <c r="P344" s="5" t="str">
        <f aca="false">IF(OR($B344="",$C344=""),"",$C344-$B344+1)</f>
        <v/>
      </c>
      <c r="Q344" s="18"/>
      <c r="R344" s="12" t="str">
        <f aca="false">IF(OR($Q344="",$K344=""),"",$Q344*$K344)</f>
        <v/>
      </c>
      <c r="S344" s="14"/>
      <c r="T344" s="17"/>
      <c r="U344" s="15"/>
    </row>
    <row r="345" customFormat="false" ht="18.75" hidden="false" customHeight="true" outlineLevel="0" collapsed="false">
      <c r="A345" s="5" t="str">
        <f aca="false">IF($B345="","",COUNT($B$5:$B345))</f>
        <v/>
      </c>
      <c r="B345" s="6"/>
      <c r="C345" s="6"/>
      <c r="D345" s="7"/>
      <c r="E345" s="7"/>
      <c r="F345" s="8"/>
      <c r="G345" s="9"/>
      <c r="H345" s="7"/>
      <c r="I345" s="7"/>
      <c r="J345" s="8"/>
      <c r="K345" s="5" t="str">
        <f aca="false">IF($I345="","",1+IF($J345="",0,LEN($J345)-LEN(SUBSTITUTE($J345,",",""))+1))</f>
        <v/>
      </c>
      <c r="L345" s="7"/>
      <c r="M345" s="8"/>
      <c r="N345" s="10"/>
      <c r="O345" s="10"/>
      <c r="P345" s="5" t="str">
        <f aca="false">IF(OR($B345="",$C345=""),"",$C345-$B345+1)</f>
        <v/>
      </c>
      <c r="Q345" s="11"/>
      <c r="R345" s="12" t="str">
        <f aca="false">IF(OR($Q345="",$K345=""),"",$Q345*$K345)</f>
        <v/>
      </c>
      <c r="S345" s="7"/>
      <c r="T345" s="10"/>
      <c r="U345" s="8"/>
    </row>
    <row r="346" customFormat="false" ht="18.75" hidden="false" customHeight="true" outlineLevel="0" collapsed="false">
      <c r="A346" s="5" t="str">
        <f aca="false">IF($B346="","",COUNT($B$5:$B346))</f>
        <v/>
      </c>
      <c r="B346" s="13"/>
      <c r="C346" s="13"/>
      <c r="D346" s="14"/>
      <c r="E346" s="14"/>
      <c r="F346" s="15"/>
      <c r="G346" s="16"/>
      <c r="H346" s="14"/>
      <c r="I346" s="14"/>
      <c r="J346" s="15"/>
      <c r="K346" s="5" t="str">
        <f aca="false">IF($I346="","",1+IF($J346="",0,LEN($J346)-LEN(SUBSTITUTE($J346,",",""))+1))</f>
        <v/>
      </c>
      <c r="L346" s="14"/>
      <c r="M346" s="15"/>
      <c r="N346" s="17"/>
      <c r="O346" s="17"/>
      <c r="P346" s="5" t="str">
        <f aca="false">IF(OR($B346="",$C346=""),"",$C346-$B346+1)</f>
        <v/>
      </c>
      <c r="Q346" s="18"/>
      <c r="R346" s="12" t="str">
        <f aca="false">IF(OR($Q346="",$K346=""),"",$Q346*$K346)</f>
        <v/>
      </c>
      <c r="S346" s="14"/>
      <c r="T346" s="17"/>
      <c r="U346" s="15"/>
    </row>
    <row r="347" customFormat="false" ht="18.75" hidden="false" customHeight="true" outlineLevel="0" collapsed="false">
      <c r="A347" s="5" t="str">
        <f aca="false">IF($B347="","",COUNT($B$5:$B347))</f>
        <v/>
      </c>
      <c r="B347" s="6"/>
      <c r="C347" s="6"/>
      <c r="D347" s="7"/>
      <c r="E347" s="7"/>
      <c r="F347" s="8"/>
      <c r="G347" s="9"/>
      <c r="H347" s="7"/>
      <c r="I347" s="7"/>
      <c r="J347" s="8"/>
      <c r="K347" s="5" t="str">
        <f aca="false">IF($I347="","",1+IF($J347="",0,LEN($J347)-LEN(SUBSTITUTE($J347,",",""))+1))</f>
        <v/>
      </c>
      <c r="L347" s="7"/>
      <c r="M347" s="8"/>
      <c r="N347" s="10"/>
      <c r="O347" s="10"/>
      <c r="P347" s="5" t="str">
        <f aca="false">IF(OR($B347="",$C347=""),"",$C347-$B347+1)</f>
        <v/>
      </c>
      <c r="Q347" s="11"/>
      <c r="R347" s="12" t="str">
        <f aca="false">IF(OR($Q347="",$K347=""),"",$Q347*$K347)</f>
        <v/>
      </c>
      <c r="S347" s="7"/>
      <c r="T347" s="10"/>
      <c r="U347" s="8"/>
    </row>
    <row r="348" customFormat="false" ht="18.75" hidden="false" customHeight="true" outlineLevel="0" collapsed="false">
      <c r="A348" s="5" t="str">
        <f aca="false">IF($B348="","",COUNT($B$5:$B348))</f>
        <v/>
      </c>
      <c r="B348" s="13"/>
      <c r="C348" s="13"/>
      <c r="D348" s="14"/>
      <c r="E348" s="14"/>
      <c r="F348" s="15"/>
      <c r="G348" s="16"/>
      <c r="H348" s="14"/>
      <c r="I348" s="14"/>
      <c r="J348" s="15"/>
      <c r="K348" s="5" t="str">
        <f aca="false">IF($I348="","",1+IF($J348="",0,LEN($J348)-LEN(SUBSTITUTE($J348,",",""))+1))</f>
        <v/>
      </c>
      <c r="L348" s="14"/>
      <c r="M348" s="15"/>
      <c r="N348" s="17"/>
      <c r="O348" s="17"/>
      <c r="P348" s="5" t="str">
        <f aca="false">IF(OR($B348="",$C348=""),"",$C348-$B348+1)</f>
        <v/>
      </c>
      <c r="Q348" s="18"/>
      <c r="R348" s="12" t="str">
        <f aca="false">IF(OR($Q348="",$K348=""),"",$Q348*$K348)</f>
        <v/>
      </c>
      <c r="S348" s="14"/>
      <c r="T348" s="17"/>
      <c r="U348" s="15"/>
    </row>
    <row r="349" customFormat="false" ht="18.75" hidden="false" customHeight="true" outlineLevel="0" collapsed="false">
      <c r="A349" s="5" t="str">
        <f aca="false">IF($B349="","",COUNT($B$5:$B349))</f>
        <v/>
      </c>
      <c r="B349" s="6"/>
      <c r="C349" s="6"/>
      <c r="D349" s="7"/>
      <c r="E349" s="7"/>
      <c r="F349" s="8"/>
      <c r="G349" s="9"/>
      <c r="H349" s="7"/>
      <c r="I349" s="7"/>
      <c r="J349" s="8"/>
      <c r="K349" s="5" t="str">
        <f aca="false">IF($I349="","",1+IF($J349="",0,LEN($J349)-LEN(SUBSTITUTE($J349,",",""))+1))</f>
        <v/>
      </c>
      <c r="L349" s="7"/>
      <c r="M349" s="8"/>
      <c r="N349" s="10"/>
      <c r="O349" s="10"/>
      <c r="P349" s="5" t="str">
        <f aca="false">IF(OR($B349="",$C349=""),"",$C349-$B349+1)</f>
        <v/>
      </c>
      <c r="Q349" s="11"/>
      <c r="R349" s="12" t="str">
        <f aca="false">IF(OR($Q349="",$K349=""),"",$Q349*$K349)</f>
        <v/>
      </c>
      <c r="S349" s="7"/>
      <c r="T349" s="10"/>
      <c r="U349" s="8"/>
    </row>
    <row r="350" customFormat="false" ht="18.75" hidden="false" customHeight="true" outlineLevel="0" collapsed="false">
      <c r="A350" s="5" t="str">
        <f aca="false">IF($B350="","",COUNT($B$5:$B350))</f>
        <v/>
      </c>
      <c r="B350" s="13"/>
      <c r="C350" s="13"/>
      <c r="D350" s="14"/>
      <c r="E350" s="14"/>
      <c r="F350" s="15"/>
      <c r="G350" s="16"/>
      <c r="H350" s="14"/>
      <c r="I350" s="14"/>
      <c r="J350" s="15"/>
      <c r="K350" s="5" t="str">
        <f aca="false">IF($I350="","",1+IF($J350="",0,LEN($J350)-LEN(SUBSTITUTE($J350,",",""))+1))</f>
        <v/>
      </c>
      <c r="L350" s="14"/>
      <c r="M350" s="15"/>
      <c r="N350" s="17"/>
      <c r="O350" s="17"/>
      <c r="P350" s="5" t="str">
        <f aca="false">IF(OR($B350="",$C350=""),"",$C350-$B350+1)</f>
        <v/>
      </c>
      <c r="Q350" s="18"/>
      <c r="R350" s="12" t="str">
        <f aca="false">IF(OR($Q350="",$K350=""),"",$Q350*$K350)</f>
        <v/>
      </c>
      <c r="S350" s="14"/>
      <c r="T350" s="17"/>
      <c r="U350" s="15"/>
    </row>
    <row r="351" customFormat="false" ht="18.75" hidden="false" customHeight="true" outlineLevel="0" collapsed="false">
      <c r="A351" s="5" t="str">
        <f aca="false">IF($B351="","",COUNT($B$5:$B351))</f>
        <v/>
      </c>
      <c r="B351" s="6"/>
      <c r="C351" s="6"/>
      <c r="D351" s="7"/>
      <c r="E351" s="7"/>
      <c r="F351" s="8"/>
      <c r="G351" s="9"/>
      <c r="H351" s="7"/>
      <c r="I351" s="7"/>
      <c r="J351" s="8"/>
      <c r="K351" s="5" t="str">
        <f aca="false">IF($I351="","",1+IF($J351="",0,LEN($J351)-LEN(SUBSTITUTE($J351,",",""))+1))</f>
        <v/>
      </c>
      <c r="L351" s="7"/>
      <c r="M351" s="8"/>
      <c r="N351" s="10"/>
      <c r="O351" s="10"/>
      <c r="P351" s="5" t="str">
        <f aca="false">IF(OR($B351="",$C351=""),"",$C351-$B351+1)</f>
        <v/>
      </c>
      <c r="Q351" s="11"/>
      <c r="R351" s="12" t="str">
        <f aca="false">IF(OR($Q351="",$K351=""),"",$Q351*$K351)</f>
        <v/>
      </c>
      <c r="S351" s="7"/>
      <c r="T351" s="10"/>
      <c r="U351" s="8"/>
    </row>
    <row r="352" customFormat="false" ht="18.75" hidden="false" customHeight="true" outlineLevel="0" collapsed="false">
      <c r="A352" s="5" t="str">
        <f aca="false">IF($B352="","",COUNT($B$5:$B352))</f>
        <v/>
      </c>
      <c r="B352" s="13"/>
      <c r="C352" s="13"/>
      <c r="D352" s="14"/>
      <c r="E352" s="14"/>
      <c r="F352" s="15"/>
      <c r="G352" s="16"/>
      <c r="H352" s="14"/>
      <c r="I352" s="14"/>
      <c r="J352" s="15"/>
      <c r="K352" s="5" t="str">
        <f aca="false">IF($I352="","",1+IF($J352="",0,LEN($J352)-LEN(SUBSTITUTE($J352,",",""))+1))</f>
        <v/>
      </c>
      <c r="L352" s="14"/>
      <c r="M352" s="15"/>
      <c r="N352" s="17"/>
      <c r="O352" s="17"/>
      <c r="P352" s="5" t="str">
        <f aca="false">IF(OR($B352="",$C352=""),"",$C352-$B352+1)</f>
        <v/>
      </c>
      <c r="Q352" s="18"/>
      <c r="R352" s="12" t="str">
        <f aca="false">IF(OR($Q352="",$K352=""),"",$Q352*$K352)</f>
        <v/>
      </c>
      <c r="S352" s="14"/>
      <c r="T352" s="17"/>
      <c r="U352" s="15"/>
    </row>
    <row r="353" customFormat="false" ht="18.75" hidden="false" customHeight="true" outlineLevel="0" collapsed="false">
      <c r="A353" s="5" t="str">
        <f aca="false">IF($B353="","",COUNT($B$5:$B353))</f>
        <v/>
      </c>
      <c r="B353" s="6"/>
      <c r="C353" s="6"/>
      <c r="D353" s="7"/>
      <c r="E353" s="7"/>
      <c r="F353" s="8"/>
      <c r="G353" s="9"/>
      <c r="H353" s="7"/>
      <c r="I353" s="7"/>
      <c r="J353" s="8"/>
      <c r="K353" s="5" t="str">
        <f aca="false">IF($I353="","",1+IF($J353="",0,LEN($J353)-LEN(SUBSTITUTE($J353,",",""))+1))</f>
        <v/>
      </c>
      <c r="L353" s="7"/>
      <c r="M353" s="8"/>
      <c r="N353" s="10"/>
      <c r="O353" s="10"/>
      <c r="P353" s="5" t="str">
        <f aca="false">IF(OR($B353="",$C353=""),"",$C353-$B353+1)</f>
        <v/>
      </c>
      <c r="Q353" s="11"/>
      <c r="R353" s="12" t="str">
        <f aca="false">IF(OR($Q353="",$K353=""),"",$Q353*$K353)</f>
        <v/>
      </c>
      <c r="S353" s="7"/>
      <c r="T353" s="10"/>
      <c r="U353" s="8"/>
    </row>
    <row r="354" customFormat="false" ht="18.75" hidden="false" customHeight="true" outlineLevel="0" collapsed="false">
      <c r="A354" s="5" t="str">
        <f aca="false">IF($B354="","",COUNT($B$5:$B354))</f>
        <v/>
      </c>
      <c r="B354" s="13"/>
      <c r="C354" s="13"/>
      <c r="D354" s="14"/>
      <c r="E354" s="14"/>
      <c r="F354" s="15"/>
      <c r="G354" s="16"/>
      <c r="H354" s="14"/>
      <c r="I354" s="14"/>
      <c r="J354" s="15"/>
      <c r="K354" s="5" t="str">
        <f aca="false">IF($I354="","",1+IF($J354="",0,LEN($J354)-LEN(SUBSTITUTE($J354,",",""))+1))</f>
        <v/>
      </c>
      <c r="L354" s="14"/>
      <c r="M354" s="15"/>
      <c r="N354" s="17"/>
      <c r="O354" s="17"/>
      <c r="P354" s="5" t="str">
        <f aca="false">IF(OR($B354="",$C354=""),"",$C354-$B354+1)</f>
        <v/>
      </c>
      <c r="Q354" s="18"/>
      <c r="R354" s="12" t="str">
        <f aca="false">IF(OR($Q354="",$K354=""),"",$Q354*$K354)</f>
        <v/>
      </c>
      <c r="S354" s="14"/>
      <c r="T354" s="17"/>
      <c r="U354" s="15"/>
    </row>
    <row r="355" customFormat="false" ht="18.75" hidden="false" customHeight="true" outlineLevel="0" collapsed="false">
      <c r="A355" s="5" t="str">
        <f aca="false">IF($B355="","",COUNT($B$5:$B355))</f>
        <v/>
      </c>
      <c r="B355" s="6"/>
      <c r="C355" s="6"/>
      <c r="D355" s="7"/>
      <c r="E355" s="7"/>
      <c r="F355" s="8"/>
      <c r="G355" s="9"/>
      <c r="H355" s="7"/>
      <c r="I355" s="7"/>
      <c r="J355" s="8"/>
      <c r="K355" s="5" t="str">
        <f aca="false">IF($I355="","",1+IF($J355="",0,LEN($J355)-LEN(SUBSTITUTE($J355,",",""))+1))</f>
        <v/>
      </c>
      <c r="L355" s="7"/>
      <c r="M355" s="8"/>
      <c r="N355" s="10"/>
      <c r="O355" s="10"/>
      <c r="P355" s="5" t="str">
        <f aca="false">IF(OR($B355="",$C355=""),"",$C355-$B355+1)</f>
        <v/>
      </c>
      <c r="Q355" s="11"/>
      <c r="R355" s="12" t="str">
        <f aca="false">IF(OR($Q355="",$K355=""),"",$Q355*$K355)</f>
        <v/>
      </c>
      <c r="S355" s="7"/>
      <c r="T355" s="10"/>
      <c r="U355" s="8"/>
    </row>
    <row r="356" customFormat="false" ht="18.75" hidden="false" customHeight="true" outlineLevel="0" collapsed="false">
      <c r="A356" s="5" t="str">
        <f aca="false">IF($B356="","",COUNT($B$5:$B356))</f>
        <v/>
      </c>
      <c r="B356" s="13"/>
      <c r="C356" s="13"/>
      <c r="D356" s="14"/>
      <c r="E356" s="14"/>
      <c r="F356" s="15"/>
      <c r="G356" s="16"/>
      <c r="H356" s="14"/>
      <c r="I356" s="14"/>
      <c r="J356" s="15"/>
      <c r="K356" s="5" t="str">
        <f aca="false">IF($I356="","",1+IF($J356="",0,LEN($J356)-LEN(SUBSTITUTE($J356,",",""))+1))</f>
        <v/>
      </c>
      <c r="L356" s="14"/>
      <c r="M356" s="15"/>
      <c r="N356" s="17"/>
      <c r="O356" s="17"/>
      <c r="P356" s="5" t="str">
        <f aca="false">IF(OR($B356="",$C356=""),"",$C356-$B356+1)</f>
        <v/>
      </c>
      <c r="Q356" s="18"/>
      <c r="R356" s="12" t="str">
        <f aca="false">IF(OR($Q356="",$K356=""),"",$Q356*$K356)</f>
        <v/>
      </c>
      <c r="S356" s="14"/>
      <c r="T356" s="17"/>
      <c r="U356" s="15"/>
    </row>
    <row r="357" customFormat="false" ht="18.75" hidden="false" customHeight="true" outlineLevel="0" collapsed="false">
      <c r="A357" s="5" t="str">
        <f aca="false">IF($B357="","",COUNT($B$5:$B357))</f>
        <v/>
      </c>
      <c r="B357" s="6"/>
      <c r="C357" s="6"/>
      <c r="D357" s="7"/>
      <c r="E357" s="7"/>
      <c r="F357" s="8"/>
      <c r="G357" s="9"/>
      <c r="H357" s="7"/>
      <c r="I357" s="7"/>
      <c r="J357" s="8"/>
      <c r="K357" s="5" t="str">
        <f aca="false">IF($I357="","",1+IF($J357="",0,LEN($J357)-LEN(SUBSTITUTE($J357,",",""))+1))</f>
        <v/>
      </c>
      <c r="L357" s="7"/>
      <c r="M357" s="8"/>
      <c r="N357" s="10"/>
      <c r="O357" s="10"/>
      <c r="P357" s="5" t="str">
        <f aca="false">IF(OR($B357="",$C357=""),"",$C357-$B357+1)</f>
        <v/>
      </c>
      <c r="Q357" s="11"/>
      <c r="R357" s="12" t="str">
        <f aca="false">IF(OR($Q357="",$K357=""),"",$Q357*$K357)</f>
        <v/>
      </c>
      <c r="S357" s="7"/>
      <c r="T357" s="10"/>
      <c r="U357" s="8"/>
    </row>
    <row r="358" customFormat="false" ht="18.75" hidden="false" customHeight="true" outlineLevel="0" collapsed="false">
      <c r="A358" s="5" t="str">
        <f aca="false">IF($B358="","",COUNT($B$5:$B358))</f>
        <v/>
      </c>
      <c r="B358" s="13"/>
      <c r="C358" s="13"/>
      <c r="D358" s="14"/>
      <c r="E358" s="14"/>
      <c r="F358" s="15"/>
      <c r="G358" s="16"/>
      <c r="H358" s="14"/>
      <c r="I358" s="14"/>
      <c r="J358" s="15"/>
      <c r="K358" s="5" t="str">
        <f aca="false">IF($I358="","",1+IF($J358="",0,LEN($J358)-LEN(SUBSTITUTE($J358,",",""))+1))</f>
        <v/>
      </c>
      <c r="L358" s="14"/>
      <c r="M358" s="15"/>
      <c r="N358" s="17"/>
      <c r="O358" s="17"/>
      <c r="P358" s="5" t="str">
        <f aca="false">IF(OR($B358="",$C358=""),"",$C358-$B358+1)</f>
        <v/>
      </c>
      <c r="Q358" s="18"/>
      <c r="R358" s="12" t="str">
        <f aca="false">IF(OR($Q358="",$K358=""),"",$Q358*$K358)</f>
        <v/>
      </c>
      <c r="S358" s="14"/>
      <c r="T358" s="17"/>
      <c r="U358" s="15"/>
    </row>
    <row r="359" customFormat="false" ht="18.75" hidden="false" customHeight="true" outlineLevel="0" collapsed="false">
      <c r="A359" s="5" t="str">
        <f aca="false">IF($B359="","",COUNT($B$5:$B359))</f>
        <v/>
      </c>
      <c r="B359" s="6"/>
      <c r="C359" s="6"/>
      <c r="D359" s="7"/>
      <c r="E359" s="7"/>
      <c r="F359" s="8"/>
      <c r="G359" s="9"/>
      <c r="H359" s="7"/>
      <c r="I359" s="7"/>
      <c r="J359" s="8"/>
      <c r="K359" s="5" t="str">
        <f aca="false">IF($I359="","",1+IF($J359="",0,LEN($J359)-LEN(SUBSTITUTE($J359,",",""))+1))</f>
        <v/>
      </c>
      <c r="L359" s="7"/>
      <c r="M359" s="8"/>
      <c r="N359" s="10"/>
      <c r="O359" s="10"/>
      <c r="P359" s="5" t="str">
        <f aca="false">IF(OR($B359="",$C359=""),"",$C359-$B359+1)</f>
        <v/>
      </c>
      <c r="Q359" s="11"/>
      <c r="R359" s="12" t="str">
        <f aca="false">IF(OR($Q359="",$K359=""),"",$Q359*$K359)</f>
        <v/>
      </c>
      <c r="S359" s="7"/>
      <c r="T359" s="10"/>
      <c r="U359" s="8"/>
    </row>
    <row r="360" customFormat="false" ht="18.75" hidden="false" customHeight="true" outlineLevel="0" collapsed="false">
      <c r="A360" s="5" t="str">
        <f aca="false">IF($B360="","",COUNT($B$5:$B360))</f>
        <v/>
      </c>
      <c r="B360" s="13"/>
      <c r="C360" s="13"/>
      <c r="D360" s="14"/>
      <c r="E360" s="14"/>
      <c r="F360" s="15"/>
      <c r="G360" s="16"/>
      <c r="H360" s="14"/>
      <c r="I360" s="14"/>
      <c r="J360" s="15"/>
      <c r="K360" s="5" t="str">
        <f aca="false">IF($I360="","",1+IF($J360="",0,LEN($J360)-LEN(SUBSTITUTE($J360,",",""))+1))</f>
        <v/>
      </c>
      <c r="L360" s="14"/>
      <c r="M360" s="15"/>
      <c r="N360" s="17"/>
      <c r="O360" s="17"/>
      <c r="P360" s="5" t="str">
        <f aca="false">IF(OR($B360="",$C360=""),"",$C360-$B360+1)</f>
        <v/>
      </c>
      <c r="Q360" s="18"/>
      <c r="R360" s="12" t="str">
        <f aca="false">IF(OR($Q360="",$K360=""),"",$Q360*$K360)</f>
        <v/>
      </c>
      <c r="S360" s="14"/>
      <c r="T360" s="17"/>
      <c r="U360" s="15"/>
    </row>
    <row r="361" customFormat="false" ht="18.75" hidden="false" customHeight="true" outlineLevel="0" collapsed="false">
      <c r="A361" s="5" t="str">
        <f aca="false">IF($B361="","",COUNT($B$5:$B361))</f>
        <v/>
      </c>
      <c r="B361" s="6"/>
      <c r="C361" s="6"/>
      <c r="D361" s="7"/>
      <c r="E361" s="7"/>
      <c r="F361" s="8"/>
      <c r="G361" s="9"/>
      <c r="H361" s="7"/>
      <c r="I361" s="7"/>
      <c r="J361" s="8"/>
      <c r="K361" s="5" t="str">
        <f aca="false">IF($I361="","",1+IF($J361="",0,LEN($J361)-LEN(SUBSTITUTE($J361,",",""))+1))</f>
        <v/>
      </c>
      <c r="L361" s="7"/>
      <c r="M361" s="8"/>
      <c r="N361" s="10"/>
      <c r="O361" s="10"/>
      <c r="P361" s="5" t="str">
        <f aca="false">IF(OR($B361="",$C361=""),"",$C361-$B361+1)</f>
        <v/>
      </c>
      <c r="Q361" s="11"/>
      <c r="R361" s="12" t="str">
        <f aca="false">IF(OR($Q361="",$K361=""),"",$Q361*$K361)</f>
        <v/>
      </c>
      <c r="S361" s="7"/>
      <c r="T361" s="10"/>
      <c r="U361" s="8"/>
    </row>
    <row r="362" customFormat="false" ht="18.75" hidden="false" customHeight="true" outlineLevel="0" collapsed="false">
      <c r="A362" s="5" t="str">
        <f aca="false">IF($B362="","",COUNT($B$5:$B362))</f>
        <v/>
      </c>
      <c r="B362" s="13"/>
      <c r="C362" s="13"/>
      <c r="D362" s="14"/>
      <c r="E362" s="14"/>
      <c r="F362" s="15"/>
      <c r="G362" s="16"/>
      <c r="H362" s="14"/>
      <c r="I362" s="14"/>
      <c r="J362" s="15"/>
      <c r="K362" s="5" t="str">
        <f aca="false">IF($I362="","",1+IF($J362="",0,LEN($J362)-LEN(SUBSTITUTE($J362,",",""))+1))</f>
        <v/>
      </c>
      <c r="L362" s="14"/>
      <c r="M362" s="15"/>
      <c r="N362" s="17"/>
      <c r="O362" s="17"/>
      <c r="P362" s="5" t="str">
        <f aca="false">IF(OR($B362="",$C362=""),"",$C362-$B362+1)</f>
        <v/>
      </c>
      <c r="Q362" s="18"/>
      <c r="R362" s="12" t="str">
        <f aca="false">IF(OR($Q362="",$K362=""),"",$Q362*$K362)</f>
        <v/>
      </c>
      <c r="S362" s="14"/>
      <c r="T362" s="17"/>
      <c r="U362" s="15"/>
    </row>
    <row r="363" customFormat="false" ht="18.75" hidden="false" customHeight="true" outlineLevel="0" collapsed="false">
      <c r="A363" s="5" t="str">
        <f aca="false">IF($B363="","",COUNT($B$5:$B363))</f>
        <v/>
      </c>
      <c r="B363" s="6"/>
      <c r="C363" s="6"/>
      <c r="D363" s="7"/>
      <c r="E363" s="7"/>
      <c r="F363" s="8"/>
      <c r="G363" s="9"/>
      <c r="H363" s="7"/>
      <c r="I363" s="7"/>
      <c r="J363" s="8"/>
      <c r="K363" s="5" t="str">
        <f aca="false">IF($I363="","",1+IF($J363="",0,LEN($J363)-LEN(SUBSTITUTE($J363,",",""))+1))</f>
        <v/>
      </c>
      <c r="L363" s="7"/>
      <c r="M363" s="8"/>
      <c r="N363" s="10"/>
      <c r="O363" s="10"/>
      <c r="P363" s="5" t="str">
        <f aca="false">IF(OR($B363="",$C363=""),"",$C363-$B363+1)</f>
        <v/>
      </c>
      <c r="Q363" s="11"/>
      <c r="R363" s="12" t="str">
        <f aca="false">IF(OR($Q363="",$K363=""),"",$Q363*$K363)</f>
        <v/>
      </c>
      <c r="S363" s="7"/>
      <c r="T363" s="10"/>
      <c r="U363" s="8"/>
    </row>
    <row r="364" customFormat="false" ht="18.75" hidden="false" customHeight="true" outlineLevel="0" collapsed="false">
      <c r="A364" s="5" t="str">
        <f aca="false">IF($B364="","",COUNT($B$5:$B364))</f>
        <v/>
      </c>
      <c r="B364" s="13"/>
      <c r="C364" s="13"/>
      <c r="D364" s="14"/>
      <c r="E364" s="14"/>
      <c r="F364" s="15"/>
      <c r="G364" s="16"/>
      <c r="H364" s="14"/>
      <c r="I364" s="14"/>
      <c r="J364" s="15"/>
      <c r="K364" s="5" t="str">
        <f aca="false">IF($I364="","",1+IF($J364="",0,LEN($J364)-LEN(SUBSTITUTE($J364,",",""))+1))</f>
        <v/>
      </c>
      <c r="L364" s="14"/>
      <c r="M364" s="15"/>
      <c r="N364" s="17"/>
      <c r="O364" s="17"/>
      <c r="P364" s="5" t="str">
        <f aca="false">IF(OR($B364="",$C364=""),"",$C364-$B364+1)</f>
        <v/>
      </c>
      <c r="Q364" s="18"/>
      <c r="R364" s="12" t="str">
        <f aca="false">IF(OR($Q364="",$K364=""),"",$Q364*$K364)</f>
        <v/>
      </c>
      <c r="S364" s="14"/>
      <c r="T364" s="17"/>
      <c r="U364" s="15"/>
    </row>
    <row r="365" customFormat="false" ht="18.75" hidden="false" customHeight="true" outlineLevel="0" collapsed="false">
      <c r="A365" s="5" t="str">
        <f aca="false">IF($B365="","",COUNT($B$5:$B365))</f>
        <v/>
      </c>
      <c r="B365" s="6"/>
      <c r="C365" s="6"/>
      <c r="D365" s="7"/>
      <c r="E365" s="7"/>
      <c r="F365" s="8"/>
      <c r="G365" s="9"/>
      <c r="H365" s="7"/>
      <c r="I365" s="7"/>
      <c r="J365" s="8"/>
      <c r="K365" s="5" t="str">
        <f aca="false">IF($I365="","",1+IF($J365="",0,LEN($J365)-LEN(SUBSTITUTE($J365,",",""))+1))</f>
        <v/>
      </c>
      <c r="L365" s="7"/>
      <c r="M365" s="8"/>
      <c r="N365" s="10"/>
      <c r="O365" s="10"/>
      <c r="P365" s="5" t="str">
        <f aca="false">IF(OR($B365="",$C365=""),"",$C365-$B365+1)</f>
        <v/>
      </c>
      <c r="Q365" s="11"/>
      <c r="R365" s="12" t="str">
        <f aca="false">IF(OR($Q365="",$K365=""),"",$Q365*$K365)</f>
        <v/>
      </c>
      <c r="S365" s="7"/>
      <c r="T365" s="10"/>
      <c r="U365" s="8"/>
    </row>
    <row r="366" customFormat="false" ht="18.75" hidden="false" customHeight="true" outlineLevel="0" collapsed="false">
      <c r="A366" s="5" t="str">
        <f aca="false">IF($B366="","",COUNT($B$5:$B366))</f>
        <v/>
      </c>
      <c r="B366" s="13"/>
      <c r="C366" s="13"/>
      <c r="D366" s="14"/>
      <c r="E366" s="14"/>
      <c r="F366" s="15"/>
      <c r="G366" s="16"/>
      <c r="H366" s="14"/>
      <c r="I366" s="14"/>
      <c r="J366" s="15"/>
      <c r="K366" s="5" t="str">
        <f aca="false">IF($I366="","",1+IF($J366="",0,LEN($J366)-LEN(SUBSTITUTE($J366,",",""))+1))</f>
        <v/>
      </c>
      <c r="L366" s="14"/>
      <c r="M366" s="15"/>
      <c r="N366" s="17"/>
      <c r="O366" s="17"/>
      <c r="P366" s="5" t="str">
        <f aca="false">IF(OR($B366="",$C366=""),"",$C366-$B366+1)</f>
        <v/>
      </c>
      <c r="Q366" s="18"/>
      <c r="R366" s="12" t="str">
        <f aca="false">IF(OR($Q366="",$K366=""),"",$Q366*$K366)</f>
        <v/>
      </c>
      <c r="S366" s="14"/>
      <c r="T366" s="17"/>
      <c r="U366" s="15"/>
    </row>
    <row r="367" customFormat="false" ht="18.75" hidden="false" customHeight="true" outlineLevel="0" collapsed="false">
      <c r="A367" s="5" t="str">
        <f aca="false">IF($B367="","",COUNT($B$5:$B367))</f>
        <v/>
      </c>
      <c r="B367" s="6"/>
      <c r="C367" s="6"/>
      <c r="D367" s="7"/>
      <c r="E367" s="7"/>
      <c r="F367" s="8"/>
      <c r="G367" s="9"/>
      <c r="H367" s="7"/>
      <c r="I367" s="7"/>
      <c r="J367" s="8"/>
      <c r="K367" s="5" t="str">
        <f aca="false">IF($I367="","",1+IF($J367="",0,LEN($J367)-LEN(SUBSTITUTE($J367,",",""))+1))</f>
        <v/>
      </c>
      <c r="L367" s="7"/>
      <c r="M367" s="8"/>
      <c r="N367" s="10"/>
      <c r="O367" s="10"/>
      <c r="P367" s="5" t="str">
        <f aca="false">IF(OR($B367="",$C367=""),"",$C367-$B367+1)</f>
        <v/>
      </c>
      <c r="Q367" s="11"/>
      <c r="R367" s="12" t="str">
        <f aca="false">IF(OR($Q367="",$K367=""),"",$Q367*$K367)</f>
        <v/>
      </c>
      <c r="S367" s="7"/>
      <c r="T367" s="10"/>
      <c r="U367" s="8"/>
    </row>
    <row r="368" customFormat="false" ht="18.75" hidden="false" customHeight="true" outlineLevel="0" collapsed="false">
      <c r="A368" s="5" t="str">
        <f aca="false">IF($B368="","",COUNT($B$5:$B368))</f>
        <v/>
      </c>
      <c r="B368" s="13"/>
      <c r="C368" s="13"/>
      <c r="D368" s="14"/>
      <c r="E368" s="14"/>
      <c r="F368" s="15"/>
      <c r="G368" s="16"/>
      <c r="H368" s="14"/>
      <c r="I368" s="14"/>
      <c r="J368" s="15"/>
      <c r="K368" s="5" t="str">
        <f aca="false">IF($I368="","",1+IF($J368="",0,LEN($J368)-LEN(SUBSTITUTE($J368,",",""))+1))</f>
        <v/>
      </c>
      <c r="L368" s="14"/>
      <c r="M368" s="15"/>
      <c r="N368" s="17"/>
      <c r="O368" s="17"/>
      <c r="P368" s="5" t="str">
        <f aca="false">IF(OR($B368="",$C368=""),"",$C368-$B368+1)</f>
        <v/>
      </c>
      <c r="Q368" s="18"/>
      <c r="R368" s="12" t="str">
        <f aca="false">IF(OR($Q368="",$K368=""),"",$Q368*$K368)</f>
        <v/>
      </c>
      <c r="S368" s="14"/>
      <c r="T368" s="17"/>
      <c r="U368" s="15"/>
    </row>
    <row r="369" customFormat="false" ht="18.75" hidden="false" customHeight="true" outlineLevel="0" collapsed="false">
      <c r="A369" s="5" t="str">
        <f aca="false">IF($B369="","",COUNT($B$5:$B369))</f>
        <v/>
      </c>
      <c r="B369" s="6"/>
      <c r="C369" s="6"/>
      <c r="D369" s="7"/>
      <c r="E369" s="7"/>
      <c r="F369" s="8"/>
      <c r="G369" s="9"/>
      <c r="H369" s="7"/>
      <c r="I369" s="7"/>
      <c r="J369" s="8"/>
      <c r="K369" s="5" t="str">
        <f aca="false">IF($I369="","",1+IF($J369="",0,LEN($J369)-LEN(SUBSTITUTE($J369,",",""))+1))</f>
        <v/>
      </c>
      <c r="L369" s="7"/>
      <c r="M369" s="8"/>
      <c r="N369" s="10"/>
      <c r="O369" s="10"/>
      <c r="P369" s="5" t="str">
        <f aca="false">IF(OR($B369="",$C369=""),"",$C369-$B369+1)</f>
        <v/>
      </c>
      <c r="Q369" s="11"/>
      <c r="R369" s="12" t="str">
        <f aca="false">IF(OR($Q369="",$K369=""),"",$Q369*$K369)</f>
        <v/>
      </c>
      <c r="S369" s="7"/>
      <c r="T369" s="10"/>
      <c r="U369" s="8"/>
    </row>
    <row r="370" customFormat="false" ht="18.75" hidden="false" customHeight="true" outlineLevel="0" collapsed="false">
      <c r="A370" s="5" t="str">
        <f aca="false">IF($B370="","",COUNT($B$5:$B370))</f>
        <v/>
      </c>
      <c r="B370" s="13"/>
      <c r="C370" s="13"/>
      <c r="D370" s="14"/>
      <c r="E370" s="14"/>
      <c r="F370" s="15"/>
      <c r="G370" s="16"/>
      <c r="H370" s="14"/>
      <c r="I370" s="14"/>
      <c r="J370" s="15"/>
      <c r="K370" s="5" t="str">
        <f aca="false">IF($I370="","",1+IF($J370="",0,LEN($J370)-LEN(SUBSTITUTE($J370,",",""))+1))</f>
        <v/>
      </c>
      <c r="L370" s="14"/>
      <c r="M370" s="15"/>
      <c r="N370" s="17"/>
      <c r="O370" s="17"/>
      <c r="P370" s="5" t="str">
        <f aca="false">IF(OR($B370="",$C370=""),"",$C370-$B370+1)</f>
        <v/>
      </c>
      <c r="Q370" s="18"/>
      <c r="R370" s="12" t="str">
        <f aca="false">IF(OR($Q370="",$K370=""),"",$Q370*$K370)</f>
        <v/>
      </c>
      <c r="S370" s="14"/>
      <c r="T370" s="17"/>
      <c r="U370" s="15"/>
    </row>
    <row r="371" customFormat="false" ht="18.75" hidden="false" customHeight="true" outlineLevel="0" collapsed="false">
      <c r="A371" s="5" t="str">
        <f aca="false">IF($B371="","",COUNT($B$5:$B371))</f>
        <v/>
      </c>
      <c r="B371" s="6"/>
      <c r="C371" s="6"/>
      <c r="D371" s="7"/>
      <c r="E371" s="7"/>
      <c r="F371" s="8"/>
      <c r="G371" s="9"/>
      <c r="H371" s="7"/>
      <c r="I371" s="7"/>
      <c r="J371" s="8"/>
      <c r="K371" s="5" t="str">
        <f aca="false">IF($I371="","",1+IF($J371="",0,LEN($J371)-LEN(SUBSTITUTE($J371,",",""))+1))</f>
        <v/>
      </c>
      <c r="L371" s="7"/>
      <c r="M371" s="8"/>
      <c r="N371" s="10"/>
      <c r="O371" s="10"/>
      <c r="P371" s="5" t="str">
        <f aca="false">IF(OR($B371="",$C371=""),"",$C371-$B371+1)</f>
        <v/>
      </c>
      <c r="Q371" s="11"/>
      <c r="R371" s="12" t="str">
        <f aca="false">IF(OR($Q371="",$K371=""),"",$Q371*$K371)</f>
        <v/>
      </c>
      <c r="S371" s="7"/>
      <c r="T371" s="10"/>
      <c r="U371" s="8"/>
    </row>
    <row r="372" customFormat="false" ht="18.75" hidden="false" customHeight="true" outlineLevel="0" collapsed="false">
      <c r="A372" s="5" t="str">
        <f aca="false">IF($B372="","",COUNT($B$5:$B372))</f>
        <v/>
      </c>
      <c r="B372" s="13"/>
      <c r="C372" s="13"/>
      <c r="D372" s="14"/>
      <c r="E372" s="14"/>
      <c r="F372" s="15"/>
      <c r="G372" s="16"/>
      <c r="H372" s="14"/>
      <c r="I372" s="14"/>
      <c r="J372" s="15"/>
      <c r="K372" s="5" t="str">
        <f aca="false">IF($I372="","",1+IF($J372="",0,LEN($J372)-LEN(SUBSTITUTE($J372,",",""))+1))</f>
        <v/>
      </c>
      <c r="L372" s="14"/>
      <c r="M372" s="15"/>
      <c r="N372" s="17"/>
      <c r="O372" s="17"/>
      <c r="P372" s="5" t="str">
        <f aca="false">IF(OR($B372="",$C372=""),"",$C372-$B372+1)</f>
        <v/>
      </c>
      <c r="Q372" s="18"/>
      <c r="R372" s="12" t="str">
        <f aca="false">IF(OR($Q372="",$K372=""),"",$Q372*$K372)</f>
        <v/>
      </c>
      <c r="S372" s="14"/>
      <c r="T372" s="17"/>
      <c r="U372" s="15"/>
    </row>
    <row r="373" customFormat="false" ht="18.75" hidden="false" customHeight="true" outlineLevel="0" collapsed="false">
      <c r="A373" s="5" t="str">
        <f aca="false">IF($B373="","",COUNT($B$5:$B373))</f>
        <v/>
      </c>
      <c r="B373" s="6"/>
      <c r="C373" s="6"/>
      <c r="D373" s="7"/>
      <c r="E373" s="7"/>
      <c r="F373" s="8"/>
      <c r="G373" s="9"/>
      <c r="H373" s="7"/>
      <c r="I373" s="7"/>
      <c r="J373" s="8"/>
      <c r="K373" s="5" t="str">
        <f aca="false">IF($I373="","",1+IF($J373="",0,LEN($J373)-LEN(SUBSTITUTE($J373,",",""))+1))</f>
        <v/>
      </c>
      <c r="L373" s="7"/>
      <c r="M373" s="8"/>
      <c r="N373" s="10"/>
      <c r="O373" s="10"/>
      <c r="P373" s="5" t="str">
        <f aca="false">IF(OR($B373="",$C373=""),"",$C373-$B373+1)</f>
        <v/>
      </c>
      <c r="Q373" s="11"/>
      <c r="R373" s="12" t="str">
        <f aca="false">IF(OR($Q373="",$K373=""),"",$Q373*$K373)</f>
        <v/>
      </c>
      <c r="S373" s="7"/>
      <c r="T373" s="10"/>
      <c r="U373" s="8"/>
    </row>
    <row r="374" customFormat="false" ht="18.75" hidden="false" customHeight="true" outlineLevel="0" collapsed="false">
      <c r="A374" s="5" t="str">
        <f aca="false">IF($B374="","",COUNT($B$5:$B374))</f>
        <v/>
      </c>
      <c r="B374" s="13"/>
      <c r="C374" s="13"/>
      <c r="D374" s="14"/>
      <c r="E374" s="14"/>
      <c r="F374" s="15"/>
      <c r="G374" s="16"/>
      <c r="H374" s="14"/>
      <c r="I374" s="14"/>
      <c r="J374" s="15"/>
      <c r="K374" s="5" t="str">
        <f aca="false">IF($I374="","",1+IF($J374="",0,LEN($J374)-LEN(SUBSTITUTE($J374,",",""))+1))</f>
        <v/>
      </c>
      <c r="L374" s="14"/>
      <c r="M374" s="15"/>
      <c r="N374" s="17"/>
      <c r="O374" s="17"/>
      <c r="P374" s="5" t="str">
        <f aca="false">IF(OR($B374="",$C374=""),"",$C374-$B374+1)</f>
        <v/>
      </c>
      <c r="Q374" s="18"/>
      <c r="R374" s="12" t="str">
        <f aca="false">IF(OR($Q374="",$K374=""),"",$Q374*$K374)</f>
        <v/>
      </c>
      <c r="S374" s="14"/>
      <c r="T374" s="17"/>
      <c r="U374" s="15"/>
    </row>
    <row r="375" customFormat="false" ht="18.75" hidden="false" customHeight="true" outlineLevel="0" collapsed="false">
      <c r="A375" s="5" t="str">
        <f aca="false">IF($B375="","",COUNT($B$5:$B375))</f>
        <v/>
      </c>
      <c r="B375" s="6"/>
      <c r="C375" s="6"/>
      <c r="D375" s="7"/>
      <c r="E375" s="7"/>
      <c r="F375" s="8"/>
      <c r="G375" s="9"/>
      <c r="H375" s="7"/>
      <c r="I375" s="7"/>
      <c r="J375" s="8"/>
      <c r="K375" s="5" t="str">
        <f aca="false">IF($I375="","",1+IF($J375="",0,LEN($J375)-LEN(SUBSTITUTE($J375,",",""))+1))</f>
        <v/>
      </c>
      <c r="L375" s="7"/>
      <c r="M375" s="8"/>
      <c r="N375" s="10"/>
      <c r="O375" s="10"/>
      <c r="P375" s="5" t="str">
        <f aca="false">IF(OR($B375="",$C375=""),"",$C375-$B375+1)</f>
        <v/>
      </c>
      <c r="Q375" s="11"/>
      <c r="R375" s="12" t="str">
        <f aca="false">IF(OR($Q375="",$K375=""),"",$Q375*$K375)</f>
        <v/>
      </c>
      <c r="S375" s="7"/>
      <c r="T375" s="10"/>
      <c r="U375" s="8"/>
    </row>
    <row r="376" customFormat="false" ht="18.75" hidden="false" customHeight="true" outlineLevel="0" collapsed="false">
      <c r="A376" s="5" t="str">
        <f aca="false">IF($B376="","",COUNT($B$5:$B376))</f>
        <v/>
      </c>
      <c r="B376" s="13"/>
      <c r="C376" s="13"/>
      <c r="D376" s="14"/>
      <c r="E376" s="14"/>
      <c r="F376" s="15"/>
      <c r="G376" s="16"/>
      <c r="H376" s="14"/>
      <c r="I376" s="14"/>
      <c r="J376" s="15"/>
      <c r="K376" s="5" t="str">
        <f aca="false">IF($I376="","",1+IF($J376="",0,LEN($J376)-LEN(SUBSTITUTE($J376,",",""))+1))</f>
        <v/>
      </c>
      <c r="L376" s="14"/>
      <c r="M376" s="15"/>
      <c r="N376" s="17"/>
      <c r="O376" s="17"/>
      <c r="P376" s="5" t="str">
        <f aca="false">IF(OR($B376="",$C376=""),"",$C376-$B376+1)</f>
        <v/>
      </c>
      <c r="Q376" s="18"/>
      <c r="R376" s="12" t="str">
        <f aca="false">IF(OR($Q376="",$K376=""),"",$Q376*$K376)</f>
        <v/>
      </c>
      <c r="S376" s="14"/>
      <c r="T376" s="17"/>
      <c r="U376" s="15"/>
    </row>
    <row r="377" customFormat="false" ht="18.75" hidden="false" customHeight="true" outlineLevel="0" collapsed="false">
      <c r="A377" s="5" t="str">
        <f aca="false">IF($B377="","",COUNT($B$5:$B377))</f>
        <v/>
      </c>
      <c r="B377" s="6"/>
      <c r="C377" s="6"/>
      <c r="D377" s="7"/>
      <c r="E377" s="7"/>
      <c r="F377" s="8"/>
      <c r="G377" s="9"/>
      <c r="H377" s="7"/>
      <c r="I377" s="7"/>
      <c r="J377" s="8"/>
      <c r="K377" s="5" t="str">
        <f aca="false">IF($I377="","",1+IF($J377="",0,LEN($J377)-LEN(SUBSTITUTE($J377,",",""))+1))</f>
        <v/>
      </c>
      <c r="L377" s="7"/>
      <c r="M377" s="8"/>
      <c r="N377" s="10"/>
      <c r="O377" s="10"/>
      <c r="P377" s="5" t="str">
        <f aca="false">IF(OR($B377="",$C377=""),"",$C377-$B377+1)</f>
        <v/>
      </c>
      <c r="Q377" s="11"/>
      <c r="R377" s="12" t="str">
        <f aca="false">IF(OR($Q377="",$K377=""),"",$Q377*$K377)</f>
        <v/>
      </c>
      <c r="S377" s="7"/>
      <c r="T377" s="10"/>
      <c r="U377" s="8"/>
    </row>
    <row r="378" customFormat="false" ht="18.75" hidden="false" customHeight="true" outlineLevel="0" collapsed="false">
      <c r="A378" s="5" t="str">
        <f aca="false">IF($B378="","",COUNT($B$5:$B378))</f>
        <v/>
      </c>
      <c r="B378" s="13"/>
      <c r="C378" s="13"/>
      <c r="D378" s="14"/>
      <c r="E378" s="14"/>
      <c r="F378" s="15"/>
      <c r="G378" s="16"/>
      <c r="H378" s="14"/>
      <c r="I378" s="14"/>
      <c r="J378" s="15"/>
      <c r="K378" s="5" t="str">
        <f aca="false">IF($I378="","",1+IF($J378="",0,LEN($J378)-LEN(SUBSTITUTE($J378,",",""))+1))</f>
        <v/>
      </c>
      <c r="L378" s="14"/>
      <c r="M378" s="15"/>
      <c r="N378" s="17"/>
      <c r="O378" s="17"/>
      <c r="P378" s="5" t="str">
        <f aca="false">IF(OR($B378="",$C378=""),"",$C378-$B378+1)</f>
        <v/>
      </c>
      <c r="Q378" s="18"/>
      <c r="R378" s="12" t="str">
        <f aca="false">IF(OR($Q378="",$K378=""),"",$Q378*$K378)</f>
        <v/>
      </c>
      <c r="S378" s="14"/>
      <c r="T378" s="17"/>
      <c r="U378" s="15"/>
    </row>
    <row r="379" customFormat="false" ht="18.75" hidden="false" customHeight="true" outlineLevel="0" collapsed="false">
      <c r="A379" s="5" t="str">
        <f aca="false">IF($B379="","",COUNT($B$5:$B379))</f>
        <v/>
      </c>
      <c r="B379" s="6"/>
      <c r="C379" s="6"/>
      <c r="D379" s="7"/>
      <c r="E379" s="7"/>
      <c r="F379" s="8"/>
      <c r="G379" s="9"/>
      <c r="H379" s="7"/>
      <c r="I379" s="7"/>
      <c r="J379" s="8"/>
      <c r="K379" s="5" t="str">
        <f aca="false">IF($I379="","",1+IF($J379="",0,LEN($J379)-LEN(SUBSTITUTE($J379,",",""))+1))</f>
        <v/>
      </c>
      <c r="L379" s="7"/>
      <c r="M379" s="8"/>
      <c r="N379" s="10"/>
      <c r="O379" s="10"/>
      <c r="P379" s="5" t="str">
        <f aca="false">IF(OR($B379="",$C379=""),"",$C379-$B379+1)</f>
        <v/>
      </c>
      <c r="Q379" s="11"/>
      <c r="R379" s="12" t="str">
        <f aca="false">IF(OR($Q379="",$K379=""),"",$Q379*$K379)</f>
        <v/>
      </c>
      <c r="S379" s="7"/>
      <c r="T379" s="10"/>
      <c r="U379" s="8"/>
    </row>
    <row r="380" customFormat="false" ht="18.75" hidden="false" customHeight="true" outlineLevel="0" collapsed="false">
      <c r="A380" s="5" t="str">
        <f aca="false">IF($B380="","",COUNT($B$5:$B380))</f>
        <v/>
      </c>
      <c r="B380" s="13"/>
      <c r="C380" s="13"/>
      <c r="D380" s="14"/>
      <c r="E380" s="14"/>
      <c r="F380" s="15"/>
      <c r="G380" s="16"/>
      <c r="H380" s="14"/>
      <c r="I380" s="14"/>
      <c r="J380" s="15"/>
      <c r="K380" s="5" t="str">
        <f aca="false">IF($I380="","",1+IF($J380="",0,LEN($J380)-LEN(SUBSTITUTE($J380,",",""))+1))</f>
        <v/>
      </c>
      <c r="L380" s="14"/>
      <c r="M380" s="15"/>
      <c r="N380" s="17"/>
      <c r="O380" s="17"/>
      <c r="P380" s="5" t="str">
        <f aca="false">IF(OR($B380="",$C380=""),"",$C380-$B380+1)</f>
        <v/>
      </c>
      <c r="Q380" s="18"/>
      <c r="R380" s="12" t="str">
        <f aca="false">IF(OR($Q380="",$K380=""),"",$Q380*$K380)</f>
        <v/>
      </c>
      <c r="S380" s="14"/>
      <c r="T380" s="17"/>
      <c r="U380" s="15"/>
    </row>
    <row r="381" customFormat="false" ht="18.75" hidden="false" customHeight="true" outlineLevel="0" collapsed="false">
      <c r="A381" s="5" t="str">
        <f aca="false">IF($B381="","",COUNT($B$5:$B381))</f>
        <v/>
      </c>
      <c r="B381" s="6"/>
      <c r="C381" s="6"/>
      <c r="D381" s="7"/>
      <c r="E381" s="7"/>
      <c r="F381" s="8"/>
      <c r="G381" s="9"/>
      <c r="H381" s="7"/>
      <c r="I381" s="7"/>
      <c r="J381" s="8"/>
      <c r="K381" s="5" t="str">
        <f aca="false">IF($I381="","",1+IF($J381="",0,LEN($J381)-LEN(SUBSTITUTE($J381,",",""))+1))</f>
        <v/>
      </c>
      <c r="L381" s="7"/>
      <c r="M381" s="8"/>
      <c r="N381" s="10"/>
      <c r="O381" s="10"/>
      <c r="P381" s="5" t="str">
        <f aca="false">IF(OR($B381="",$C381=""),"",$C381-$B381+1)</f>
        <v/>
      </c>
      <c r="Q381" s="11"/>
      <c r="R381" s="12" t="str">
        <f aca="false">IF(OR($Q381="",$K381=""),"",$Q381*$K381)</f>
        <v/>
      </c>
      <c r="S381" s="7"/>
      <c r="T381" s="10"/>
      <c r="U381" s="8"/>
    </row>
    <row r="382" customFormat="false" ht="18.75" hidden="false" customHeight="true" outlineLevel="0" collapsed="false">
      <c r="A382" s="5" t="str">
        <f aca="false">IF($B382="","",COUNT($B$5:$B382))</f>
        <v/>
      </c>
      <c r="B382" s="13"/>
      <c r="C382" s="13"/>
      <c r="D382" s="14"/>
      <c r="E382" s="14"/>
      <c r="F382" s="15"/>
      <c r="G382" s="16"/>
      <c r="H382" s="14"/>
      <c r="I382" s="14"/>
      <c r="J382" s="15"/>
      <c r="K382" s="5" t="str">
        <f aca="false">IF($I382="","",1+IF($J382="",0,LEN($J382)-LEN(SUBSTITUTE($J382,",",""))+1))</f>
        <v/>
      </c>
      <c r="L382" s="14"/>
      <c r="M382" s="15"/>
      <c r="N382" s="17"/>
      <c r="O382" s="17"/>
      <c r="P382" s="5" t="str">
        <f aca="false">IF(OR($B382="",$C382=""),"",$C382-$B382+1)</f>
        <v/>
      </c>
      <c r="Q382" s="18"/>
      <c r="R382" s="12" t="str">
        <f aca="false">IF(OR($Q382="",$K382=""),"",$Q382*$K382)</f>
        <v/>
      </c>
      <c r="S382" s="14"/>
      <c r="T382" s="17"/>
      <c r="U382" s="15"/>
    </row>
    <row r="383" customFormat="false" ht="18.75" hidden="false" customHeight="true" outlineLevel="0" collapsed="false">
      <c r="A383" s="5" t="str">
        <f aca="false">IF($B383="","",COUNT($B$5:$B383))</f>
        <v/>
      </c>
      <c r="B383" s="6"/>
      <c r="C383" s="6"/>
      <c r="D383" s="7"/>
      <c r="E383" s="7"/>
      <c r="F383" s="8"/>
      <c r="G383" s="9"/>
      <c r="H383" s="7"/>
      <c r="I383" s="7"/>
      <c r="J383" s="8"/>
      <c r="K383" s="5" t="str">
        <f aca="false">IF($I383="","",1+IF($J383="",0,LEN($J383)-LEN(SUBSTITUTE($J383,",",""))+1))</f>
        <v/>
      </c>
      <c r="L383" s="7"/>
      <c r="M383" s="8"/>
      <c r="N383" s="10"/>
      <c r="O383" s="10"/>
      <c r="P383" s="5" t="str">
        <f aca="false">IF(OR($B383="",$C383=""),"",$C383-$B383+1)</f>
        <v/>
      </c>
      <c r="Q383" s="11"/>
      <c r="R383" s="12" t="str">
        <f aca="false">IF(OR($Q383="",$K383=""),"",$Q383*$K383)</f>
        <v/>
      </c>
      <c r="S383" s="7"/>
      <c r="T383" s="10"/>
      <c r="U383" s="8"/>
    </row>
    <row r="384" customFormat="false" ht="18.75" hidden="false" customHeight="true" outlineLevel="0" collapsed="false">
      <c r="A384" s="5" t="str">
        <f aca="false">IF($B384="","",COUNT($B$5:$B384))</f>
        <v/>
      </c>
      <c r="B384" s="13"/>
      <c r="C384" s="13"/>
      <c r="D384" s="14"/>
      <c r="E384" s="14"/>
      <c r="F384" s="15"/>
      <c r="G384" s="16"/>
      <c r="H384" s="14"/>
      <c r="I384" s="14"/>
      <c r="J384" s="15"/>
      <c r="K384" s="5" t="str">
        <f aca="false">IF($I384="","",1+IF($J384="",0,LEN($J384)-LEN(SUBSTITUTE($J384,",",""))+1))</f>
        <v/>
      </c>
      <c r="L384" s="14"/>
      <c r="M384" s="15"/>
      <c r="N384" s="17"/>
      <c r="O384" s="17"/>
      <c r="P384" s="5" t="str">
        <f aca="false">IF(OR($B384="",$C384=""),"",$C384-$B384+1)</f>
        <v/>
      </c>
      <c r="Q384" s="18"/>
      <c r="R384" s="12" t="str">
        <f aca="false">IF(OR($Q384="",$K384=""),"",$Q384*$K384)</f>
        <v/>
      </c>
      <c r="S384" s="14"/>
      <c r="T384" s="17"/>
      <c r="U384" s="15"/>
    </row>
    <row r="385" customFormat="false" ht="18.75" hidden="false" customHeight="true" outlineLevel="0" collapsed="false">
      <c r="A385" s="5" t="str">
        <f aca="false">IF($B385="","",COUNT($B$5:$B385))</f>
        <v/>
      </c>
      <c r="B385" s="6"/>
      <c r="C385" s="6"/>
      <c r="D385" s="7"/>
      <c r="E385" s="7"/>
      <c r="F385" s="8"/>
      <c r="G385" s="9"/>
      <c r="H385" s="7"/>
      <c r="I385" s="7"/>
      <c r="J385" s="8"/>
      <c r="K385" s="5" t="str">
        <f aca="false">IF($I385="","",1+IF($J385="",0,LEN($J385)-LEN(SUBSTITUTE($J385,",",""))+1))</f>
        <v/>
      </c>
      <c r="L385" s="7"/>
      <c r="M385" s="8"/>
      <c r="N385" s="10"/>
      <c r="O385" s="10"/>
      <c r="P385" s="5" t="str">
        <f aca="false">IF(OR($B385="",$C385=""),"",$C385-$B385+1)</f>
        <v/>
      </c>
      <c r="Q385" s="11"/>
      <c r="R385" s="12" t="str">
        <f aca="false">IF(OR($Q385="",$K385=""),"",$Q385*$K385)</f>
        <v/>
      </c>
      <c r="S385" s="7"/>
      <c r="T385" s="10"/>
      <c r="U385" s="8"/>
    </row>
    <row r="386" customFormat="false" ht="18.75" hidden="false" customHeight="true" outlineLevel="0" collapsed="false">
      <c r="A386" s="5" t="str">
        <f aca="false">IF($B386="","",COUNT($B$5:$B386))</f>
        <v/>
      </c>
      <c r="B386" s="13"/>
      <c r="C386" s="13"/>
      <c r="D386" s="14"/>
      <c r="E386" s="14"/>
      <c r="F386" s="15"/>
      <c r="G386" s="16"/>
      <c r="H386" s="14"/>
      <c r="I386" s="14"/>
      <c r="J386" s="15"/>
      <c r="K386" s="5" t="str">
        <f aca="false">IF($I386="","",1+IF($J386="",0,LEN($J386)-LEN(SUBSTITUTE($J386,",",""))+1))</f>
        <v/>
      </c>
      <c r="L386" s="14"/>
      <c r="M386" s="15"/>
      <c r="N386" s="17"/>
      <c r="O386" s="17"/>
      <c r="P386" s="5" t="str">
        <f aca="false">IF(OR($B386="",$C386=""),"",$C386-$B386+1)</f>
        <v/>
      </c>
      <c r="Q386" s="18"/>
      <c r="R386" s="12" t="str">
        <f aca="false">IF(OR($Q386="",$K386=""),"",$Q386*$K386)</f>
        <v/>
      </c>
      <c r="S386" s="14"/>
      <c r="T386" s="17"/>
      <c r="U386" s="15"/>
    </row>
    <row r="387" customFormat="false" ht="18.75" hidden="false" customHeight="true" outlineLevel="0" collapsed="false">
      <c r="A387" s="5" t="str">
        <f aca="false">IF($B387="","",COUNT($B$5:$B387))</f>
        <v/>
      </c>
      <c r="B387" s="6"/>
      <c r="C387" s="6"/>
      <c r="D387" s="7"/>
      <c r="E387" s="7"/>
      <c r="F387" s="8"/>
      <c r="G387" s="9"/>
      <c r="H387" s="7"/>
      <c r="I387" s="7"/>
      <c r="J387" s="8"/>
      <c r="K387" s="5" t="str">
        <f aca="false">IF($I387="","",1+IF($J387="",0,LEN($J387)-LEN(SUBSTITUTE($J387,",",""))+1))</f>
        <v/>
      </c>
      <c r="L387" s="7"/>
      <c r="M387" s="8"/>
      <c r="N387" s="10"/>
      <c r="O387" s="10"/>
      <c r="P387" s="5" t="str">
        <f aca="false">IF(OR($B387="",$C387=""),"",$C387-$B387+1)</f>
        <v/>
      </c>
      <c r="Q387" s="11"/>
      <c r="R387" s="12" t="str">
        <f aca="false">IF(OR($Q387="",$K387=""),"",$Q387*$K387)</f>
        <v/>
      </c>
      <c r="S387" s="7"/>
      <c r="T387" s="10"/>
      <c r="U387" s="8"/>
    </row>
    <row r="388" customFormat="false" ht="18.75" hidden="false" customHeight="true" outlineLevel="0" collapsed="false">
      <c r="A388" s="5" t="str">
        <f aca="false">IF($B388="","",COUNT($B$5:$B388))</f>
        <v/>
      </c>
      <c r="B388" s="13"/>
      <c r="C388" s="13"/>
      <c r="D388" s="14"/>
      <c r="E388" s="14"/>
      <c r="F388" s="15"/>
      <c r="G388" s="16"/>
      <c r="H388" s="14"/>
      <c r="I388" s="14"/>
      <c r="J388" s="15"/>
      <c r="K388" s="5" t="str">
        <f aca="false">IF($I388="","",1+IF($J388="",0,LEN($J388)-LEN(SUBSTITUTE($J388,",",""))+1))</f>
        <v/>
      </c>
      <c r="L388" s="14"/>
      <c r="M388" s="15"/>
      <c r="N388" s="17"/>
      <c r="O388" s="17"/>
      <c r="P388" s="5" t="str">
        <f aca="false">IF(OR($B388="",$C388=""),"",$C388-$B388+1)</f>
        <v/>
      </c>
      <c r="Q388" s="18"/>
      <c r="R388" s="12" t="str">
        <f aca="false">IF(OR($Q388="",$K388=""),"",$Q388*$K388)</f>
        <v/>
      </c>
      <c r="S388" s="14"/>
      <c r="T388" s="17"/>
      <c r="U388" s="15"/>
    </row>
    <row r="389" customFormat="false" ht="18.75" hidden="false" customHeight="true" outlineLevel="0" collapsed="false">
      <c r="A389" s="5" t="str">
        <f aca="false">IF($B389="","",COUNT($B$5:$B389))</f>
        <v/>
      </c>
      <c r="B389" s="6"/>
      <c r="C389" s="6"/>
      <c r="D389" s="7"/>
      <c r="E389" s="7"/>
      <c r="F389" s="8"/>
      <c r="G389" s="9"/>
      <c r="H389" s="7"/>
      <c r="I389" s="7"/>
      <c r="J389" s="8"/>
      <c r="K389" s="5" t="str">
        <f aca="false">IF($I389="","",1+IF($J389="",0,LEN($J389)-LEN(SUBSTITUTE($J389,",",""))+1))</f>
        <v/>
      </c>
      <c r="L389" s="7"/>
      <c r="M389" s="8"/>
      <c r="N389" s="10"/>
      <c r="O389" s="10"/>
      <c r="P389" s="5" t="str">
        <f aca="false">IF(OR($B389="",$C389=""),"",$C389-$B389+1)</f>
        <v/>
      </c>
      <c r="Q389" s="11"/>
      <c r="R389" s="12" t="str">
        <f aca="false">IF(OR($Q389="",$K389=""),"",$Q389*$K389)</f>
        <v/>
      </c>
      <c r="S389" s="7"/>
      <c r="T389" s="10"/>
      <c r="U389" s="8"/>
    </row>
    <row r="390" customFormat="false" ht="18.75" hidden="false" customHeight="true" outlineLevel="0" collapsed="false">
      <c r="A390" s="5" t="str">
        <f aca="false">IF($B390="","",COUNT($B$5:$B390))</f>
        <v/>
      </c>
      <c r="B390" s="13"/>
      <c r="C390" s="13"/>
      <c r="D390" s="14"/>
      <c r="E390" s="14"/>
      <c r="F390" s="15"/>
      <c r="G390" s="16"/>
      <c r="H390" s="14"/>
      <c r="I390" s="14"/>
      <c r="J390" s="15"/>
      <c r="K390" s="5" t="str">
        <f aca="false">IF($I390="","",1+IF($J390="",0,LEN($J390)-LEN(SUBSTITUTE($J390,",",""))+1))</f>
        <v/>
      </c>
      <c r="L390" s="14"/>
      <c r="M390" s="15"/>
      <c r="N390" s="17"/>
      <c r="O390" s="17"/>
      <c r="P390" s="5" t="str">
        <f aca="false">IF(OR($B390="",$C390=""),"",$C390-$B390+1)</f>
        <v/>
      </c>
      <c r="Q390" s="18"/>
      <c r="R390" s="12" t="str">
        <f aca="false">IF(OR($Q390="",$K390=""),"",$Q390*$K390)</f>
        <v/>
      </c>
      <c r="S390" s="14"/>
      <c r="T390" s="17"/>
      <c r="U390" s="15"/>
    </row>
    <row r="391" customFormat="false" ht="18.75" hidden="false" customHeight="true" outlineLevel="0" collapsed="false">
      <c r="A391" s="5" t="str">
        <f aca="false">IF($B391="","",COUNT($B$5:$B391))</f>
        <v/>
      </c>
      <c r="B391" s="6"/>
      <c r="C391" s="6"/>
      <c r="D391" s="7"/>
      <c r="E391" s="7"/>
      <c r="F391" s="8"/>
      <c r="G391" s="9"/>
      <c r="H391" s="7"/>
      <c r="I391" s="7"/>
      <c r="J391" s="8"/>
      <c r="K391" s="5" t="str">
        <f aca="false">IF($I391="","",1+IF($J391="",0,LEN($J391)-LEN(SUBSTITUTE($J391,",",""))+1))</f>
        <v/>
      </c>
      <c r="L391" s="7"/>
      <c r="M391" s="8"/>
      <c r="N391" s="10"/>
      <c r="O391" s="10"/>
      <c r="P391" s="5" t="str">
        <f aca="false">IF(OR($B391="",$C391=""),"",$C391-$B391+1)</f>
        <v/>
      </c>
      <c r="Q391" s="11"/>
      <c r="R391" s="12" t="str">
        <f aca="false">IF(OR($Q391="",$K391=""),"",$Q391*$K391)</f>
        <v/>
      </c>
      <c r="S391" s="7"/>
      <c r="T391" s="10"/>
      <c r="U391" s="8"/>
    </row>
    <row r="392" customFormat="false" ht="18.75" hidden="false" customHeight="true" outlineLevel="0" collapsed="false">
      <c r="A392" s="5" t="str">
        <f aca="false">IF($B392="","",COUNT($B$5:$B392))</f>
        <v/>
      </c>
      <c r="B392" s="13"/>
      <c r="C392" s="13"/>
      <c r="D392" s="14"/>
      <c r="E392" s="14"/>
      <c r="F392" s="15"/>
      <c r="G392" s="16"/>
      <c r="H392" s="14"/>
      <c r="I392" s="14"/>
      <c r="J392" s="15"/>
      <c r="K392" s="5" t="str">
        <f aca="false">IF($I392="","",1+IF($J392="",0,LEN($J392)-LEN(SUBSTITUTE($J392,",",""))+1))</f>
        <v/>
      </c>
      <c r="L392" s="14"/>
      <c r="M392" s="15"/>
      <c r="N392" s="17"/>
      <c r="O392" s="17"/>
      <c r="P392" s="5" t="str">
        <f aca="false">IF(OR($B392="",$C392=""),"",$C392-$B392+1)</f>
        <v/>
      </c>
      <c r="Q392" s="18"/>
      <c r="R392" s="12" t="str">
        <f aca="false">IF(OR($Q392="",$K392=""),"",$Q392*$K392)</f>
        <v/>
      </c>
      <c r="S392" s="14"/>
      <c r="T392" s="17"/>
      <c r="U392" s="15"/>
    </row>
    <row r="393" customFormat="false" ht="18.75" hidden="false" customHeight="true" outlineLevel="0" collapsed="false">
      <c r="A393" s="5" t="str">
        <f aca="false">IF($B393="","",COUNT($B$5:$B393))</f>
        <v/>
      </c>
      <c r="B393" s="6"/>
      <c r="C393" s="6"/>
      <c r="D393" s="7"/>
      <c r="E393" s="7"/>
      <c r="F393" s="8"/>
      <c r="G393" s="9"/>
      <c r="H393" s="7"/>
      <c r="I393" s="7"/>
      <c r="J393" s="8"/>
      <c r="K393" s="5" t="str">
        <f aca="false">IF($I393="","",1+IF($J393="",0,LEN($J393)-LEN(SUBSTITUTE($J393,",",""))+1))</f>
        <v/>
      </c>
      <c r="L393" s="7"/>
      <c r="M393" s="8"/>
      <c r="N393" s="10"/>
      <c r="O393" s="10"/>
      <c r="P393" s="5" t="str">
        <f aca="false">IF(OR($B393="",$C393=""),"",$C393-$B393+1)</f>
        <v/>
      </c>
      <c r="Q393" s="11"/>
      <c r="R393" s="12" t="str">
        <f aca="false">IF(OR($Q393="",$K393=""),"",$Q393*$K393)</f>
        <v/>
      </c>
      <c r="S393" s="7"/>
      <c r="T393" s="10"/>
      <c r="U393" s="8"/>
    </row>
    <row r="394" customFormat="false" ht="18.75" hidden="false" customHeight="true" outlineLevel="0" collapsed="false">
      <c r="A394" s="5" t="str">
        <f aca="false">IF($B394="","",COUNT($B$5:$B394))</f>
        <v/>
      </c>
      <c r="B394" s="13"/>
      <c r="C394" s="13"/>
      <c r="D394" s="14"/>
      <c r="E394" s="14"/>
      <c r="F394" s="15"/>
      <c r="G394" s="16"/>
      <c r="H394" s="14"/>
      <c r="I394" s="14"/>
      <c r="J394" s="15"/>
      <c r="K394" s="5" t="str">
        <f aca="false">IF($I394="","",1+IF($J394="",0,LEN($J394)-LEN(SUBSTITUTE($J394,",",""))+1))</f>
        <v/>
      </c>
      <c r="L394" s="14"/>
      <c r="M394" s="15"/>
      <c r="N394" s="17"/>
      <c r="O394" s="17"/>
      <c r="P394" s="5" t="str">
        <f aca="false">IF(OR($B394="",$C394=""),"",$C394-$B394+1)</f>
        <v/>
      </c>
      <c r="Q394" s="18"/>
      <c r="R394" s="12" t="str">
        <f aca="false">IF(OR($Q394="",$K394=""),"",$Q394*$K394)</f>
        <v/>
      </c>
      <c r="S394" s="14"/>
      <c r="T394" s="17"/>
      <c r="U394" s="15"/>
    </row>
    <row r="395" customFormat="false" ht="18.75" hidden="false" customHeight="true" outlineLevel="0" collapsed="false">
      <c r="A395" s="5" t="str">
        <f aca="false">IF($B395="","",COUNT($B$5:$B395))</f>
        <v/>
      </c>
      <c r="B395" s="6"/>
      <c r="C395" s="6"/>
      <c r="D395" s="7"/>
      <c r="E395" s="7"/>
      <c r="F395" s="8"/>
      <c r="G395" s="9"/>
      <c r="H395" s="7"/>
      <c r="I395" s="7"/>
      <c r="J395" s="8"/>
      <c r="K395" s="5" t="str">
        <f aca="false">IF($I395="","",1+IF($J395="",0,LEN($J395)-LEN(SUBSTITUTE($J395,",",""))+1))</f>
        <v/>
      </c>
      <c r="L395" s="7"/>
      <c r="M395" s="8"/>
      <c r="N395" s="10"/>
      <c r="O395" s="10"/>
      <c r="P395" s="5" t="str">
        <f aca="false">IF(OR($B395="",$C395=""),"",$C395-$B395+1)</f>
        <v/>
      </c>
      <c r="Q395" s="11"/>
      <c r="R395" s="12" t="str">
        <f aca="false">IF(OR($Q395="",$K395=""),"",$Q395*$K395)</f>
        <v/>
      </c>
      <c r="S395" s="7"/>
      <c r="T395" s="10"/>
      <c r="U395" s="8"/>
    </row>
    <row r="396" customFormat="false" ht="18.75" hidden="false" customHeight="true" outlineLevel="0" collapsed="false">
      <c r="A396" s="5" t="str">
        <f aca="false">IF($B396="","",COUNT($B$5:$B396))</f>
        <v/>
      </c>
      <c r="B396" s="13"/>
      <c r="C396" s="13"/>
      <c r="D396" s="14"/>
      <c r="E396" s="14"/>
      <c r="F396" s="15"/>
      <c r="G396" s="16"/>
      <c r="H396" s="14"/>
      <c r="I396" s="14"/>
      <c r="J396" s="15"/>
      <c r="K396" s="5" t="str">
        <f aca="false">IF($I396="","",1+IF($J396="",0,LEN($J396)-LEN(SUBSTITUTE($J396,",",""))+1))</f>
        <v/>
      </c>
      <c r="L396" s="14"/>
      <c r="M396" s="15"/>
      <c r="N396" s="17"/>
      <c r="O396" s="17"/>
      <c r="P396" s="5" t="str">
        <f aca="false">IF(OR($B396="",$C396=""),"",$C396-$B396+1)</f>
        <v/>
      </c>
      <c r="Q396" s="18"/>
      <c r="R396" s="12" t="str">
        <f aca="false">IF(OR($Q396="",$K396=""),"",$Q396*$K396)</f>
        <v/>
      </c>
      <c r="S396" s="14"/>
      <c r="T396" s="17"/>
      <c r="U396" s="15"/>
    </row>
    <row r="397" customFormat="false" ht="18.75" hidden="false" customHeight="true" outlineLevel="0" collapsed="false">
      <c r="A397" s="5" t="str">
        <f aca="false">IF($B397="","",COUNT($B$5:$B397))</f>
        <v/>
      </c>
      <c r="B397" s="6"/>
      <c r="C397" s="6"/>
      <c r="D397" s="7"/>
      <c r="E397" s="7"/>
      <c r="F397" s="8"/>
      <c r="G397" s="9"/>
      <c r="H397" s="7"/>
      <c r="I397" s="7"/>
      <c r="J397" s="8"/>
      <c r="K397" s="5" t="str">
        <f aca="false">IF($I397="","",1+IF($J397="",0,LEN($J397)-LEN(SUBSTITUTE($J397,",",""))+1))</f>
        <v/>
      </c>
      <c r="L397" s="7"/>
      <c r="M397" s="8"/>
      <c r="N397" s="10"/>
      <c r="O397" s="10"/>
      <c r="P397" s="5" t="str">
        <f aca="false">IF(OR($B397="",$C397=""),"",$C397-$B397+1)</f>
        <v/>
      </c>
      <c r="Q397" s="11"/>
      <c r="R397" s="12" t="str">
        <f aca="false">IF(OR($Q397="",$K397=""),"",$Q397*$K397)</f>
        <v/>
      </c>
      <c r="S397" s="7"/>
      <c r="T397" s="10"/>
      <c r="U397" s="8"/>
    </row>
    <row r="398" customFormat="false" ht="18.75" hidden="false" customHeight="true" outlineLevel="0" collapsed="false">
      <c r="A398" s="5" t="str">
        <f aca="false">IF($B398="","",COUNT($B$5:$B398))</f>
        <v/>
      </c>
      <c r="B398" s="13"/>
      <c r="C398" s="13"/>
      <c r="D398" s="14"/>
      <c r="E398" s="14"/>
      <c r="F398" s="15"/>
      <c r="G398" s="16"/>
      <c r="H398" s="14"/>
      <c r="I398" s="14"/>
      <c r="J398" s="15"/>
      <c r="K398" s="5" t="str">
        <f aca="false">IF($I398="","",1+IF($J398="",0,LEN($J398)-LEN(SUBSTITUTE($J398,",",""))+1))</f>
        <v/>
      </c>
      <c r="L398" s="14"/>
      <c r="M398" s="15"/>
      <c r="N398" s="17"/>
      <c r="O398" s="17"/>
      <c r="P398" s="5" t="str">
        <f aca="false">IF(OR($B398="",$C398=""),"",$C398-$B398+1)</f>
        <v/>
      </c>
      <c r="Q398" s="18"/>
      <c r="R398" s="12" t="str">
        <f aca="false">IF(OR($Q398="",$K398=""),"",$Q398*$K398)</f>
        <v/>
      </c>
      <c r="S398" s="14"/>
      <c r="T398" s="17"/>
      <c r="U398" s="15"/>
    </row>
    <row r="399" customFormat="false" ht="18.75" hidden="false" customHeight="true" outlineLevel="0" collapsed="false">
      <c r="A399" s="5" t="str">
        <f aca="false">IF($B399="","",COUNT($B$5:$B399))</f>
        <v/>
      </c>
      <c r="B399" s="6"/>
      <c r="C399" s="6"/>
      <c r="D399" s="7"/>
      <c r="E399" s="7"/>
      <c r="F399" s="8"/>
      <c r="G399" s="9"/>
      <c r="H399" s="7"/>
      <c r="I399" s="7"/>
      <c r="J399" s="8"/>
      <c r="K399" s="5" t="str">
        <f aca="false">IF($I399="","",1+IF($J399="",0,LEN($J399)-LEN(SUBSTITUTE($J399,",",""))+1))</f>
        <v/>
      </c>
      <c r="L399" s="7"/>
      <c r="M399" s="8"/>
      <c r="N399" s="10"/>
      <c r="O399" s="10"/>
      <c r="P399" s="5" t="str">
        <f aca="false">IF(OR($B399="",$C399=""),"",$C399-$B399+1)</f>
        <v/>
      </c>
      <c r="Q399" s="11"/>
      <c r="R399" s="12" t="str">
        <f aca="false">IF(OR($Q399="",$K399=""),"",$Q399*$K399)</f>
        <v/>
      </c>
      <c r="S399" s="7"/>
      <c r="T399" s="10"/>
      <c r="U399" s="8"/>
    </row>
    <row r="400" customFormat="false" ht="18.75" hidden="false" customHeight="true" outlineLevel="0" collapsed="false">
      <c r="A400" s="5" t="str">
        <f aca="false">IF($B400="","",COUNT($B$5:$B400))</f>
        <v/>
      </c>
      <c r="B400" s="13"/>
      <c r="C400" s="13"/>
      <c r="D400" s="14"/>
      <c r="E400" s="14"/>
      <c r="F400" s="15"/>
      <c r="G400" s="16"/>
      <c r="H400" s="14"/>
      <c r="I400" s="14"/>
      <c r="J400" s="15"/>
      <c r="K400" s="5" t="str">
        <f aca="false">IF($I400="","",1+IF($J400="",0,LEN($J400)-LEN(SUBSTITUTE($J400,",",""))+1))</f>
        <v/>
      </c>
      <c r="L400" s="14"/>
      <c r="M400" s="15"/>
      <c r="N400" s="17"/>
      <c r="O400" s="17"/>
      <c r="P400" s="5" t="str">
        <f aca="false">IF(OR($B400="",$C400=""),"",$C400-$B400+1)</f>
        <v/>
      </c>
      <c r="Q400" s="18"/>
      <c r="R400" s="12" t="str">
        <f aca="false">IF(OR($Q400="",$K400=""),"",$Q400*$K400)</f>
        <v/>
      </c>
      <c r="S400" s="14"/>
      <c r="T400" s="17"/>
      <c r="U400" s="15"/>
    </row>
    <row r="401" customFormat="false" ht="18.75" hidden="false" customHeight="true" outlineLevel="0" collapsed="false">
      <c r="A401" s="5" t="str">
        <f aca="false">IF($B401="","",COUNT($B$5:$B401))</f>
        <v/>
      </c>
      <c r="B401" s="6"/>
      <c r="C401" s="6"/>
      <c r="D401" s="7"/>
      <c r="E401" s="7"/>
      <c r="F401" s="8"/>
      <c r="G401" s="9"/>
      <c r="H401" s="7"/>
      <c r="I401" s="7"/>
      <c r="J401" s="8"/>
      <c r="K401" s="5" t="str">
        <f aca="false">IF($I401="","",1+IF($J401="",0,LEN($J401)-LEN(SUBSTITUTE($J401,",",""))+1))</f>
        <v/>
      </c>
      <c r="L401" s="7"/>
      <c r="M401" s="8"/>
      <c r="N401" s="10"/>
      <c r="O401" s="10"/>
      <c r="P401" s="5" t="str">
        <f aca="false">IF(OR($B401="",$C401=""),"",$C401-$B401+1)</f>
        <v/>
      </c>
      <c r="Q401" s="11"/>
      <c r="R401" s="12" t="str">
        <f aca="false">IF(OR($Q401="",$K401=""),"",$Q401*$K401)</f>
        <v/>
      </c>
      <c r="S401" s="7"/>
      <c r="T401" s="10"/>
      <c r="U401" s="8"/>
    </row>
    <row r="402" customFormat="false" ht="18.75" hidden="false" customHeight="true" outlineLevel="0" collapsed="false">
      <c r="A402" s="5" t="str">
        <f aca="false">IF($B402="","",COUNT($B$5:$B402))</f>
        <v/>
      </c>
      <c r="B402" s="13"/>
      <c r="C402" s="13"/>
      <c r="D402" s="14"/>
      <c r="E402" s="14"/>
      <c r="F402" s="15"/>
      <c r="G402" s="16"/>
      <c r="H402" s="14"/>
      <c r="I402" s="14"/>
      <c r="J402" s="15"/>
      <c r="K402" s="5" t="str">
        <f aca="false">IF($I402="","",1+IF($J402="",0,LEN($J402)-LEN(SUBSTITUTE($J402,",",""))+1))</f>
        <v/>
      </c>
      <c r="L402" s="14"/>
      <c r="M402" s="15"/>
      <c r="N402" s="17"/>
      <c r="O402" s="17"/>
      <c r="P402" s="5" t="str">
        <f aca="false">IF(OR($B402="",$C402=""),"",$C402-$B402+1)</f>
        <v/>
      </c>
      <c r="Q402" s="18"/>
      <c r="R402" s="12" t="str">
        <f aca="false">IF(OR($Q402="",$K402=""),"",$Q402*$K402)</f>
        <v/>
      </c>
      <c r="S402" s="14"/>
      <c r="T402" s="17"/>
      <c r="U402" s="15"/>
    </row>
    <row r="403" customFormat="false" ht="18.75" hidden="false" customHeight="true" outlineLevel="0" collapsed="false">
      <c r="A403" s="5" t="str">
        <f aca="false">IF($B403="","",COUNT($B$5:$B403))</f>
        <v/>
      </c>
      <c r="B403" s="6"/>
      <c r="C403" s="6"/>
      <c r="D403" s="7"/>
      <c r="E403" s="7"/>
      <c r="F403" s="8"/>
      <c r="G403" s="9"/>
      <c r="H403" s="7"/>
      <c r="I403" s="7"/>
      <c r="J403" s="8"/>
      <c r="K403" s="5" t="str">
        <f aca="false">IF($I403="","",1+IF($J403="",0,LEN($J403)-LEN(SUBSTITUTE($J403,",",""))+1))</f>
        <v/>
      </c>
      <c r="L403" s="7"/>
      <c r="M403" s="8"/>
      <c r="N403" s="10"/>
      <c r="O403" s="10"/>
      <c r="P403" s="5" t="str">
        <f aca="false">IF(OR($B403="",$C403=""),"",$C403-$B403+1)</f>
        <v/>
      </c>
      <c r="Q403" s="11"/>
      <c r="R403" s="12" t="str">
        <f aca="false">IF(OR($Q403="",$K403=""),"",$Q403*$K403)</f>
        <v/>
      </c>
      <c r="S403" s="7"/>
      <c r="T403" s="10"/>
      <c r="U403" s="8"/>
    </row>
    <row r="404" customFormat="false" ht="18.75" hidden="false" customHeight="true" outlineLevel="0" collapsed="false">
      <c r="A404" s="5" t="str">
        <f aca="false">IF($B404="","",COUNT($B$5:$B404))</f>
        <v/>
      </c>
      <c r="B404" s="13"/>
      <c r="C404" s="13"/>
      <c r="D404" s="14"/>
      <c r="E404" s="14"/>
      <c r="F404" s="15"/>
      <c r="G404" s="16"/>
      <c r="H404" s="14"/>
      <c r="I404" s="14"/>
      <c r="J404" s="15"/>
      <c r="K404" s="5" t="str">
        <f aca="false">IF($I404="","",1+IF($J404="",0,LEN($J404)-LEN(SUBSTITUTE($J404,",",""))+1))</f>
        <v/>
      </c>
      <c r="L404" s="14"/>
      <c r="M404" s="15"/>
      <c r="N404" s="17"/>
      <c r="O404" s="17"/>
      <c r="P404" s="5" t="str">
        <f aca="false">IF(OR($B404="",$C404=""),"",$C404-$B404+1)</f>
        <v/>
      </c>
      <c r="Q404" s="18"/>
      <c r="R404" s="12" t="str">
        <f aca="false">IF(OR($Q404="",$K404=""),"",$Q404*$K404)</f>
        <v/>
      </c>
      <c r="S404" s="14"/>
      <c r="T404" s="17"/>
      <c r="U404" s="15"/>
    </row>
    <row r="405" customFormat="false" ht="18.75" hidden="false" customHeight="true" outlineLevel="0" collapsed="false">
      <c r="A405" s="5" t="str">
        <f aca="false">IF($B405="","",COUNT($B$5:$B405))</f>
        <v/>
      </c>
      <c r="B405" s="6"/>
      <c r="C405" s="6"/>
      <c r="D405" s="7"/>
      <c r="E405" s="7"/>
      <c r="F405" s="8"/>
      <c r="G405" s="9"/>
      <c r="H405" s="7"/>
      <c r="I405" s="7"/>
      <c r="J405" s="8"/>
      <c r="K405" s="5" t="str">
        <f aca="false">IF($I405="","",1+IF($J405="",0,LEN($J405)-LEN(SUBSTITUTE($J405,",",""))+1))</f>
        <v/>
      </c>
      <c r="L405" s="7"/>
      <c r="M405" s="8"/>
      <c r="N405" s="10"/>
      <c r="O405" s="10"/>
      <c r="P405" s="5" t="str">
        <f aca="false">IF(OR($B405="",$C405=""),"",$C405-$B405+1)</f>
        <v/>
      </c>
      <c r="Q405" s="11"/>
      <c r="R405" s="12" t="str">
        <f aca="false">IF(OR($Q405="",$K405=""),"",$Q405*$K405)</f>
        <v/>
      </c>
      <c r="S405" s="7"/>
      <c r="T405" s="10"/>
      <c r="U405" s="8"/>
    </row>
    <row r="406" customFormat="false" ht="18.75" hidden="false" customHeight="true" outlineLevel="0" collapsed="false">
      <c r="A406" s="5" t="str">
        <f aca="false">IF($B406="","",COUNT($B$5:$B406))</f>
        <v/>
      </c>
      <c r="B406" s="13"/>
      <c r="C406" s="13"/>
      <c r="D406" s="14"/>
      <c r="E406" s="14"/>
      <c r="F406" s="15"/>
      <c r="G406" s="16"/>
      <c r="H406" s="14"/>
      <c r="I406" s="14"/>
      <c r="J406" s="15"/>
      <c r="K406" s="5" t="str">
        <f aca="false">IF($I406="","",1+IF($J406="",0,LEN($J406)-LEN(SUBSTITUTE($J406,",",""))+1))</f>
        <v/>
      </c>
      <c r="L406" s="14"/>
      <c r="M406" s="15"/>
      <c r="N406" s="17"/>
      <c r="O406" s="17"/>
      <c r="P406" s="5" t="str">
        <f aca="false">IF(OR($B406="",$C406=""),"",$C406-$B406+1)</f>
        <v/>
      </c>
      <c r="Q406" s="18"/>
      <c r="R406" s="12" t="str">
        <f aca="false">IF(OR($Q406="",$K406=""),"",$Q406*$K406)</f>
        <v/>
      </c>
      <c r="S406" s="14"/>
      <c r="T406" s="17"/>
      <c r="U406" s="15"/>
    </row>
    <row r="407" customFormat="false" ht="18.75" hidden="false" customHeight="true" outlineLevel="0" collapsed="false">
      <c r="A407" s="5" t="str">
        <f aca="false">IF($B407="","",COUNT($B$5:$B407))</f>
        <v/>
      </c>
      <c r="B407" s="6"/>
      <c r="C407" s="6"/>
      <c r="D407" s="7"/>
      <c r="E407" s="7"/>
      <c r="F407" s="8"/>
      <c r="G407" s="9"/>
      <c r="H407" s="7"/>
      <c r="I407" s="7"/>
      <c r="J407" s="8"/>
      <c r="K407" s="5" t="str">
        <f aca="false">IF($I407="","",1+IF($J407="",0,LEN($J407)-LEN(SUBSTITUTE($J407,",",""))+1))</f>
        <v/>
      </c>
      <c r="L407" s="7"/>
      <c r="M407" s="8"/>
      <c r="N407" s="10"/>
      <c r="O407" s="10"/>
      <c r="P407" s="5" t="str">
        <f aca="false">IF(OR($B407="",$C407=""),"",$C407-$B407+1)</f>
        <v/>
      </c>
      <c r="Q407" s="11"/>
      <c r="R407" s="12" t="str">
        <f aca="false">IF(OR($Q407="",$K407=""),"",$Q407*$K407)</f>
        <v/>
      </c>
      <c r="S407" s="7"/>
      <c r="T407" s="10"/>
      <c r="U407" s="8"/>
    </row>
    <row r="408" customFormat="false" ht="18.75" hidden="false" customHeight="true" outlineLevel="0" collapsed="false">
      <c r="A408" s="5" t="str">
        <f aca="false">IF($B408="","",COUNT($B$5:$B408))</f>
        <v/>
      </c>
      <c r="B408" s="13"/>
      <c r="C408" s="13"/>
      <c r="D408" s="14"/>
      <c r="E408" s="14"/>
      <c r="F408" s="15"/>
      <c r="G408" s="16"/>
      <c r="H408" s="14"/>
      <c r="I408" s="14"/>
      <c r="J408" s="15"/>
      <c r="K408" s="5" t="str">
        <f aca="false">IF($I408="","",1+IF($J408="",0,LEN($J408)-LEN(SUBSTITUTE($J408,",",""))+1))</f>
        <v/>
      </c>
      <c r="L408" s="14"/>
      <c r="M408" s="15"/>
      <c r="N408" s="17"/>
      <c r="O408" s="17"/>
      <c r="P408" s="5" t="str">
        <f aca="false">IF(OR($B408="",$C408=""),"",$C408-$B408+1)</f>
        <v/>
      </c>
      <c r="Q408" s="18"/>
      <c r="R408" s="12" t="str">
        <f aca="false">IF(OR($Q408="",$K408=""),"",$Q408*$K408)</f>
        <v/>
      </c>
      <c r="S408" s="14"/>
      <c r="T408" s="17"/>
      <c r="U408" s="15"/>
    </row>
    <row r="409" customFormat="false" ht="18.75" hidden="false" customHeight="true" outlineLevel="0" collapsed="false">
      <c r="A409" s="5" t="str">
        <f aca="false">IF($B409="","",COUNT($B$5:$B409))</f>
        <v/>
      </c>
      <c r="B409" s="6"/>
      <c r="C409" s="6"/>
      <c r="D409" s="7"/>
      <c r="E409" s="7"/>
      <c r="F409" s="8"/>
      <c r="G409" s="9"/>
      <c r="H409" s="7"/>
      <c r="I409" s="7"/>
      <c r="J409" s="8"/>
      <c r="K409" s="5" t="str">
        <f aca="false">IF($I409="","",1+IF($J409="",0,LEN($J409)-LEN(SUBSTITUTE($J409,",",""))+1))</f>
        <v/>
      </c>
      <c r="L409" s="7"/>
      <c r="M409" s="8"/>
      <c r="N409" s="10"/>
      <c r="O409" s="10"/>
      <c r="P409" s="5" t="str">
        <f aca="false">IF(OR($B409="",$C409=""),"",$C409-$B409+1)</f>
        <v/>
      </c>
      <c r="Q409" s="11"/>
      <c r="R409" s="12" t="str">
        <f aca="false">IF(OR($Q409="",$K409=""),"",$Q409*$K409)</f>
        <v/>
      </c>
      <c r="S409" s="7"/>
      <c r="T409" s="10"/>
      <c r="U409" s="8"/>
    </row>
    <row r="410" customFormat="false" ht="18.75" hidden="false" customHeight="true" outlineLevel="0" collapsed="false">
      <c r="A410" s="5" t="str">
        <f aca="false">IF($B410="","",COUNT($B$5:$B410))</f>
        <v/>
      </c>
      <c r="B410" s="13"/>
      <c r="C410" s="13"/>
      <c r="D410" s="14"/>
      <c r="E410" s="14"/>
      <c r="F410" s="15"/>
      <c r="G410" s="16"/>
      <c r="H410" s="14"/>
      <c r="I410" s="14"/>
      <c r="J410" s="15"/>
      <c r="K410" s="5" t="str">
        <f aca="false">IF($I410="","",1+IF($J410="",0,LEN($J410)-LEN(SUBSTITUTE($J410,",",""))+1))</f>
        <v/>
      </c>
      <c r="L410" s="14"/>
      <c r="M410" s="15"/>
      <c r="N410" s="17"/>
      <c r="O410" s="17"/>
      <c r="P410" s="5" t="str">
        <f aca="false">IF(OR($B410="",$C410=""),"",$C410-$B410+1)</f>
        <v/>
      </c>
      <c r="Q410" s="18"/>
      <c r="R410" s="12" t="str">
        <f aca="false">IF(OR($Q410="",$K410=""),"",$Q410*$K410)</f>
        <v/>
      </c>
      <c r="S410" s="14"/>
      <c r="T410" s="17"/>
      <c r="U410" s="15"/>
    </row>
    <row r="411" customFormat="false" ht="18.75" hidden="false" customHeight="true" outlineLevel="0" collapsed="false">
      <c r="A411" s="5" t="str">
        <f aca="false">IF($B411="","",COUNT($B$5:$B411))</f>
        <v/>
      </c>
      <c r="B411" s="6"/>
      <c r="C411" s="6"/>
      <c r="D411" s="7"/>
      <c r="E411" s="7"/>
      <c r="F411" s="8"/>
      <c r="G411" s="9"/>
      <c r="H411" s="7"/>
      <c r="I411" s="7"/>
      <c r="J411" s="8"/>
      <c r="K411" s="5" t="str">
        <f aca="false">IF($I411="","",1+IF($J411="",0,LEN($J411)-LEN(SUBSTITUTE($J411,",",""))+1))</f>
        <v/>
      </c>
      <c r="L411" s="7"/>
      <c r="M411" s="8"/>
      <c r="N411" s="10"/>
      <c r="O411" s="10"/>
      <c r="P411" s="5" t="str">
        <f aca="false">IF(OR($B411="",$C411=""),"",$C411-$B411+1)</f>
        <v/>
      </c>
      <c r="Q411" s="11"/>
      <c r="R411" s="12" t="str">
        <f aca="false">IF(OR($Q411="",$K411=""),"",$Q411*$K411)</f>
        <v/>
      </c>
      <c r="S411" s="7"/>
      <c r="T411" s="10"/>
      <c r="U411" s="8"/>
    </row>
    <row r="412" customFormat="false" ht="18.75" hidden="false" customHeight="true" outlineLevel="0" collapsed="false">
      <c r="A412" s="5" t="str">
        <f aca="false">IF($B412="","",COUNT($B$5:$B412))</f>
        <v/>
      </c>
      <c r="B412" s="13"/>
      <c r="C412" s="13"/>
      <c r="D412" s="14"/>
      <c r="E412" s="14"/>
      <c r="F412" s="15"/>
      <c r="G412" s="16"/>
      <c r="H412" s="14"/>
      <c r="I412" s="14"/>
      <c r="J412" s="15"/>
      <c r="K412" s="5" t="str">
        <f aca="false">IF($I412="","",1+IF($J412="",0,LEN($J412)-LEN(SUBSTITUTE($J412,",",""))+1))</f>
        <v/>
      </c>
      <c r="L412" s="14"/>
      <c r="M412" s="15"/>
      <c r="N412" s="17"/>
      <c r="O412" s="17"/>
      <c r="P412" s="5" t="str">
        <f aca="false">IF(OR($B412="",$C412=""),"",$C412-$B412+1)</f>
        <v/>
      </c>
      <c r="Q412" s="18"/>
      <c r="R412" s="12" t="str">
        <f aca="false">IF(OR($Q412="",$K412=""),"",$Q412*$K412)</f>
        <v/>
      </c>
      <c r="S412" s="14"/>
      <c r="T412" s="17"/>
      <c r="U412" s="15"/>
    </row>
    <row r="413" customFormat="false" ht="18.75" hidden="false" customHeight="true" outlineLevel="0" collapsed="false">
      <c r="A413" s="5" t="str">
        <f aca="false">IF($B413="","",COUNT($B$5:$B413))</f>
        <v/>
      </c>
      <c r="B413" s="6"/>
      <c r="C413" s="6"/>
      <c r="D413" s="7"/>
      <c r="E413" s="7"/>
      <c r="F413" s="8"/>
      <c r="G413" s="9"/>
      <c r="H413" s="7"/>
      <c r="I413" s="7"/>
      <c r="J413" s="8"/>
      <c r="K413" s="5" t="str">
        <f aca="false">IF($I413="","",1+IF($J413="",0,LEN($J413)-LEN(SUBSTITUTE($J413,",",""))+1))</f>
        <v/>
      </c>
      <c r="L413" s="7"/>
      <c r="M413" s="8"/>
      <c r="N413" s="10"/>
      <c r="O413" s="10"/>
      <c r="P413" s="5" t="str">
        <f aca="false">IF(OR($B413="",$C413=""),"",$C413-$B413+1)</f>
        <v/>
      </c>
      <c r="Q413" s="11"/>
      <c r="R413" s="12" t="str">
        <f aca="false">IF(OR($Q413="",$K413=""),"",$Q413*$K413)</f>
        <v/>
      </c>
      <c r="S413" s="7"/>
      <c r="T413" s="10"/>
      <c r="U413" s="8"/>
    </row>
    <row r="414" customFormat="false" ht="18.75" hidden="false" customHeight="true" outlineLevel="0" collapsed="false">
      <c r="A414" s="5" t="str">
        <f aca="false">IF($B414="","",COUNT($B$5:$B414))</f>
        <v/>
      </c>
      <c r="B414" s="13"/>
      <c r="C414" s="13"/>
      <c r="D414" s="14"/>
      <c r="E414" s="14"/>
      <c r="F414" s="15"/>
      <c r="G414" s="16"/>
      <c r="H414" s="14"/>
      <c r="I414" s="14"/>
      <c r="J414" s="15"/>
      <c r="K414" s="5" t="str">
        <f aca="false">IF($I414="","",1+IF($J414="",0,LEN($J414)-LEN(SUBSTITUTE($J414,",",""))+1))</f>
        <v/>
      </c>
      <c r="L414" s="14"/>
      <c r="M414" s="15"/>
      <c r="N414" s="17"/>
      <c r="O414" s="17"/>
      <c r="P414" s="5" t="str">
        <f aca="false">IF(OR($B414="",$C414=""),"",$C414-$B414+1)</f>
        <v/>
      </c>
      <c r="Q414" s="18"/>
      <c r="R414" s="12" t="str">
        <f aca="false">IF(OR($Q414="",$K414=""),"",$Q414*$K414)</f>
        <v/>
      </c>
      <c r="S414" s="14"/>
      <c r="T414" s="17"/>
      <c r="U414" s="15"/>
    </row>
    <row r="415" customFormat="false" ht="18.75" hidden="false" customHeight="true" outlineLevel="0" collapsed="false">
      <c r="A415" s="5" t="str">
        <f aca="false">IF($B415="","",COUNT($B$5:$B415))</f>
        <v/>
      </c>
      <c r="B415" s="6"/>
      <c r="C415" s="6"/>
      <c r="D415" s="7"/>
      <c r="E415" s="7"/>
      <c r="F415" s="8"/>
      <c r="G415" s="9"/>
      <c r="H415" s="7"/>
      <c r="I415" s="7"/>
      <c r="J415" s="8"/>
      <c r="K415" s="5" t="str">
        <f aca="false">IF($I415="","",1+IF($J415="",0,LEN($J415)-LEN(SUBSTITUTE($J415,",",""))+1))</f>
        <v/>
      </c>
      <c r="L415" s="7"/>
      <c r="M415" s="8"/>
      <c r="N415" s="10"/>
      <c r="O415" s="10"/>
      <c r="P415" s="5" t="str">
        <f aca="false">IF(OR($B415="",$C415=""),"",$C415-$B415+1)</f>
        <v/>
      </c>
      <c r="Q415" s="11"/>
      <c r="R415" s="12" t="str">
        <f aca="false">IF(OR($Q415="",$K415=""),"",$Q415*$K415)</f>
        <v/>
      </c>
      <c r="S415" s="7"/>
      <c r="T415" s="10"/>
      <c r="U415" s="8"/>
    </row>
    <row r="416" customFormat="false" ht="18.75" hidden="false" customHeight="true" outlineLevel="0" collapsed="false">
      <c r="A416" s="5" t="str">
        <f aca="false">IF($B416="","",COUNT($B$5:$B416))</f>
        <v/>
      </c>
      <c r="B416" s="13"/>
      <c r="C416" s="13"/>
      <c r="D416" s="14"/>
      <c r="E416" s="14"/>
      <c r="F416" s="15"/>
      <c r="G416" s="16"/>
      <c r="H416" s="14"/>
      <c r="I416" s="14"/>
      <c r="J416" s="15"/>
      <c r="K416" s="5" t="str">
        <f aca="false">IF($I416="","",1+IF($J416="",0,LEN($J416)-LEN(SUBSTITUTE($J416,",",""))+1))</f>
        <v/>
      </c>
      <c r="L416" s="14"/>
      <c r="M416" s="15"/>
      <c r="N416" s="17"/>
      <c r="O416" s="17"/>
      <c r="P416" s="5" t="str">
        <f aca="false">IF(OR($B416="",$C416=""),"",$C416-$B416+1)</f>
        <v/>
      </c>
      <c r="Q416" s="18"/>
      <c r="R416" s="12" t="str">
        <f aca="false">IF(OR($Q416="",$K416=""),"",$Q416*$K416)</f>
        <v/>
      </c>
      <c r="S416" s="14"/>
      <c r="T416" s="17"/>
      <c r="U416" s="15"/>
    </row>
    <row r="417" customFormat="false" ht="18.75" hidden="false" customHeight="true" outlineLevel="0" collapsed="false">
      <c r="A417" s="5" t="str">
        <f aca="false">IF($B417="","",COUNT($B$5:$B417))</f>
        <v/>
      </c>
      <c r="B417" s="6"/>
      <c r="C417" s="6"/>
      <c r="D417" s="7"/>
      <c r="E417" s="7"/>
      <c r="F417" s="8"/>
      <c r="G417" s="9"/>
      <c r="H417" s="7"/>
      <c r="I417" s="7"/>
      <c r="J417" s="8"/>
      <c r="K417" s="5" t="str">
        <f aca="false">IF($I417="","",1+IF($J417="",0,LEN($J417)-LEN(SUBSTITUTE($J417,",",""))+1))</f>
        <v/>
      </c>
      <c r="L417" s="7"/>
      <c r="M417" s="8"/>
      <c r="N417" s="10"/>
      <c r="O417" s="10"/>
      <c r="P417" s="5" t="str">
        <f aca="false">IF(OR($B417="",$C417=""),"",$C417-$B417+1)</f>
        <v/>
      </c>
      <c r="Q417" s="11"/>
      <c r="R417" s="12" t="str">
        <f aca="false">IF(OR($Q417="",$K417=""),"",$Q417*$K417)</f>
        <v/>
      </c>
      <c r="S417" s="7"/>
      <c r="T417" s="10"/>
      <c r="U417" s="8"/>
    </row>
    <row r="418" customFormat="false" ht="18.75" hidden="false" customHeight="true" outlineLevel="0" collapsed="false">
      <c r="A418" s="5" t="str">
        <f aca="false">IF($B418="","",COUNT($B$5:$B418))</f>
        <v/>
      </c>
      <c r="B418" s="13"/>
      <c r="C418" s="13"/>
      <c r="D418" s="14"/>
      <c r="E418" s="14"/>
      <c r="F418" s="15"/>
      <c r="G418" s="16"/>
      <c r="H418" s="14"/>
      <c r="I418" s="14"/>
      <c r="J418" s="15"/>
      <c r="K418" s="5" t="str">
        <f aca="false">IF($I418="","",1+IF($J418="",0,LEN($J418)-LEN(SUBSTITUTE($J418,",",""))+1))</f>
        <v/>
      </c>
      <c r="L418" s="14"/>
      <c r="M418" s="15"/>
      <c r="N418" s="17"/>
      <c r="O418" s="17"/>
      <c r="P418" s="5" t="str">
        <f aca="false">IF(OR($B418="",$C418=""),"",$C418-$B418+1)</f>
        <v/>
      </c>
      <c r="Q418" s="18"/>
      <c r="R418" s="12" t="str">
        <f aca="false">IF(OR($Q418="",$K418=""),"",$Q418*$K418)</f>
        <v/>
      </c>
      <c r="S418" s="14"/>
      <c r="T418" s="17"/>
      <c r="U418" s="15"/>
    </row>
    <row r="419" customFormat="false" ht="18.75" hidden="false" customHeight="true" outlineLevel="0" collapsed="false">
      <c r="A419" s="5" t="str">
        <f aca="false">IF($B419="","",COUNT($B$5:$B419))</f>
        <v/>
      </c>
      <c r="B419" s="6"/>
      <c r="C419" s="6"/>
      <c r="D419" s="7"/>
      <c r="E419" s="7"/>
      <c r="F419" s="8"/>
      <c r="G419" s="9"/>
      <c r="H419" s="7"/>
      <c r="I419" s="7"/>
      <c r="J419" s="8"/>
      <c r="K419" s="5" t="str">
        <f aca="false">IF($I419="","",1+IF($J419="",0,LEN($J419)-LEN(SUBSTITUTE($J419,",",""))+1))</f>
        <v/>
      </c>
      <c r="L419" s="7"/>
      <c r="M419" s="8"/>
      <c r="N419" s="10"/>
      <c r="O419" s="10"/>
      <c r="P419" s="5" t="str">
        <f aca="false">IF(OR($B419="",$C419=""),"",$C419-$B419+1)</f>
        <v/>
      </c>
      <c r="Q419" s="11"/>
      <c r="R419" s="12" t="str">
        <f aca="false">IF(OR($Q419="",$K419=""),"",$Q419*$K419)</f>
        <v/>
      </c>
      <c r="S419" s="7"/>
      <c r="T419" s="10"/>
      <c r="U419" s="8"/>
    </row>
    <row r="420" customFormat="false" ht="18.75" hidden="false" customHeight="true" outlineLevel="0" collapsed="false">
      <c r="A420" s="5" t="str">
        <f aca="false">IF($B420="","",COUNT($B$5:$B420))</f>
        <v/>
      </c>
      <c r="B420" s="13"/>
      <c r="C420" s="13"/>
      <c r="D420" s="14"/>
      <c r="E420" s="14"/>
      <c r="F420" s="15"/>
      <c r="G420" s="16"/>
      <c r="H420" s="14"/>
      <c r="I420" s="14"/>
      <c r="J420" s="15"/>
      <c r="K420" s="5" t="str">
        <f aca="false">IF($I420="","",1+IF($J420="",0,LEN($J420)-LEN(SUBSTITUTE($J420,",",""))+1))</f>
        <v/>
      </c>
      <c r="L420" s="14"/>
      <c r="M420" s="15"/>
      <c r="N420" s="17"/>
      <c r="O420" s="17"/>
      <c r="P420" s="5" t="str">
        <f aca="false">IF(OR($B420="",$C420=""),"",$C420-$B420+1)</f>
        <v/>
      </c>
      <c r="Q420" s="18"/>
      <c r="R420" s="12" t="str">
        <f aca="false">IF(OR($Q420="",$K420=""),"",$Q420*$K420)</f>
        <v/>
      </c>
      <c r="S420" s="14"/>
      <c r="T420" s="17"/>
      <c r="U420" s="15"/>
    </row>
    <row r="421" customFormat="false" ht="18.75" hidden="false" customHeight="true" outlineLevel="0" collapsed="false">
      <c r="A421" s="5" t="str">
        <f aca="false">IF($B421="","",COUNT($B$5:$B421))</f>
        <v/>
      </c>
      <c r="B421" s="6"/>
      <c r="C421" s="6"/>
      <c r="D421" s="7"/>
      <c r="E421" s="7"/>
      <c r="F421" s="8"/>
      <c r="G421" s="9"/>
      <c r="H421" s="7"/>
      <c r="I421" s="7"/>
      <c r="J421" s="8"/>
      <c r="K421" s="5" t="str">
        <f aca="false">IF($I421="","",1+IF($J421="",0,LEN($J421)-LEN(SUBSTITUTE($J421,",",""))+1))</f>
        <v/>
      </c>
      <c r="L421" s="7"/>
      <c r="M421" s="8"/>
      <c r="N421" s="10"/>
      <c r="O421" s="10"/>
      <c r="P421" s="5" t="str">
        <f aca="false">IF(OR($B421="",$C421=""),"",$C421-$B421+1)</f>
        <v/>
      </c>
      <c r="Q421" s="11"/>
      <c r="R421" s="12" t="str">
        <f aca="false">IF(OR($Q421="",$K421=""),"",$Q421*$K421)</f>
        <v/>
      </c>
      <c r="S421" s="7"/>
      <c r="T421" s="10"/>
      <c r="U421" s="8"/>
    </row>
    <row r="422" customFormat="false" ht="18.75" hidden="false" customHeight="true" outlineLevel="0" collapsed="false">
      <c r="A422" s="5" t="str">
        <f aca="false">IF($B422="","",COUNT($B$5:$B422))</f>
        <v/>
      </c>
      <c r="B422" s="13"/>
      <c r="C422" s="13"/>
      <c r="D422" s="14"/>
      <c r="E422" s="14"/>
      <c r="F422" s="15"/>
      <c r="G422" s="16"/>
      <c r="H422" s="14"/>
      <c r="I422" s="14"/>
      <c r="J422" s="15"/>
      <c r="K422" s="5" t="str">
        <f aca="false">IF($I422="","",1+IF($J422="",0,LEN($J422)-LEN(SUBSTITUTE($J422,",",""))+1))</f>
        <v/>
      </c>
      <c r="L422" s="14"/>
      <c r="M422" s="15"/>
      <c r="N422" s="17"/>
      <c r="O422" s="17"/>
      <c r="P422" s="5" t="str">
        <f aca="false">IF(OR($B422="",$C422=""),"",$C422-$B422+1)</f>
        <v/>
      </c>
      <c r="Q422" s="18"/>
      <c r="R422" s="12" t="str">
        <f aca="false">IF(OR($Q422="",$K422=""),"",$Q422*$K422)</f>
        <v/>
      </c>
      <c r="S422" s="14"/>
      <c r="T422" s="17"/>
      <c r="U422" s="15"/>
    </row>
    <row r="423" customFormat="false" ht="18.75" hidden="false" customHeight="true" outlineLevel="0" collapsed="false">
      <c r="A423" s="5" t="str">
        <f aca="false">IF($B423="","",COUNT($B$5:$B423))</f>
        <v/>
      </c>
      <c r="B423" s="6"/>
      <c r="C423" s="6"/>
      <c r="D423" s="7"/>
      <c r="E423" s="7"/>
      <c r="F423" s="8"/>
      <c r="G423" s="9"/>
      <c r="H423" s="7"/>
      <c r="I423" s="7"/>
      <c r="J423" s="8"/>
      <c r="K423" s="5" t="str">
        <f aca="false">IF($I423="","",1+IF($J423="",0,LEN($J423)-LEN(SUBSTITUTE($J423,",",""))+1))</f>
        <v/>
      </c>
      <c r="L423" s="7"/>
      <c r="M423" s="8"/>
      <c r="N423" s="10"/>
      <c r="O423" s="10"/>
      <c r="P423" s="5" t="str">
        <f aca="false">IF(OR($B423="",$C423=""),"",$C423-$B423+1)</f>
        <v/>
      </c>
      <c r="Q423" s="11"/>
      <c r="R423" s="12" t="str">
        <f aca="false">IF(OR($Q423="",$K423=""),"",$Q423*$K423)</f>
        <v/>
      </c>
      <c r="S423" s="7"/>
      <c r="T423" s="10"/>
      <c r="U423" s="8"/>
    </row>
    <row r="424" customFormat="false" ht="18.75" hidden="false" customHeight="true" outlineLevel="0" collapsed="false">
      <c r="A424" s="5" t="str">
        <f aca="false">IF($B424="","",COUNT($B$5:$B424))</f>
        <v/>
      </c>
      <c r="B424" s="13"/>
      <c r="C424" s="13"/>
      <c r="D424" s="14"/>
      <c r="E424" s="14"/>
      <c r="F424" s="15"/>
      <c r="G424" s="16"/>
      <c r="H424" s="14"/>
      <c r="I424" s="14"/>
      <c r="J424" s="15"/>
      <c r="K424" s="5" t="str">
        <f aca="false">IF($I424="","",1+IF($J424="",0,LEN($J424)-LEN(SUBSTITUTE($J424,",",""))+1))</f>
        <v/>
      </c>
      <c r="L424" s="14"/>
      <c r="M424" s="15"/>
      <c r="N424" s="17"/>
      <c r="O424" s="17"/>
      <c r="P424" s="5" t="str">
        <f aca="false">IF(OR($B424="",$C424=""),"",$C424-$B424+1)</f>
        <v/>
      </c>
      <c r="Q424" s="18"/>
      <c r="R424" s="12" t="str">
        <f aca="false">IF(OR($Q424="",$K424=""),"",$Q424*$K424)</f>
        <v/>
      </c>
      <c r="S424" s="14"/>
      <c r="T424" s="17"/>
      <c r="U424" s="15"/>
    </row>
    <row r="425" customFormat="false" ht="18.75" hidden="false" customHeight="true" outlineLevel="0" collapsed="false">
      <c r="A425" s="5" t="str">
        <f aca="false">IF($B425="","",COUNT($B$5:$B425))</f>
        <v/>
      </c>
      <c r="B425" s="6"/>
      <c r="C425" s="6"/>
      <c r="D425" s="7"/>
      <c r="E425" s="7"/>
      <c r="F425" s="8"/>
      <c r="G425" s="9"/>
      <c r="H425" s="7"/>
      <c r="I425" s="7"/>
      <c r="J425" s="8"/>
      <c r="K425" s="5" t="str">
        <f aca="false">IF($I425="","",1+IF($J425="",0,LEN($J425)-LEN(SUBSTITUTE($J425,",",""))+1))</f>
        <v/>
      </c>
      <c r="L425" s="7"/>
      <c r="M425" s="8"/>
      <c r="N425" s="10"/>
      <c r="O425" s="10"/>
      <c r="P425" s="5" t="str">
        <f aca="false">IF(OR($B425="",$C425=""),"",$C425-$B425+1)</f>
        <v/>
      </c>
      <c r="Q425" s="11"/>
      <c r="R425" s="12" t="str">
        <f aca="false">IF(OR($Q425="",$K425=""),"",$Q425*$K425)</f>
        <v/>
      </c>
      <c r="S425" s="7"/>
      <c r="T425" s="10"/>
      <c r="U425" s="8"/>
    </row>
    <row r="426" customFormat="false" ht="18.75" hidden="false" customHeight="true" outlineLevel="0" collapsed="false">
      <c r="A426" s="5" t="str">
        <f aca="false">IF($B426="","",COUNT($B$5:$B426))</f>
        <v/>
      </c>
      <c r="B426" s="13"/>
      <c r="C426" s="13"/>
      <c r="D426" s="14"/>
      <c r="E426" s="14"/>
      <c r="F426" s="15"/>
      <c r="G426" s="16"/>
      <c r="H426" s="14"/>
      <c r="I426" s="14"/>
      <c r="J426" s="15"/>
      <c r="K426" s="5" t="str">
        <f aca="false">IF($I426="","",1+IF($J426="",0,LEN($J426)-LEN(SUBSTITUTE($J426,",",""))+1))</f>
        <v/>
      </c>
      <c r="L426" s="14"/>
      <c r="M426" s="15"/>
      <c r="N426" s="17"/>
      <c r="O426" s="17"/>
      <c r="P426" s="5" t="str">
        <f aca="false">IF(OR($B426="",$C426=""),"",$C426-$B426+1)</f>
        <v/>
      </c>
      <c r="Q426" s="18"/>
      <c r="R426" s="12" t="str">
        <f aca="false">IF(OR($Q426="",$K426=""),"",$Q426*$K426)</f>
        <v/>
      </c>
      <c r="S426" s="14"/>
      <c r="T426" s="17"/>
      <c r="U426" s="15"/>
    </row>
    <row r="427" customFormat="false" ht="18.75" hidden="false" customHeight="true" outlineLevel="0" collapsed="false">
      <c r="A427" s="5" t="str">
        <f aca="false">IF($B427="","",COUNT($B$5:$B427))</f>
        <v/>
      </c>
      <c r="B427" s="6"/>
      <c r="C427" s="6"/>
      <c r="D427" s="7"/>
      <c r="E427" s="7"/>
      <c r="F427" s="8"/>
      <c r="G427" s="9"/>
      <c r="H427" s="7"/>
      <c r="I427" s="7"/>
      <c r="J427" s="8"/>
      <c r="K427" s="5" t="str">
        <f aca="false">IF($I427="","",1+IF($J427="",0,LEN($J427)-LEN(SUBSTITUTE($J427,",",""))+1))</f>
        <v/>
      </c>
      <c r="L427" s="7"/>
      <c r="M427" s="8"/>
      <c r="N427" s="10"/>
      <c r="O427" s="10"/>
      <c r="P427" s="5" t="str">
        <f aca="false">IF(OR($B427="",$C427=""),"",$C427-$B427+1)</f>
        <v/>
      </c>
      <c r="Q427" s="11"/>
      <c r="R427" s="12" t="str">
        <f aca="false">IF(OR($Q427="",$K427=""),"",$Q427*$K427)</f>
        <v/>
      </c>
      <c r="S427" s="7"/>
      <c r="T427" s="10"/>
      <c r="U427" s="8"/>
    </row>
    <row r="428" customFormat="false" ht="18.75" hidden="false" customHeight="true" outlineLevel="0" collapsed="false">
      <c r="A428" s="5" t="str">
        <f aca="false">IF($B428="","",COUNT($B$5:$B428))</f>
        <v/>
      </c>
      <c r="B428" s="13"/>
      <c r="C428" s="13"/>
      <c r="D428" s="14"/>
      <c r="E428" s="14"/>
      <c r="F428" s="15"/>
      <c r="G428" s="16"/>
      <c r="H428" s="14"/>
      <c r="I428" s="14"/>
      <c r="J428" s="15"/>
      <c r="K428" s="5" t="str">
        <f aca="false">IF($I428="","",1+IF($J428="",0,LEN($J428)-LEN(SUBSTITUTE($J428,",",""))+1))</f>
        <v/>
      </c>
      <c r="L428" s="14"/>
      <c r="M428" s="15"/>
      <c r="N428" s="17"/>
      <c r="O428" s="17"/>
      <c r="P428" s="5" t="str">
        <f aca="false">IF(OR($B428="",$C428=""),"",$C428-$B428+1)</f>
        <v/>
      </c>
      <c r="Q428" s="18"/>
      <c r="R428" s="12" t="str">
        <f aca="false">IF(OR($Q428="",$K428=""),"",$Q428*$K428)</f>
        <v/>
      </c>
      <c r="S428" s="14"/>
      <c r="T428" s="17"/>
      <c r="U428" s="15"/>
    </row>
    <row r="429" customFormat="false" ht="18.75" hidden="false" customHeight="true" outlineLevel="0" collapsed="false">
      <c r="A429" s="5" t="str">
        <f aca="false">IF($B429="","",COUNT($B$5:$B429))</f>
        <v/>
      </c>
      <c r="B429" s="6"/>
      <c r="C429" s="6"/>
      <c r="D429" s="7"/>
      <c r="E429" s="7"/>
      <c r="F429" s="8"/>
      <c r="G429" s="9"/>
      <c r="H429" s="7"/>
      <c r="I429" s="7"/>
      <c r="J429" s="8"/>
      <c r="K429" s="5" t="str">
        <f aca="false">IF($I429="","",1+IF($J429="",0,LEN($J429)-LEN(SUBSTITUTE($J429,",",""))+1))</f>
        <v/>
      </c>
      <c r="L429" s="7"/>
      <c r="M429" s="8"/>
      <c r="N429" s="10"/>
      <c r="O429" s="10"/>
      <c r="P429" s="5" t="str">
        <f aca="false">IF(OR($B429="",$C429=""),"",$C429-$B429+1)</f>
        <v/>
      </c>
      <c r="Q429" s="11"/>
      <c r="R429" s="12" t="str">
        <f aca="false">IF(OR($Q429="",$K429=""),"",$Q429*$K429)</f>
        <v/>
      </c>
      <c r="S429" s="7"/>
      <c r="T429" s="10"/>
      <c r="U429" s="8"/>
    </row>
    <row r="430" customFormat="false" ht="18.75" hidden="false" customHeight="true" outlineLevel="0" collapsed="false">
      <c r="A430" s="5" t="str">
        <f aca="false">IF($B430="","",COUNT($B$5:$B430))</f>
        <v/>
      </c>
      <c r="B430" s="13"/>
      <c r="C430" s="13"/>
      <c r="D430" s="14"/>
      <c r="E430" s="14"/>
      <c r="F430" s="15"/>
      <c r="G430" s="16"/>
      <c r="H430" s="14"/>
      <c r="I430" s="14"/>
      <c r="J430" s="15"/>
      <c r="K430" s="5" t="str">
        <f aca="false">IF($I430="","",1+IF($J430="",0,LEN($J430)-LEN(SUBSTITUTE($J430,",",""))+1))</f>
        <v/>
      </c>
      <c r="L430" s="14"/>
      <c r="M430" s="15"/>
      <c r="N430" s="17"/>
      <c r="O430" s="17"/>
      <c r="P430" s="5" t="str">
        <f aca="false">IF(OR($B430="",$C430=""),"",$C430-$B430+1)</f>
        <v/>
      </c>
      <c r="Q430" s="18"/>
      <c r="R430" s="12" t="str">
        <f aca="false">IF(OR($Q430="",$K430=""),"",$Q430*$K430)</f>
        <v/>
      </c>
      <c r="S430" s="14"/>
      <c r="T430" s="17"/>
      <c r="U430" s="15"/>
    </row>
    <row r="431" customFormat="false" ht="18.75" hidden="false" customHeight="true" outlineLevel="0" collapsed="false">
      <c r="A431" s="5" t="str">
        <f aca="false">IF($B431="","",COUNT($B$5:$B431))</f>
        <v/>
      </c>
      <c r="B431" s="6"/>
      <c r="C431" s="6"/>
      <c r="D431" s="7"/>
      <c r="E431" s="7"/>
      <c r="F431" s="8"/>
      <c r="G431" s="9"/>
      <c r="H431" s="7"/>
      <c r="I431" s="7"/>
      <c r="J431" s="8"/>
      <c r="K431" s="5" t="str">
        <f aca="false">IF($I431="","",1+IF($J431="",0,LEN($J431)-LEN(SUBSTITUTE($J431,",",""))+1))</f>
        <v/>
      </c>
      <c r="L431" s="7"/>
      <c r="M431" s="8"/>
      <c r="N431" s="10"/>
      <c r="O431" s="10"/>
      <c r="P431" s="5" t="str">
        <f aca="false">IF(OR($B431="",$C431=""),"",$C431-$B431+1)</f>
        <v/>
      </c>
      <c r="Q431" s="11"/>
      <c r="R431" s="12" t="str">
        <f aca="false">IF(OR($Q431="",$K431=""),"",$Q431*$K431)</f>
        <v/>
      </c>
      <c r="S431" s="7"/>
      <c r="T431" s="10"/>
      <c r="U431" s="8"/>
    </row>
    <row r="432" customFormat="false" ht="18.75" hidden="false" customHeight="true" outlineLevel="0" collapsed="false">
      <c r="A432" s="5" t="str">
        <f aca="false">IF($B432="","",COUNT($B$5:$B432))</f>
        <v/>
      </c>
      <c r="B432" s="13"/>
      <c r="C432" s="13"/>
      <c r="D432" s="14"/>
      <c r="E432" s="14"/>
      <c r="F432" s="15"/>
      <c r="G432" s="16"/>
      <c r="H432" s="14"/>
      <c r="I432" s="14"/>
      <c r="J432" s="15"/>
      <c r="K432" s="5" t="str">
        <f aca="false">IF($I432="","",1+IF($J432="",0,LEN($J432)-LEN(SUBSTITUTE($J432,",",""))+1))</f>
        <v/>
      </c>
      <c r="L432" s="14"/>
      <c r="M432" s="15"/>
      <c r="N432" s="17"/>
      <c r="O432" s="17"/>
      <c r="P432" s="5" t="str">
        <f aca="false">IF(OR($B432="",$C432=""),"",$C432-$B432+1)</f>
        <v/>
      </c>
      <c r="Q432" s="18"/>
      <c r="R432" s="12" t="str">
        <f aca="false">IF(OR($Q432="",$K432=""),"",$Q432*$K432)</f>
        <v/>
      </c>
      <c r="S432" s="14"/>
      <c r="T432" s="17"/>
      <c r="U432" s="15"/>
    </row>
    <row r="433" customFormat="false" ht="18.75" hidden="false" customHeight="true" outlineLevel="0" collapsed="false">
      <c r="A433" s="5" t="str">
        <f aca="false">IF($B433="","",COUNT($B$5:$B433))</f>
        <v/>
      </c>
      <c r="B433" s="6"/>
      <c r="C433" s="6"/>
      <c r="D433" s="7"/>
      <c r="E433" s="7"/>
      <c r="F433" s="8"/>
      <c r="G433" s="9"/>
      <c r="H433" s="7"/>
      <c r="I433" s="7"/>
      <c r="J433" s="8"/>
      <c r="K433" s="5" t="str">
        <f aca="false">IF($I433="","",1+IF($J433="",0,LEN($J433)-LEN(SUBSTITUTE($J433,",",""))+1))</f>
        <v/>
      </c>
      <c r="L433" s="7"/>
      <c r="M433" s="8"/>
      <c r="N433" s="10"/>
      <c r="O433" s="10"/>
      <c r="P433" s="5" t="str">
        <f aca="false">IF(OR($B433="",$C433=""),"",$C433-$B433+1)</f>
        <v/>
      </c>
      <c r="Q433" s="11"/>
      <c r="R433" s="12" t="str">
        <f aca="false">IF(OR($Q433="",$K433=""),"",$Q433*$K433)</f>
        <v/>
      </c>
      <c r="S433" s="7"/>
      <c r="T433" s="10"/>
      <c r="U433" s="8"/>
    </row>
    <row r="434" customFormat="false" ht="18.75" hidden="false" customHeight="true" outlineLevel="0" collapsed="false">
      <c r="A434" s="5" t="str">
        <f aca="false">IF($B434="","",COUNT($B$5:$B434))</f>
        <v/>
      </c>
      <c r="B434" s="13"/>
      <c r="C434" s="13"/>
      <c r="D434" s="14"/>
      <c r="E434" s="14"/>
      <c r="F434" s="15"/>
      <c r="G434" s="16"/>
      <c r="H434" s="14"/>
      <c r="I434" s="14"/>
      <c r="J434" s="15"/>
      <c r="K434" s="5" t="str">
        <f aca="false">IF($I434="","",1+IF($J434="",0,LEN($J434)-LEN(SUBSTITUTE($J434,",",""))+1))</f>
        <v/>
      </c>
      <c r="L434" s="14"/>
      <c r="M434" s="15"/>
      <c r="N434" s="17"/>
      <c r="O434" s="17"/>
      <c r="P434" s="5" t="str">
        <f aca="false">IF(OR($B434="",$C434=""),"",$C434-$B434+1)</f>
        <v/>
      </c>
      <c r="Q434" s="18"/>
      <c r="R434" s="12" t="str">
        <f aca="false">IF(OR($Q434="",$K434=""),"",$Q434*$K434)</f>
        <v/>
      </c>
      <c r="S434" s="14"/>
      <c r="T434" s="17"/>
      <c r="U434" s="15"/>
    </row>
    <row r="435" customFormat="false" ht="18.75" hidden="false" customHeight="true" outlineLevel="0" collapsed="false">
      <c r="A435" s="5" t="str">
        <f aca="false">IF($B435="","",COUNT($B$5:$B435))</f>
        <v/>
      </c>
      <c r="B435" s="6"/>
      <c r="C435" s="6"/>
      <c r="D435" s="7"/>
      <c r="E435" s="7"/>
      <c r="F435" s="8"/>
      <c r="G435" s="9"/>
      <c r="H435" s="7"/>
      <c r="I435" s="7"/>
      <c r="J435" s="8"/>
      <c r="K435" s="5" t="str">
        <f aca="false">IF($I435="","",1+IF($J435="",0,LEN($J435)-LEN(SUBSTITUTE($J435,",",""))+1))</f>
        <v/>
      </c>
      <c r="L435" s="7"/>
      <c r="M435" s="8"/>
      <c r="N435" s="10"/>
      <c r="O435" s="10"/>
      <c r="P435" s="5" t="str">
        <f aca="false">IF(OR($B435="",$C435=""),"",$C435-$B435+1)</f>
        <v/>
      </c>
      <c r="Q435" s="11"/>
      <c r="R435" s="12" t="str">
        <f aca="false">IF(OR($Q435="",$K435=""),"",$Q435*$K435)</f>
        <v/>
      </c>
      <c r="S435" s="7"/>
      <c r="T435" s="10"/>
      <c r="U435" s="8"/>
    </row>
    <row r="436" customFormat="false" ht="18.75" hidden="false" customHeight="true" outlineLevel="0" collapsed="false">
      <c r="A436" s="5" t="str">
        <f aca="false">IF($B436="","",COUNT($B$5:$B436))</f>
        <v/>
      </c>
      <c r="B436" s="13"/>
      <c r="C436" s="13"/>
      <c r="D436" s="14"/>
      <c r="E436" s="14"/>
      <c r="F436" s="15"/>
      <c r="G436" s="16"/>
      <c r="H436" s="14"/>
      <c r="I436" s="14"/>
      <c r="J436" s="15"/>
      <c r="K436" s="5" t="str">
        <f aca="false">IF($I436="","",1+IF($J436="",0,LEN($J436)-LEN(SUBSTITUTE($J436,",",""))+1))</f>
        <v/>
      </c>
      <c r="L436" s="14"/>
      <c r="M436" s="15"/>
      <c r="N436" s="17"/>
      <c r="O436" s="17"/>
      <c r="P436" s="5" t="str">
        <f aca="false">IF(OR($B436="",$C436=""),"",$C436-$B436+1)</f>
        <v/>
      </c>
      <c r="Q436" s="18"/>
      <c r="R436" s="12" t="str">
        <f aca="false">IF(OR($Q436="",$K436=""),"",$Q436*$K436)</f>
        <v/>
      </c>
      <c r="S436" s="14"/>
      <c r="T436" s="17"/>
      <c r="U436" s="15"/>
    </row>
    <row r="437" customFormat="false" ht="18.75" hidden="false" customHeight="true" outlineLevel="0" collapsed="false">
      <c r="A437" s="5" t="str">
        <f aca="false">IF($B437="","",COUNT($B$5:$B437))</f>
        <v/>
      </c>
      <c r="B437" s="6"/>
      <c r="C437" s="6"/>
      <c r="D437" s="7"/>
      <c r="E437" s="7"/>
      <c r="F437" s="8"/>
      <c r="G437" s="9"/>
      <c r="H437" s="7"/>
      <c r="I437" s="7"/>
      <c r="J437" s="8"/>
      <c r="K437" s="5" t="str">
        <f aca="false">IF($I437="","",1+IF($J437="",0,LEN($J437)-LEN(SUBSTITUTE($J437,",",""))+1))</f>
        <v/>
      </c>
      <c r="L437" s="7"/>
      <c r="M437" s="8"/>
      <c r="N437" s="10"/>
      <c r="O437" s="10"/>
      <c r="P437" s="5" t="str">
        <f aca="false">IF(OR($B437="",$C437=""),"",$C437-$B437+1)</f>
        <v/>
      </c>
      <c r="Q437" s="11"/>
      <c r="R437" s="12" t="str">
        <f aca="false">IF(OR($Q437="",$K437=""),"",$Q437*$K437)</f>
        <v/>
      </c>
      <c r="S437" s="7"/>
      <c r="T437" s="10"/>
      <c r="U437" s="8"/>
    </row>
    <row r="438" customFormat="false" ht="18.75" hidden="false" customHeight="true" outlineLevel="0" collapsed="false">
      <c r="A438" s="5" t="str">
        <f aca="false">IF($B438="","",COUNT($B$5:$B438))</f>
        <v/>
      </c>
      <c r="B438" s="13"/>
      <c r="C438" s="13"/>
      <c r="D438" s="14"/>
      <c r="E438" s="14"/>
      <c r="F438" s="15"/>
      <c r="G438" s="16"/>
      <c r="H438" s="14"/>
      <c r="I438" s="14"/>
      <c r="J438" s="15"/>
      <c r="K438" s="5" t="str">
        <f aca="false">IF($I438="","",1+IF($J438="",0,LEN($J438)-LEN(SUBSTITUTE($J438,",",""))+1))</f>
        <v/>
      </c>
      <c r="L438" s="14"/>
      <c r="M438" s="15"/>
      <c r="N438" s="17"/>
      <c r="O438" s="17"/>
      <c r="P438" s="5" t="str">
        <f aca="false">IF(OR($B438="",$C438=""),"",$C438-$B438+1)</f>
        <v/>
      </c>
      <c r="Q438" s="18"/>
      <c r="R438" s="12" t="str">
        <f aca="false">IF(OR($Q438="",$K438=""),"",$Q438*$K438)</f>
        <v/>
      </c>
      <c r="S438" s="14"/>
      <c r="T438" s="17"/>
      <c r="U438" s="15"/>
    </row>
    <row r="439" customFormat="false" ht="18.75" hidden="false" customHeight="true" outlineLevel="0" collapsed="false">
      <c r="A439" s="5" t="str">
        <f aca="false">IF($B439="","",COUNT($B$5:$B439))</f>
        <v/>
      </c>
      <c r="B439" s="6"/>
      <c r="C439" s="6"/>
      <c r="D439" s="7"/>
      <c r="E439" s="7"/>
      <c r="F439" s="8"/>
      <c r="G439" s="9"/>
      <c r="H439" s="7"/>
      <c r="I439" s="7"/>
      <c r="J439" s="8"/>
      <c r="K439" s="5" t="str">
        <f aca="false">IF($I439="","",1+IF($J439="",0,LEN($J439)-LEN(SUBSTITUTE($J439,",",""))+1))</f>
        <v/>
      </c>
      <c r="L439" s="7"/>
      <c r="M439" s="8"/>
      <c r="N439" s="10"/>
      <c r="O439" s="10"/>
      <c r="P439" s="5" t="str">
        <f aca="false">IF(OR($B439="",$C439=""),"",$C439-$B439+1)</f>
        <v/>
      </c>
      <c r="Q439" s="11"/>
      <c r="R439" s="12" t="str">
        <f aca="false">IF(OR($Q439="",$K439=""),"",$Q439*$K439)</f>
        <v/>
      </c>
      <c r="S439" s="7"/>
      <c r="T439" s="10"/>
      <c r="U439" s="8"/>
    </row>
    <row r="440" customFormat="false" ht="18.75" hidden="false" customHeight="true" outlineLevel="0" collapsed="false">
      <c r="A440" s="5" t="str">
        <f aca="false">IF($B440="","",COUNT($B$5:$B440))</f>
        <v/>
      </c>
      <c r="B440" s="13"/>
      <c r="C440" s="13"/>
      <c r="D440" s="14"/>
      <c r="E440" s="14"/>
      <c r="F440" s="15"/>
      <c r="G440" s="16"/>
      <c r="H440" s="14"/>
      <c r="I440" s="14"/>
      <c r="J440" s="15"/>
      <c r="K440" s="5" t="str">
        <f aca="false">IF($I440="","",1+IF($J440="",0,LEN($J440)-LEN(SUBSTITUTE($J440,",",""))+1))</f>
        <v/>
      </c>
      <c r="L440" s="14"/>
      <c r="M440" s="15"/>
      <c r="N440" s="17"/>
      <c r="O440" s="17"/>
      <c r="P440" s="5" t="str">
        <f aca="false">IF(OR($B440="",$C440=""),"",$C440-$B440+1)</f>
        <v/>
      </c>
      <c r="Q440" s="18"/>
      <c r="R440" s="12" t="str">
        <f aca="false">IF(OR($Q440="",$K440=""),"",$Q440*$K440)</f>
        <v/>
      </c>
      <c r="S440" s="14"/>
      <c r="T440" s="17"/>
      <c r="U440" s="15"/>
    </row>
    <row r="441" customFormat="false" ht="18.75" hidden="false" customHeight="true" outlineLevel="0" collapsed="false">
      <c r="A441" s="5" t="str">
        <f aca="false">IF($B441="","",COUNT($B$5:$B441))</f>
        <v/>
      </c>
      <c r="B441" s="6"/>
      <c r="C441" s="6"/>
      <c r="D441" s="7"/>
      <c r="E441" s="7"/>
      <c r="F441" s="8"/>
      <c r="G441" s="9"/>
      <c r="H441" s="7"/>
      <c r="I441" s="7"/>
      <c r="J441" s="8"/>
      <c r="K441" s="5" t="str">
        <f aca="false">IF($I441="","",1+IF($J441="",0,LEN($J441)-LEN(SUBSTITUTE($J441,",",""))+1))</f>
        <v/>
      </c>
      <c r="L441" s="7"/>
      <c r="M441" s="8"/>
      <c r="N441" s="10"/>
      <c r="O441" s="10"/>
      <c r="P441" s="5" t="str">
        <f aca="false">IF(OR($B441="",$C441=""),"",$C441-$B441+1)</f>
        <v/>
      </c>
      <c r="Q441" s="11"/>
      <c r="R441" s="12" t="str">
        <f aca="false">IF(OR($Q441="",$K441=""),"",$Q441*$K441)</f>
        <v/>
      </c>
      <c r="S441" s="7"/>
      <c r="T441" s="10"/>
      <c r="U441" s="8"/>
    </row>
    <row r="442" customFormat="false" ht="18.75" hidden="false" customHeight="true" outlineLevel="0" collapsed="false">
      <c r="A442" s="5" t="str">
        <f aca="false">IF($B442="","",COUNT($B$5:$B442))</f>
        <v/>
      </c>
      <c r="B442" s="13"/>
      <c r="C442" s="13"/>
      <c r="D442" s="14"/>
      <c r="E442" s="14"/>
      <c r="F442" s="15"/>
      <c r="G442" s="16"/>
      <c r="H442" s="14"/>
      <c r="I442" s="14"/>
      <c r="J442" s="15"/>
      <c r="K442" s="5" t="str">
        <f aca="false">IF($I442="","",1+IF($J442="",0,LEN($J442)-LEN(SUBSTITUTE($J442,",",""))+1))</f>
        <v/>
      </c>
      <c r="L442" s="14"/>
      <c r="M442" s="15"/>
      <c r="N442" s="17"/>
      <c r="O442" s="17"/>
      <c r="P442" s="5" t="str">
        <f aca="false">IF(OR($B442="",$C442=""),"",$C442-$B442+1)</f>
        <v/>
      </c>
      <c r="Q442" s="18"/>
      <c r="R442" s="12" t="str">
        <f aca="false">IF(OR($Q442="",$K442=""),"",$Q442*$K442)</f>
        <v/>
      </c>
      <c r="S442" s="14"/>
      <c r="T442" s="17"/>
      <c r="U442" s="15"/>
    </row>
    <row r="443" customFormat="false" ht="18.75" hidden="false" customHeight="true" outlineLevel="0" collapsed="false">
      <c r="A443" s="5" t="str">
        <f aca="false">IF($B443="","",COUNT($B$5:$B443))</f>
        <v/>
      </c>
      <c r="B443" s="6"/>
      <c r="C443" s="6"/>
      <c r="D443" s="7"/>
      <c r="E443" s="7"/>
      <c r="F443" s="8"/>
      <c r="G443" s="9"/>
      <c r="H443" s="7"/>
      <c r="I443" s="7"/>
      <c r="J443" s="8"/>
      <c r="K443" s="5" t="str">
        <f aca="false">IF($I443="","",1+IF($J443="",0,LEN($J443)-LEN(SUBSTITUTE($J443,",",""))+1))</f>
        <v/>
      </c>
      <c r="L443" s="7"/>
      <c r="M443" s="8"/>
      <c r="N443" s="10"/>
      <c r="O443" s="10"/>
      <c r="P443" s="5" t="str">
        <f aca="false">IF(OR($B443="",$C443=""),"",$C443-$B443+1)</f>
        <v/>
      </c>
      <c r="Q443" s="11"/>
      <c r="R443" s="12" t="str">
        <f aca="false">IF(OR($Q443="",$K443=""),"",$Q443*$K443)</f>
        <v/>
      </c>
      <c r="S443" s="7"/>
      <c r="T443" s="10"/>
      <c r="U443" s="8"/>
    </row>
    <row r="444" customFormat="false" ht="18.75" hidden="false" customHeight="true" outlineLevel="0" collapsed="false">
      <c r="A444" s="5" t="str">
        <f aca="false">IF($B444="","",COUNT($B$5:$B444))</f>
        <v/>
      </c>
      <c r="B444" s="13"/>
      <c r="C444" s="13"/>
      <c r="D444" s="14"/>
      <c r="E444" s="14"/>
      <c r="F444" s="15"/>
      <c r="G444" s="16"/>
      <c r="H444" s="14"/>
      <c r="I444" s="14"/>
      <c r="J444" s="15"/>
      <c r="K444" s="5" t="str">
        <f aca="false">IF($I444="","",1+IF($J444="",0,LEN($J444)-LEN(SUBSTITUTE($J444,",",""))+1))</f>
        <v/>
      </c>
      <c r="L444" s="14"/>
      <c r="M444" s="15"/>
      <c r="N444" s="17"/>
      <c r="O444" s="17"/>
      <c r="P444" s="5" t="str">
        <f aca="false">IF(OR($B444="",$C444=""),"",$C444-$B444+1)</f>
        <v/>
      </c>
      <c r="Q444" s="18"/>
      <c r="R444" s="12" t="str">
        <f aca="false">IF(OR($Q444="",$K444=""),"",$Q444*$K444)</f>
        <v/>
      </c>
      <c r="S444" s="14"/>
      <c r="T444" s="17"/>
      <c r="U444" s="15"/>
    </row>
    <row r="445" customFormat="false" ht="18.75" hidden="false" customHeight="true" outlineLevel="0" collapsed="false">
      <c r="A445" s="5" t="str">
        <f aca="false">IF($B445="","",COUNT($B$5:$B445))</f>
        <v/>
      </c>
      <c r="B445" s="6"/>
      <c r="C445" s="6"/>
      <c r="D445" s="7"/>
      <c r="E445" s="7"/>
      <c r="F445" s="8"/>
      <c r="G445" s="9"/>
      <c r="H445" s="7"/>
      <c r="I445" s="7"/>
      <c r="J445" s="8"/>
      <c r="K445" s="5" t="str">
        <f aca="false">IF($I445="","",1+IF($J445="",0,LEN($J445)-LEN(SUBSTITUTE($J445,",",""))+1))</f>
        <v/>
      </c>
      <c r="L445" s="7"/>
      <c r="M445" s="8"/>
      <c r="N445" s="10"/>
      <c r="O445" s="10"/>
      <c r="P445" s="5" t="str">
        <f aca="false">IF(OR($B445="",$C445=""),"",$C445-$B445+1)</f>
        <v/>
      </c>
      <c r="Q445" s="11"/>
      <c r="R445" s="12" t="str">
        <f aca="false">IF(OR($Q445="",$K445=""),"",$Q445*$K445)</f>
        <v/>
      </c>
      <c r="S445" s="7"/>
      <c r="T445" s="10"/>
      <c r="U445" s="8"/>
    </row>
    <row r="446" customFormat="false" ht="18.75" hidden="false" customHeight="true" outlineLevel="0" collapsed="false">
      <c r="A446" s="5" t="str">
        <f aca="false">IF($B446="","",COUNT($B$5:$B446))</f>
        <v/>
      </c>
      <c r="B446" s="13"/>
      <c r="C446" s="13"/>
      <c r="D446" s="14"/>
      <c r="E446" s="14"/>
      <c r="F446" s="15"/>
      <c r="G446" s="16"/>
      <c r="H446" s="14"/>
      <c r="I446" s="14"/>
      <c r="J446" s="15"/>
      <c r="K446" s="5" t="str">
        <f aca="false">IF($I446="","",1+IF($J446="",0,LEN($J446)-LEN(SUBSTITUTE($J446,",",""))+1))</f>
        <v/>
      </c>
      <c r="L446" s="14"/>
      <c r="M446" s="15"/>
      <c r="N446" s="17"/>
      <c r="O446" s="17"/>
      <c r="P446" s="5" t="str">
        <f aca="false">IF(OR($B446="",$C446=""),"",$C446-$B446+1)</f>
        <v/>
      </c>
      <c r="Q446" s="18"/>
      <c r="R446" s="12" t="str">
        <f aca="false">IF(OR($Q446="",$K446=""),"",$Q446*$K446)</f>
        <v/>
      </c>
      <c r="S446" s="14"/>
      <c r="T446" s="17"/>
      <c r="U446" s="15"/>
    </row>
    <row r="447" customFormat="false" ht="18.75" hidden="false" customHeight="true" outlineLevel="0" collapsed="false">
      <c r="A447" s="5" t="str">
        <f aca="false">IF($B447="","",COUNT($B$5:$B447))</f>
        <v/>
      </c>
      <c r="B447" s="6"/>
      <c r="C447" s="6"/>
      <c r="D447" s="7"/>
      <c r="E447" s="7"/>
      <c r="F447" s="8"/>
      <c r="G447" s="9"/>
      <c r="H447" s="7"/>
      <c r="I447" s="7"/>
      <c r="J447" s="8"/>
      <c r="K447" s="5" t="str">
        <f aca="false">IF($I447="","",1+IF($J447="",0,LEN($J447)-LEN(SUBSTITUTE($J447,",",""))+1))</f>
        <v/>
      </c>
      <c r="L447" s="7"/>
      <c r="M447" s="8"/>
      <c r="N447" s="10"/>
      <c r="O447" s="10"/>
      <c r="P447" s="5" t="str">
        <f aca="false">IF(OR($B447="",$C447=""),"",$C447-$B447+1)</f>
        <v/>
      </c>
      <c r="Q447" s="11"/>
      <c r="R447" s="12" t="str">
        <f aca="false">IF(OR($Q447="",$K447=""),"",$Q447*$K447)</f>
        <v/>
      </c>
      <c r="S447" s="7"/>
      <c r="T447" s="10"/>
      <c r="U447" s="8"/>
    </row>
    <row r="448" customFormat="false" ht="18.75" hidden="false" customHeight="true" outlineLevel="0" collapsed="false">
      <c r="A448" s="5" t="str">
        <f aca="false">IF($B448="","",COUNT($B$5:$B448))</f>
        <v/>
      </c>
      <c r="B448" s="13"/>
      <c r="C448" s="13"/>
      <c r="D448" s="14"/>
      <c r="E448" s="14"/>
      <c r="F448" s="15"/>
      <c r="G448" s="16"/>
      <c r="H448" s="14"/>
      <c r="I448" s="14"/>
      <c r="J448" s="15"/>
      <c r="K448" s="5" t="str">
        <f aca="false">IF($I448="","",1+IF($J448="",0,LEN($J448)-LEN(SUBSTITUTE($J448,",",""))+1))</f>
        <v/>
      </c>
      <c r="L448" s="14"/>
      <c r="M448" s="15"/>
      <c r="N448" s="17"/>
      <c r="O448" s="17"/>
      <c r="P448" s="5" t="str">
        <f aca="false">IF(OR($B448="",$C448=""),"",$C448-$B448+1)</f>
        <v/>
      </c>
      <c r="Q448" s="18"/>
      <c r="R448" s="12" t="str">
        <f aca="false">IF(OR($Q448="",$K448=""),"",$Q448*$K448)</f>
        <v/>
      </c>
      <c r="S448" s="14"/>
      <c r="T448" s="17"/>
      <c r="U448" s="15"/>
    </row>
    <row r="449" customFormat="false" ht="18.75" hidden="false" customHeight="true" outlineLevel="0" collapsed="false">
      <c r="A449" s="5" t="str">
        <f aca="false">IF($B449="","",COUNT($B$5:$B449))</f>
        <v/>
      </c>
      <c r="B449" s="6"/>
      <c r="C449" s="6"/>
      <c r="D449" s="7"/>
      <c r="E449" s="7"/>
      <c r="F449" s="8"/>
      <c r="G449" s="9"/>
      <c r="H449" s="7"/>
      <c r="I449" s="7"/>
      <c r="J449" s="8"/>
      <c r="K449" s="5" t="str">
        <f aca="false">IF($I449="","",1+IF($J449="",0,LEN($J449)-LEN(SUBSTITUTE($J449,",",""))+1))</f>
        <v/>
      </c>
      <c r="L449" s="7"/>
      <c r="M449" s="8"/>
      <c r="N449" s="10"/>
      <c r="O449" s="10"/>
      <c r="P449" s="5" t="str">
        <f aca="false">IF(OR($B449="",$C449=""),"",$C449-$B449+1)</f>
        <v/>
      </c>
      <c r="Q449" s="11"/>
      <c r="R449" s="12" t="str">
        <f aca="false">IF(OR($Q449="",$K449=""),"",$Q449*$K449)</f>
        <v/>
      </c>
      <c r="S449" s="7"/>
      <c r="T449" s="10"/>
      <c r="U449" s="8"/>
    </row>
    <row r="450" customFormat="false" ht="18.75" hidden="false" customHeight="true" outlineLevel="0" collapsed="false">
      <c r="A450" s="5" t="str">
        <f aca="false">IF($B450="","",COUNT($B$5:$B450))</f>
        <v/>
      </c>
      <c r="B450" s="13"/>
      <c r="C450" s="13"/>
      <c r="D450" s="14"/>
      <c r="E450" s="14"/>
      <c r="F450" s="15"/>
      <c r="G450" s="16"/>
      <c r="H450" s="14"/>
      <c r="I450" s="14"/>
      <c r="J450" s="15"/>
      <c r="K450" s="5" t="str">
        <f aca="false">IF($I450="","",1+IF($J450="",0,LEN($J450)-LEN(SUBSTITUTE($J450,",",""))+1))</f>
        <v/>
      </c>
      <c r="L450" s="14"/>
      <c r="M450" s="15"/>
      <c r="N450" s="17"/>
      <c r="O450" s="17"/>
      <c r="P450" s="5" t="str">
        <f aca="false">IF(OR($B450="",$C450=""),"",$C450-$B450+1)</f>
        <v/>
      </c>
      <c r="Q450" s="18"/>
      <c r="R450" s="12" t="str">
        <f aca="false">IF(OR($Q450="",$K450=""),"",$Q450*$K450)</f>
        <v/>
      </c>
      <c r="S450" s="14"/>
      <c r="T450" s="17"/>
      <c r="U450" s="15"/>
    </row>
    <row r="451" customFormat="false" ht="18.75" hidden="false" customHeight="true" outlineLevel="0" collapsed="false">
      <c r="A451" s="5" t="str">
        <f aca="false">IF($B451="","",COUNT($B$5:$B451))</f>
        <v/>
      </c>
      <c r="B451" s="6"/>
      <c r="C451" s="6"/>
      <c r="D451" s="7"/>
      <c r="E451" s="7"/>
      <c r="F451" s="8"/>
      <c r="G451" s="9"/>
      <c r="H451" s="7"/>
      <c r="I451" s="7"/>
      <c r="J451" s="8"/>
      <c r="K451" s="5" t="str">
        <f aca="false">IF($I451="","",1+IF($J451="",0,LEN($J451)-LEN(SUBSTITUTE($J451,",",""))+1))</f>
        <v/>
      </c>
      <c r="L451" s="7"/>
      <c r="M451" s="8"/>
      <c r="N451" s="10"/>
      <c r="O451" s="10"/>
      <c r="P451" s="5" t="str">
        <f aca="false">IF(OR($B451="",$C451=""),"",$C451-$B451+1)</f>
        <v/>
      </c>
      <c r="Q451" s="11"/>
      <c r="R451" s="12" t="str">
        <f aca="false">IF(OR($Q451="",$K451=""),"",$Q451*$K451)</f>
        <v/>
      </c>
      <c r="S451" s="7"/>
      <c r="T451" s="10"/>
      <c r="U451" s="8"/>
    </row>
    <row r="452" customFormat="false" ht="18.75" hidden="false" customHeight="true" outlineLevel="0" collapsed="false">
      <c r="A452" s="5" t="str">
        <f aca="false">IF($B452="","",COUNT($B$5:$B452))</f>
        <v/>
      </c>
      <c r="B452" s="13"/>
      <c r="C452" s="13"/>
      <c r="D452" s="14"/>
      <c r="E452" s="14"/>
      <c r="F452" s="15"/>
      <c r="G452" s="16"/>
      <c r="H452" s="14"/>
      <c r="I452" s="14"/>
      <c r="J452" s="15"/>
      <c r="K452" s="5" t="str">
        <f aca="false">IF($I452="","",1+IF($J452="",0,LEN($J452)-LEN(SUBSTITUTE($J452,",",""))+1))</f>
        <v/>
      </c>
      <c r="L452" s="14"/>
      <c r="M452" s="15"/>
      <c r="N452" s="17"/>
      <c r="O452" s="17"/>
      <c r="P452" s="5" t="str">
        <f aca="false">IF(OR($B452="",$C452=""),"",$C452-$B452+1)</f>
        <v/>
      </c>
      <c r="Q452" s="18"/>
      <c r="R452" s="12" t="str">
        <f aca="false">IF(OR($Q452="",$K452=""),"",$Q452*$K452)</f>
        <v/>
      </c>
      <c r="S452" s="14"/>
      <c r="T452" s="17"/>
      <c r="U452" s="15"/>
    </row>
    <row r="453" customFormat="false" ht="18.75" hidden="false" customHeight="true" outlineLevel="0" collapsed="false">
      <c r="A453" s="5" t="str">
        <f aca="false">IF($B453="","",COUNT($B$5:$B453))</f>
        <v/>
      </c>
      <c r="B453" s="6"/>
      <c r="C453" s="6"/>
      <c r="D453" s="7"/>
      <c r="E453" s="7"/>
      <c r="F453" s="8"/>
      <c r="G453" s="9"/>
      <c r="H453" s="7"/>
      <c r="I453" s="7"/>
      <c r="J453" s="8"/>
      <c r="K453" s="5" t="str">
        <f aca="false">IF($I453="","",1+IF($J453="",0,LEN($J453)-LEN(SUBSTITUTE($J453,",",""))+1))</f>
        <v/>
      </c>
      <c r="L453" s="7"/>
      <c r="M453" s="8"/>
      <c r="N453" s="10"/>
      <c r="O453" s="10"/>
      <c r="P453" s="5" t="str">
        <f aca="false">IF(OR($B453="",$C453=""),"",$C453-$B453+1)</f>
        <v/>
      </c>
      <c r="Q453" s="11"/>
      <c r="R453" s="12" t="str">
        <f aca="false">IF(OR($Q453="",$K453=""),"",$Q453*$K453)</f>
        <v/>
      </c>
      <c r="S453" s="7"/>
      <c r="T453" s="10"/>
      <c r="U453" s="8"/>
    </row>
    <row r="454" customFormat="false" ht="18.75" hidden="false" customHeight="true" outlineLevel="0" collapsed="false">
      <c r="A454" s="5" t="str">
        <f aca="false">IF($B454="","",COUNT($B$5:$B454))</f>
        <v/>
      </c>
      <c r="B454" s="13"/>
      <c r="C454" s="13"/>
      <c r="D454" s="14"/>
      <c r="E454" s="14"/>
      <c r="F454" s="15"/>
      <c r="G454" s="16"/>
      <c r="H454" s="14"/>
      <c r="I454" s="14"/>
      <c r="J454" s="15"/>
      <c r="K454" s="5" t="str">
        <f aca="false">IF($I454="","",1+IF($J454="",0,LEN($J454)-LEN(SUBSTITUTE($J454,",",""))+1))</f>
        <v/>
      </c>
      <c r="L454" s="14"/>
      <c r="M454" s="15"/>
      <c r="N454" s="17"/>
      <c r="O454" s="17"/>
      <c r="P454" s="5" t="str">
        <f aca="false">IF(OR($B454="",$C454=""),"",$C454-$B454+1)</f>
        <v/>
      </c>
      <c r="Q454" s="18"/>
      <c r="R454" s="12" t="str">
        <f aca="false">IF(OR($Q454="",$K454=""),"",$Q454*$K454)</f>
        <v/>
      </c>
      <c r="S454" s="14"/>
      <c r="T454" s="17"/>
      <c r="U454" s="15"/>
    </row>
    <row r="455" customFormat="false" ht="18.75" hidden="false" customHeight="true" outlineLevel="0" collapsed="false">
      <c r="A455" s="5" t="str">
        <f aca="false">IF($B455="","",COUNT($B$5:$B455))</f>
        <v/>
      </c>
      <c r="B455" s="6"/>
      <c r="C455" s="6"/>
      <c r="D455" s="7"/>
      <c r="E455" s="7"/>
      <c r="F455" s="8"/>
      <c r="G455" s="9"/>
      <c r="H455" s="7"/>
      <c r="I455" s="7"/>
      <c r="J455" s="8"/>
      <c r="K455" s="5" t="str">
        <f aca="false">IF($I455="","",1+IF($J455="",0,LEN($J455)-LEN(SUBSTITUTE($J455,",",""))+1))</f>
        <v/>
      </c>
      <c r="L455" s="7"/>
      <c r="M455" s="8"/>
      <c r="N455" s="10"/>
      <c r="O455" s="10"/>
      <c r="P455" s="5" t="str">
        <f aca="false">IF(OR($B455="",$C455=""),"",$C455-$B455+1)</f>
        <v/>
      </c>
      <c r="Q455" s="11"/>
      <c r="R455" s="12" t="str">
        <f aca="false">IF(OR($Q455="",$K455=""),"",$Q455*$K455)</f>
        <v/>
      </c>
      <c r="S455" s="7"/>
      <c r="T455" s="10"/>
      <c r="U455" s="8"/>
    </row>
    <row r="456" customFormat="false" ht="18.75" hidden="false" customHeight="true" outlineLevel="0" collapsed="false">
      <c r="A456" s="5" t="str">
        <f aca="false">IF($B456="","",COUNT($B$5:$B456))</f>
        <v/>
      </c>
      <c r="B456" s="13"/>
      <c r="C456" s="13"/>
      <c r="D456" s="14"/>
      <c r="E456" s="14"/>
      <c r="F456" s="15"/>
      <c r="G456" s="16"/>
      <c r="H456" s="14"/>
      <c r="I456" s="14"/>
      <c r="J456" s="15"/>
      <c r="K456" s="5" t="str">
        <f aca="false">IF($I456="","",1+IF($J456="",0,LEN($J456)-LEN(SUBSTITUTE($J456,",",""))+1))</f>
        <v/>
      </c>
      <c r="L456" s="14"/>
      <c r="M456" s="15"/>
      <c r="N456" s="17"/>
      <c r="O456" s="17"/>
      <c r="P456" s="5" t="str">
        <f aca="false">IF(OR($B456="",$C456=""),"",$C456-$B456+1)</f>
        <v/>
      </c>
      <c r="Q456" s="18"/>
      <c r="R456" s="12" t="str">
        <f aca="false">IF(OR($Q456="",$K456=""),"",$Q456*$K456)</f>
        <v/>
      </c>
      <c r="S456" s="14"/>
      <c r="T456" s="17"/>
      <c r="U456" s="15"/>
    </row>
    <row r="457" customFormat="false" ht="18.75" hidden="false" customHeight="true" outlineLevel="0" collapsed="false">
      <c r="A457" s="5" t="str">
        <f aca="false">IF($B457="","",COUNT($B$5:$B457))</f>
        <v/>
      </c>
      <c r="B457" s="6"/>
      <c r="C457" s="6"/>
      <c r="D457" s="7"/>
      <c r="E457" s="7"/>
      <c r="F457" s="8"/>
      <c r="G457" s="9"/>
      <c r="H457" s="7"/>
      <c r="I457" s="7"/>
      <c r="J457" s="8"/>
      <c r="K457" s="5" t="str">
        <f aca="false">IF($I457="","",1+IF($J457="",0,LEN($J457)-LEN(SUBSTITUTE($J457,",",""))+1))</f>
        <v/>
      </c>
      <c r="L457" s="7"/>
      <c r="M457" s="8"/>
      <c r="N457" s="10"/>
      <c r="O457" s="10"/>
      <c r="P457" s="5" t="str">
        <f aca="false">IF(OR($B457="",$C457=""),"",$C457-$B457+1)</f>
        <v/>
      </c>
      <c r="Q457" s="11"/>
      <c r="R457" s="12" t="str">
        <f aca="false">IF(OR($Q457="",$K457=""),"",$Q457*$K457)</f>
        <v/>
      </c>
      <c r="S457" s="7"/>
      <c r="T457" s="10"/>
      <c r="U457" s="8"/>
    </row>
    <row r="458" customFormat="false" ht="18.75" hidden="false" customHeight="true" outlineLevel="0" collapsed="false">
      <c r="A458" s="5" t="str">
        <f aca="false">IF($B458="","",COUNT($B$5:$B458))</f>
        <v/>
      </c>
      <c r="B458" s="13"/>
      <c r="C458" s="13"/>
      <c r="D458" s="14"/>
      <c r="E458" s="14"/>
      <c r="F458" s="15"/>
      <c r="G458" s="16"/>
      <c r="H458" s="14"/>
      <c r="I458" s="14"/>
      <c r="J458" s="15"/>
      <c r="K458" s="5" t="str">
        <f aca="false">IF($I458="","",1+IF($J458="",0,LEN($J458)-LEN(SUBSTITUTE($J458,",",""))+1))</f>
        <v/>
      </c>
      <c r="L458" s="14"/>
      <c r="M458" s="15"/>
      <c r="N458" s="17"/>
      <c r="O458" s="17"/>
      <c r="P458" s="5" t="str">
        <f aca="false">IF(OR($B458="",$C458=""),"",$C458-$B458+1)</f>
        <v/>
      </c>
      <c r="Q458" s="18"/>
      <c r="R458" s="12" t="str">
        <f aca="false">IF(OR($Q458="",$K458=""),"",$Q458*$K458)</f>
        <v/>
      </c>
      <c r="S458" s="14"/>
      <c r="T458" s="17"/>
      <c r="U458" s="15"/>
    </row>
    <row r="459" customFormat="false" ht="18.75" hidden="false" customHeight="true" outlineLevel="0" collapsed="false">
      <c r="A459" s="5" t="str">
        <f aca="false">IF($B459="","",COUNT($B$5:$B459))</f>
        <v/>
      </c>
      <c r="B459" s="6"/>
      <c r="C459" s="6"/>
      <c r="D459" s="7"/>
      <c r="E459" s="7"/>
      <c r="F459" s="8"/>
      <c r="G459" s="9"/>
      <c r="H459" s="7"/>
      <c r="I459" s="7"/>
      <c r="J459" s="8"/>
      <c r="K459" s="5" t="str">
        <f aca="false">IF($I459="","",1+IF($J459="",0,LEN($J459)-LEN(SUBSTITUTE($J459,",",""))+1))</f>
        <v/>
      </c>
      <c r="L459" s="7"/>
      <c r="M459" s="8"/>
      <c r="N459" s="10"/>
      <c r="O459" s="10"/>
      <c r="P459" s="5" t="str">
        <f aca="false">IF(OR($B459="",$C459=""),"",$C459-$B459+1)</f>
        <v/>
      </c>
      <c r="Q459" s="11"/>
      <c r="R459" s="12" t="str">
        <f aca="false">IF(OR($Q459="",$K459=""),"",$Q459*$K459)</f>
        <v/>
      </c>
      <c r="S459" s="7"/>
      <c r="T459" s="10"/>
      <c r="U459" s="8"/>
    </row>
    <row r="460" customFormat="false" ht="18.75" hidden="false" customHeight="true" outlineLevel="0" collapsed="false">
      <c r="A460" s="5" t="str">
        <f aca="false">IF($B460="","",COUNT($B$5:$B460))</f>
        <v/>
      </c>
      <c r="B460" s="13"/>
      <c r="C460" s="13"/>
      <c r="D460" s="14"/>
      <c r="E460" s="14"/>
      <c r="F460" s="15"/>
      <c r="G460" s="16"/>
      <c r="H460" s="14"/>
      <c r="I460" s="14"/>
      <c r="J460" s="15"/>
      <c r="K460" s="5" t="str">
        <f aca="false">IF($I460="","",1+IF($J460="",0,LEN($J460)-LEN(SUBSTITUTE($J460,",",""))+1))</f>
        <v/>
      </c>
      <c r="L460" s="14"/>
      <c r="M460" s="15"/>
      <c r="N460" s="17"/>
      <c r="O460" s="17"/>
      <c r="P460" s="5" t="str">
        <f aca="false">IF(OR($B460="",$C460=""),"",$C460-$B460+1)</f>
        <v/>
      </c>
      <c r="Q460" s="18"/>
      <c r="R460" s="12" t="str">
        <f aca="false">IF(OR($Q460="",$K460=""),"",$Q460*$K460)</f>
        <v/>
      </c>
      <c r="S460" s="14"/>
      <c r="T460" s="17"/>
      <c r="U460" s="15"/>
    </row>
    <row r="461" customFormat="false" ht="18.75" hidden="false" customHeight="true" outlineLevel="0" collapsed="false">
      <c r="A461" s="5" t="str">
        <f aca="false">IF($B461="","",COUNT($B$5:$B461))</f>
        <v/>
      </c>
      <c r="B461" s="6"/>
      <c r="C461" s="6"/>
      <c r="D461" s="7"/>
      <c r="E461" s="7"/>
      <c r="F461" s="8"/>
      <c r="G461" s="9"/>
      <c r="H461" s="7"/>
      <c r="I461" s="7"/>
      <c r="J461" s="8"/>
      <c r="K461" s="5" t="str">
        <f aca="false">IF($I461="","",1+IF($J461="",0,LEN($J461)-LEN(SUBSTITUTE($J461,",",""))+1))</f>
        <v/>
      </c>
      <c r="L461" s="7"/>
      <c r="M461" s="8"/>
      <c r="N461" s="10"/>
      <c r="O461" s="10"/>
      <c r="P461" s="5" t="str">
        <f aca="false">IF(OR($B461="",$C461=""),"",$C461-$B461+1)</f>
        <v/>
      </c>
      <c r="Q461" s="11"/>
      <c r="R461" s="12" t="str">
        <f aca="false">IF(OR($Q461="",$K461=""),"",$Q461*$K461)</f>
        <v/>
      </c>
      <c r="S461" s="7"/>
      <c r="T461" s="10"/>
      <c r="U461" s="8"/>
    </row>
    <row r="462" customFormat="false" ht="18.75" hidden="false" customHeight="true" outlineLevel="0" collapsed="false">
      <c r="A462" s="5" t="str">
        <f aca="false">IF($B462="","",COUNT($B$5:$B462))</f>
        <v/>
      </c>
      <c r="B462" s="13"/>
      <c r="C462" s="13"/>
      <c r="D462" s="14"/>
      <c r="E462" s="14"/>
      <c r="F462" s="15"/>
      <c r="G462" s="16"/>
      <c r="H462" s="14"/>
      <c r="I462" s="14"/>
      <c r="J462" s="15"/>
      <c r="K462" s="5" t="str">
        <f aca="false">IF($I462="","",1+IF($J462="",0,LEN($J462)-LEN(SUBSTITUTE($J462,",",""))+1))</f>
        <v/>
      </c>
      <c r="L462" s="14"/>
      <c r="M462" s="15"/>
      <c r="N462" s="17"/>
      <c r="O462" s="17"/>
      <c r="P462" s="5" t="str">
        <f aca="false">IF(OR($B462="",$C462=""),"",$C462-$B462+1)</f>
        <v/>
      </c>
      <c r="Q462" s="18"/>
      <c r="R462" s="12" t="str">
        <f aca="false">IF(OR($Q462="",$K462=""),"",$Q462*$K462)</f>
        <v/>
      </c>
      <c r="S462" s="14"/>
      <c r="T462" s="17"/>
      <c r="U462" s="15"/>
    </row>
    <row r="463" customFormat="false" ht="18.75" hidden="false" customHeight="true" outlineLevel="0" collapsed="false">
      <c r="A463" s="5" t="str">
        <f aca="false">IF($B463="","",COUNT($B$5:$B463))</f>
        <v/>
      </c>
      <c r="B463" s="6"/>
      <c r="C463" s="6"/>
      <c r="D463" s="7"/>
      <c r="E463" s="7"/>
      <c r="F463" s="8"/>
      <c r="G463" s="9"/>
      <c r="H463" s="7"/>
      <c r="I463" s="7"/>
      <c r="J463" s="8"/>
      <c r="K463" s="5" t="str">
        <f aca="false">IF($I463="","",1+IF($J463="",0,LEN($J463)-LEN(SUBSTITUTE($J463,",",""))+1))</f>
        <v/>
      </c>
      <c r="L463" s="7"/>
      <c r="M463" s="8"/>
      <c r="N463" s="10"/>
      <c r="O463" s="10"/>
      <c r="P463" s="5" t="str">
        <f aca="false">IF(OR($B463="",$C463=""),"",$C463-$B463+1)</f>
        <v/>
      </c>
      <c r="Q463" s="11"/>
      <c r="R463" s="12" t="str">
        <f aca="false">IF(OR($Q463="",$K463=""),"",$Q463*$K463)</f>
        <v/>
      </c>
      <c r="S463" s="7"/>
      <c r="T463" s="10"/>
      <c r="U463" s="8"/>
    </row>
    <row r="464" customFormat="false" ht="18.75" hidden="false" customHeight="true" outlineLevel="0" collapsed="false">
      <c r="A464" s="5" t="str">
        <f aca="false">IF($B464="","",COUNT($B$5:$B464))</f>
        <v/>
      </c>
      <c r="B464" s="13"/>
      <c r="C464" s="13"/>
      <c r="D464" s="14"/>
      <c r="E464" s="14"/>
      <c r="F464" s="15"/>
      <c r="G464" s="16"/>
      <c r="H464" s="14"/>
      <c r="I464" s="14"/>
      <c r="J464" s="15"/>
      <c r="K464" s="5" t="str">
        <f aca="false">IF($I464="","",1+IF($J464="",0,LEN($J464)-LEN(SUBSTITUTE($J464,",",""))+1))</f>
        <v/>
      </c>
      <c r="L464" s="14"/>
      <c r="M464" s="15"/>
      <c r="N464" s="17"/>
      <c r="O464" s="17"/>
      <c r="P464" s="5" t="str">
        <f aca="false">IF(OR($B464="",$C464=""),"",$C464-$B464+1)</f>
        <v/>
      </c>
      <c r="Q464" s="18"/>
      <c r="R464" s="12" t="str">
        <f aca="false">IF(OR($Q464="",$K464=""),"",$Q464*$K464)</f>
        <v/>
      </c>
      <c r="S464" s="14"/>
      <c r="T464" s="17"/>
      <c r="U464" s="15"/>
    </row>
    <row r="465" customFormat="false" ht="18.75" hidden="false" customHeight="true" outlineLevel="0" collapsed="false">
      <c r="A465" s="5" t="str">
        <f aca="false">IF($B465="","",COUNT($B$5:$B465))</f>
        <v/>
      </c>
      <c r="B465" s="6"/>
      <c r="C465" s="6"/>
      <c r="D465" s="7"/>
      <c r="E465" s="7"/>
      <c r="F465" s="8"/>
      <c r="G465" s="9"/>
      <c r="H465" s="7"/>
      <c r="I465" s="7"/>
      <c r="J465" s="8"/>
      <c r="K465" s="5" t="str">
        <f aca="false">IF($I465="","",1+IF($J465="",0,LEN($J465)-LEN(SUBSTITUTE($J465,",",""))+1))</f>
        <v/>
      </c>
      <c r="L465" s="7"/>
      <c r="M465" s="8"/>
      <c r="N465" s="10"/>
      <c r="O465" s="10"/>
      <c r="P465" s="5" t="str">
        <f aca="false">IF(OR($B465="",$C465=""),"",$C465-$B465+1)</f>
        <v/>
      </c>
      <c r="Q465" s="11"/>
      <c r="R465" s="12" t="str">
        <f aca="false">IF(OR($Q465="",$K465=""),"",$Q465*$K465)</f>
        <v/>
      </c>
      <c r="S465" s="7"/>
      <c r="T465" s="10"/>
      <c r="U465" s="8"/>
    </row>
    <row r="466" customFormat="false" ht="18.75" hidden="false" customHeight="true" outlineLevel="0" collapsed="false">
      <c r="A466" s="5" t="str">
        <f aca="false">IF($B466="","",COUNT($B$5:$B466))</f>
        <v/>
      </c>
      <c r="B466" s="13"/>
      <c r="C466" s="13"/>
      <c r="D466" s="14"/>
      <c r="E466" s="14"/>
      <c r="F466" s="15"/>
      <c r="G466" s="16"/>
      <c r="H466" s="14"/>
      <c r="I466" s="14"/>
      <c r="J466" s="15"/>
      <c r="K466" s="5" t="str">
        <f aca="false">IF($I466="","",1+IF($J466="",0,LEN($J466)-LEN(SUBSTITUTE($J466,",",""))+1))</f>
        <v/>
      </c>
      <c r="L466" s="14"/>
      <c r="M466" s="15"/>
      <c r="N466" s="17"/>
      <c r="O466" s="17"/>
      <c r="P466" s="5" t="str">
        <f aca="false">IF(OR($B466="",$C466=""),"",$C466-$B466+1)</f>
        <v/>
      </c>
      <c r="Q466" s="18"/>
      <c r="R466" s="12" t="str">
        <f aca="false">IF(OR($Q466="",$K466=""),"",$Q466*$K466)</f>
        <v/>
      </c>
      <c r="S466" s="14"/>
      <c r="T466" s="17"/>
      <c r="U466" s="15"/>
    </row>
    <row r="467" customFormat="false" ht="18.75" hidden="false" customHeight="true" outlineLevel="0" collapsed="false">
      <c r="A467" s="5" t="str">
        <f aca="false">IF($B467="","",COUNT($B$5:$B467))</f>
        <v/>
      </c>
      <c r="B467" s="6"/>
      <c r="C467" s="6"/>
      <c r="D467" s="7"/>
      <c r="E467" s="7"/>
      <c r="F467" s="8"/>
      <c r="G467" s="9"/>
      <c r="H467" s="7"/>
      <c r="I467" s="7"/>
      <c r="J467" s="8"/>
      <c r="K467" s="5" t="str">
        <f aca="false">IF($I467="","",1+IF($J467="",0,LEN($J467)-LEN(SUBSTITUTE($J467,",",""))+1))</f>
        <v/>
      </c>
      <c r="L467" s="7"/>
      <c r="M467" s="8"/>
      <c r="N467" s="10"/>
      <c r="O467" s="10"/>
      <c r="P467" s="5" t="str">
        <f aca="false">IF(OR($B467="",$C467=""),"",$C467-$B467+1)</f>
        <v/>
      </c>
      <c r="Q467" s="11"/>
      <c r="R467" s="12" t="str">
        <f aca="false">IF(OR($Q467="",$K467=""),"",$Q467*$K467)</f>
        <v/>
      </c>
      <c r="S467" s="7"/>
      <c r="T467" s="10"/>
      <c r="U467" s="8"/>
    </row>
    <row r="468" customFormat="false" ht="18.75" hidden="false" customHeight="true" outlineLevel="0" collapsed="false">
      <c r="A468" s="5" t="str">
        <f aca="false">IF($B468="","",COUNT($B$5:$B468))</f>
        <v/>
      </c>
      <c r="B468" s="13"/>
      <c r="C468" s="13"/>
      <c r="D468" s="14"/>
      <c r="E468" s="14"/>
      <c r="F468" s="15"/>
      <c r="G468" s="16"/>
      <c r="H468" s="14"/>
      <c r="I468" s="14"/>
      <c r="J468" s="15"/>
      <c r="K468" s="5" t="str">
        <f aca="false">IF($I468="","",1+IF($J468="",0,LEN($J468)-LEN(SUBSTITUTE($J468,",",""))+1))</f>
        <v/>
      </c>
      <c r="L468" s="14"/>
      <c r="M468" s="15"/>
      <c r="N468" s="17"/>
      <c r="O468" s="17"/>
      <c r="P468" s="5" t="str">
        <f aca="false">IF(OR($B468="",$C468=""),"",$C468-$B468+1)</f>
        <v/>
      </c>
      <c r="Q468" s="18"/>
      <c r="R468" s="12" t="str">
        <f aca="false">IF(OR($Q468="",$K468=""),"",$Q468*$K468)</f>
        <v/>
      </c>
      <c r="S468" s="14"/>
      <c r="T468" s="17"/>
      <c r="U468" s="15"/>
    </row>
    <row r="469" customFormat="false" ht="18.75" hidden="false" customHeight="true" outlineLevel="0" collapsed="false">
      <c r="A469" s="5" t="str">
        <f aca="false">IF($B469="","",COUNT($B$5:$B469))</f>
        <v/>
      </c>
      <c r="B469" s="6"/>
      <c r="C469" s="6"/>
      <c r="D469" s="7"/>
      <c r="E469" s="7"/>
      <c r="F469" s="8"/>
      <c r="G469" s="9"/>
      <c r="H469" s="7"/>
      <c r="I469" s="7"/>
      <c r="J469" s="8"/>
      <c r="K469" s="5" t="str">
        <f aca="false">IF($I469="","",1+IF($J469="",0,LEN($J469)-LEN(SUBSTITUTE($J469,",",""))+1))</f>
        <v/>
      </c>
      <c r="L469" s="7"/>
      <c r="M469" s="8"/>
      <c r="N469" s="10"/>
      <c r="O469" s="10"/>
      <c r="P469" s="5" t="str">
        <f aca="false">IF(OR($B469="",$C469=""),"",$C469-$B469+1)</f>
        <v/>
      </c>
      <c r="Q469" s="11"/>
      <c r="R469" s="12" t="str">
        <f aca="false">IF(OR($Q469="",$K469=""),"",$Q469*$K469)</f>
        <v/>
      </c>
      <c r="S469" s="7"/>
      <c r="T469" s="10"/>
      <c r="U469" s="8"/>
    </row>
    <row r="470" customFormat="false" ht="18.75" hidden="false" customHeight="true" outlineLevel="0" collapsed="false">
      <c r="A470" s="5" t="str">
        <f aca="false">IF($B470="","",COUNT($B$5:$B470))</f>
        <v/>
      </c>
      <c r="B470" s="13"/>
      <c r="C470" s="13"/>
      <c r="D470" s="14"/>
      <c r="E470" s="14"/>
      <c r="F470" s="15"/>
      <c r="G470" s="16"/>
      <c r="H470" s="14"/>
      <c r="I470" s="14"/>
      <c r="J470" s="15"/>
      <c r="K470" s="5" t="str">
        <f aca="false">IF($I470="","",1+IF($J470="",0,LEN($J470)-LEN(SUBSTITUTE($J470,",",""))+1))</f>
        <v/>
      </c>
      <c r="L470" s="14"/>
      <c r="M470" s="15"/>
      <c r="N470" s="17"/>
      <c r="O470" s="17"/>
      <c r="P470" s="5" t="str">
        <f aca="false">IF(OR($B470="",$C470=""),"",$C470-$B470+1)</f>
        <v/>
      </c>
      <c r="Q470" s="18"/>
      <c r="R470" s="12" t="str">
        <f aca="false">IF(OR($Q470="",$K470=""),"",$Q470*$K470)</f>
        <v/>
      </c>
      <c r="S470" s="14"/>
      <c r="T470" s="17"/>
      <c r="U470" s="15"/>
    </row>
    <row r="471" customFormat="false" ht="18.75" hidden="false" customHeight="true" outlineLevel="0" collapsed="false">
      <c r="A471" s="5" t="str">
        <f aca="false">IF($B471="","",COUNT($B$5:$B471))</f>
        <v/>
      </c>
      <c r="B471" s="6"/>
      <c r="C471" s="6"/>
      <c r="D471" s="7"/>
      <c r="E471" s="7"/>
      <c r="F471" s="8"/>
      <c r="G471" s="9"/>
      <c r="H471" s="7"/>
      <c r="I471" s="7"/>
      <c r="J471" s="8"/>
      <c r="K471" s="5" t="str">
        <f aca="false">IF($I471="","",1+IF($J471="",0,LEN($J471)-LEN(SUBSTITUTE($J471,",",""))+1))</f>
        <v/>
      </c>
      <c r="L471" s="7"/>
      <c r="M471" s="8"/>
      <c r="N471" s="10"/>
      <c r="O471" s="10"/>
      <c r="P471" s="5" t="str">
        <f aca="false">IF(OR($B471="",$C471=""),"",$C471-$B471+1)</f>
        <v/>
      </c>
      <c r="Q471" s="11"/>
      <c r="R471" s="12" t="str">
        <f aca="false">IF(OR($Q471="",$K471=""),"",$Q471*$K471)</f>
        <v/>
      </c>
      <c r="S471" s="7"/>
      <c r="T471" s="10"/>
      <c r="U471" s="8"/>
    </row>
    <row r="472" customFormat="false" ht="18.75" hidden="false" customHeight="true" outlineLevel="0" collapsed="false">
      <c r="A472" s="5" t="str">
        <f aca="false">IF($B472="","",COUNT($B$5:$B472))</f>
        <v/>
      </c>
      <c r="B472" s="13"/>
      <c r="C472" s="13"/>
      <c r="D472" s="14"/>
      <c r="E472" s="14"/>
      <c r="F472" s="15"/>
      <c r="G472" s="16"/>
      <c r="H472" s="14"/>
      <c r="I472" s="14"/>
      <c r="J472" s="15"/>
      <c r="K472" s="5" t="str">
        <f aca="false">IF($I472="","",1+IF($J472="",0,LEN($J472)-LEN(SUBSTITUTE($J472,",",""))+1))</f>
        <v/>
      </c>
      <c r="L472" s="14"/>
      <c r="M472" s="15"/>
      <c r="N472" s="17"/>
      <c r="O472" s="17"/>
      <c r="P472" s="5" t="str">
        <f aca="false">IF(OR($B472="",$C472=""),"",$C472-$B472+1)</f>
        <v/>
      </c>
      <c r="Q472" s="18"/>
      <c r="R472" s="12" t="str">
        <f aca="false">IF(OR($Q472="",$K472=""),"",$Q472*$K472)</f>
        <v/>
      </c>
      <c r="S472" s="14"/>
      <c r="T472" s="17"/>
      <c r="U472" s="15"/>
    </row>
    <row r="473" customFormat="false" ht="18.75" hidden="false" customHeight="true" outlineLevel="0" collapsed="false">
      <c r="A473" s="5" t="str">
        <f aca="false">IF($B473="","",COUNT($B$5:$B473))</f>
        <v/>
      </c>
      <c r="B473" s="6"/>
      <c r="C473" s="6"/>
      <c r="D473" s="7"/>
      <c r="E473" s="7"/>
      <c r="F473" s="8"/>
      <c r="G473" s="9"/>
      <c r="H473" s="7"/>
      <c r="I473" s="7"/>
      <c r="J473" s="8"/>
      <c r="K473" s="5" t="str">
        <f aca="false">IF($I473="","",1+IF($J473="",0,LEN($J473)-LEN(SUBSTITUTE($J473,",",""))+1))</f>
        <v/>
      </c>
      <c r="L473" s="7"/>
      <c r="M473" s="8"/>
      <c r="N473" s="10"/>
      <c r="O473" s="10"/>
      <c r="P473" s="5" t="str">
        <f aca="false">IF(OR($B473="",$C473=""),"",$C473-$B473+1)</f>
        <v/>
      </c>
      <c r="Q473" s="11"/>
      <c r="R473" s="12" t="str">
        <f aca="false">IF(OR($Q473="",$K473=""),"",$Q473*$K473)</f>
        <v/>
      </c>
      <c r="S473" s="7"/>
      <c r="T473" s="10"/>
      <c r="U473" s="8"/>
    </row>
    <row r="474" customFormat="false" ht="18.75" hidden="false" customHeight="true" outlineLevel="0" collapsed="false">
      <c r="A474" s="5" t="str">
        <f aca="false">IF($B474="","",COUNT($B$5:$B474))</f>
        <v/>
      </c>
      <c r="B474" s="13"/>
      <c r="C474" s="13"/>
      <c r="D474" s="14"/>
      <c r="E474" s="14"/>
      <c r="F474" s="15"/>
      <c r="G474" s="16"/>
      <c r="H474" s="14"/>
      <c r="I474" s="14"/>
      <c r="J474" s="15"/>
      <c r="K474" s="5" t="str">
        <f aca="false">IF($I474="","",1+IF($J474="",0,LEN($J474)-LEN(SUBSTITUTE($J474,",",""))+1))</f>
        <v/>
      </c>
      <c r="L474" s="14"/>
      <c r="M474" s="15"/>
      <c r="N474" s="17"/>
      <c r="O474" s="17"/>
      <c r="P474" s="5" t="str">
        <f aca="false">IF(OR($B474="",$C474=""),"",$C474-$B474+1)</f>
        <v/>
      </c>
      <c r="Q474" s="18"/>
      <c r="R474" s="12" t="str">
        <f aca="false">IF(OR($Q474="",$K474=""),"",$Q474*$K474)</f>
        <v/>
      </c>
      <c r="S474" s="14"/>
      <c r="T474" s="17"/>
      <c r="U474" s="15"/>
    </row>
    <row r="475" customFormat="false" ht="18.75" hidden="false" customHeight="true" outlineLevel="0" collapsed="false">
      <c r="A475" s="5" t="str">
        <f aca="false">IF($B475="","",COUNT($B$5:$B475))</f>
        <v/>
      </c>
      <c r="B475" s="6"/>
      <c r="C475" s="6"/>
      <c r="D475" s="7"/>
      <c r="E475" s="7"/>
      <c r="F475" s="8"/>
      <c r="G475" s="9"/>
      <c r="H475" s="7"/>
      <c r="I475" s="7"/>
      <c r="J475" s="8"/>
      <c r="K475" s="5" t="str">
        <f aca="false">IF($I475="","",1+IF($J475="",0,LEN($J475)-LEN(SUBSTITUTE($J475,",",""))+1))</f>
        <v/>
      </c>
      <c r="L475" s="7"/>
      <c r="M475" s="8"/>
      <c r="N475" s="10"/>
      <c r="O475" s="10"/>
      <c r="P475" s="5" t="str">
        <f aca="false">IF(OR($B475="",$C475=""),"",$C475-$B475+1)</f>
        <v/>
      </c>
      <c r="Q475" s="11"/>
      <c r="R475" s="12" t="str">
        <f aca="false">IF(OR($Q475="",$K475=""),"",$Q475*$K475)</f>
        <v/>
      </c>
      <c r="S475" s="7"/>
      <c r="T475" s="10"/>
      <c r="U475" s="8"/>
    </row>
    <row r="476" customFormat="false" ht="18.75" hidden="false" customHeight="true" outlineLevel="0" collapsed="false">
      <c r="A476" s="5" t="str">
        <f aca="false">IF($B476="","",COUNT($B$5:$B476))</f>
        <v/>
      </c>
      <c r="B476" s="13"/>
      <c r="C476" s="13"/>
      <c r="D476" s="14"/>
      <c r="E476" s="14"/>
      <c r="F476" s="15"/>
      <c r="G476" s="16"/>
      <c r="H476" s="14"/>
      <c r="I476" s="14"/>
      <c r="J476" s="15"/>
      <c r="K476" s="5" t="str">
        <f aca="false">IF($I476="","",1+IF($J476="",0,LEN($J476)-LEN(SUBSTITUTE($J476,",",""))+1))</f>
        <v/>
      </c>
      <c r="L476" s="14"/>
      <c r="M476" s="15"/>
      <c r="N476" s="17"/>
      <c r="O476" s="17"/>
      <c r="P476" s="5" t="str">
        <f aca="false">IF(OR($B476="",$C476=""),"",$C476-$B476+1)</f>
        <v/>
      </c>
      <c r="Q476" s="18"/>
      <c r="R476" s="12" t="str">
        <f aca="false">IF(OR($Q476="",$K476=""),"",$Q476*$K476)</f>
        <v/>
      </c>
      <c r="S476" s="14"/>
      <c r="T476" s="17"/>
      <c r="U476" s="15"/>
    </row>
    <row r="477" customFormat="false" ht="18.75" hidden="false" customHeight="true" outlineLevel="0" collapsed="false">
      <c r="A477" s="5" t="str">
        <f aca="false">IF($B477="","",COUNT($B$5:$B477))</f>
        <v/>
      </c>
      <c r="B477" s="6"/>
      <c r="C477" s="6"/>
      <c r="D477" s="7"/>
      <c r="E477" s="7"/>
      <c r="F477" s="8"/>
      <c r="G477" s="9"/>
      <c r="H477" s="7"/>
      <c r="I477" s="7"/>
      <c r="J477" s="8"/>
      <c r="K477" s="5" t="str">
        <f aca="false">IF($I477="","",1+IF($J477="",0,LEN($J477)-LEN(SUBSTITUTE($J477,",",""))+1))</f>
        <v/>
      </c>
      <c r="L477" s="7"/>
      <c r="M477" s="8"/>
      <c r="N477" s="10"/>
      <c r="O477" s="10"/>
      <c r="P477" s="5" t="str">
        <f aca="false">IF(OR($B477="",$C477=""),"",$C477-$B477+1)</f>
        <v/>
      </c>
      <c r="Q477" s="11"/>
      <c r="R477" s="12" t="str">
        <f aca="false">IF(OR($Q477="",$K477=""),"",$Q477*$K477)</f>
        <v/>
      </c>
      <c r="S477" s="7"/>
      <c r="T477" s="10"/>
      <c r="U477" s="8"/>
    </row>
    <row r="478" customFormat="false" ht="18.75" hidden="false" customHeight="true" outlineLevel="0" collapsed="false">
      <c r="A478" s="5" t="str">
        <f aca="false">IF($B478="","",COUNT($B$5:$B478))</f>
        <v/>
      </c>
      <c r="B478" s="13"/>
      <c r="C478" s="13"/>
      <c r="D478" s="14"/>
      <c r="E478" s="14"/>
      <c r="F478" s="15"/>
      <c r="G478" s="16"/>
      <c r="H478" s="14"/>
      <c r="I478" s="14"/>
      <c r="J478" s="15"/>
      <c r="K478" s="5" t="str">
        <f aca="false">IF($I478="","",1+IF($J478="",0,LEN($J478)-LEN(SUBSTITUTE($J478,",",""))+1))</f>
        <v/>
      </c>
      <c r="L478" s="14"/>
      <c r="M478" s="15"/>
      <c r="N478" s="17"/>
      <c r="O478" s="17"/>
      <c r="P478" s="5" t="str">
        <f aca="false">IF(OR($B478="",$C478=""),"",$C478-$B478+1)</f>
        <v/>
      </c>
      <c r="Q478" s="18"/>
      <c r="R478" s="12" t="str">
        <f aca="false">IF(OR($Q478="",$K478=""),"",$Q478*$K478)</f>
        <v/>
      </c>
      <c r="S478" s="14"/>
      <c r="T478" s="17"/>
      <c r="U478" s="15"/>
    </row>
    <row r="479" customFormat="false" ht="18.75" hidden="false" customHeight="true" outlineLevel="0" collapsed="false">
      <c r="A479" s="5" t="str">
        <f aca="false">IF($B479="","",COUNT($B$5:$B479))</f>
        <v/>
      </c>
      <c r="B479" s="6"/>
      <c r="C479" s="6"/>
      <c r="D479" s="7"/>
      <c r="E479" s="7"/>
      <c r="F479" s="8"/>
      <c r="G479" s="9"/>
      <c r="H479" s="7"/>
      <c r="I479" s="7"/>
      <c r="J479" s="8"/>
      <c r="K479" s="5" t="str">
        <f aca="false">IF($I479="","",1+IF($J479="",0,LEN($J479)-LEN(SUBSTITUTE($J479,",",""))+1))</f>
        <v/>
      </c>
      <c r="L479" s="7"/>
      <c r="M479" s="8"/>
      <c r="N479" s="10"/>
      <c r="O479" s="10"/>
      <c r="P479" s="5" t="str">
        <f aca="false">IF(OR($B479="",$C479=""),"",$C479-$B479+1)</f>
        <v/>
      </c>
      <c r="Q479" s="11"/>
      <c r="R479" s="12" t="str">
        <f aca="false">IF(OR($Q479="",$K479=""),"",$Q479*$K479)</f>
        <v/>
      </c>
      <c r="S479" s="7"/>
      <c r="T479" s="10"/>
      <c r="U479" s="8"/>
    </row>
    <row r="480" customFormat="false" ht="18.75" hidden="false" customHeight="true" outlineLevel="0" collapsed="false">
      <c r="A480" s="5" t="str">
        <f aca="false">IF($B480="","",COUNT($B$5:$B480))</f>
        <v/>
      </c>
      <c r="B480" s="13"/>
      <c r="C480" s="13"/>
      <c r="D480" s="14"/>
      <c r="E480" s="14"/>
      <c r="F480" s="15"/>
      <c r="G480" s="16"/>
      <c r="H480" s="14"/>
      <c r="I480" s="14"/>
      <c r="J480" s="15"/>
      <c r="K480" s="5" t="str">
        <f aca="false">IF($I480="","",1+IF($J480="",0,LEN($J480)-LEN(SUBSTITUTE($J480,",",""))+1))</f>
        <v/>
      </c>
      <c r="L480" s="14"/>
      <c r="M480" s="15"/>
      <c r="N480" s="17"/>
      <c r="O480" s="17"/>
      <c r="P480" s="5" t="str">
        <f aca="false">IF(OR($B480="",$C480=""),"",$C480-$B480+1)</f>
        <v/>
      </c>
      <c r="Q480" s="18"/>
      <c r="R480" s="12" t="str">
        <f aca="false">IF(OR($Q480="",$K480=""),"",$Q480*$K480)</f>
        <v/>
      </c>
      <c r="S480" s="14"/>
      <c r="T480" s="17"/>
      <c r="U480" s="15"/>
    </row>
    <row r="481" customFormat="false" ht="18.75" hidden="false" customHeight="true" outlineLevel="0" collapsed="false">
      <c r="A481" s="5" t="str">
        <f aca="false">IF($B481="","",COUNT($B$5:$B481))</f>
        <v/>
      </c>
      <c r="B481" s="6"/>
      <c r="C481" s="6"/>
      <c r="D481" s="7"/>
      <c r="E481" s="7"/>
      <c r="F481" s="8"/>
      <c r="G481" s="9"/>
      <c r="H481" s="7"/>
      <c r="I481" s="7"/>
      <c r="J481" s="8"/>
      <c r="K481" s="5" t="str">
        <f aca="false">IF($I481="","",1+IF($J481="",0,LEN($J481)-LEN(SUBSTITUTE($J481,",",""))+1))</f>
        <v/>
      </c>
      <c r="L481" s="7"/>
      <c r="M481" s="8"/>
      <c r="N481" s="10"/>
      <c r="O481" s="10"/>
      <c r="P481" s="5" t="str">
        <f aca="false">IF(OR($B481="",$C481=""),"",$C481-$B481+1)</f>
        <v/>
      </c>
      <c r="Q481" s="11"/>
      <c r="R481" s="12" t="str">
        <f aca="false">IF(OR($Q481="",$K481=""),"",$Q481*$K481)</f>
        <v/>
      </c>
      <c r="S481" s="7"/>
      <c r="T481" s="10"/>
      <c r="U481" s="8"/>
    </row>
    <row r="482" customFormat="false" ht="18.75" hidden="false" customHeight="true" outlineLevel="0" collapsed="false">
      <c r="A482" s="5" t="str">
        <f aca="false">IF($B482="","",COUNT($B$5:$B482))</f>
        <v/>
      </c>
      <c r="B482" s="13"/>
      <c r="C482" s="13"/>
      <c r="D482" s="14"/>
      <c r="E482" s="14"/>
      <c r="F482" s="15"/>
      <c r="G482" s="16"/>
      <c r="H482" s="14"/>
      <c r="I482" s="14"/>
      <c r="J482" s="15"/>
      <c r="K482" s="5" t="str">
        <f aca="false">IF($I482="","",1+IF($J482="",0,LEN($J482)-LEN(SUBSTITUTE($J482,",",""))+1))</f>
        <v/>
      </c>
      <c r="L482" s="14"/>
      <c r="M482" s="15"/>
      <c r="N482" s="17"/>
      <c r="O482" s="17"/>
      <c r="P482" s="5" t="str">
        <f aca="false">IF(OR($B482="",$C482=""),"",$C482-$B482+1)</f>
        <v/>
      </c>
      <c r="Q482" s="18"/>
      <c r="R482" s="12" t="str">
        <f aca="false">IF(OR($Q482="",$K482=""),"",$Q482*$K482)</f>
        <v/>
      </c>
      <c r="S482" s="14"/>
      <c r="T482" s="17"/>
      <c r="U482" s="15"/>
    </row>
    <row r="483" customFormat="false" ht="18.75" hidden="false" customHeight="true" outlineLevel="0" collapsed="false">
      <c r="A483" s="5" t="str">
        <f aca="false">IF($B483="","",COUNT($B$5:$B483))</f>
        <v/>
      </c>
      <c r="B483" s="6"/>
      <c r="C483" s="6"/>
      <c r="D483" s="7"/>
      <c r="E483" s="7"/>
      <c r="F483" s="8"/>
      <c r="G483" s="9"/>
      <c r="H483" s="7"/>
      <c r="I483" s="7"/>
      <c r="J483" s="8"/>
      <c r="K483" s="5" t="str">
        <f aca="false">IF($I483="","",1+IF($J483="",0,LEN($J483)-LEN(SUBSTITUTE($J483,",",""))+1))</f>
        <v/>
      </c>
      <c r="L483" s="7"/>
      <c r="M483" s="8"/>
      <c r="N483" s="10"/>
      <c r="O483" s="10"/>
      <c r="P483" s="5" t="str">
        <f aca="false">IF(OR($B483="",$C483=""),"",$C483-$B483+1)</f>
        <v/>
      </c>
      <c r="Q483" s="11"/>
      <c r="R483" s="12" t="str">
        <f aca="false">IF(OR($Q483="",$K483=""),"",$Q483*$K483)</f>
        <v/>
      </c>
      <c r="S483" s="7"/>
      <c r="T483" s="10"/>
      <c r="U483" s="8"/>
    </row>
    <row r="484" customFormat="false" ht="18.75" hidden="false" customHeight="true" outlineLevel="0" collapsed="false">
      <c r="A484" s="5" t="str">
        <f aca="false">IF($B484="","",COUNT($B$5:$B484))</f>
        <v/>
      </c>
      <c r="B484" s="13"/>
      <c r="C484" s="13"/>
      <c r="D484" s="14"/>
      <c r="E484" s="14"/>
      <c r="F484" s="15"/>
      <c r="G484" s="16"/>
      <c r="H484" s="14"/>
      <c r="I484" s="14"/>
      <c r="J484" s="15"/>
      <c r="K484" s="5" t="str">
        <f aca="false">IF($I484="","",1+IF($J484="",0,LEN($J484)-LEN(SUBSTITUTE($J484,",",""))+1))</f>
        <v/>
      </c>
      <c r="L484" s="14"/>
      <c r="M484" s="15"/>
      <c r="N484" s="17"/>
      <c r="O484" s="17"/>
      <c r="P484" s="5" t="str">
        <f aca="false">IF(OR($B484="",$C484=""),"",$C484-$B484+1)</f>
        <v/>
      </c>
      <c r="Q484" s="18"/>
      <c r="R484" s="12" t="str">
        <f aca="false">IF(OR($Q484="",$K484=""),"",$Q484*$K484)</f>
        <v/>
      </c>
      <c r="S484" s="14"/>
      <c r="T484" s="17"/>
      <c r="U484" s="15"/>
    </row>
    <row r="485" customFormat="false" ht="18.75" hidden="false" customHeight="true" outlineLevel="0" collapsed="false">
      <c r="A485" s="5" t="str">
        <f aca="false">IF($B485="","",COUNT($B$5:$B485))</f>
        <v/>
      </c>
      <c r="B485" s="6"/>
      <c r="C485" s="6"/>
      <c r="D485" s="7"/>
      <c r="E485" s="7"/>
      <c r="F485" s="8"/>
      <c r="G485" s="9"/>
      <c r="H485" s="7"/>
      <c r="I485" s="7"/>
      <c r="J485" s="8"/>
      <c r="K485" s="5" t="str">
        <f aca="false">IF($I485="","",1+IF($J485="",0,LEN($J485)-LEN(SUBSTITUTE($J485,",",""))+1))</f>
        <v/>
      </c>
      <c r="L485" s="7"/>
      <c r="M485" s="8"/>
      <c r="N485" s="10"/>
      <c r="O485" s="10"/>
      <c r="P485" s="5" t="str">
        <f aca="false">IF(OR($B485="",$C485=""),"",$C485-$B485+1)</f>
        <v/>
      </c>
      <c r="Q485" s="11"/>
      <c r="R485" s="12" t="str">
        <f aca="false">IF(OR($Q485="",$K485=""),"",$Q485*$K485)</f>
        <v/>
      </c>
      <c r="S485" s="7"/>
      <c r="T485" s="10"/>
      <c r="U485" s="8"/>
    </row>
    <row r="486" customFormat="false" ht="18.75" hidden="false" customHeight="true" outlineLevel="0" collapsed="false">
      <c r="A486" s="5" t="str">
        <f aca="false">IF($B486="","",COUNT($B$5:$B486))</f>
        <v/>
      </c>
      <c r="B486" s="13"/>
      <c r="C486" s="13"/>
      <c r="D486" s="14"/>
      <c r="E486" s="14"/>
      <c r="F486" s="15"/>
      <c r="G486" s="16"/>
      <c r="H486" s="14"/>
      <c r="I486" s="14"/>
      <c r="J486" s="15"/>
      <c r="K486" s="5" t="str">
        <f aca="false">IF($I486="","",1+IF($J486="",0,LEN($J486)-LEN(SUBSTITUTE($J486,",",""))+1))</f>
        <v/>
      </c>
      <c r="L486" s="14"/>
      <c r="M486" s="15"/>
      <c r="N486" s="17"/>
      <c r="O486" s="17"/>
      <c r="P486" s="5" t="str">
        <f aca="false">IF(OR($B486="",$C486=""),"",$C486-$B486+1)</f>
        <v/>
      </c>
      <c r="Q486" s="18"/>
      <c r="R486" s="12" t="str">
        <f aca="false">IF(OR($Q486="",$K486=""),"",$Q486*$K486)</f>
        <v/>
      </c>
      <c r="S486" s="14"/>
      <c r="T486" s="17"/>
      <c r="U486" s="15"/>
    </row>
    <row r="487" customFormat="false" ht="18.75" hidden="false" customHeight="true" outlineLevel="0" collapsed="false">
      <c r="A487" s="5" t="str">
        <f aca="false">IF($B487="","",COUNT($B$5:$B487))</f>
        <v/>
      </c>
      <c r="B487" s="6"/>
      <c r="C487" s="6"/>
      <c r="D487" s="7"/>
      <c r="E487" s="7"/>
      <c r="F487" s="8"/>
      <c r="G487" s="9"/>
      <c r="H487" s="7"/>
      <c r="I487" s="7"/>
      <c r="J487" s="8"/>
      <c r="K487" s="5" t="str">
        <f aca="false">IF($I487="","",1+IF($J487="",0,LEN($J487)-LEN(SUBSTITUTE($J487,",",""))+1))</f>
        <v/>
      </c>
      <c r="L487" s="7"/>
      <c r="M487" s="8"/>
      <c r="N487" s="10"/>
      <c r="O487" s="10"/>
      <c r="P487" s="5" t="str">
        <f aca="false">IF(OR($B487="",$C487=""),"",$C487-$B487+1)</f>
        <v/>
      </c>
      <c r="Q487" s="11"/>
      <c r="R487" s="12" t="str">
        <f aca="false">IF(OR($Q487="",$K487=""),"",$Q487*$K487)</f>
        <v/>
      </c>
      <c r="S487" s="7"/>
      <c r="T487" s="10"/>
      <c r="U487" s="8"/>
    </row>
    <row r="488" customFormat="false" ht="18.75" hidden="false" customHeight="true" outlineLevel="0" collapsed="false">
      <c r="A488" s="5" t="str">
        <f aca="false">IF($B488="","",COUNT($B$5:$B488))</f>
        <v/>
      </c>
      <c r="B488" s="13"/>
      <c r="C488" s="13"/>
      <c r="D488" s="14"/>
      <c r="E488" s="14"/>
      <c r="F488" s="15"/>
      <c r="G488" s="16"/>
      <c r="H488" s="14"/>
      <c r="I488" s="14"/>
      <c r="J488" s="15"/>
      <c r="K488" s="5" t="str">
        <f aca="false">IF($I488="","",1+IF($J488="",0,LEN($J488)-LEN(SUBSTITUTE($J488,",",""))+1))</f>
        <v/>
      </c>
      <c r="L488" s="14"/>
      <c r="M488" s="15"/>
      <c r="N488" s="17"/>
      <c r="O488" s="17"/>
      <c r="P488" s="5" t="str">
        <f aca="false">IF(OR($B488="",$C488=""),"",$C488-$B488+1)</f>
        <v/>
      </c>
      <c r="Q488" s="18"/>
      <c r="R488" s="12" t="str">
        <f aca="false">IF(OR($Q488="",$K488=""),"",$Q488*$K488)</f>
        <v/>
      </c>
      <c r="S488" s="14"/>
      <c r="T488" s="17"/>
      <c r="U488" s="15"/>
    </row>
    <row r="489" customFormat="false" ht="18.75" hidden="false" customHeight="true" outlineLevel="0" collapsed="false">
      <c r="A489" s="5" t="str">
        <f aca="false">IF($B489="","",COUNT($B$5:$B489))</f>
        <v/>
      </c>
      <c r="B489" s="6"/>
      <c r="C489" s="6"/>
      <c r="D489" s="7"/>
      <c r="E489" s="7"/>
      <c r="F489" s="8"/>
      <c r="G489" s="9"/>
      <c r="H489" s="7"/>
      <c r="I489" s="7"/>
      <c r="J489" s="8"/>
      <c r="K489" s="5" t="str">
        <f aca="false">IF($I489="","",1+IF($J489="",0,LEN($J489)-LEN(SUBSTITUTE($J489,",",""))+1))</f>
        <v/>
      </c>
      <c r="L489" s="7"/>
      <c r="M489" s="8"/>
      <c r="N489" s="10"/>
      <c r="O489" s="10"/>
      <c r="P489" s="5" t="str">
        <f aca="false">IF(OR($B489="",$C489=""),"",$C489-$B489+1)</f>
        <v/>
      </c>
      <c r="Q489" s="11"/>
      <c r="R489" s="12" t="str">
        <f aca="false">IF(OR($Q489="",$K489=""),"",$Q489*$K489)</f>
        <v/>
      </c>
      <c r="S489" s="7"/>
      <c r="T489" s="10"/>
      <c r="U489" s="8"/>
    </row>
    <row r="490" customFormat="false" ht="18.75" hidden="false" customHeight="true" outlineLevel="0" collapsed="false">
      <c r="A490" s="5" t="str">
        <f aca="false">IF($B490="","",COUNT($B$5:$B490))</f>
        <v/>
      </c>
      <c r="B490" s="13"/>
      <c r="C490" s="13"/>
      <c r="D490" s="14"/>
      <c r="E490" s="14"/>
      <c r="F490" s="15"/>
      <c r="G490" s="16"/>
      <c r="H490" s="14"/>
      <c r="I490" s="14"/>
      <c r="J490" s="15"/>
      <c r="K490" s="5" t="str">
        <f aca="false">IF($I490="","",1+IF($J490="",0,LEN($J490)-LEN(SUBSTITUTE($J490,",",""))+1))</f>
        <v/>
      </c>
      <c r="L490" s="14"/>
      <c r="M490" s="15"/>
      <c r="N490" s="17"/>
      <c r="O490" s="17"/>
      <c r="P490" s="5" t="str">
        <f aca="false">IF(OR($B490="",$C490=""),"",$C490-$B490+1)</f>
        <v/>
      </c>
      <c r="Q490" s="18"/>
      <c r="R490" s="12" t="str">
        <f aca="false">IF(OR($Q490="",$K490=""),"",$Q490*$K490)</f>
        <v/>
      </c>
      <c r="S490" s="14"/>
      <c r="T490" s="17"/>
      <c r="U490" s="15"/>
    </row>
    <row r="491" customFormat="false" ht="18.75" hidden="false" customHeight="true" outlineLevel="0" collapsed="false">
      <c r="A491" s="5" t="str">
        <f aca="false">IF($B491="","",COUNT($B$5:$B491))</f>
        <v/>
      </c>
      <c r="B491" s="6"/>
      <c r="C491" s="6"/>
      <c r="D491" s="7"/>
      <c r="E491" s="7"/>
      <c r="F491" s="8"/>
      <c r="G491" s="9"/>
      <c r="H491" s="7"/>
      <c r="I491" s="7"/>
      <c r="J491" s="8"/>
      <c r="K491" s="5" t="str">
        <f aca="false">IF($I491="","",1+IF($J491="",0,LEN($J491)-LEN(SUBSTITUTE($J491,",",""))+1))</f>
        <v/>
      </c>
      <c r="L491" s="7"/>
      <c r="M491" s="8"/>
      <c r="N491" s="10"/>
      <c r="O491" s="10"/>
      <c r="P491" s="5" t="str">
        <f aca="false">IF(OR($B491="",$C491=""),"",$C491-$B491+1)</f>
        <v/>
      </c>
      <c r="Q491" s="11"/>
      <c r="R491" s="12" t="str">
        <f aca="false">IF(OR($Q491="",$K491=""),"",$Q491*$K491)</f>
        <v/>
      </c>
      <c r="S491" s="7"/>
      <c r="T491" s="10"/>
      <c r="U491" s="8"/>
    </row>
    <row r="492" customFormat="false" ht="18.75" hidden="false" customHeight="true" outlineLevel="0" collapsed="false">
      <c r="A492" s="5" t="str">
        <f aca="false">IF($B492="","",COUNT($B$5:$B492))</f>
        <v/>
      </c>
      <c r="B492" s="13"/>
      <c r="C492" s="13"/>
      <c r="D492" s="14"/>
      <c r="E492" s="14"/>
      <c r="F492" s="15"/>
      <c r="G492" s="16"/>
      <c r="H492" s="14"/>
      <c r="I492" s="14"/>
      <c r="J492" s="15"/>
      <c r="K492" s="5" t="str">
        <f aca="false">IF($I492="","",1+IF($J492="",0,LEN($J492)-LEN(SUBSTITUTE($J492,",",""))+1))</f>
        <v/>
      </c>
      <c r="L492" s="14"/>
      <c r="M492" s="15"/>
      <c r="N492" s="17"/>
      <c r="O492" s="17"/>
      <c r="P492" s="5" t="str">
        <f aca="false">IF(OR($B492="",$C492=""),"",$C492-$B492+1)</f>
        <v/>
      </c>
      <c r="Q492" s="18"/>
      <c r="R492" s="12" t="str">
        <f aca="false">IF(OR($Q492="",$K492=""),"",$Q492*$K492)</f>
        <v/>
      </c>
      <c r="S492" s="14"/>
      <c r="T492" s="17"/>
      <c r="U492" s="15"/>
    </row>
    <row r="493" customFormat="false" ht="18.75" hidden="false" customHeight="true" outlineLevel="0" collapsed="false">
      <c r="A493" s="5" t="str">
        <f aca="false">IF($B493="","",COUNT($B$5:$B493))</f>
        <v/>
      </c>
      <c r="B493" s="6"/>
      <c r="C493" s="6"/>
      <c r="D493" s="7"/>
      <c r="E493" s="7"/>
      <c r="F493" s="8"/>
      <c r="G493" s="9"/>
      <c r="H493" s="7"/>
      <c r="I493" s="7"/>
      <c r="J493" s="8"/>
      <c r="K493" s="5" t="str">
        <f aca="false">IF($I493="","",1+IF($J493="",0,LEN($J493)-LEN(SUBSTITUTE($J493,",",""))+1))</f>
        <v/>
      </c>
      <c r="L493" s="7"/>
      <c r="M493" s="8"/>
      <c r="N493" s="10"/>
      <c r="O493" s="10"/>
      <c r="P493" s="5" t="str">
        <f aca="false">IF(OR($B493="",$C493=""),"",$C493-$B493+1)</f>
        <v/>
      </c>
      <c r="Q493" s="11"/>
      <c r="R493" s="12" t="str">
        <f aca="false">IF(OR($Q493="",$K493=""),"",$Q493*$K493)</f>
        <v/>
      </c>
      <c r="S493" s="7"/>
      <c r="T493" s="10"/>
      <c r="U493" s="8"/>
    </row>
    <row r="494" customFormat="false" ht="18.75" hidden="false" customHeight="true" outlineLevel="0" collapsed="false">
      <c r="A494" s="5" t="str">
        <f aca="false">IF($B494="","",COUNT($B$5:$B494))</f>
        <v/>
      </c>
      <c r="B494" s="13"/>
      <c r="C494" s="13"/>
      <c r="D494" s="14"/>
      <c r="E494" s="14"/>
      <c r="F494" s="15"/>
      <c r="G494" s="16"/>
      <c r="H494" s="14"/>
      <c r="I494" s="14"/>
      <c r="J494" s="15"/>
      <c r="K494" s="5" t="str">
        <f aca="false">IF($I494="","",1+IF($J494="",0,LEN($J494)-LEN(SUBSTITUTE($J494,",",""))+1))</f>
        <v/>
      </c>
      <c r="L494" s="14"/>
      <c r="M494" s="15"/>
      <c r="N494" s="17"/>
      <c r="O494" s="17"/>
      <c r="P494" s="5" t="str">
        <f aca="false">IF(OR($B494="",$C494=""),"",$C494-$B494+1)</f>
        <v/>
      </c>
      <c r="Q494" s="18"/>
      <c r="R494" s="12" t="str">
        <f aca="false">IF(OR($Q494="",$K494=""),"",$Q494*$K494)</f>
        <v/>
      </c>
      <c r="S494" s="14"/>
      <c r="T494" s="17"/>
      <c r="U494" s="15"/>
    </row>
    <row r="495" customFormat="false" ht="18.75" hidden="false" customHeight="true" outlineLevel="0" collapsed="false">
      <c r="A495" s="5" t="str">
        <f aca="false">IF($B495="","",COUNT($B$5:$B495))</f>
        <v/>
      </c>
      <c r="B495" s="6"/>
      <c r="C495" s="6"/>
      <c r="D495" s="7"/>
      <c r="E495" s="7"/>
      <c r="F495" s="8"/>
      <c r="G495" s="9"/>
      <c r="H495" s="7"/>
      <c r="I495" s="7"/>
      <c r="J495" s="8"/>
      <c r="K495" s="5" t="str">
        <f aca="false">IF($I495="","",1+IF($J495="",0,LEN($J495)-LEN(SUBSTITUTE($J495,",",""))+1))</f>
        <v/>
      </c>
      <c r="L495" s="7"/>
      <c r="M495" s="8"/>
      <c r="N495" s="10"/>
      <c r="O495" s="10"/>
      <c r="P495" s="5" t="str">
        <f aca="false">IF(OR($B495="",$C495=""),"",$C495-$B495+1)</f>
        <v/>
      </c>
      <c r="Q495" s="11"/>
      <c r="R495" s="12" t="str">
        <f aca="false">IF(OR($Q495="",$K495=""),"",$Q495*$K495)</f>
        <v/>
      </c>
      <c r="S495" s="7"/>
      <c r="T495" s="10"/>
      <c r="U495" s="8"/>
    </row>
    <row r="496" customFormat="false" ht="18.75" hidden="false" customHeight="true" outlineLevel="0" collapsed="false">
      <c r="A496" s="5" t="str">
        <f aca="false">IF($B496="","",COUNT($B$5:$B496))</f>
        <v/>
      </c>
      <c r="B496" s="13"/>
      <c r="C496" s="13"/>
      <c r="D496" s="14"/>
      <c r="E496" s="14"/>
      <c r="F496" s="15"/>
      <c r="G496" s="16"/>
      <c r="H496" s="14"/>
      <c r="I496" s="14"/>
      <c r="J496" s="15"/>
      <c r="K496" s="5" t="str">
        <f aca="false">IF($I496="","",1+IF($J496="",0,LEN($J496)-LEN(SUBSTITUTE($J496,",",""))+1))</f>
        <v/>
      </c>
      <c r="L496" s="14"/>
      <c r="M496" s="15"/>
      <c r="N496" s="17"/>
      <c r="O496" s="17"/>
      <c r="P496" s="5" t="str">
        <f aca="false">IF(OR($B496="",$C496=""),"",$C496-$B496+1)</f>
        <v/>
      </c>
      <c r="Q496" s="18"/>
      <c r="R496" s="12" t="str">
        <f aca="false">IF(OR($Q496="",$K496=""),"",$Q496*$K496)</f>
        <v/>
      </c>
      <c r="S496" s="14"/>
      <c r="T496" s="17"/>
      <c r="U496" s="15"/>
    </row>
    <row r="497" customFormat="false" ht="18.75" hidden="false" customHeight="true" outlineLevel="0" collapsed="false">
      <c r="A497" s="5" t="str">
        <f aca="false">IF($B497="","",COUNT($B$5:$B497))</f>
        <v/>
      </c>
      <c r="B497" s="6"/>
      <c r="C497" s="6"/>
      <c r="D497" s="7"/>
      <c r="E497" s="7"/>
      <c r="F497" s="8"/>
      <c r="G497" s="9"/>
      <c r="H497" s="7"/>
      <c r="I497" s="7"/>
      <c r="J497" s="8"/>
      <c r="K497" s="5" t="str">
        <f aca="false">IF($I497="","",1+IF($J497="",0,LEN($J497)-LEN(SUBSTITUTE($J497,",",""))+1))</f>
        <v/>
      </c>
      <c r="L497" s="7"/>
      <c r="M497" s="8"/>
      <c r="N497" s="10"/>
      <c r="O497" s="10"/>
      <c r="P497" s="5" t="str">
        <f aca="false">IF(OR($B497="",$C497=""),"",$C497-$B497+1)</f>
        <v/>
      </c>
      <c r="Q497" s="11"/>
      <c r="R497" s="12" t="str">
        <f aca="false">IF(OR($Q497="",$K497=""),"",$Q497*$K497)</f>
        <v/>
      </c>
      <c r="S497" s="7"/>
      <c r="T497" s="10"/>
      <c r="U497" s="8"/>
    </row>
    <row r="498" customFormat="false" ht="18.75" hidden="false" customHeight="true" outlineLevel="0" collapsed="false">
      <c r="A498" s="5" t="str">
        <f aca="false">IF($B498="","",COUNT($B$5:$B498))</f>
        <v/>
      </c>
      <c r="B498" s="13"/>
      <c r="C498" s="13"/>
      <c r="D498" s="14"/>
      <c r="E498" s="14"/>
      <c r="F498" s="15"/>
      <c r="G498" s="16"/>
      <c r="H498" s="14"/>
      <c r="I498" s="14"/>
      <c r="J498" s="15"/>
      <c r="K498" s="5" t="str">
        <f aca="false">IF($I498="","",1+IF($J498="",0,LEN($J498)-LEN(SUBSTITUTE($J498,",",""))+1))</f>
        <v/>
      </c>
      <c r="L498" s="14"/>
      <c r="M498" s="15"/>
      <c r="N498" s="17"/>
      <c r="O498" s="17"/>
      <c r="P498" s="5" t="str">
        <f aca="false">IF(OR($B498="",$C498=""),"",$C498-$B498+1)</f>
        <v/>
      </c>
      <c r="Q498" s="18"/>
      <c r="R498" s="12" t="str">
        <f aca="false">IF(OR($Q498="",$K498=""),"",$Q498*$K498)</f>
        <v/>
      </c>
      <c r="S498" s="14"/>
      <c r="T498" s="17"/>
      <c r="U498" s="15"/>
    </row>
    <row r="499" customFormat="false" ht="18.75" hidden="false" customHeight="true" outlineLevel="0" collapsed="false">
      <c r="A499" s="5" t="str">
        <f aca="false">IF($B499="","",COUNT($B$5:$B499))</f>
        <v/>
      </c>
      <c r="B499" s="6"/>
      <c r="C499" s="6"/>
      <c r="D499" s="7"/>
      <c r="E499" s="7"/>
      <c r="F499" s="8"/>
      <c r="G499" s="9"/>
      <c r="H499" s="7"/>
      <c r="I499" s="7"/>
      <c r="J499" s="8"/>
      <c r="K499" s="5" t="str">
        <f aca="false">IF($I499="","",1+IF($J499="",0,LEN($J499)-LEN(SUBSTITUTE($J499,",",""))+1))</f>
        <v/>
      </c>
      <c r="L499" s="7"/>
      <c r="M499" s="8"/>
      <c r="N499" s="10"/>
      <c r="O499" s="10"/>
      <c r="P499" s="5" t="str">
        <f aca="false">IF(OR($B499="",$C499=""),"",$C499-$B499+1)</f>
        <v/>
      </c>
      <c r="Q499" s="11"/>
      <c r="R499" s="12" t="str">
        <f aca="false">IF(OR($Q499="",$K499=""),"",$Q499*$K499)</f>
        <v/>
      </c>
      <c r="S499" s="7"/>
      <c r="T499" s="10"/>
      <c r="U499" s="8"/>
    </row>
    <row r="500" customFormat="false" ht="18.75" hidden="false" customHeight="true" outlineLevel="0" collapsed="false">
      <c r="A500" s="5" t="str">
        <f aca="false">IF($B500="","",COUNT($B$5:$B500))</f>
        <v/>
      </c>
      <c r="B500" s="13"/>
      <c r="C500" s="13"/>
      <c r="D500" s="14"/>
      <c r="E500" s="14"/>
      <c r="F500" s="15"/>
      <c r="G500" s="16"/>
      <c r="H500" s="14"/>
      <c r="I500" s="14"/>
      <c r="J500" s="15"/>
      <c r="K500" s="5" t="str">
        <f aca="false">IF($I500="","",1+IF($J500="",0,LEN($J500)-LEN(SUBSTITUTE($J500,",",""))+1))</f>
        <v/>
      </c>
      <c r="L500" s="14"/>
      <c r="M500" s="15"/>
      <c r="N500" s="17"/>
      <c r="O500" s="17"/>
      <c r="P500" s="5" t="str">
        <f aca="false">IF(OR($B500="",$C500=""),"",$C500-$B500+1)</f>
        <v/>
      </c>
      <c r="Q500" s="18"/>
      <c r="R500" s="12" t="str">
        <f aca="false">IF(OR($Q500="",$K500=""),"",$Q500*$K500)</f>
        <v/>
      </c>
      <c r="S500" s="14"/>
      <c r="T500" s="17"/>
      <c r="U500" s="15"/>
    </row>
    <row r="501" customFormat="false" ht="18.75" hidden="false" customHeight="true" outlineLevel="0" collapsed="false">
      <c r="A501" s="5" t="str">
        <f aca="false">IF($B501="","",COUNT($B$5:$B501))</f>
        <v/>
      </c>
      <c r="B501" s="6"/>
      <c r="C501" s="6"/>
      <c r="D501" s="7"/>
      <c r="E501" s="7"/>
      <c r="F501" s="8"/>
      <c r="G501" s="9"/>
      <c r="H501" s="7"/>
      <c r="I501" s="7"/>
      <c r="J501" s="8"/>
      <c r="K501" s="5" t="str">
        <f aca="false">IF($I501="","",1+IF($J501="",0,LEN($J501)-LEN(SUBSTITUTE($J501,",",""))+1))</f>
        <v/>
      </c>
      <c r="L501" s="7"/>
      <c r="M501" s="8"/>
      <c r="N501" s="10"/>
      <c r="O501" s="10"/>
      <c r="P501" s="5" t="str">
        <f aca="false">IF(OR($B501="",$C501=""),"",$C501-$B501+1)</f>
        <v/>
      </c>
      <c r="Q501" s="11"/>
      <c r="R501" s="12" t="str">
        <f aca="false">IF(OR($Q501="",$K501=""),"",$Q501*$K501)</f>
        <v/>
      </c>
      <c r="S501" s="7"/>
      <c r="T501" s="10"/>
      <c r="U501" s="8"/>
    </row>
    <row r="502" customFormat="false" ht="18.75" hidden="false" customHeight="true" outlineLevel="0" collapsed="false">
      <c r="A502" s="5" t="str">
        <f aca="false">IF($B502="","",COUNT($B$5:$B502))</f>
        <v/>
      </c>
      <c r="B502" s="13"/>
      <c r="C502" s="13"/>
      <c r="D502" s="14"/>
      <c r="E502" s="14"/>
      <c r="F502" s="15"/>
      <c r="G502" s="16"/>
      <c r="H502" s="14"/>
      <c r="I502" s="14"/>
      <c r="J502" s="15"/>
      <c r="K502" s="5" t="str">
        <f aca="false">IF($I502="","",1+IF($J502="",0,LEN($J502)-LEN(SUBSTITUTE($J502,",",""))+1))</f>
        <v/>
      </c>
      <c r="L502" s="14"/>
      <c r="M502" s="15"/>
      <c r="N502" s="17"/>
      <c r="O502" s="17"/>
      <c r="P502" s="5" t="str">
        <f aca="false">IF(OR($B502="",$C502=""),"",$C502-$B502+1)</f>
        <v/>
      </c>
      <c r="Q502" s="18"/>
      <c r="R502" s="12" t="str">
        <f aca="false">IF(OR($Q502="",$K502=""),"",$Q502*$K502)</f>
        <v/>
      </c>
      <c r="S502" s="14"/>
      <c r="T502" s="17"/>
      <c r="U502" s="15"/>
    </row>
    <row r="503" customFormat="false" ht="18.75" hidden="false" customHeight="true" outlineLevel="0" collapsed="false">
      <c r="A503" s="5" t="str">
        <f aca="false">IF($B503="","",COUNT($B$5:$B503))</f>
        <v/>
      </c>
      <c r="B503" s="6"/>
      <c r="C503" s="6"/>
      <c r="D503" s="7"/>
      <c r="E503" s="7"/>
      <c r="F503" s="8"/>
      <c r="G503" s="9"/>
      <c r="H503" s="7"/>
      <c r="I503" s="7"/>
      <c r="J503" s="8"/>
      <c r="K503" s="5" t="str">
        <f aca="false">IF($I503="","",1+IF($J503="",0,LEN($J503)-LEN(SUBSTITUTE($J503,",",""))+1))</f>
        <v/>
      </c>
      <c r="L503" s="7"/>
      <c r="M503" s="8"/>
      <c r="N503" s="10"/>
      <c r="O503" s="10"/>
      <c r="P503" s="5" t="str">
        <f aca="false">IF(OR($B503="",$C503=""),"",$C503-$B503+1)</f>
        <v/>
      </c>
      <c r="Q503" s="11"/>
      <c r="R503" s="12" t="str">
        <f aca="false">IF(OR($Q503="",$K503=""),"",$Q503*$K503)</f>
        <v/>
      </c>
      <c r="S503" s="7"/>
      <c r="T503" s="10"/>
      <c r="U503" s="8"/>
    </row>
    <row r="504" customFormat="false" ht="18.75" hidden="false" customHeight="true" outlineLevel="0" collapsed="false">
      <c r="A504" s="5" t="str">
        <f aca="false">IF($B504="","",COUNT($B$5:$B504))</f>
        <v/>
      </c>
      <c r="B504" s="13"/>
      <c r="C504" s="13"/>
      <c r="D504" s="14"/>
      <c r="E504" s="14"/>
      <c r="F504" s="15"/>
      <c r="G504" s="16"/>
      <c r="H504" s="14"/>
      <c r="I504" s="14"/>
      <c r="J504" s="15"/>
      <c r="K504" s="5" t="str">
        <f aca="false">IF($I504="","",1+IF($J504="",0,LEN($J504)-LEN(SUBSTITUTE($J504,",",""))+1))</f>
        <v/>
      </c>
      <c r="L504" s="14"/>
      <c r="M504" s="15"/>
      <c r="N504" s="17"/>
      <c r="O504" s="17"/>
      <c r="P504" s="5" t="str">
        <f aca="false">IF(OR($B504="",$C504=""),"",$C504-$B504+1)</f>
        <v/>
      </c>
      <c r="Q504" s="18"/>
      <c r="R504" s="12" t="str">
        <f aca="false">IF(OR($Q504="",$K504=""),"",$Q504*$K504)</f>
        <v/>
      </c>
      <c r="S504" s="14"/>
      <c r="T504" s="17"/>
      <c r="U504" s="15"/>
    </row>
    <row r="505" customFormat="false" ht="18.75" hidden="false" customHeight="true" outlineLevel="0" collapsed="false">
      <c r="A505" s="5" t="str">
        <f aca="false">IF($B505="","",COUNT($B$5:$B505))</f>
        <v/>
      </c>
      <c r="B505" s="6"/>
      <c r="C505" s="6"/>
      <c r="D505" s="7"/>
      <c r="E505" s="7"/>
      <c r="F505" s="8"/>
      <c r="G505" s="9"/>
      <c r="H505" s="7"/>
      <c r="I505" s="7"/>
      <c r="J505" s="8"/>
      <c r="K505" s="5" t="str">
        <f aca="false">IF($I505="","",1+IF($J505="",0,LEN($J505)-LEN(SUBSTITUTE($J505,",",""))+1))</f>
        <v/>
      </c>
      <c r="L505" s="7"/>
      <c r="M505" s="8"/>
      <c r="N505" s="10"/>
      <c r="O505" s="10"/>
      <c r="P505" s="5" t="str">
        <f aca="false">IF(OR($B505="",$C505=""),"",$C505-$B505+1)</f>
        <v/>
      </c>
      <c r="Q505" s="11"/>
      <c r="R505" s="12" t="str">
        <f aca="false">IF(OR($Q505="",$K505=""),"",$Q505*$K505)</f>
        <v/>
      </c>
      <c r="S505" s="7"/>
      <c r="T505" s="10"/>
      <c r="U505" s="8"/>
    </row>
    <row r="506" customFormat="false" ht="18.75" hidden="false" customHeight="true" outlineLevel="0" collapsed="false">
      <c r="A506" s="5" t="str">
        <f aca="false">IF($B506="","",COUNT($B$5:$B506))</f>
        <v/>
      </c>
      <c r="B506" s="13"/>
      <c r="C506" s="13"/>
      <c r="D506" s="14"/>
      <c r="E506" s="14"/>
      <c r="F506" s="15"/>
      <c r="G506" s="16"/>
      <c r="H506" s="14"/>
      <c r="I506" s="14"/>
      <c r="J506" s="15"/>
      <c r="K506" s="5" t="str">
        <f aca="false">IF($I506="","",1+IF($J506="",0,LEN($J506)-LEN(SUBSTITUTE($J506,",",""))+1))</f>
        <v/>
      </c>
      <c r="L506" s="14"/>
      <c r="M506" s="15"/>
      <c r="N506" s="17"/>
      <c r="O506" s="17"/>
      <c r="P506" s="5" t="str">
        <f aca="false">IF(OR($B506="",$C506=""),"",$C506-$B506+1)</f>
        <v/>
      </c>
      <c r="Q506" s="18"/>
      <c r="R506" s="12" t="str">
        <f aca="false">IF(OR($Q506="",$K506=""),"",$Q506*$K506)</f>
        <v/>
      </c>
      <c r="S506" s="14"/>
      <c r="T506" s="17"/>
      <c r="U506" s="15"/>
    </row>
    <row r="507" customFormat="false" ht="18.75" hidden="false" customHeight="true" outlineLevel="0" collapsed="false">
      <c r="A507" s="5" t="str">
        <f aca="false">IF($B507="","",COUNT($B$5:$B507))</f>
        <v/>
      </c>
      <c r="B507" s="6"/>
      <c r="C507" s="6"/>
      <c r="D507" s="7"/>
      <c r="E507" s="7"/>
      <c r="F507" s="8"/>
      <c r="G507" s="9"/>
      <c r="H507" s="7"/>
      <c r="I507" s="7"/>
      <c r="J507" s="8"/>
      <c r="K507" s="5" t="str">
        <f aca="false">IF($I507="","",1+IF($J507="",0,LEN($J507)-LEN(SUBSTITUTE($J507,",",""))+1))</f>
        <v/>
      </c>
      <c r="L507" s="7"/>
      <c r="M507" s="8"/>
      <c r="N507" s="10"/>
      <c r="O507" s="10"/>
      <c r="P507" s="5" t="str">
        <f aca="false">IF(OR($B507="",$C507=""),"",$C507-$B507+1)</f>
        <v/>
      </c>
      <c r="Q507" s="11"/>
      <c r="R507" s="12" t="str">
        <f aca="false">IF(OR($Q507="",$K507=""),"",$Q507*$K507)</f>
        <v/>
      </c>
      <c r="S507" s="7"/>
      <c r="T507" s="10"/>
      <c r="U507" s="8"/>
    </row>
    <row r="508" customFormat="false" ht="18.75" hidden="false" customHeight="true" outlineLevel="0" collapsed="false">
      <c r="A508" s="5" t="str">
        <f aca="false">IF($B508="","",COUNT($B$5:$B508))</f>
        <v/>
      </c>
      <c r="B508" s="13"/>
      <c r="C508" s="13"/>
      <c r="D508" s="14"/>
      <c r="E508" s="14"/>
      <c r="F508" s="15"/>
      <c r="G508" s="16"/>
      <c r="H508" s="14"/>
      <c r="I508" s="14"/>
      <c r="J508" s="15"/>
      <c r="K508" s="5" t="str">
        <f aca="false">IF($I508="","",1+IF($J508="",0,LEN($J508)-LEN(SUBSTITUTE($J508,",",""))+1))</f>
        <v/>
      </c>
      <c r="L508" s="14"/>
      <c r="M508" s="15"/>
      <c r="N508" s="17"/>
      <c r="O508" s="17"/>
      <c r="P508" s="5" t="str">
        <f aca="false">IF(OR($B508="",$C508=""),"",$C508-$B508+1)</f>
        <v/>
      </c>
      <c r="Q508" s="18"/>
      <c r="R508" s="12" t="str">
        <f aca="false">IF(OR($Q508="",$K508=""),"",$Q508*$K508)</f>
        <v/>
      </c>
      <c r="S508" s="14"/>
      <c r="T508" s="17"/>
      <c r="U508" s="15"/>
    </row>
    <row r="509" customFormat="false" ht="18.75" hidden="false" customHeight="true" outlineLevel="0" collapsed="false">
      <c r="A509" s="5" t="str">
        <f aca="false">IF($B509="","",COUNT($B$5:$B509))</f>
        <v/>
      </c>
      <c r="B509" s="6"/>
      <c r="C509" s="6"/>
      <c r="D509" s="7"/>
      <c r="E509" s="7"/>
      <c r="F509" s="8"/>
      <c r="G509" s="9"/>
      <c r="H509" s="7"/>
      <c r="I509" s="7"/>
      <c r="J509" s="8"/>
      <c r="K509" s="5" t="str">
        <f aca="false">IF($I509="","",1+IF($J509="",0,LEN($J509)-LEN(SUBSTITUTE($J509,",",""))+1))</f>
        <v/>
      </c>
      <c r="L509" s="7"/>
      <c r="M509" s="8"/>
      <c r="N509" s="10"/>
      <c r="O509" s="10"/>
      <c r="P509" s="5" t="str">
        <f aca="false">IF(OR($B509="",$C509=""),"",$C509-$B509+1)</f>
        <v/>
      </c>
      <c r="Q509" s="11"/>
      <c r="R509" s="12" t="str">
        <f aca="false">IF(OR($Q509="",$K509=""),"",$Q509*$K509)</f>
        <v/>
      </c>
      <c r="S509" s="7"/>
      <c r="T509" s="10"/>
      <c r="U509" s="8"/>
    </row>
    <row r="510" customFormat="false" ht="18.75" hidden="false" customHeight="true" outlineLevel="0" collapsed="false">
      <c r="A510" s="5" t="str">
        <f aca="false">IF($B510="","",COUNT($B$5:$B510))</f>
        <v/>
      </c>
      <c r="B510" s="13"/>
      <c r="C510" s="13"/>
      <c r="D510" s="14"/>
      <c r="E510" s="14"/>
      <c r="F510" s="15"/>
      <c r="G510" s="16"/>
      <c r="H510" s="14"/>
      <c r="I510" s="14"/>
      <c r="J510" s="15"/>
      <c r="K510" s="5" t="str">
        <f aca="false">IF($I510="","",1+IF($J510="",0,LEN($J510)-LEN(SUBSTITUTE($J510,",",""))+1))</f>
        <v/>
      </c>
      <c r="L510" s="14"/>
      <c r="M510" s="15"/>
      <c r="N510" s="17"/>
      <c r="O510" s="17"/>
      <c r="P510" s="5" t="str">
        <f aca="false">IF(OR($B510="",$C510=""),"",$C510-$B510+1)</f>
        <v/>
      </c>
      <c r="Q510" s="18"/>
      <c r="R510" s="12" t="str">
        <f aca="false">IF(OR($Q510="",$K510=""),"",$Q510*$K510)</f>
        <v/>
      </c>
      <c r="S510" s="14"/>
      <c r="T510" s="17"/>
      <c r="U510" s="15"/>
    </row>
    <row r="511" customFormat="false" ht="18.75" hidden="false" customHeight="true" outlineLevel="0" collapsed="false">
      <c r="A511" s="5" t="str">
        <f aca="false">IF($B511="","",COUNT($B$5:$B511))</f>
        <v/>
      </c>
      <c r="B511" s="6"/>
      <c r="C511" s="6"/>
      <c r="D511" s="7"/>
      <c r="E511" s="7"/>
      <c r="F511" s="8"/>
      <c r="G511" s="9"/>
      <c r="H511" s="7"/>
      <c r="I511" s="7"/>
      <c r="J511" s="8"/>
      <c r="K511" s="5" t="str">
        <f aca="false">IF($I511="","",1+IF($J511="",0,LEN($J511)-LEN(SUBSTITUTE($J511,",",""))+1))</f>
        <v/>
      </c>
      <c r="L511" s="7"/>
      <c r="M511" s="8"/>
      <c r="N511" s="10"/>
      <c r="O511" s="10"/>
      <c r="P511" s="5" t="str">
        <f aca="false">IF(OR($B511="",$C511=""),"",$C511-$B511+1)</f>
        <v/>
      </c>
      <c r="Q511" s="11"/>
      <c r="R511" s="12" t="str">
        <f aca="false">IF(OR($Q511="",$K511=""),"",$Q511*$K511)</f>
        <v/>
      </c>
      <c r="S511" s="7"/>
      <c r="T511" s="10"/>
      <c r="U511" s="8"/>
    </row>
    <row r="512" customFormat="false" ht="18.75" hidden="false" customHeight="true" outlineLevel="0" collapsed="false">
      <c r="A512" s="5" t="str">
        <f aca="false">IF($B512="","",COUNT($B$5:$B512))</f>
        <v/>
      </c>
      <c r="B512" s="13"/>
      <c r="C512" s="13"/>
      <c r="D512" s="14"/>
      <c r="E512" s="14"/>
      <c r="F512" s="15"/>
      <c r="G512" s="16"/>
      <c r="H512" s="14"/>
      <c r="I512" s="14"/>
      <c r="J512" s="15"/>
      <c r="K512" s="5" t="str">
        <f aca="false">IF($I512="","",1+IF($J512="",0,LEN($J512)-LEN(SUBSTITUTE($J512,",",""))+1))</f>
        <v/>
      </c>
      <c r="L512" s="14"/>
      <c r="M512" s="15"/>
      <c r="N512" s="17"/>
      <c r="O512" s="17"/>
      <c r="P512" s="5" t="str">
        <f aca="false">IF(OR($B512="",$C512=""),"",$C512-$B512+1)</f>
        <v/>
      </c>
      <c r="Q512" s="18"/>
      <c r="R512" s="12" t="str">
        <f aca="false">IF(OR($Q512="",$K512=""),"",$Q512*$K512)</f>
        <v/>
      </c>
      <c r="S512" s="14"/>
      <c r="T512" s="17"/>
      <c r="U512" s="15"/>
    </row>
    <row r="513" customFormat="false" ht="18.75" hidden="false" customHeight="true" outlineLevel="0" collapsed="false">
      <c r="A513" s="5" t="str">
        <f aca="false">IF($B513="","",COUNT($B$5:$B513))</f>
        <v/>
      </c>
      <c r="B513" s="6"/>
      <c r="C513" s="6"/>
      <c r="D513" s="7"/>
      <c r="E513" s="7"/>
      <c r="F513" s="8"/>
      <c r="G513" s="9"/>
      <c r="H513" s="7"/>
      <c r="I513" s="7"/>
      <c r="J513" s="8"/>
      <c r="K513" s="5" t="str">
        <f aca="false">IF($I513="","",1+IF($J513="",0,LEN($J513)-LEN(SUBSTITUTE($J513,",",""))+1))</f>
        <v/>
      </c>
      <c r="L513" s="7"/>
      <c r="M513" s="8"/>
      <c r="N513" s="10"/>
      <c r="O513" s="10"/>
      <c r="P513" s="5" t="str">
        <f aca="false">IF(OR($B513="",$C513=""),"",$C513-$B513+1)</f>
        <v/>
      </c>
      <c r="Q513" s="11"/>
      <c r="R513" s="12" t="str">
        <f aca="false">IF(OR($Q513="",$K513=""),"",$Q513*$K513)</f>
        <v/>
      </c>
      <c r="S513" s="7"/>
      <c r="T513" s="10"/>
      <c r="U513" s="8"/>
    </row>
    <row r="514" customFormat="false" ht="18.75" hidden="false" customHeight="true" outlineLevel="0" collapsed="false">
      <c r="A514" s="5" t="str">
        <f aca="false">IF($B514="","",COUNT($B$5:$B514))</f>
        <v/>
      </c>
      <c r="B514" s="13"/>
      <c r="C514" s="13"/>
      <c r="D514" s="14"/>
      <c r="E514" s="14"/>
      <c r="F514" s="15"/>
      <c r="G514" s="16"/>
      <c r="H514" s="14"/>
      <c r="I514" s="14"/>
      <c r="J514" s="15"/>
      <c r="K514" s="5" t="str">
        <f aca="false">IF($I514="","",1+IF($J514="",0,LEN($J514)-LEN(SUBSTITUTE($J514,",",""))+1))</f>
        <v/>
      </c>
      <c r="L514" s="14"/>
      <c r="M514" s="15"/>
      <c r="N514" s="17"/>
      <c r="O514" s="17"/>
      <c r="P514" s="5" t="str">
        <f aca="false">IF(OR($B514="",$C514=""),"",$C514-$B514+1)</f>
        <v/>
      </c>
      <c r="Q514" s="18"/>
      <c r="R514" s="12" t="str">
        <f aca="false">IF(OR($Q514="",$K514=""),"",$Q514*$K514)</f>
        <v/>
      </c>
      <c r="S514" s="14"/>
      <c r="T514" s="17"/>
      <c r="U514" s="15"/>
    </row>
    <row r="515" customFormat="false" ht="18.75" hidden="false" customHeight="true" outlineLevel="0" collapsed="false">
      <c r="A515" s="5" t="str">
        <f aca="false">IF($B515="","",COUNT($B$5:$B515))</f>
        <v/>
      </c>
      <c r="B515" s="6"/>
      <c r="C515" s="6"/>
      <c r="D515" s="7"/>
      <c r="E515" s="7"/>
      <c r="F515" s="8"/>
      <c r="G515" s="9"/>
      <c r="H515" s="7"/>
      <c r="I515" s="7"/>
      <c r="J515" s="8"/>
      <c r="K515" s="5" t="str">
        <f aca="false">IF($I515="","",1+IF($J515="",0,LEN($J515)-LEN(SUBSTITUTE($J515,",",""))+1))</f>
        <v/>
      </c>
      <c r="L515" s="7"/>
      <c r="M515" s="8"/>
      <c r="N515" s="10"/>
      <c r="O515" s="10"/>
      <c r="P515" s="5" t="str">
        <f aca="false">IF(OR($B515="",$C515=""),"",$C515-$B515+1)</f>
        <v/>
      </c>
      <c r="Q515" s="11"/>
      <c r="R515" s="12" t="str">
        <f aca="false">IF(OR($Q515="",$K515=""),"",$Q515*$K515)</f>
        <v/>
      </c>
      <c r="S515" s="7"/>
      <c r="T515" s="10"/>
      <c r="U515" s="8"/>
    </row>
    <row r="516" customFormat="false" ht="18.75" hidden="false" customHeight="true" outlineLevel="0" collapsed="false">
      <c r="A516" s="5" t="str">
        <f aca="false">IF($B516="","",COUNT($B$5:$B516))</f>
        <v/>
      </c>
      <c r="B516" s="13"/>
      <c r="C516" s="13"/>
      <c r="D516" s="14"/>
      <c r="E516" s="14"/>
      <c r="F516" s="15"/>
      <c r="G516" s="16"/>
      <c r="H516" s="14"/>
      <c r="I516" s="14"/>
      <c r="J516" s="15"/>
      <c r="K516" s="5" t="str">
        <f aca="false">IF($I516="","",1+IF($J516="",0,LEN($J516)-LEN(SUBSTITUTE($J516,",",""))+1))</f>
        <v/>
      </c>
      <c r="L516" s="14"/>
      <c r="M516" s="15"/>
      <c r="N516" s="17"/>
      <c r="O516" s="17"/>
      <c r="P516" s="5" t="str">
        <f aca="false">IF(OR($B516="",$C516=""),"",$C516-$B516+1)</f>
        <v/>
      </c>
      <c r="Q516" s="18"/>
      <c r="R516" s="12" t="str">
        <f aca="false">IF(OR($Q516="",$K516=""),"",$Q516*$K516)</f>
        <v/>
      </c>
      <c r="S516" s="14"/>
      <c r="T516" s="17"/>
      <c r="U516" s="15"/>
    </row>
    <row r="517" customFormat="false" ht="18.75" hidden="false" customHeight="true" outlineLevel="0" collapsed="false">
      <c r="A517" s="5" t="str">
        <f aca="false">IF($B517="","",COUNT($B$5:$B517))</f>
        <v/>
      </c>
      <c r="B517" s="6"/>
      <c r="C517" s="6"/>
      <c r="D517" s="7"/>
      <c r="E517" s="7"/>
      <c r="F517" s="8"/>
      <c r="G517" s="9"/>
      <c r="H517" s="7"/>
      <c r="I517" s="7"/>
      <c r="J517" s="8"/>
      <c r="K517" s="5" t="str">
        <f aca="false">IF($I517="","",1+IF($J517="",0,LEN($J517)-LEN(SUBSTITUTE($J517,",",""))+1))</f>
        <v/>
      </c>
      <c r="L517" s="7"/>
      <c r="M517" s="8"/>
      <c r="N517" s="10"/>
      <c r="O517" s="10"/>
      <c r="P517" s="5" t="str">
        <f aca="false">IF(OR($B517="",$C517=""),"",$C517-$B517+1)</f>
        <v/>
      </c>
      <c r="Q517" s="11"/>
      <c r="R517" s="12" t="str">
        <f aca="false">IF(OR($Q517="",$K517=""),"",$Q517*$K517)</f>
        <v/>
      </c>
      <c r="S517" s="7"/>
      <c r="T517" s="10"/>
      <c r="U517" s="8"/>
    </row>
    <row r="518" customFormat="false" ht="18.75" hidden="false" customHeight="true" outlineLevel="0" collapsed="false">
      <c r="A518" s="5" t="str">
        <f aca="false">IF($B518="","",COUNT($B$5:$B518))</f>
        <v/>
      </c>
      <c r="B518" s="13"/>
      <c r="C518" s="13"/>
      <c r="D518" s="14"/>
      <c r="E518" s="14"/>
      <c r="F518" s="15"/>
      <c r="G518" s="16"/>
      <c r="H518" s="14"/>
      <c r="I518" s="14"/>
      <c r="J518" s="15"/>
      <c r="K518" s="5" t="str">
        <f aca="false">IF($I518="","",1+IF($J518="",0,LEN($J518)-LEN(SUBSTITUTE($J518,",",""))+1))</f>
        <v/>
      </c>
      <c r="L518" s="14"/>
      <c r="M518" s="15"/>
      <c r="N518" s="17"/>
      <c r="O518" s="17"/>
      <c r="P518" s="5" t="str">
        <f aca="false">IF(OR($B518="",$C518=""),"",$C518-$B518+1)</f>
        <v/>
      </c>
      <c r="Q518" s="18"/>
      <c r="R518" s="12" t="str">
        <f aca="false">IF(OR($Q518="",$K518=""),"",$Q518*$K518)</f>
        <v/>
      </c>
      <c r="S518" s="14"/>
      <c r="T518" s="17"/>
      <c r="U518" s="15"/>
    </row>
    <row r="519" customFormat="false" ht="18.75" hidden="false" customHeight="true" outlineLevel="0" collapsed="false">
      <c r="A519" s="5" t="str">
        <f aca="false">IF($B519="","",COUNT($B$5:$B519))</f>
        <v/>
      </c>
      <c r="B519" s="6"/>
      <c r="C519" s="6"/>
      <c r="D519" s="7"/>
      <c r="E519" s="7"/>
      <c r="F519" s="8"/>
      <c r="G519" s="9"/>
      <c r="H519" s="7"/>
      <c r="I519" s="7"/>
      <c r="J519" s="8"/>
      <c r="K519" s="5" t="str">
        <f aca="false">IF($I519="","",1+IF($J519="",0,LEN($J519)-LEN(SUBSTITUTE($J519,",",""))+1))</f>
        <v/>
      </c>
      <c r="L519" s="7"/>
      <c r="M519" s="8"/>
      <c r="N519" s="10"/>
      <c r="O519" s="10"/>
      <c r="P519" s="5" t="str">
        <f aca="false">IF(OR($B519="",$C519=""),"",$C519-$B519+1)</f>
        <v/>
      </c>
      <c r="Q519" s="11"/>
      <c r="R519" s="12" t="str">
        <f aca="false">IF(OR($Q519="",$K519=""),"",$Q519*$K519)</f>
        <v/>
      </c>
      <c r="S519" s="7"/>
      <c r="T519" s="10"/>
      <c r="U519" s="8"/>
    </row>
    <row r="520" customFormat="false" ht="18.75" hidden="false" customHeight="true" outlineLevel="0" collapsed="false">
      <c r="A520" s="5" t="str">
        <f aca="false">IF($B520="","",COUNT($B$5:$B520))</f>
        <v/>
      </c>
      <c r="B520" s="13"/>
      <c r="C520" s="13"/>
      <c r="D520" s="14"/>
      <c r="E520" s="14"/>
      <c r="F520" s="15"/>
      <c r="G520" s="16"/>
      <c r="H520" s="14"/>
      <c r="I520" s="14"/>
      <c r="J520" s="15"/>
      <c r="K520" s="5" t="str">
        <f aca="false">IF($I520="","",1+IF($J520="",0,LEN($J520)-LEN(SUBSTITUTE($J520,",",""))+1))</f>
        <v/>
      </c>
      <c r="L520" s="14"/>
      <c r="M520" s="15"/>
      <c r="N520" s="17"/>
      <c r="O520" s="17"/>
      <c r="P520" s="5" t="str">
        <f aca="false">IF(OR($B520="",$C520=""),"",$C520-$B520+1)</f>
        <v/>
      </c>
      <c r="Q520" s="18"/>
      <c r="R520" s="12" t="str">
        <f aca="false">IF(OR($Q520="",$K520=""),"",$Q520*$K520)</f>
        <v/>
      </c>
      <c r="S520" s="14"/>
      <c r="T520" s="17"/>
      <c r="U520" s="15"/>
    </row>
    <row r="521" customFormat="false" ht="18.75" hidden="false" customHeight="true" outlineLevel="0" collapsed="false">
      <c r="A521" s="5" t="str">
        <f aca="false">IF($B521="","",COUNT($B$5:$B521))</f>
        <v/>
      </c>
      <c r="B521" s="6"/>
      <c r="C521" s="6"/>
      <c r="D521" s="7"/>
      <c r="E521" s="7"/>
      <c r="F521" s="8"/>
      <c r="G521" s="9"/>
      <c r="H521" s="7"/>
      <c r="I521" s="7"/>
      <c r="J521" s="8"/>
      <c r="K521" s="5" t="str">
        <f aca="false">IF($I521="","",1+IF($J521="",0,LEN($J521)-LEN(SUBSTITUTE($J521,",",""))+1))</f>
        <v/>
      </c>
      <c r="L521" s="7"/>
      <c r="M521" s="8"/>
      <c r="N521" s="10"/>
      <c r="O521" s="10"/>
      <c r="P521" s="5" t="str">
        <f aca="false">IF(OR($B521="",$C521=""),"",$C521-$B521+1)</f>
        <v/>
      </c>
      <c r="Q521" s="11"/>
      <c r="R521" s="12" t="str">
        <f aca="false">IF(OR($Q521="",$K521=""),"",$Q521*$K521)</f>
        <v/>
      </c>
      <c r="S521" s="7"/>
      <c r="T521" s="10"/>
      <c r="U521" s="8"/>
    </row>
    <row r="522" customFormat="false" ht="18.75" hidden="false" customHeight="true" outlineLevel="0" collapsed="false">
      <c r="A522" s="5" t="str">
        <f aca="false">IF($B522="","",COUNT($B$5:$B522))</f>
        <v/>
      </c>
      <c r="B522" s="13"/>
      <c r="C522" s="13"/>
      <c r="D522" s="14"/>
      <c r="E522" s="14"/>
      <c r="F522" s="15"/>
      <c r="G522" s="16"/>
      <c r="H522" s="14"/>
      <c r="I522" s="14"/>
      <c r="J522" s="15"/>
      <c r="K522" s="5" t="str">
        <f aca="false">IF($I522="","",1+IF($J522="",0,LEN($J522)-LEN(SUBSTITUTE($J522,",",""))+1))</f>
        <v/>
      </c>
      <c r="L522" s="14"/>
      <c r="M522" s="15"/>
      <c r="N522" s="17"/>
      <c r="O522" s="17"/>
      <c r="P522" s="5" t="str">
        <f aca="false">IF(OR($B522="",$C522=""),"",$C522-$B522+1)</f>
        <v/>
      </c>
      <c r="Q522" s="18"/>
      <c r="R522" s="12" t="str">
        <f aca="false">IF(OR($Q522="",$K522=""),"",$Q522*$K522)</f>
        <v/>
      </c>
      <c r="S522" s="14"/>
      <c r="T522" s="17"/>
      <c r="U522" s="15"/>
    </row>
    <row r="523" customFormat="false" ht="18.75" hidden="false" customHeight="true" outlineLevel="0" collapsed="false">
      <c r="A523" s="5" t="str">
        <f aca="false">IF($B523="","",COUNT($B$5:$B523))</f>
        <v/>
      </c>
      <c r="B523" s="6"/>
      <c r="C523" s="6"/>
      <c r="D523" s="7"/>
      <c r="E523" s="7"/>
      <c r="F523" s="8"/>
      <c r="G523" s="9"/>
      <c r="H523" s="7"/>
      <c r="I523" s="7"/>
      <c r="J523" s="8"/>
      <c r="K523" s="5" t="str">
        <f aca="false">IF($I523="","",1+IF($J523="",0,LEN($J523)-LEN(SUBSTITUTE($J523,",",""))+1))</f>
        <v/>
      </c>
      <c r="L523" s="7"/>
      <c r="M523" s="8"/>
      <c r="N523" s="10"/>
      <c r="O523" s="10"/>
      <c r="P523" s="5" t="str">
        <f aca="false">IF(OR($B523="",$C523=""),"",$C523-$B523+1)</f>
        <v/>
      </c>
      <c r="Q523" s="11"/>
      <c r="R523" s="12" t="str">
        <f aca="false">IF(OR($Q523="",$K523=""),"",$Q523*$K523)</f>
        <v/>
      </c>
      <c r="S523" s="7"/>
      <c r="T523" s="10"/>
      <c r="U523" s="8"/>
    </row>
    <row r="524" customFormat="false" ht="18.75" hidden="false" customHeight="true" outlineLevel="0" collapsed="false">
      <c r="A524" s="5" t="str">
        <f aca="false">IF($B524="","",COUNT($B$5:$B524))</f>
        <v/>
      </c>
      <c r="B524" s="13"/>
      <c r="C524" s="13"/>
      <c r="D524" s="14"/>
      <c r="E524" s="14"/>
      <c r="F524" s="15"/>
      <c r="G524" s="16"/>
      <c r="H524" s="14"/>
      <c r="I524" s="14"/>
      <c r="J524" s="15"/>
      <c r="K524" s="5" t="str">
        <f aca="false">IF($I524="","",1+IF($J524="",0,LEN($J524)-LEN(SUBSTITUTE($J524,",",""))+1))</f>
        <v/>
      </c>
      <c r="L524" s="14"/>
      <c r="M524" s="15"/>
      <c r="N524" s="17"/>
      <c r="O524" s="17"/>
      <c r="P524" s="5" t="str">
        <f aca="false">IF(OR($B524="",$C524=""),"",$C524-$B524+1)</f>
        <v/>
      </c>
      <c r="Q524" s="18"/>
      <c r="R524" s="12" t="str">
        <f aca="false">IF(OR($Q524="",$K524=""),"",$Q524*$K524)</f>
        <v/>
      </c>
      <c r="S524" s="14"/>
      <c r="T524" s="17"/>
      <c r="U524" s="15"/>
    </row>
    <row r="525" customFormat="false" ht="18.75" hidden="false" customHeight="true" outlineLevel="0" collapsed="false">
      <c r="A525" s="5" t="str">
        <f aca="false">IF($B525="","",COUNT($B$5:$B525))</f>
        <v/>
      </c>
      <c r="B525" s="6"/>
      <c r="C525" s="6"/>
      <c r="D525" s="7"/>
      <c r="E525" s="7"/>
      <c r="F525" s="8"/>
      <c r="G525" s="9"/>
      <c r="H525" s="7"/>
      <c r="I525" s="7"/>
      <c r="J525" s="8"/>
      <c r="K525" s="5" t="str">
        <f aca="false">IF($I525="","",1+IF($J525="",0,LEN($J525)-LEN(SUBSTITUTE($J525,",",""))+1))</f>
        <v/>
      </c>
      <c r="L525" s="7"/>
      <c r="M525" s="8"/>
      <c r="N525" s="10"/>
      <c r="O525" s="10"/>
      <c r="P525" s="5" t="str">
        <f aca="false">IF(OR($B525="",$C525=""),"",$C525-$B525+1)</f>
        <v/>
      </c>
      <c r="Q525" s="11"/>
      <c r="R525" s="12" t="str">
        <f aca="false">IF(OR($Q525="",$K525=""),"",$Q525*$K525)</f>
        <v/>
      </c>
      <c r="S525" s="7"/>
      <c r="T525" s="10"/>
      <c r="U525" s="8"/>
    </row>
    <row r="526" customFormat="false" ht="18.75" hidden="false" customHeight="true" outlineLevel="0" collapsed="false">
      <c r="A526" s="5" t="str">
        <f aca="false">IF($B526="","",COUNT($B$5:$B526))</f>
        <v/>
      </c>
      <c r="B526" s="13"/>
      <c r="C526" s="13"/>
      <c r="D526" s="14"/>
      <c r="E526" s="14"/>
      <c r="F526" s="15"/>
      <c r="G526" s="16"/>
      <c r="H526" s="14"/>
      <c r="I526" s="14"/>
      <c r="J526" s="15"/>
      <c r="K526" s="5" t="str">
        <f aca="false">IF($I526="","",1+IF($J526="",0,LEN($J526)-LEN(SUBSTITUTE($J526,",",""))+1))</f>
        <v/>
      </c>
      <c r="L526" s="14"/>
      <c r="M526" s="15"/>
      <c r="N526" s="17"/>
      <c r="O526" s="17"/>
      <c r="P526" s="5" t="str">
        <f aca="false">IF(OR($B526="",$C526=""),"",$C526-$B526+1)</f>
        <v/>
      </c>
      <c r="Q526" s="18"/>
      <c r="R526" s="12" t="str">
        <f aca="false">IF(OR($Q526="",$K526=""),"",$Q526*$K526)</f>
        <v/>
      </c>
      <c r="S526" s="14"/>
      <c r="T526" s="17"/>
      <c r="U526" s="15"/>
    </row>
    <row r="527" customFormat="false" ht="18.75" hidden="false" customHeight="true" outlineLevel="0" collapsed="false">
      <c r="A527" s="5" t="str">
        <f aca="false">IF($B527="","",COUNT($B$5:$B527))</f>
        <v/>
      </c>
      <c r="B527" s="6"/>
      <c r="C527" s="6"/>
      <c r="D527" s="7"/>
      <c r="E527" s="7"/>
      <c r="F527" s="8"/>
      <c r="G527" s="9"/>
      <c r="H527" s="7"/>
      <c r="I527" s="7"/>
      <c r="J527" s="8"/>
      <c r="K527" s="5" t="str">
        <f aca="false">IF($I527="","",1+IF($J527="",0,LEN($J527)-LEN(SUBSTITUTE($J527,",",""))+1))</f>
        <v/>
      </c>
      <c r="L527" s="7"/>
      <c r="M527" s="8"/>
      <c r="N527" s="10"/>
      <c r="O527" s="10"/>
      <c r="P527" s="5" t="str">
        <f aca="false">IF(OR($B527="",$C527=""),"",$C527-$B527+1)</f>
        <v/>
      </c>
      <c r="Q527" s="11"/>
      <c r="R527" s="12" t="str">
        <f aca="false">IF(OR($Q527="",$K527=""),"",$Q527*$K527)</f>
        <v/>
      </c>
      <c r="S527" s="7"/>
      <c r="T527" s="10"/>
      <c r="U527" s="8"/>
    </row>
    <row r="528" customFormat="false" ht="18.75" hidden="false" customHeight="true" outlineLevel="0" collapsed="false">
      <c r="A528" s="5" t="str">
        <f aca="false">IF($B528="","",COUNT($B$5:$B528))</f>
        <v/>
      </c>
      <c r="B528" s="13"/>
      <c r="C528" s="13"/>
      <c r="D528" s="14"/>
      <c r="E528" s="14"/>
      <c r="F528" s="15"/>
      <c r="G528" s="16"/>
      <c r="H528" s="14"/>
      <c r="I528" s="14"/>
      <c r="J528" s="15"/>
      <c r="K528" s="5" t="str">
        <f aca="false">IF($I528="","",1+IF($J528="",0,LEN($J528)-LEN(SUBSTITUTE($J528,",",""))+1))</f>
        <v/>
      </c>
      <c r="L528" s="14"/>
      <c r="M528" s="15"/>
      <c r="N528" s="17"/>
      <c r="O528" s="17"/>
      <c r="P528" s="5" t="str">
        <f aca="false">IF(OR($B528="",$C528=""),"",$C528-$B528+1)</f>
        <v/>
      </c>
      <c r="Q528" s="18"/>
      <c r="R528" s="12" t="str">
        <f aca="false">IF(OR($Q528="",$K528=""),"",$Q528*$K528)</f>
        <v/>
      </c>
      <c r="S528" s="14"/>
      <c r="T528" s="17"/>
      <c r="U528" s="15"/>
    </row>
    <row r="529" customFormat="false" ht="18.75" hidden="false" customHeight="true" outlineLevel="0" collapsed="false">
      <c r="A529" s="5" t="str">
        <f aca="false">IF($B529="","",COUNT($B$5:$B529))</f>
        <v/>
      </c>
      <c r="B529" s="6"/>
      <c r="C529" s="6"/>
      <c r="D529" s="7"/>
      <c r="E529" s="7"/>
      <c r="F529" s="8"/>
      <c r="G529" s="9"/>
      <c r="H529" s="7"/>
      <c r="I529" s="7"/>
      <c r="J529" s="8"/>
      <c r="K529" s="5" t="str">
        <f aca="false">IF($I529="","",1+IF($J529="",0,LEN($J529)-LEN(SUBSTITUTE($J529,",",""))+1))</f>
        <v/>
      </c>
      <c r="L529" s="7"/>
      <c r="M529" s="8"/>
      <c r="N529" s="10"/>
      <c r="O529" s="10"/>
      <c r="P529" s="5" t="str">
        <f aca="false">IF(OR($B529="",$C529=""),"",$C529-$B529+1)</f>
        <v/>
      </c>
      <c r="Q529" s="11"/>
      <c r="R529" s="12" t="str">
        <f aca="false">IF(OR($Q529="",$K529=""),"",$Q529*$K529)</f>
        <v/>
      </c>
      <c r="S529" s="7"/>
      <c r="T529" s="10"/>
      <c r="U529" s="8"/>
    </row>
    <row r="530" customFormat="false" ht="18.75" hidden="false" customHeight="true" outlineLevel="0" collapsed="false">
      <c r="A530" s="5" t="str">
        <f aca="false">IF($B530="","",COUNT($B$5:$B530))</f>
        <v/>
      </c>
      <c r="B530" s="13"/>
      <c r="C530" s="13"/>
      <c r="D530" s="14"/>
      <c r="E530" s="14"/>
      <c r="F530" s="15"/>
      <c r="G530" s="16"/>
      <c r="H530" s="14"/>
      <c r="I530" s="14"/>
      <c r="J530" s="15"/>
      <c r="K530" s="5" t="str">
        <f aca="false">IF($I530="","",1+IF($J530="",0,LEN($J530)-LEN(SUBSTITUTE($J530,",",""))+1))</f>
        <v/>
      </c>
      <c r="L530" s="14"/>
      <c r="M530" s="15"/>
      <c r="N530" s="17"/>
      <c r="O530" s="17"/>
      <c r="P530" s="5" t="str">
        <f aca="false">IF(OR($B530="",$C530=""),"",$C530-$B530+1)</f>
        <v/>
      </c>
      <c r="Q530" s="18"/>
      <c r="R530" s="12" t="str">
        <f aca="false">IF(OR($Q530="",$K530=""),"",$Q530*$K530)</f>
        <v/>
      </c>
      <c r="S530" s="14"/>
      <c r="T530" s="17"/>
      <c r="U530" s="15"/>
    </row>
    <row r="531" customFormat="false" ht="18.75" hidden="false" customHeight="true" outlineLevel="0" collapsed="false">
      <c r="A531" s="5" t="str">
        <f aca="false">IF($B531="","",COUNT($B$5:$B531))</f>
        <v/>
      </c>
      <c r="B531" s="6"/>
      <c r="C531" s="6"/>
      <c r="D531" s="7"/>
      <c r="E531" s="7"/>
      <c r="F531" s="8"/>
      <c r="G531" s="9"/>
      <c r="H531" s="7"/>
      <c r="I531" s="7"/>
      <c r="J531" s="8"/>
      <c r="K531" s="5" t="str">
        <f aca="false">IF($I531="","",1+IF($J531="",0,LEN($J531)-LEN(SUBSTITUTE($J531,",",""))+1))</f>
        <v/>
      </c>
      <c r="L531" s="7"/>
      <c r="M531" s="8"/>
      <c r="N531" s="10"/>
      <c r="O531" s="10"/>
      <c r="P531" s="5" t="str">
        <f aca="false">IF(OR($B531="",$C531=""),"",$C531-$B531+1)</f>
        <v/>
      </c>
      <c r="Q531" s="11"/>
      <c r="R531" s="12" t="str">
        <f aca="false">IF(OR($Q531="",$K531=""),"",$Q531*$K531)</f>
        <v/>
      </c>
      <c r="S531" s="7"/>
      <c r="T531" s="10"/>
      <c r="U531" s="8"/>
    </row>
    <row r="532" customFormat="false" ht="18.75" hidden="false" customHeight="true" outlineLevel="0" collapsed="false">
      <c r="A532" s="5" t="str">
        <f aca="false">IF($B532="","",COUNT($B$5:$B532))</f>
        <v/>
      </c>
      <c r="B532" s="13"/>
      <c r="C532" s="13"/>
      <c r="D532" s="14"/>
      <c r="E532" s="14"/>
      <c r="F532" s="15"/>
      <c r="G532" s="16"/>
      <c r="H532" s="14"/>
      <c r="I532" s="14"/>
      <c r="J532" s="15"/>
      <c r="K532" s="5" t="str">
        <f aca="false">IF($I532="","",1+IF($J532="",0,LEN($J532)-LEN(SUBSTITUTE($J532,",",""))+1))</f>
        <v/>
      </c>
      <c r="L532" s="14"/>
      <c r="M532" s="15"/>
      <c r="N532" s="17"/>
      <c r="O532" s="17"/>
      <c r="P532" s="5" t="str">
        <f aca="false">IF(OR($B532="",$C532=""),"",$C532-$B532+1)</f>
        <v/>
      </c>
      <c r="Q532" s="18"/>
      <c r="R532" s="12" t="str">
        <f aca="false">IF(OR($Q532="",$K532=""),"",$Q532*$K532)</f>
        <v/>
      </c>
      <c r="S532" s="14"/>
      <c r="T532" s="17"/>
      <c r="U532" s="15"/>
    </row>
    <row r="533" customFormat="false" ht="18.75" hidden="false" customHeight="true" outlineLevel="0" collapsed="false">
      <c r="A533" s="5" t="str">
        <f aca="false">IF($B533="","",COUNT($B$5:$B533))</f>
        <v/>
      </c>
      <c r="B533" s="6"/>
      <c r="C533" s="6"/>
      <c r="D533" s="7"/>
      <c r="E533" s="7"/>
      <c r="F533" s="8"/>
      <c r="G533" s="9"/>
      <c r="H533" s="7"/>
      <c r="I533" s="7"/>
      <c r="J533" s="8"/>
      <c r="K533" s="5" t="str">
        <f aca="false">IF($I533="","",1+IF($J533="",0,LEN($J533)-LEN(SUBSTITUTE($J533,",",""))+1))</f>
        <v/>
      </c>
      <c r="L533" s="7"/>
      <c r="M533" s="8"/>
      <c r="N533" s="10"/>
      <c r="O533" s="10"/>
      <c r="P533" s="5" t="str">
        <f aca="false">IF(OR($B533="",$C533=""),"",$C533-$B533+1)</f>
        <v/>
      </c>
      <c r="Q533" s="11"/>
      <c r="R533" s="12" t="str">
        <f aca="false">IF(OR($Q533="",$K533=""),"",$Q533*$K533)</f>
        <v/>
      </c>
      <c r="S533" s="7"/>
      <c r="T533" s="10"/>
      <c r="U533" s="8"/>
    </row>
    <row r="534" customFormat="false" ht="18.75" hidden="false" customHeight="true" outlineLevel="0" collapsed="false">
      <c r="A534" s="5" t="str">
        <f aca="false">IF($B534="","",COUNT($B$5:$B534))</f>
        <v/>
      </c>
      <c r="B534" s="13"/>
      <c r="C534" s="13"/>
      <c r="D534" s="14"/>
      <c r="E534" s="14"/>
      <c r="F534" s="15"/>
      <c r="G534" s="16"/>
      <c r="H534" s="14"/>
      <c r="I534" s="14"/>
      <c r="J534" s="15"/>
      <c r="K534" s="5" t="str">
        <f aca="false">IF($I534="","",1+IF($J534="",0,LEN($J534)-LEN(SUBSTITUTE($J534,",",""))+1))</f>
        <v/>
      </c>
      <c r="L534" s="14"/>
      <c r="M534" s="15"/>
      <c r="N534" s="17"/>
      <c r="O534" s="17"/>
      <c r="P534" s="5" t="str">
        <f aca="false">IF(OR($B534="",$C534=""),"",$C534-$B534+1)</f>
        <v/>
      </c>
      <c r="Q534" s="18"/>
      <c r="R534" s="12" t="str">
        <f aca="false">IF(OR($Q534="",$K534=""),"",$Q534*$K534)</f>
        <v/>
      </c>
      <c r="S534" s="14"/>
      <c r="T534" s="17"/>
      <c r="U534" s="15"/>
    </row>
    <row r="535" customFormat="false" ht="18.75" hidden="false" customHeight="true" outlineLevel="0" collapsed="false">
      <c r="A535" s="5" t="str">
        <f aca="false">IF($B535="","",COUNT($B$5:$B535))</f>
        <v/>
      </c>
      <c r="B535" s="6"/>
      <c r="C535" s="6"/>
      <c r="D535" s="7"/>
      <c r="E535" s="7"/>
      <c r="F535" s="8"/>
      <c r="G535" s="9"/>
      <c r="H535" s="7"/>
      <c r="I535" s="7"/>
      <c r="J535" s="8"/>
      <c r="K535" s="5" t="str">
        <f aca="false">IF($I535="","",1+IF($J535="",0,LEN($J535)-LEN(SUBSTITUTE($J535,",",""))+1))</f>
        <v/>
      </c>
      <c r="L535" s="7"/>
      <c r="M535" s="8"/>
      <c r="N535" s="10"/>
      <c r="O535" s="10"/>
      <c r="P535" s="5" t="str">
        <f aca="false">IF(OR($B535="",$C535=""),"",$C535-$B535+1)</f>
        <v/>
      </c>
      <c r="Q535" s="11"/>
      <c r="R535" s="12" t="str">
        <f aca="false">IF(OR($Q535="",$K535=""),"",$Q535*$K535)</f>
        <v/>
      </c>
      <c r="S535" s="7"/>
      <c r="T535" s="10"/>
      <c r="U535" s="8"/>
    </row>
    <row r="536" customFormat="false" ht="18.75" hidden="false" customHeight="true" outlineLevel="0" collapsed="false">
      <c r="A536" s="5" t="str">
        <f aca="false">IF($B536="","",COUNT($B$5:$B536))</f>
        <v/>
      </c>
      <c r="B536" s="13"/>
      <c r="C536" s="13"/>
      <c r="D536" s="14"/>
      <c r="E536" s="14"/>
      <c r="F536" s="15"/>
      <c r="G536" s="16"/>
      <c r="H536" s="14"/>
      <c r="I536" s="14"/>
      <c r="J536" s="15"/>
      <c r="K536" s="5" t="str">
        <f aca="false">IF($I536="","",1+IF($J536="",0,LEN($J536)-LEN(SUBSTITUTE($J536,",",""))+1))</f>
        <v/>
      </c>
      <c r="L536" s="14"/>
      <c r="M536" s="15"/>
      <c r="N536" s="17"/>
      <c r="O536" s="17"/>
      <c r="P536" s="5" t="str">
        <f aca="false">IF(OR($B536="",$C536=""),"",$C536-$B536+1)</f>
        <v/>
      </c>
      <c r="Q536" s="18"/>
      <c r="R536" s="12" t="str">
        <f aca="false">IF(OR($Q536="",$K536=""),"",$Q536*$K536)</f>
        <v/>
      </c>
      <c r="S536" s="14"/>
      <c r="T536" s="17"/>
      <c r="U536" s="15"/>
    </row>
    <row r="537" customFormat="false" ht="18.75" hidden="false" customHeight="true" outlineLevel="0" collapsed="false">
      <c r="A537" s="5" t="str">
        <f aca="false">IF($B537="","",COUNT($B$5:$B537))</f>
        <v/>
      </c>
      <c r="B537" s="6"/>
      <c r="C537" s="6"/>
      <c r="D537" s="7"/>
      <c r="E537" s="7"/>
      <c r="F537" s="8"/>
      <c r="G537" s="9"/>
      <c r="H537" s="7"/>
      <c r="I537" s="7"/>
      <c r="J537" s="8"/>
      <c r="K537" s="5" t="str">
        <f aca="false">IF($I537="","",1+IF($J537="",0,LEN($J537)-LEN(SUBSTITUTE($J537,",",""))+1))</f>
        <v/>
      </c>
      <c r="L537" s="7"/>
      <c r="M537" s="8"/>
      <c r="N537" s="10"/>
      <c r="O537" s="10"/>
      <c r="P537" s="5" t="str">
        <f aca="false">IF(OR($B537="",$C537=""),"",$C537-$B537+1)</f>
        <v/>
      </c>
      <c r="Q537" s="11"/>
      <c r="R537" s="12" t="str">
        <f aca="false">IF(OR($Q537="",$K537=""),"",$Q537*$K537)</f>
        <v/>
      </c>
      <c r="S537" s="7"/>
      <c r="T537" s="10"/>
      <c r="U537" s="8"/>
    </row>
    <row r="538" customFormat="false" ht="18.75" hidden="false" customHeight="true" outlineLevel="0" collapsed="false">
      <c r="A538" s="5" t="str">
        <f aca="false">IF($B538="","",COUNT($B$5:$B538))</f>
        <v/>
      </c>
      <c r="B538" s="13"/>
      <c r="C538" s="13"/>
      <c r="D538" s="14"/>
      <c r="E538" s="14"/>
      <c r="F538" s="15"/>
      <c r="G538" s="16"/>
      <c r="H538" s="14"/>
      <c r="I538" s="14"/>
      <c r="J538" s="15"/>
      <c r="K538" s="5" t="str">
        <f aca="false">IF($I538="","",1+IF($J538="",0,LEN($J538)-LEN(SUBSTITUTE($J538,",",""))+1))</f>
        <v/>
      </c>
      <c r="L538" s="14"/>
      <c r="M538" s="15"/>
      <c r="N538" s="17"/>
      <c r="O538" s="17"/>
      <c r="P538" s="5" t="str">
        <f aca="false">IF(OR($B538="",$C538=""),"",$C538-$B538+1)</f>
        <v/>
      </c>
      <c r="Q538" s="18"/>
      <c r="R538" s="12" t="str">
        <f aca="false">IF(OR($Q538="",$K538=""),"",$Q538*$K538)</f>
        <v/>
      </c>
      <c r="S538" s="14"/>
      <c r="T538" s="17"/>
      <c r="U538" s="15"/>
    </row>
    <row r="539" customFormat="false" ht="18.75" hidden="false" customHeight="true" outlineLevel="0" collapsed="false">
      <c r="A539" s="5" t="str">
        <f aca="false">IF($B539="","",COUNT($B$5:$B539))</f>
        <v/>
      </c>
      <c r="B539" s="6"/>
      <c r="C539" s="6"/>
      <c r="D539" s="7"/>
      <c r="E539" s="7"/>
      <c r="F539" s="8"/>
      <c r="G539" s="9"/>
      <c r="H539" s="7"/>
      <c r="I539" s="7"/>
      <c r="J539" s="8"/>
      <c r="K539" s="5" t="str">
        <f aca="false">IF($I539="","",1+IF($J539="",0,LEN($J539)-LEN(SUBSTITUTE($J539,",",""))+1))</f>
        <v/>
      </c>
      <c r="L539" s="7"/>
      <c r="M539" s="8"/>
      <c r="N539" s="10"/>
      <c r="O539" s="10"/>
      <c r="P539" s="5" t="str">
        <f aca="false">IF(OR($B539="",$C539=""),"",$C539-$B539+1)</f>
        <v/>
      </c>
      <c r="Q539" s="11"/>
      <c r="R539" s="12" t="str">
        <f aca="false">IF(OR($Q539="",$K539=""),"",$Q539*$K539)</f>
        <v/>
      </c>
      <c r="S539" s="7"/>
      <c r="T539" s="10"/>
      <c r="U539" s="8"/>
    </row>
    <row r="540" customFormat="false" ht="18.75" hidden="false" customHeight="true" outlineLevel="0" collapsed="false">
      <c r="A540" s="5" t="str">
        <f aca="false">IF($B540="","",COUNT($B$5:$B540))</f>
        <v/>
      </c>
      <c r="B540" s="13"/>
      <c r="C540" s="13"/>
      <c r="D540" s="14"/>
      <c r="E540" s="14"/>
      <c r="F540" s="15"/>
      <c r="G540" s="16"/>
      <c r="H540" s="14"/>
      <c r="I540" s="14"/>
      <c r="J540" s="15"/>
      <c r="K540" s="5" t="str">
        <f aca="false">IF($I540="","",1+IF($J540="",0,LEN($J540)-LEN(SUBSTITUTE($J540,",",""))+1))</f>
        <v/>
      </c>
      <c r="L540" s="14"/>
      <c r="M540" s="15"/>
      <c r="N540" s="17"/>
      <c r="O540" s="17"/>
      <c r="P540" s="5" t="str">
        <f aca="false">IF(OR($B540="",$C540=""),"",$C540-$B540+1)</f>
        <v/>
      </c>
      <c r="Q540" s="18"/>
      <c r="R540" s="12" t="str">
        <f aca="false">IF(OR($Q540="",$K540=""),"",$Q540*$K540)</f>
        <v/>
      </c>
      <c r="S540" s="14"/>
      <c r="T540" s="17"/>
      <c r="U540" s="15"/>
    </row>
    <row r="541" customFormat="false" ht="18.75" hidden="false" customHeight="true" outlineLevel="0" collapsed="false">
      <c r="A541" s="5" t="str">
        <f aca="false">IF($B541="","",COUNT($B$5:$B541))</f>
        <v/>
      </c>
      <c r="B541" s="6"/>
      <c r="C541" s="6"/>
      <c r="D541" s="7"/>
      <c r="E541" s="7"/>
      <c r="F541" s="8"/>
      <c r="G541" s="9"/>
      <c r="H541" s="7"/>
      <c r="I541" s="7"/>
      <c r="J541" s="8"/>
      <c r="K541" s="5" t="str">
        <f aca="false">IF($I541="","",1+IF($J541="",0,LEN($J541)-LEN(SUBSTITUTE($J541,",",""))+1))</f>
        <v/>
      </c>
      <c r="L541" s="7"/>
      <c r="M541" s="8"/>
      <c r="N541" s="10"/>
      <c r="O541" s="10"/>
      <c r="P541" s="5" t="str">
        <f aca="false">IF(OR($B541="",$C541=""),"",$C541-$B541+1)</f>
        <v/>
      </c>
      <c r="Q541" s="11"/>
      <c r="R541" s="12" t="str">
        <f aca="false">IF(OR($Q541="",$K541=""),"",$Q541*$K541)</f>
        <v/>
      </c>
      <c r="S541" s="7"/>
      <c r="T541" s="10"/>
      <c r="U541" s="8"/>
    </row>
    <row r="542" customFormat="false" ht="18.75" hidden="false" customHeight="true" outlineLevel="0" collapsed="false">
      <c r="A542" s="5" t="str">
        <f aca="false">IF($B542="","",COUNT($B$5:$B542))</f>
        <v/>
      </c>
      <c r="B542" s="13"/>
      <c r="C542" s="13"/>
      <c r="D542" s="14"/>
      <c r="E542" s="14"/>
      <c r="F542" s="15"/>
      <c r="G542" s="16"/>
      <c r="H542" s="14"/>
      <c r="I542" s="14"/>
      <c r="J542" s="15"/>
      <c r="K542" s="5" t="str">
        <f aca="false">IF($I542="","",1+IF($J542="",0,LEN($J542)-LEN(SUBSTITUTE($J542,",",""))+1))</f>
        <v/>
      </c>
      <c r="L542" s="14"/>
      <c r="M542" s="15"/>
      <c r="N542" s="17"/>
      <c r="O542" s="17"/>
      <c r="P542" s="5" t="str">
        <f aca="false">IF(OR($B542="",$C542=""),"",$C542-$B542+1)</f>
        <v/>
      </c>
      <c r="Q542" s="18"/>
      <c r="R542" s="12" t="str">
        <f aca="false">IF(OR($Q542="",$K542=""),"",$Q542*$K542)</f>
        <v/>
      </c>
      <c r="S542" s="14"/>
      <c r="T542" s="17"/>
      <c r="U542" s="15"/>
    </row>
    <row r="543" customFormat="false" ht="18.75" hidden="false" customHeight="true" outlineLevel="0" collapsed="false">
      <c r="A543" s="5" t="str">
        <f aca="false">IF($B543="","",COUNT($B$5:$B543))</f>
        <v/>
      </c>
      <c r="B543" s="6"/>
      <c r="C543" s="6"/>
      <c r="D543" s="7"/>
      <c r="E543" s="7"/>
      <c r="F543" s="8"/>
      <c r="G543" s="9"/>
      <c r="H543" s="7"/>
      <c r="I543" s="7"/>
      <c r="J543" s="8"/>
      <c r="K543" s="5" t="str">
        <f aca="false">IF($I543="","",1+IF($J543="",0,LEN($J543)-LEN(SUBSTITUTE($J543,",",""))+1))</f>
        <v/>
      </c>
      <c r="L543" s="7"/>
      <c r="M543" s="8"/>
      <c r="N543" s="10"/>
      <c r="O543" s="10"/>
      <c r="P543" s="5" t="str">
        <f aca="false">IF(OR($B543="",$C543=""),"",$C543-$B543+1)</f>
        <v/>
      </c>
      <c r="Q543" s="11"/>
      <c r="R543" s="12" t="str">
        <f aca="false">IF(OR($Q543="",$K543=""),"",$Q543*$K543)</f>
        <v/>
      </c>
      <c r="S543" s="7"/>
      <c r="T543" s="10"/>
      <c r="U543" s="8"/>
    </row>
    <row r="544" customFormat="false" ht="18.75" hidden="false" customHeight="true" outlineLevel="0" collapsed="false">
      <c r="A544" s="5" t="str">
        <f aca="false">IF($B544="","",COUNT($B$5:$B544))</f>
        <v/>
      </c>
      <c r="B544" s="13"/>
      <c r="C544" s="13"/>
      <c r="D544" s="14"/>
      <c r="E544" s="14"/>
      <c r="F544" s="15"/>
      <c r="G544" s="16"/>
      <c r="H544" s="14"/>
      <c r="I544" s="14"/>
      <c r="J544" s="15"/>
      <c r="K544" s="5" t="str">
        <f aca="false">IF($I544="","",1+IF($J544="",0,LEN($J544)-LEN(SUBSTITUTE($J544,",",""))+1))</f>
        <v/>
      </c>
      <c r="L544" s="14"/>
      <c r="M544" s="15"/>
      <c r="N544" s="17"/>
      <c r="O544" s="17"/>
      <c r="P544" s="5" t="str">
        <f aca="false">IF(OR($B544="",$C544=""),"",$C544-$B544+1)</f>
        <v/>
      </c>
      <c r="Q544" s="18"/>
      <c r="R544" s="12" t="str">
        <f aca="false">IF(OR($Q544="",$K544=""),"",$Q544*$K544)</f>
        <v/>
      </c>
      <c r="S544" s="14"/>
      <c r="T544" s="17"/>
      <c r="U544" s="15"/>
    </row>
    <row r="545" customFormat="false" ht="18.75" hidden="false" customHeight="true" outlineLevel="0" collapsed="false">
      <c r="A545" s="5" t="str">
        <f aca="false">IF($B545="","",COUNT($B$5:$B545))</f>
        <v/>
      </c>
      <c r="B545" s="6"/>
      <c r="C545" s="6"/>
      <c r="D545" s="7"/>
      <c r="E545" s="7"/>
      <c r="F545" s="8"/>
      <c r="G545" s="9"/>
      <c r="H545" s="7"/>
      <c r="I545" s="7"/>
      <c r="J545" s="8"/>
      <c r="K545" s="5" t="str">
        <f aca="false">IF($I545="","",1+IF($J545="",0,LEN($J545)-LEN(SUBSTITUTE($J545,",",""))+1))</f>
        <v/>
      </c>
      <c r="L545" s="7"/>
      <c r="M545" s="8"/>
      <c r="N545" s="10"/>
      <c r="O545" s="10"/>
      <c r="P545" s="5" t="str">
        <f aca="false">IF(OR($B545="",$C545=""),"",$C545-$B545+1)</f>
        <v/>
      </c>
      <c r="Q545" s="11"/>
      <c r="R545" s="12" t="str">
        <f aca="false">IF(OR($Q545="",$K545=""),"",$Q545*$K545)</f>
        <v/>
      </c>
      <c r="S545" s="7"/>
      <c r="T545" s="10"/>
      <c r="U545" s="8"/>
    </row>
    <row r="546" customFormat="false" ht="18.75" hidden="false" customHeight="true" outlineLevel="0" collapsed="false">
      <c r="A546" s="5" t="str">
        <f aca="false">IF($B546="","",COUNT($B$5:$B546))</f>
        <v/>
      </c>
      <c r="B546" s="13"/>
      <c r="C546" s="13"/>
      <c r="D546" s="14"/>
      <c r="E546" s="14"/>
      <c r="F546" s="15"/>
      <c r="G546" s="16"/>
      <c r="H546" s="14"/>
      <c r="I546" s="14"/>
      <c r="J546" s="15"/>
      <c r="K546" s="5" t="str">
        <f aca="false">IF($I546="","",1+IF($J546="",0,LEN($J546)-LEN(SUBSTITUTE($J546,",",""))+1))</f>
        <v/>
      </c>
      <c r="L546" s="14"/>
      <c r="M546" s="15"/>
      <c r="N546" s="17"/>
      <c r="O546" s="17"/>
      <c r="P546" s="5" t="str">
        <f aca="false">IF(OR($B546="",$C546=""),"",$C546-$B546+1)</f>
        <v/>
      </c>
      <c r="Q546" s="18"/>
      <c r="R546" s="12" t="str">
        <f aca="false">IF(OR($Q546="",$K546=""),"",$Q546*$K546)</f>
        <v/>
      </c>
      <c r="S546" s="14"/>
      <c r="T546" s="17"/>
      <c r="U546" s="15"/>
    </row>
    <row r="547" customFormat="false" ht="18.75" hidden="false" customHeight="true" outlineLevel="0" collapsed="false">
      <c r="A547" s="5" t="str">
        <f aca="false">IF($B547="","",COUNT($B$5:$B547))</f>
        <v/>
      </c>
      <c r="B547" s="6"/>
      <c r="C547" s="6"/>
      <c r="D547" s="7"/>
      <c r="E547" s="7"/>
      <c r="F547" s="8"/>
      <c r="G547" s="9"/>
      <c r="H547" s="7"/>
      <c r="I547" s="7"/>
      <c r="J547" s="8"/>
      <c r="K547" s="5" t="str">
        <f aca="false">IF($I547="","",1+IF($J547="",0,LEN($J547)-LEN(SUBSTITUTE($J547,",",""))+1))</f>
        <v/>
      </c>
      <c r="L547" s="7"/>
      <c r="M547" s="8"/>
      <c r="N547" s="10"/>
      <c r="O547" s="10"/>
      <c r="P547" s="5" t="str">
        <f aca="false">IF(OR($B547="",$C547=""),"",$C547-$B547+1)</f>
        <v/>
      </c>
      <c r="Q547" s="11"/>
      <c r="R547" s="12" t="str">
        <f aca="false">IF(OR($Q547="",$K547=""),"",$Q547*$K547)</f>
        <v/>
      </c>
      <c r="S547" s="7"/>
      <c r="T547" s="10"/>
      <c r="U547" s="8"/>
    </row>
    <row r="548" customFormat="false" ht="18.75" hidden="false" customHeight="true" outlineLevel="0" collapsed="false">
      <c r="A548" s="5" t="str">
        <f aca="false">IF($B548="","",COUNT($B$5:$B548))</f>
        <v/>
      </c>
      <c r="B548" s="13"/>
      <c r="C548" s="13"/>
      <c r="D548" s="14"/>
      <c r="E548" s="14"/>
      <c r="F548" s="15"/>
      <c r="G548" s="16"/>
      <c r="H548" s="14"/>
      <c r="I548" s="14"/>
      <c r="J548" s="15"/>
      <c r="K548" s="5" t="str">
        <f aca="false">IF($I548="","",1+IF($J548="",0,LEN($J548)-LEN(SUBSTITUTE($J548,",",""))+1))</f>
        <v/>
      </c>
      <c r="L548" s="14"/>
      <c r="M548" s="15"/>
      <c r="N548" s="17"/>
      <c r="O548" s="17"/>
      <c r="P548" s="5" t="str">
        <f aca="false">IF(OR($B548="",$C548=""),"",$C548-$B548+1)</f>
        <v/>
      </c>
      <c r="Q548" s="18"/>
      <c r="R548" s="12" t="str">
        <f aca="false">IF(OR($Q548="",$K548=""),"",$Q548*$K548)</f>
        <v/>
      </c>
      <c r="S548" s="14"/>
      <c r="T548" s="17"/>
      <c r="U548" s="15"/>
    </row>
    <row r="549" customFormat="false" ht="18.75" hidden="false" customHeight="true" outlineLevel="0" collapsed="false">
      <c r="A549" s="5" t="str">
        <f aca="false">IF($B549="","",COUNT($B$5:$B549))</f>
        <v/>
      </c>
      <c r="B549" s="6"/>
      <c r="C549" s="6"/>
      <c r="D549" s="7"/>
      <c r="E549" s="7"/>
      <c r="F549" s="8"/>
      <c r="G549" s="9"/>
      <c r="H549" s="7"/>
      <c r="I549" s="7"/>
      <c r="J549" s="8"/>
      <c r="K549" s="5" t="str">
        <f aca="false">IF($I549="","",1+IF($J549="",0,LEN($J549)-LEN(SUBSTITUTE($J549,",",""))+1))</f>
        <v/>
      </c>
      <c r="L549" s="7"/>
      <c r="M549" s="8"/>
      <c r="N549" s="10"/>
      <c r="O549" s="10"/>
      <c r="P549" s="5" t="str">
        <f aca="false">IF(OR($B549="",$C549=""),"",$C549-$B549+1)</f>
        <v/>
      </c>
      <c r="Q549" s="11"/>
      <c r="R549" s="12" t="str">
        <f aca="false">IF(OR($Q549="",$K549=""),"",$Q549*$K549)</f>
        <v/>
      </c>
      <c r="S549" s="7"/>
      <c r="T549" s="10"/>
      <c r="U549" s="8"/>
    </row>
    <row r="550" customFormat="false" ht="18.75" hidden="false" customHeight="true" outlineLevel="0" collapsed="false">
      <c r="A550" s="5" t="str">
        <f aca="false">IF($B550="","",COUNT($B$5:$B550))</f>
        <v/>
      </c>
      <c r="B550" s="13"/>
      <c r="C550" s="13"/>
      <c r="D550" s="14"/>
      <c r="E550" s="14"/>
      <c r="F550" s="15"/>
      <c r="G550" s="16"/>
      <c r="H550" s="14"/>
      <c r="I550" s="14"/>
      <c r="J550" s="15"/>
      <c r="K550" s="5" t="str">
        <f aca="false">IF($I550="","",1+IF($J550="",0,LEN($J550)-LEN(SUBSTITUTE($J550,",",""))+1))</f>
        <v/>
      </c>
      <c r="L550" s="14"/>
      <c r="M550" s="15"/>
      <c r="N550" s="17"/>
      <c r="O550" s="17"/>
      <c r="P550" s="5" t="str">
        <f aca="false">IF(OR($B550="",$C550=""),"",$C550-$B550+1)</f>
        <v/>
      </c>
      <c r="Q550" s="18"/>
      <c r="R550" s="12" t="str">
        <f aca="false">IF(OR($Q550="",$K550=""),"",$Q550*$K550)</f>
        <v/>
      </c>
      <c r="S550" s="14"/>
      <c r="T550" s="17"/>
      <c r="U550" s="15"/>
    </row>
    <row r="551" customFormat="false" ht="18.75" hidden="false" customHeight="true" outlineLevel="0" collapsed="false">
      <c r="A551" s="5" t="str">
        <f aca="false">IF($B551="","",COUNT($B$5:$B551))</f>
        <v/>
      </c>
      <c r="B551" s="6"/>
      <c r="C551" s="6"/>
      <c r="D551" s="7"/>
      <c r="E551" s="7"/>
      <c r="F551" s="8"/>
      <c r="G551" s="9"/>
      <c r="H551" s="7"/>
      <c r="I551" s="7"/>
      <c r="J551" s="8"/>
      <c r="K551" s="5" t="str">
        <f aca="false">IF($I551="","",1+IF($J551="",0,LEN($J551)-LEN(SUBSTITUTE($J551,",",""))+1))</f>
        <v/>
      </c>
      <c r="L551" s="7"/>
      <c r="M551" s="8"/>
      <c r="N551" s="10"/>
      <c r="O551" s="10"/>
      <c r="P551" s="5" t="str">
        <f aca="false">IF(OR($B551="",$C551=""),"",$C551-$B551+1)</f>
        <v/>
      </c>
      <c r="Q551" s="11"/>
      <c r="R551" s="12" t="str">
        <f aca="false">IF(OR($Q551="",$K551=""),"",$Q551*$K551)</f>
        <v/>
      </c>
      <c r="S551" s="7"/>
      <c r="T551" s="10"/>
      <c r="U551" s="8"/>
    </row>
    <row r="552" customFormat="false" ht="18.75" hidden="false" customHeight="true" outlineLevel="0" collapsed="false">
      <c r="A552" s="5" t="str">
        <f aca="false">IF($B552="","",COUNT($B$5:$B552))</f>
        <v/>
      </c>
      <c r="B552" s="13"/>
      <c r="C552" s="13"/>
      <c r="D552" s="14"/>
      <c r="E552" s="14"/>
      <c r="F552" s="15"/>
      <c r="G552" s="16"/>
      <c r="H552" s="14"/>
      <c r="I552" s="14"/>
      <c r="J552" s="15"/>
      <c r="K552" s="5" t="str">
        <f aca="false">IF($I552="","",1+IF($J552="",0,LEN($J552)-LEN(SUBSTITUTE($J552,",",""))+1))</f>
        <v/>
      </c>
      <c r="L552" s="14"/>
      <c r="M552" s="15"/>
      <c r="N552" s="17"/>
      <c r="O552" s="17"/>
      <c r="P552" s="5" t="str">
        <f aca="false">IF(OR($B552="",$C552=""),"",$C552-$B552+1)</f>
        <v/>
      </c>
      <c r="Q552" s="18"/>
      <c r="R552" s="12" t="str">
        <f aca="false">IF(OR($Q552="",$K552=""),"",$Q552*$K552)</f>
        <v/>
      </c>
      <c r="S552" s="14"/>
      <c r="T552" s="17"/>
      <c r="U552" s="15"/>
    </row>
    <row r="553" customFormat="false" ht="18.75" hidden="false" customHeight="true" outlineLevel="0" collapsed="false">
      <c r="A553" s="5" t="str">
        <f aca="false">IF($B553="","",COUNT($B$5:$B553))</f>
        <v/>
      </c>
      <c r="B553" s="6"/>
      <c r="C553" s="6"/>
      <c r="D553" s="7"/>
      <c r="E553" s="7"/>
      <c r="F553" s="8"/>
      <c r="G553" s="9"/>
      <c r="H553" s="7"/>
      <c r="I553" s="7"/>
      <c r="J553" s="8"/>
      <c r="K553" s="5" t="str">
        <f aca="false">IF($I553="","",1+IF($J553="",0,LEN($J553)-LEN(SUBSTITUTE($J553,",",""))+1))</f>
        <v/>
      </c>
      <c r="L553" s="7"/>
      <c r="M553" s="8"/>
      <c r="N553" s="10"/>
      <c r="O553" s="10"/>
      <c r="P553" s="5" t="str">
        <f aca="false">IF(OR($B553="",$C553=""),"",$C553-$B553+1)</f>
        <v/>
      </c>
      <c r="Q553" s="11"/>
      <c r="R553" s="12" t="str">
        <f aca="false">IF(OR($Q553="",$K553=""),"",$Q553*$K553)</f>
        <v/>
      </c>
      <c r="S553" s="7"/>
      <c r="T553" s="10"/>
      <c r="U553" s="8"/>
    </row>
    <row r="554" customFormat="false" ht="18.75" hidden="false" customHeight="true" outlineLevel="0" collapsed="false">
      <c r="A554" s="5" t="str">
        <f aca="false">IF($B554="","",COUNT($B$5:$B554))</f>
        <v/>
      </c>
      <c r="B554" s="13"/>
      <c r="C554" s="13"/>
      <c r="D554" s="14"/>
      <c r="E554" s="14"/>
      <c r="F554" s="15"/>
      <c r="G554" s="16"/>
      <c r="H554" s="14"/>
      <c r="I554" s="14"/>
      <c r="J554" s="15"/>
      <c r="K554" s="5" t="str">
        <f aca="false">IF($I554="","",1+IF($J554="",0,LEN($J554)-LEN(SUBSTITUTE($J554,",",""))+1))</f>
        <v/>
      </c>
      <c r="L554" s="14"/>
      <c r="M554" s="15"/>
      <c r="N554" s="17"/>
      <c r="O554" s="17"/>
      <c r="P554" s="5" t="str">
        <f aca="false">IF(OR($B554="",$C554=""),"",$C554-$B554+1)</f>
        <v/>
      </c>
      <c r="Q554" s="18"/>
      <c r="R554" s="12" t="str">
        <f aca="false">IF(OR($Q554="",$K554=""),"",$Q554*$K554)</f>
        <v/>
      </c>
      <c r="S554" s="14"/>
      <c r="T554" s="17"/>
      <c r="U554" s="15"/>
    </row>
    <row r="555" customFormat="false" ht="18.75" hidden="false" customHeight="true" outlineLevel="0" collapsed="false">
      <c r="A555" s="5" t="str">
        <f aca="false">IF($B555="","",COUNT($B$5:$B555))</f>
        <v/>
      </c>
      <c r="B555" s="6"/>
      <c r="C555" s="6"/>
      <c r="D555" s="7"/>
      <c r="E555" s="7"/>
      <c r="F555" s="8"/>
      <c r="G555" s="9"/>
      <c r="H555" s="7"/>
      <c r="I555" s="7"/>
      <c r="J555" s="8"/>
      <c r="K555" s="5" t="str">
        <f aca="false">IF($I555="","",1+IF($J555="",0,LEN($J555)-LEN(SUBSTITUTE($J555,",",""))+1))</f>
        <v/>
      </c>
      <c r="L555" s="7"/>
      <c r="M555" s="8"/>
      <c r="N555" s="10"/>
      <c r="O555" s="10"/>
      <c r="P555" s="5" t="str">
        <f aca="false">IF(OR($B555="",$C555=""),"",$C555-$B555+1)</f>
        <v/>
      </c>
      <c r="Q555" s="11"/>
      <c r="R555" s="12" t="str">
        <f aca="false">IF(OR($Q555="",$K555=""),"",$Q555*$K555)</f>
        <v/>
      </c>
      <c r="S555" s="7"/>
      <c r="T555" s="10"/>
      <c r="U555" s="8"/>
    </row>
    <row r="556" customFormat="false" ht="18.75" hidden="false" customHeight="true" outlineLevel="0" collapsed="false">
      <c r="A556" s="5" t="str">
        <f aca="false">IF($B556="","",COUNT($B$5:$B556))</f>
        <v/>
      </c>
      <c r="B556" s="13"/>
      <c r="C556" s="13"/>
      <c r="D556" s="14"/>
      <c r="E556" s="14"/>
      <c r="F556" s="15"/>
      <c r="G556" s="16"/>
      <c r="H556" s="14"/>
      <c r="I556" s="14"/>
      <c r="J556" s="15"/>
      <c r="K556" s="5" t="str">
        <f aca="false">IF($I556="","",1+IF($J556="",0,LEN($J556)-LEN(SUBSTITUTE($J556,",",""))+1))</f>
        <v/>
      </c>
      <c r="L556" s="14"/>
      <c r="M556" s="15"/>
      <c r="N556" s="17"/>
      <c r="O556" s="17"/>
      <c r="P556" s="5" t="str">
        <f aca="false">IF(OR($B556="",$C556=""),"",$C556-$B556+1)</f>
        <v/>
      </c>
      <c r="Q556" s="18"/>
      <c r="R556" s="12" t="str">
        <f aca="false">IF(OR($Q556="",$K556=""),"",$Q556*$K556)</f>
        <v/>
      </c>
      <c r="S556" s="14"/>
      <c r="T556" s="17"/>
      <c r="U556" s="15"/>
    </row>
    <row r="557" customFormat="false" ht="18.75" hidden="false" customHeight="true" outlineLevel="0" collapsed="false">
      <c r="A557" s="5" t="str">
        <f aca="false">IF($B557="","",COUNT($B$5:$B557))</f>
        <v/>
      </c>
      <c r="B557" s="6"/>
      <c r="C557" s="6"/>
      <c r="D557" s="7"/>
      <c r="E557" s="7"/>
      <c r="F557" s="8"/>
      <c r="G557" s="9"/>
      <c r="H557" s="7"/>
      <c r="I557" s="7"/>
      <c r="J557" s="8"/>
      <c r="K557" s="5" t="str">
        <f aca="false">IF($I557="","",1+IF($J557="",0,LEN($J557)-LEN(SUBSTITUTE($J557,",",""))+1))</f>
        <v/>
      </c>
      <c r="L557" s="7"/>
      <c r="M557" s="8"/>
      <c r="N557" s="10"/>
      <c r="O557" s="10"/>
      <c r="P557" s="5" t="str">
        <f aca="false">IF(OR($B557="",$C557=""),"",$C557-$B557+1)</f>
        <v/>
      </c>
      <c r="Q557" s="11"/>
      <c r="R557" s="12" t="str">
        <f aca="false">IF(OR($Q557="",$K557=""),"",$Q557*$K557)</f>
        <v/>
      </c>
      <c r="S557" s="7"/>
      <c r="T557" s="10"/>
      <c r="U557" s="8"/>
    </row>
    <row r="558" customFormat="false" ht="18.75" hidden="false" customHeight="true" outlineLevel="0" collapsed="false">
      <c r="A558" s="5" t="str">
        <f aca="false">IF($B558="","",COUNT($B$5:$B558))</f>
        <v/>
      </c>
      <c r="B558" s="13"/>
      <c r="C558" s="13"/>
      <c r="D558" s="14"/>
      <c r="E558" s="14"/>
      <c r="F558" s="15"/>
      <c r="G558" s="16"/>
      <c r="H558" s="14"/>
      <c r="I558" s="14"/>
      <c r="J558" s="15"/>
      <c r="K558" s="5" t="str">
        <f aca="false">IF($I558="","",1+IF($J558="",0,LEN($J558)-LEN(SUBSTITUTE($J558,",",""))+1))</f>
        <v/>
      </c>
      <c r="L558" s="14"/>
      <c r="M558" s="15"/>
      <c r="N558" s="17"/>
      <c r="O558" s="17"/>
      <c r="P558" s="5" t="str">
        <f aca="false">IF(OR($B558="",$C558=""),"",$C558-$B558+1)</f>
        <v/>
      </c>
      <c r="Q558" s="18"/>
      <c r="R558" s="12" t="str">
        <f aca="false">IF(OR($Q558="",$K558=""),"",$Q558*$K558)</f>
        <v/>
      </c>
      <c r="S558" s="14"/>
      <c r="T558" s="17"/>
      <c r="U558" s="15"/>
    </row>
    <row r="559" customFormat="false" ht="18.75" hidden="false" customHeight="true" outlineLevel="0" collapsed="false">
      <c r="A559" s="5" t="str">
        <f aca="false">IF($B559="","",COUNT($B$5:$B559))</f>
        <v/>
      </c>
      <c r="B559" s="6"/>
      <c r="C559" s="6"/>
      <c r="D559" s="7"/>
      <c r="E559" s="7"/>
      <c r="F559" s="8"/>
      <c r="G559" s="9"/>
      <c r="H559" s="7"/>
      <c r="I559" s="7"/>
      <c r="J559" s="8"/>
      <c r="K559" s="5" t="str">
        <f aca="false">IF($I559="","",1+IF($J559="",0,LEN($J559)-LEN(SUBSTITUTE($J559,",",""))+1))</f>
        <v/>
      </c>
      <c r="L559" s="7"/>
      <c r="M559" s="8"/>
      <c r="N559" s="10"/>
      <c r="O559" s="10"/>
      <c r="P559" s="5" t="str">
        <f aca="false">IF(OR($B559="",$C559=""),"",$C559-$B559+1)</f>
        <v/>
      </c>
      <c r="Q559" s="11"/>
      <c r="R559" s="12" t="str">
        <f aca="false">IF(OR($Q559="",$K559=""),"",$Q559*$K559)</f>
        <v/>
      </c>
      <c r="S559" s="7"/>
      <c r="T559" s="10"/>
      <c r="U559" s="8"/>
    </row>
    <row r="560" customFormat="false" ht="18.75" hidden="false" customHeight="true" outlineLevel="0" collapsed="false">
      <c r="A560" s="5" t="str">
        <f aca="false">IF($B560="","",COUNT($B$5:$B560))</f>
        <v/>
      </c>
      <c r="B560" s="13"/>
      <c r="C560" s="13"/>
      <c r="D560" s="14"/>
      <c r="E560" s="14"/>
      <c r="F560" s="15"/>
      <c r="G560" s="16"/>
      <c r="H560" s="14"/>
      <c r="I560" s="14"/>
      <c r="J560" s="15"/>
      <c r="K560" s="5" t="str">
        <f aca="false">IF($I560="","",1+IF($J560="",0,LEN($J560)-LEN(SUBSTITUTE($J560,",",""))+1))</f>
        <v/>
      </c>
      <c r="L560" s="14"/>
      <c r="M560" s="15"/>
      <c r="N560" s="17"/>
      <c r="O560" s="17"/>
      <c r="P560" s="5" t="str">
        <f aca="false">IF(OR($B560="",$C560=""),"",$C560-$B560+1)</f>
        <v/>
      </c>
      <c r="Q560" s="18"/>
      <c r="R560" s="12" t="str">
        <f aca="false">IF(OR($Q560="",$K560=""),"",$Q560*$K560)</f>
        <v/>
      </c>
      <c r="S560" s="14"/>
      <c r="T560" s="17"/>
      <c r="U560" s="15"/>
    </row>
    <row r="561" customFormat="false" ht="18.75" hidden="false" customHeight="true" outlineLevel="0" collapsed="false">
      <c r="A561" s="5" t="str">
        <f aca="false">IF($B561="","",COUNT($B$5:$B561))</f>
        <v/>
      </c>
      <c r="B561" s="6"/>
      <c r="C561" s="6"/>
      <c r="D561" s="7"/>
      <c r="E561" s="7"/>
      <c r="F561" s="8"/>
      <c r="G561" s="9"/>
      <c r="H561" s="7"/>
      <c r="I561" s="7"/>
      <c r="J561" s="8"/>
      <c r="K561" s="5" t="str">
        <f aca="false">IF($I561="","",1+IF($J561="",0,LEN($J561)-LEN(SUBSTITUTE($J561,",",""))+1))</f>
        <v/>
      </c>
      <c r="L561" s="7"/>
      <c r="M561" s="8"/>
      <c r="N561" s="10"/>
      <c r="O561" s="10"/>
      <c r="P561" s="5" t="str">
        <f aca="false">IF(OR($B561="",$C561=""),"",$C561-$B561+1)</f>
        <v/>
      </c>
      <c r="Q561" s="11"/>
      <c r="R561" s="12" t="str">
        <f aca="false">IF(OR($Q561="",$K561=""),"",$Q561*$K561)</f>
        <v/>
      </c>
      <c r="S561" s="7"/>
      <c r="T561" s="10"/>
      <c r="U561" s="8"/>
    </row>
    <row r="562" customFormat="false" ht="18.75" hidden="false" customHeight="true" outlineLevel="0" collapsed="false">
      <c r="A562" s="5" t="str">
        <f aca="false">IF($B562="","",COUNT($B$5:$B562))</f>
        <v/>
      </c>
      <c r="B562" s="13"/>
      <c r="C562" s="13"/>
      <c r="D562" s="14"/>
      <c r="E562" s="14"/>
      <c r="F562" s="15"/>
      <c r="G562" s="16"/>
      <c r="H562" s="14"/>
      <c r="I562" s="14"/>
      <c r="J562" s="15"/>
      <c r="K562" s="5" t="str">
        <f aca="false">IF($I562="","",1+IF($J562="",0,LEN($J562)-LEN(SUBSTITUTE($J562,",",""))+1))</f>
        <v/>
      </c>
      <c r="L562" s="14"/>
      <c r="M562" s="15"/>
      <c r="N562" s="17"/>
      <c r="O562" s="17"/>
      <c r="P562" s="5" t="str">
        <f aca="false">IF(OR($B562="",$C562=""),"",$C562-$B562+1)</f>
        <v/>
      </c>
      <c r="Q562" s="18"/>
      <c r="R562" s="12" t="str">
        <f aca="false">IF(OR($Q562="",$K562=""),"",$Q562*$K562)</f>
        <v/>
      </c>
      <c r="S562" s="14"/>
      <c r="T562" s="17"/>
      <c r="U562" s="15"/>
    </row>
    <row r="563" customFormat="false" ht="18.75" hidden="false" customHeight="true" outlineLevel="0" collapsed="false">
      <c r="A563" s="5" t="str">
        <f aca="false">IF($B563="","",COUNT($B$5:$B563))</f>
        <v/>
      </c>
      <c r="B563" s="6"/>
      <c r="C563" s="6"/>
      <c r="D563" s="7"/>
      <c r="E563" s="7"/>
      <c r="F563" s="8"/>
      <c r="G563" s="9"/>
      <c r="H563" s="7"/>
      <c r="I563" s="7"/>
      <c r="J563" s="8"/>
      <c r="K563" s="5" t="str">
        <f aca="false">IF($I563="","",1+IF($J563="",0,LEN($J563)-LEN(SUBSTITUTE($J563,",",""))+1))</f>
        <v/>
      </c>
      <c r="L563" s="7"/>
      <c r="M563" s="8"/>
      <c r="N563" s="10"/>
      <c r="O563" s="10"/>
      <c r="P563" s="5" t="str">
        <f aca="false">IF(OR($B563="",$C563=""),"",$C563-$B563+1)</f>
        <v/>
      </c>
      <c r="Q563" s="11"/>
      <c r="R563" s="12" t="str">
        <f aca="false">IF(OR($Q563="",$K563=""),"",$Q563*$K563)</f>
        <v/>
      </c>
      <c r="S563" s="7"/>
      <c r="T563" s="10"/>
      <c r="U563" s="8"/>
    </row>
    <row r="564" customFormat="false" ht="18.75" hidden="false" customHeight="true" outlineLevel="0" collapsed="false">
      <c r="A564" s="5" t="str">
        <f aca="false">IF($B564="","",COUNT($B$5:$B564))</f>
        <v/>
      </c>
      <c r="B564" s="13"/>
      <c r="C564" s="13"/>
      <c r="D564" s="14"/>
      <c r="E564" s="14"/>
      <c r="F564" s="15"/>
      <c r="G564" s="16"/>
      <c r="H564" s="14"/>
      <c r="I564" s="14"/>
      <c r="J564" s="15"/>
      <c r="K564" s="5" t="str">
        <f aca="false">IF($I564="","",1+IF($J564="",0,LEN($J564)-LEN(SUBSTITUTE($J564,",",""))+1))</f>
        <v/>
      </c>
      <c r="L564" s="14"/>
      <c r="M564" s="15"/>
      <c r="N564" s="17"/>
      <c r="O564" s="17"/>
      <c r="P564" s="5" t="str">
        <f aca="false">IF(OR($B564="",$C564=""),"",$C564-$B564+1)</f>
        <v/>
      </c>
      <c r="Q564" s="18"/>
      <c r="R564" s="12" t="str">
        <f aca="false">IF(OR($Q564="",$K564=""),"",$Q564*$K564)</f>
        <v/>
      </c>
      <c r="S564" s="14"/>
      <c r="T564" s="17"/>
      <c r="U564" s="15"/>
    </row>
    <row r="565" customFormat="false" ht="18.75" hidden="false" customHeight="true" outlineLevel="0" collapsed="false">
      <c r="A565" s="5" t="str">
        <f aca="false">IF($B565="","",COUNT($B$5:$B565))</f>
        <v/>
      </c>
      <c r="B565" s="6"/>
      <c r="C565" s="6"/>
      <c r="D565" s="7"/>
      <c r="E565" s="7"/>
      <c r="F565" s="8"/>
      <c r="G565" s="9"/>
      <c r="H565" s="7"/>
      <c r="I565" s="7"/>
      <c r="J565" s="8"/>
      <c r="K565" s="5" t="str">
        <f aca="false">IF($I565="","",1+IF($J565="",0,LEN($J565)-LEN(SUBSTITUTE($J565,",",""))+1))</f>
        <v/>
      </c>
      <c r="L565" s="7"/>
      <c r="M565" s="8"/>
      <c r="N565" s="10"/>
      <c r="O565" s="10"/>
      <c r="P565" s="5" t="str">
        <f aca="false">IF(OR($B565="",$C565=""),"",$C565-$B565+1)</f>
        <v/>
      </c>
      <c r="Q565" s="11"/>
      <c r="R565" s="12" t="str">
        <f aca="false">IF(OR($Q565="",$K565=""),"",$Q565*$K565)</f>
        <v/>
      </c>
      <c r="S565" s="7"/>
      <c r="T565" s="10"/>
      <c r="U565" s="8"/>
    </row>
    <row r="566" customFormat="false" ht="18.75" hidden="false" customHeight="true" outlineLevel="0" collapsed="false">
      <c r="A566" s="5" t="str">
        <f aca="false">IF($B566="","",COUNT($B$5:$B566))</f>
        <v/>
      </c>
      <c r="B566" s="13"/>
      <c r="C566" s="13"/>
      <c r="D566" s="14"/>
      <c r="E566" s="14"/>
      <c r="F566" s="15"/>
      <c r="G566" s="16"/>
      <c r="H566" s="14"/>
      <c r="I566" s="14"/>
      <c r="J566" s="15"/>
      <c r="K566" s="5" t="str">
        <f aca="false">IF($I566="","",1+IF($J566="",0,LEN($J566)-LEN(SUBSTITUTE($J566,",",""))+1))</f>
        <v/>
      </c>
      <c r="L566" s="14"/>
      <c r="M566" s="15"/>
      <c r="N566" s="17"/>
      <c r="O566" s="17"/>
      <c r="P566" s="5" t="str">
        <f aca="false">IF(OR($B566="",$C566=""),"",$C566-$B566+1)</f>
        <v/>
      </c>
      <c r="Q566" s="18"/>
      <c r="R566" s="12" t="str">
        <f aca="false">IF(OR($Q566="",$K566=""),"",$Q566*$K566)</f>
        <v/>
      </c>
      <c r="S566" s="14"/>
      <c r="T566" s="17"/>
      <c r="U566" s="15"/>
    </row>
    <row r="567" customFormat="false" ht="18.75" hidden="false" customHeight="true" outlineLevel="0" collapsed="false">
      <c r="A567" s="5" t="str">
        <f aca="false">IF($B567="","",COUNT($B$5:$B567))</f>
        <v/>
      </c>
      <c r="B567" s="6"/>
      <c r="C567" s="6"/>
      <c r="D567" s="7"/>
      <c r="E567" s="7"/>
      <c r="F567" s="8"/>
      <c r="G567" s="9"/>
      <c r="H567" s="7"/>
      <c r="I567" s="7"/>
      <c r="J567" s="8"/>
      <c r="K567" s="5" t="str">
        <f aca="false">IF($I567="","",1+IF($J567="",0,LEN($J567)-LEN(SUBSTITUTE($J567,",",""))+1))</f>
        <v/>
      </c>
      <c r="L567" s="7"/>
      <c r="M567" s="8"/>
      <c r="N567" s="10"/>
      <c r="O567" s="10"/>
      <c r="P567" s="5" t="str">
        <f aca="false">IF(OR($B567="",$C567=""),"",$C567-$B567+1)</f>
        <v/>
      </c>
      <c r="Q567" s="11"/>
      <c r="R567" s="12" t="str">
        <f aca="false">IF(OR($Q567="",$K567=""),"",$Q567*$K567)</f>
        <v/>
      </c>
      <c r="S567" s="7"/>
      <c r="T567" s="10"/>
      <c r="U567" s="8"/>
    </row>
    <row r="568" customFormat="false" ht="18.75" hidden="false" customHeight="true" outlineLevel="0" collapsed="false">
      <c r="A568" s="5" t="str">
        <f aca="false">IF($B568="","",COUNT($B$5:$B568))</f>
        <v/>
      </c>
      <c r="B568" s="13"/>
      <c r="C568" s="13"/>
      <c r="D568" s="14"/>
      <c r="E568" s="14"/>
      <c r="F568" s="15"/>
      <c r="G568" s="16"/>
      <c r="H568" s="14"/>
      <c r="I568" s="14"/>
      <c r="J568" s="15"/>
      <c r="K568" s="5" t="str">
        <f aca="false">IF($I568="","",1+IF($J568="",0,LEN($J568)-LEN(SUBSTITUTE($J568,",",""))+1))</f>
        <v/>
      </c>
      <c r="L568" s="14"/>
      <c r="M568" s="15"/>
      <c r="N568" s="17"/>
      <c r="O568" s="17"/>
      <c r="P568" s="5" t="str">
        <f aca="false">IF(OR($B568="",$C568=""),"",$C568-$B568+1)</f>
        <v/>
      </c>
      <c r="Q568" s="18"/>
      <c r="R568" s="12" t="str">
        <f aca="false">IF(OR($Q568="",$K568=""),"",$Q568*$K568)</f>
        <v/>
      </c>
      <c r="S568" s="14"/>
      <c r="T568" s="17"/>
      <c r="U568" s="15"/>
    </row>
    <row r="569" customFormat="false" ht="18.75" hidden="false" customHeight="true" outlineLevel="0" collapsed="false">
      <c r="A569" s="5" t="str">
        <f aca="false">IF($B569="","",COUNT($B$5:$B569))</f>
        <v/>
      </c>
      <c r="B569" s="6"/>
      <c r="C569" s="6"/>
      <c r="D569" s="7"/>
      <c r="E569" s="7"/>
      <c r="F569" s="8"/>
      <c r="G569" s="9"/>
      <c r="H569" s="7"/>
      <c r="I569" s="7"/>
      <c r="J569" s="8"/>
      <c r="K569" s="5" t="str">
        <f aca="false">IF($I569="","",1+IF($J569="",0,LEN($J569)-LEN(SUBSTITUTE($J569,",",""))+1))</f>
        <v/>
      </c>
      <c r="L569" s="7"/>
      <c r="M569" s="8"/>
      <c r="N569" s="10"/>
      <c r="O569" s="10"/>
      <c r="P569" s="5" t="str">
        <f aca="false">IF(OR($B569="",$C569=""),"",$C569-$B569+1)</f>
        <v/>
      </c>
      <c r="Q569" s="11"/>
      <c r="R569" s="12" t="str">
        <f aca="false">IF(OR($Q569="",$K569=""),"",$Q569*$K569)</f>
        <v/>
      </c>
      <c r="S569" s="7"/>
      <c r="T569" s="10"/>
      <c r="U569" s="8"/>
    </row>
    <row r="570" customFormat="false" ht="18.75" hidden="false" customHeight="true" outlineLevel="0" collapsed="false">
      <c r="A570" s="5" t="str">
        <f aca="false">IF($B570="","",COUNT($B$5:$B570))</f>
        <v/>
      </c>
      <c r="B570" s="13"/>
      <c r="C570" s="13"/>
      <c r="D570" s="14"/>
      <c r="E570" s="14"/>
      <c r="F570" s="15"/>
      <c r="G570" s="16"/>
      <c r="H570" s="14"/>
      <c r="I570" s="14"/>
      <c r="J570" s="15"/>
      <c r="K570" s="5" t="str">
        <f aca="false">IF($I570="","",1+IF($J570="",0,LEN($J570)-LEN(SUBSTITUTE($J570,",",""))+1))</f>
        <v/>
      </c>
      <c r="L570" s="14"/>
      <c r="M570" s="15"/>
      <c r="N570" s="17"/>
      <c r="O570" s="17"/>
      <c r="P570" s="5" t="str">
        <f aca="false">IF(OR($B570="",$C570=""),"",$C570-$B570+1)</f>
        <v/>
      </c>
      <c r="Q570" s="18"/>
      <c r="R570" s="12" t="str">
        <f aca="false">IF(OR($Q570="",$K570=""),"",$Q570*$K570)</f>
        <v/>
      </c>
      <c r="S570" s="14"/>
      <c r="T570" s="17"/>
      <c r="U570" s="15"/>
    </row>
    <row r="571" customFormat="false" ht="18.75" hidden="false" customHeight="true" outlineLevel="0" collapsed="false">
      <c r="A571" s="5" t="str">
        <f aca="false">IF($B571="","",COUNT($B$5:$B571))</f>
        <v/>
      </c>
      <c r="B571" s="6"/>
      <c r="C571" s="6"/>
      <c r="D571" s="7"/>
      <c r="E571" s="7"/>
      <c r="F571" s="8"/>
      <c r="G571" s="9"/>
      <c r="H571" s="7"/>
      <c r="I571" s="7"/>
      <c r="J571" s="8"/>
      <c r="K571" s="5" t="str">
        <f aca="false">IF($I571="","",1+IF($J571="",0,LEN($J571)-LEN(SUBSTITUTE($J571,",",""))+1))</f>
        <v/>
      </c>
      <c r="L571" s="7"/>
      <c r="M571" s="8"/>
      <c r="N571" s="10"/>
      <c r="O571" s="10"/>
      <c r="P571" s="5" t="str">
        <f aca="false">IF(OR($B571="",$C571=""),"",$C571-$B571+1)</f>
        <v/>
      </c>
      <c r="Q571" s="11"/>
      <c r="R571" s="12" t="str">
        <f aca="false">IF(OR($Q571="",$K571=""),"",$Q571*$K571)</f>
        <v/>
      </c>
      <c r="S571" s="7"/>
      <c r="T571" s="10"/>
      <c r="U571" s="8"/>
    </row>
    <row r="572" customFormat="false" ht="18.75" hidden="false" customHeight="true" outlineLevel="0" collapsed="false">
      <c r="A572" s="5" t="str">
        <f aca="false">IF($B572="","",COUNT($B$5:$B572))</f>
        <v/>
      </c>
      <c r="B572" s="13"/>
      <c r="C572" s="13"/>
      <c r="D572" s="14"/>
      <c r="E572" s="14"/>
      <c r="F572" s="15"/>
      <c r="G572" s="16"/>
      <c r="H572" s="14"/>
      <c r="I572" s="14"/>
      <c r="J572" s="15"/>
      <c r="K572" s="5" t="str">
        <f aca="false">IF($I572="","",1+IF($J572="",0,LEN($J572)-LEN(SUBSTITUTE($J572,",",""))+1))</f>
        <v/>
      </c>
      <c r="L572" s="14"/>
      <c r="M572" s="15"/>
      <c r="N572" s="17"/>
      <c r="O572" s="17"/>
      <c r="P572" s="5" t="str">
        <f aca="false">IF(OR($B572="",$C572=""),"",$C572-$B572+1)</f>
        <v/>
      </c>
      <c r="Q572" s="18"/>
      <c r="R572" s="12" t="str">
        <f aca="false">IF(OR($Q572="",$K572=""),"",$Q572*$K572)</f>
        <v/>
      </c>
      <c r="S572" s="14"/>
      <c r="T572" s="17"/>
      <c r="U572" s="15"/>
    </row>
    <row r="573" customFormat="false" ht="18.75" hidden="false" customHeight="true" outlineLevel="0" collapsed="false">
      <c r="A573" s="5" t="str">
        <f aca="false">IF($B573="","",COUNT($B$5:$B573))</f>
        <v/>
      </c>
      <c r="B573" s="6"/>
      <c r="C573" s="6"/>
      <c r="D573" s="7"/>
      <c r="E573" s="7"/>
      <c r="F573" s="8"/>
      <c r="G573" s="9"/>
      <c r="H573" s="7"/>
      <c r="I573" s="7"/>
      <c r="J573" s="8"/>
      <c r="K573" s="5" t="str">
        <f aca="false">IF($I573="","",1+IF($J573="",0,LEN($J573)-LEN(SUBSTITUTE($J573,",",""))+1))</f>
        <v/>
      </c>
      <c r="L573" s="7"/>
      <c r="M573" s="8"/>
      <c r="N573" s="10"/>
      <c r="O573" s="10"/>
      <c r="P573" s="5" t="str">
        <f aca="false">IF(OR($B573="",$C573=""),"",$C573-$B573+1)</f>
        <v/>
      </c>
      <c r="Q573" s="11"/>
      <c r="R573" s="12" t="str">
        <f aca="false">IF(OR($Q573="",$K573=""),"",$Q573*$K573)</f>
        <v/>
      </c>
      <c r="S573" s="7"/>
      <c r="T573" s="10"/>
      <c r="U573" s="8"/>
    </row>
    <row r="574" customFormat="false" ht="18.75" hidden="false" customHeight="true" outlineLevel="0" collapsed="false">
      <c r="A574" s="5" t="str">
        <f aca="false">IF($B574="","",COUNT($B$5:$B574))</f>
        <v/>
      </c>
      <c r="B574" s="13"/>
      <c r="C574" s="13"/>
      <c r="D574" s="14"/>
      <c r="E574" s="14"/>
      <c r="F574" s="15"/>
      <c r="G574" s="16"/>
      <c r="H574" s="14"/>
      <c r="I574" s="14"/>
      <c r="J574" s="15"/>
      <c r="K574" s="5" t="str">
        <f aca="false">IF($I574="","",1+IF($J574="",0,LEN($J574)-LEN(SUBSTITUTE($J574,",",""))+1))</f>
        <v/>
      </c>
      <c r="L574" s="14"/>
      <c r="M574" s="15"/>
      <c r="N574" s="17"/>
      <c r="O574" s="17"/>
      <c r="P574" s="5" t="str">
        <f aca="false">IF(OR($B574="",$C574=""),"",$C574-$B574+1)</f>
        <v/>
      </c>
      <c r="Q574" s="18"/>
      <c r="R574" s="12" t="str">
        <f aca="false">IF(OR($Q574="",$K574=""),"",$Q574*$K574)</f>
        <v/>
      </c>
      <c r="S574" s="14"/>
      <c r="T574" s="17"/>
      <c r="U574" s="15"/>
    </row>
    <row r="575" customFormat="false" ht="18.75" hidden="false" customHeight="true" outlineLevel="0" collapsed="false">
      <c r="A575" s="5" t="str">
        <f aca="false">IF($B575="","",COUNT($B$5:$B575))</f>
        <v/>
      </c>
      <c r="B575" s="6"/>
      <c r="C575" s="6"/>
      <c r="D575" s="7"/>
      <c r="E575" s="7"/>
      <c r="F575" s="8"/>
      <c r="G575" s="9"/>
      <c r="H575" s="7"/>
      <c r="I575" s="7"/>
      <c r="J575" s="8"/>
      <c r="K575" s="5" t="str">
        <f aca="false">IF($I575="","",1+IF($J575="",0,LEN($J575)-LEN(SUBSTITUTE($J575,",",""))+1))</f>
        <v/>
      </c>
      <c r="L575" s="7"/>
      <c r="M575" s="8"/>
      <c r="N575" s="10"/>
      <c r="O575" s="10"/>
      <c r="P575" s="5" t="str">
        <f aca="false">IF(OR($B575="",$C575=""),"",$C575-$B575+1)</f>
        <v/>
      </c>
      <c r="Q575" s="11"/>
      <c r="R575" s="12" t="str">
        <f aca="false">IF(OR($Q575="",$K575=""),"",$Q575*$K575)</f>
        <v/>
      </c>
      <c r="S575" s="7"/>
      <c r="T575" s="10"/>
      <c r="U575" s="8"/>
    </row>
    <row r="576" customFormat="false" ht="18.75" hidden="false" customHeight="true" outlineLevel="0" collapsed="false">
      <c r="A576" s="5" t="str">
        <f aca="false">IF($B576="","",COUNT($B$5:$B576))</f>
        <v/>
      </c>
      <c r="B576" s="13"/>
      <c r="C576" s="13"/>
      <c r="D576" s="14"/>
      <c r="E576" s="14"/>
      <c r="F576" s="15"/>
      <c r="G576" s="16"/>
      <c r="H576" s="14"/>
      <c r="I576" s="14"/>
      <c r="J576" s="15"/>
      <c r="K576" s="5" t="str">
        <f aca="false">IF($I576="","",1+IF($J576="",0,LEN($J576)-LEN(SUBSTITUTE($J576,",",""))+1))</f>
        <v/>
      </c>
      <c r="L576" s="14"/>
      <c r="M576" s="15"/>
      <c r="N576" s="17"/>
      <c r="O576" s="17"/>
      <c r="P576" s="5" t="str">
        <f aca="false">IF(OR($B576="",$C576=""),"",$C576-$B576+1)</f>
        <v/>
      </c>
      <c r="Q576" s="18"/>
      <c r="R576" s="12" t="str">
        <f aca="false">IF(OR($Q576="",$K576=""),"",$Q576*$K576)</f>
        <v/>
      </c>
      <c r="S576" s="14"/>
      <c r="T576" s="17"/>
      <c r="U576" s="15"/>
    </row>
    <row r="577" customFormat="false" ht="18.75" hidden="false" customHeight="true" outlineLevel="0" collapsed="false">
      <c r="A577" s="5" t="str">
        <f aca="false">IF($B577="","",COUNT($B$5:$B577))</f>
        <v/>
      </c>
      <c r="B577" s="6"/>
      <c r="C577" s="6"/>
      <c r="D577" s="7"/>
      <c r="E577" s="7"/>
      <c r="F577" s="8"/>
      <c r="G577" s="9"/>
      <c r="H577" s="7"/>
      <c r="I577" s="7"/>
      <c r="J577" s="8"/>
      <c r="K577" s="5" t="str">
        <f aca="false">IF($I577="","",1+IF($J577="",0,LEN($J577)-LEN(SUBSTITUTE($J577,",",""))+1))</f>
        <v/>
      </c>
      <c r="L577" s="7"/>
      <c r="M577" s="8"/>
      <c r="N577" s="10"/>
      <c r="O577" s="10"/>
      <c r="P577" s="5" t="str">
        <f aca="false">IF(OR($B577="",$C577=""),"",$C577-$B577+1)</f>
        <v/>
      </c>
      <c r="Q577" s="11"/>
      <c r="R577" s="12" t="str">
        <f aca="false">IF(OR($Q577="",$K577=""),"",$Q577*$K577)</f>
        <v/>
      </c>
      <c r="S577" s="7"/>
      <c r="T577" s="10"/>
      <c r="U577" s="8"/>
    </row>
    <row r="578" customFormat="false" ht="18.75" hidden="false" customHeight="true" outlineLevel="0" collapsed="false">
      <c r="A578" s="5" t="str">
        <f aca="false">IF($B578="","",COUNT($B$5:$B578))</f>
        <v/>
      </c>
      <c r="B578" s="13"/>
      <c r="C578" s="13"/>
      <c r="D578" s="14"/>
      <c r="E578" s="14"/>
      <c r="F578" s="15"/>
      <c r="G578" s="16"/>
      <c r="H578" s="14"/>
      <c r="I578" s="14"/>
      <c r="J578" s="15"/>
      <c r="K578" s="5" t="str">
        <f aca="false">IF($I578="","",1+IF($J578="",0,LEN($J578)-LEN(SUBSTITUTE($J578,",",""))+1))</f>
        <v/>
      </c>
      <c r="L578" s="14"/>
      <c r="M578" s="15"/>
      <c r="N578" s="17"/>
      <c r="O578" s="17"/>
      <c r="P578" s="5" t="str">
        <f aca="false">IF(OR($B578="",$C578=""),"",$C578-$B578+1)</f>
        <v/>
      </c>
      <c r="Q578" s="18"/>
      <c r="R578" s="12" t="str">
        <f aca="false">IF(OR($Q578="",$K578=""),"",$Q578*$K578)</f>
        <v/>
      </c>
      <c r="S578" s="14"/>
      <c r="T578" s="17"/>
      <c r="U578" s="15"/>
    </row>
    <row r="579" customFormat="false" ht="18.75" hidden="false" customHeight="true" outlineLevel="0" collapsed="false">
      <c r="A579" s="5" t="str">
        <f aca="false">IF($B579="","",COUNT($B$5:$B579))</f>
        <v/>
      </c>
      <c r="B579" s="6"/>
      <c r="C579" s="6"/>
      <c r="D579" s="7"/>
      <c r="E579" s="7"/>
      <c r="F579" s="8"/>
      <c r="G579" s="9"/>
      <c r="H579" s="7"/>
      <c r="I579" s="7"/>
      <c r="J579" s="8"/>
      <c r="K579" s="5" t="str">
        <f aca="false">IF($I579="","",1+IF($J579="",0,LEN($J579)-LEN(SUBSTITUTE($J579,",",""))+1))</f>
        <v/>
      </c>
      <c r="L579" s="7"/>
      <c r="M579" s="8"/>
      <c r="N579" s="10"/>
      <c r="O579" s="10"/>
      <c r="P579" s="5" t="str">
        <f aca="false">IF(OR($B579="",$C579=""),"",$C579-$B579+1)</f>
        <v/>
      </c>
      <c r="Q579" s="11"/>
      <c r="R579" s="12" t="str">
        <f aca="false">IF(OR($Q579="",$K579=""),"",$Q579*$K579)</f>
        <v/>
      </c>
      <c r="S579" s="7"/>
      <c r="T579" s="10"/>
      <c r="U579" s="8"/>
    </row>
    <row r="580" customFormat="false" ht="18.75" hidden="false" customHeight="true" outlineLevel="0" collapsed="false">
      <c r="A580" s="5" t="str">
        <f aca="false">IF($B580="","",COUNT($B$5:$B580))</f>
        <v/>
      </c>
      <c r="B580" s="13"/>
      <c r="C580" s="13"/>
      <c r="D580" s="14"/>
      <c r="E580" s="14"/>
      <c r="F580" s="15"/>
      <c r="G580" s="16"/>
      <c r="H580" s="14"/>
      <c r="I580" s="14"/>
      <c r="J580" s="15"/>
      <c r="K580" s="5" t="str">
        <f aca="false">IF($I580="","",1+IF($J580="",0,LEN($J580)-LEN(SUBSTITUTE($J580,",",""))+1))</f>
        <v/>
      </c>
      <c r="L580" s="14"/>
      <c r="M580" s="15"/>
      <c r="N580" s="17"/>
      <c r="O580" s="17"/>
      <c r="P580" s="5" t="str">
        <f aca="false">IF(OR($B580="",$C580=""),"",$C580-$B580+1)</f>
        <v/>
      </c>
      <c r="Q580" s="18"/>
      <c r="R580" s="12" t="str">
        <f aca="false">IF(OR($Q580="",$K580=""),"",$Q580*$K580)</f>
        <v/>
      </c>
      <c r="S580" s="14"/>
      <c r="T580" s="17"/>
      <c r="U580" s="15"/>
    </row>
    <row r="581" customFormat="false" ht="18.75" hidden="false" customHeight="true" outlineLevel="0" collapsed="false">
      <c r="A581" s="5" t="str">
        <f aca="false">IF($B581="","",COUNT($B$5:$B581))</f>
        <v/>
      </c>
      <c r="B581" s="6"/>
      <c r="C581" s="6"/>
      <c r="D581" s="7"/>
      <c r="E581" s="7"/>
      <c r="F581" s="8"/>
      <c r="G581" s="9"/>
      <c r="H581" s="7"/>
      <c r="I581" s="7"/>
      <c r="J581" s="8"/>
      <c r="K581" s="5" t="str">
        <f aca="false">IF($I581="","",1+IF($J581="",0,LEN($J581)-LEN(SUBSTITUTE($J581,",",""))+1))</f>
        <v/>
      </c>
      <c r="L581" s="7"/>
      <c r="M581" s="8"/>
      <c r="N581" s="10"/>
      <c r="O581" s="10"/>
      <c r="P581" s="5" t="str">
        <f aca="false">IF(OR($B581="",$C581=""),"",$C581-$B581+1)</f>
        <v/>
      </c>
      <c r="Q581" s="11"/>
      <c r="R581" s="12" t="str">
        <f aca="false">IF(OR($Q581="",$K581=""),"",$Q581*$K581)</f>
        <v/>
      </c>
      <c r="S581" s="7"/>
      <c r="T581" s="10"/>
      <c r="U581" s="8"/>
    </row>
    <row r="582" customFormat="false" ht="18.75" hidden="false" customHeight="true" outlineLevel="0" collapsed="false">
      <c r="A582" s="5" t="str">
        <f aca="false">IF($B582="","",COUNT($B$5:$B582))</f>
        <v/>
      </c>
      <c r="B582" s="13"/>
      <c r="C582" s="13"/>
      <c r="D582" s="14"/>
      <c r="E582" s="14"/>
      <c r="F582" s="15"/>
      <c r="G582" s="16"/>
      <c r="H582" s="14"/>
      <c r="I582" s="14"/>
      <c r="J582" s="15"/>
      <c r="K582" s="5" t="str">
        <f aca="false">IF($I582="","",1+IF($J582="",0,LEN($J582)-LEN(SUBSTITUTE($J582,",",""))+1))</f>
        <v/>
      </c>
      <c r="L582" s="14"/>
      <c r="M582" s="15"/>
      <c r="N582" s="17"/>
      <c r="O582" s="17"/>
      <c r="P582" s="5" t="str">
        <f aca="false">IF(OR($B582="",$C582=""),"",$C582-$B582+1)</f>
        <v/>
      </c>
      <c r="Q582" s="18"/>
      <c r="R582" s="12" t="str">
        <f aca="false">IF(OR($Q582="",$K582=""),"",$Q582*$K582)</f>
        <v/>
      </c>
      <c r="S582" s="14"/>
      <c r="T582" s="17"/>
      <c r="U582" s="15"/>
    </row>
    <row r="583" customFormat="false" ht="18.75" hidden="false" customHeight="true" outlineLevel="0" collapsed="false">
      <c r="A583" s="5" t="str">
        <f aca="false">IF($B583="","",COUNT($B$5:$B583))</f>
        <v/>
      </c>
      <c r="B583" s="6"/>
      <c r="C583" s="6"/>
      <c r="D583" s="7"/>
      <c r="E583" s="7"/>
      <c r="F583" s="8"/>
      <c r="G583" s="9"/>
      <c r="H583" s="7"/>
      <c r="I583" s="7"/>
      <c r="J583" s="8"/>
      <c r="K583" s="5" t="str">
        <f aca="false">IF($I583="","",1+IF($J583="",0,LEN($J583)-LEN(SUBSTITUTE($J583,",",""))+1))</f>
        <v/>
      </c>
      <c r="L583" s="7"/>
      <c r="M583" s="8"/>
      <c r="N583" s="10"/>
      <c r="O583" s="10"/>
      <c r="P583" s="5" t="str">
        <f aca="false">IF(OR($B583="",$C583=""),"",$C583-$B583+1)</f>
        <v/>
      </c>
      <c r="Q583" s="11"/>
      <c r="R583" s="12" t="str">
        <f aca="false">IF(OR($Q583="",$K583=""),"",$Q583*$K583)</f>
        <v/>
      </c>
      <c r="S583" s="7"/>
      <c r="T583" s="10"/>
      <c r="U583" s="8"/>
    </row>
    <row r="584" customFormat="false" ht="18.75" hidden="false" customHeight="true" outlineLevel="0" collapsed="false">
      <c r="A584" s="5" t="str">
        <f aca="false">IF($B584="","",COUNT($B$5:$B584))</f>
        <v/>
      </c>
      <c r="B584" s="13"/>
      <c r="C584" s="13"/>
      <c r="D584" s="14"/>
      <c r="E584" s="14"/>
      <c r="F584" s="15"/>
      <c r="G584" s="16"/>
      <c r="H584" s="14"/>
      <c r="I584" s="14"/>
      <c r="J584" s="15"/>
      <c r="K584" s="5" t="str">
        <f aca="false">IF($I584="","",1+IF($J584="",0,LEN($J584)-LEN(SUBSTITUTE($J584,",",""))+1))</f>
        <v/>
      </c>
      <c r="L584" s="14"/>
      <c r="M584" s="15"/>
      <c r="N584" s="17"/>
      <c r="O584" s="17"/>
      <c r="P584" s="5" t="str">
        <f aca="false">IF(OR($B584="",$C584=""),"",$C584-$B584+1)</f>
        <v/>
      </c>
      <c r="Q584" s="18"/>
      <c r="R584" s="12" t="str">
        <f aca="false">IF(OR($Q584="",$K584=""),"",$Q584*$K584)</f>
        <v/>
      </c>
      <c r="S584" s="14"/>
      <c r="T584" s="17"/>
      <c r="U584" s="15"/>
    </row>
    <row r="585" customFormat="false" ht="18.75" hidden="false" customHeight="true" outlineLevel="0" collapsed="false">
      <c r="A585" s="5" t="str">
        <f aca="false">IF($B585="","",COUNT($B$5:$B585))</f>
        <v/>
      </c>
      <c r="B585" s="6"/>
      <c r="C585" s="6"/>
      <c r="D585" s="7"/>
      <c r="E585" s="7"/>
      <c r="F585" s="8"/>
      <c r="G585" s="9"/>
      <c r="H585" s="7"/>
      <c r="I585" s="7"/>
      <c r="J585" s="8"/>
      <c r="K585" s="5" t="str">
        <f aca="false">IF($I585="","",1+IF($J585="",0,LEN($J585)-LEN(SUBSTITUTE($J585,",",""))+1))</f>
        <v/>
      </c>
      <c r="L585" s="7"/>
      <c r="M585" s="8"/>
      <c r="N585" s="10"/>
      <c r="O585" s="10"/>
      <c r="P585" s="5" t="str">
        <f aca="false">IF(OR($B585="",$C585=""),"",$C585-$B585+1)</f>
        <v/>
      </c>
      <c r="Q585" s="11"/>
      <c r="R585" s="12" t="str">
        <f aca="false">IF(OR($Q585="",$K585=""),"",$Q585*$K585)</f>
        <v/>
      </c>
      <c r="S585" s="7"/>
      <c r="T585" s="10"/>
      <c r="U585" s="8"/>
    </row>
    <row r="586" customFormat="false" ht="18.75" hidden="false" customHeight="true" outlineLevel="0" collapsed="false">
      <c r="A586" s="5" t="str">
        <f aca="false">IF($B586="","",COUNT($B$5:$B586))</f>
        <v/>
      </c>
      <c r="B586" s="13"/>
      <c r="C586" s="13"/>
      <c r="D586" s="14"/>
      <c r="E586" s="14"/>
      <c r="F586" s="15"/>
      <c r="G586" s="16"/>
      <c r="H586" s="14"/>
      <c r="I586" s="14"/>
      <c r="J586" s="15"/>
      <c r="K586" s="5" t="str">
        <f aca="false">IF($I586="","",1+IF($J586="",0,LEN($J586)-LEN(SUBSTITUTE($J586,",",""))+1))</f>
        <v/>
      </c>
      <c r="L586" s="14"/>
      <c r="M586" s="15"/>
      <c r="N586" s="17"/>
      <c r="O586" s="17"/>
      <c r="P586" s="5" t="str">
        <f aca="false">IF(OR($B586="",$C586=""),"",$C586-$B586+1)</f>
        <v/>
      </c>
      <c r="Q586" s="18"/>
      <c r="R586" s="12" t="str">
        <f aca="false">IF(OR($Q586="",$K586=""),"",$Q586*$K586)</f>
        <v/>
      </c>
      <c r="S586" s="14"/>
      <c r="T586" s="17"/>
      <c r="U586" s="15"/>
    </row>
    <row r="587" customFormat="false" ht="18.75" hidden="false" customHeight="true" outlineLevel="0" collapsed="false">
      <c r="A587" s="5" t="str">
        <f aca="false">IF($B587="","",COUNT($B$5:$B587))</f>
        <v/>
      </c>
      <c r="B587" s="6"/>
      <c r="C587" s="6"/>
      <c r="D587" s="7"/>
      <c r="E587" s="7"/>
      <c r="F587" s="8"/>
      <c r="G587" s="9"/>
      <c r="H587" s="7"/>
      <c r="I587" s="7"/>
      <c r="J587" s="8"/>
      <c r="K587" s="5" t="str">
        <f aca="false">IF($I587="","",1+IF($J587="",0,LEN($J587)-LEN(SUBSTITUTE($J587,",",""))+1))</f>
        <v/>
      </c>
      <c r="L587" s="7"/>
      <c r="M587" s="8"/>
      <c r="N587" s="10"/>
      <c r="O587" s="10"/>
      <c r="P587" s="5" t="str">
        <f aca="false">IF(OR($B587="",$C587=""),"",$C587-$B587+1)</f>
        <v/>
      </c>
      <c r="Q587" s="11"/>
      <c r="R587" s="12" t="str">
        <f aca="false">IF(OR($Q587="",$K587=""),"",$Q587*$K587)</f>
        <v/>
      </c>
      <c r="S587" s="7"/>
      <c r="T587" s="10"/>
      <c r="U587" s="8"/>
    </row>
    <row r="588" customFormat="false" ht="18.75" hidden="false" customHeight="true" outlineLevel="0" collapsed="false">
      <c r="A588" s="5" t="str">
        <f aca="false">IF($B588="","",COUNT($B$5:$B588))</f>
        <v/>
      </c>
      <c r="B588" s="13"/>
      <c r="C588" s="13"/>
      <c r="D588" s="14"/>
      <c r="E588" s="14"/>
      <c r="F588" s="15"/>
      <c r="G588" s="16"/>
      <c r="H588" s="14"/>
      <c r="I588" s="14"/>
      <c r="J588" s="15"/>
      <c r="K588" s="5" t="str">
        <f aca="false">IF($I588="","",1+IF($J588="",0,LEN($J588)-LEN(SUBSTITUTE($J588,",",""))+1))</f>
        <v/>
      </c>
      <c r="L588" s="14"/>
      <c r="M588" s="15"/>
      <c r="N588" s="17"/>
      <c r="O588" s="17"/>
      <c r="P588" s="5" t="str">
        <f aca="false">IF(OR($B588="",$C588=""),"",$C588-$B588+1)</f>
        <v/>
      </c>
      <c r="Q588" s="18"/>
      <c r="R588" s="12" t="str">
        <f aca="false">IF(OR($Q588="",$K588=""),"",$Q588*$K588)</f>
        <v/>
      </c>
      <c r="S588" s="14"/>
      <c r="T588" s="17"/>
      <c r="U588" s="15"/>
    </row>
    <row r="589" customFormat="false" ht="18.75" hidden="false" customHeight="true" outlineLevel="0" collapsed="false">
      <c r="A589" s="5" t="str">
        <f aca="false">IF($B589="","",COUNT($B$5:$B589))</f>
        <v/>
      </c>
      <c r="B589" s="6"/>
      <c r="C589" s="6"/>
      <c r="D589" s="7"/>
      <c r="E589" s="7"/>
      <c r="F589" s="8"/>
      <c r="G589" s="9"/>
      <c r="H589" s="7"/>
      <c r="I589" s="7"/>
      <c r="J589" s="8"/>
      <c r="K589" s="5" t="str">
        <f aca="false">IF($I589="","",1+IF($J589="",0,LEN($J589)-LEN(SUBSTITUTE($J589,",",""))+1))</f>
        <v/>
      </c>
      <c r="L589" s="7"/>
      <c r="M589" s="8"/>
      <c r="N589" s="10"/>
      <c r="O589" s="10"/>
      <c r="P589" s="5" t="str">
        <f aca="false">IF(OR($B589="",$C589=""),"",$C589-$B589+1)</f>
        <v/>
      </c>
      <c r="Q589" s="11"/>
      <c r="R589" s="12" t="str">
        <f aca="false">IF(OR($Q589="",$K589=""),"",$Q589*$K589)</f>
        <v/>
      </c>
      <c r="S589" s="7"/>
      <c r="T589" s="10"/>
      <c r="U589" s="8"/>
    </row>
    <row r="590" customFormat="false" ht="18.75" hidden="false" customHeight="true" outlineLevel="0" collapsed="false">
      <c r="A590" s="5" t="str">
        <f aca="false">IF($B590="","",COUNT($B$5:$B590))</f>
        <v/>
      </c>
      <c r="B590" s="13"/>
      <c r="C590" s="13"/>
      <c r="D590" s="14"/>
      <c r="E590" s="14"/>
      <c r="F590" s="15"/>
      <c r="G590" s="16"/>
      <c r="H590" s="14"/>
      <c r="I590" s="14"/>
      <c r="J590" s="15"/>
      <c r="K590" s="5" t="str">
        <f aca="false">IF($I590="","",1+IF($J590="",0,LEN($J590)-LEN(SUBSTITUTE($J590,",",""))+1))</f>
        <v/>
      </c>
      <c r="L590" s="14"/>
      <c r="M590" s="15"/>
      <c r="N590" s="17"/>
      <c r="O590" s="17"/>
      <c r="P590" s="5" t="str">
        <f aca="false">IF(OR($B590="",$C590=""),"",$C590-$B590+1)</f>
        <v/>
      </c>
      <c r="Q590" s="18"/>
      <c r="R590" s="12" t="str">
        <f aca="false">IF(OR($Q590="",$K590=""),"",$Q590*$K590)</f>
        <v/>
      </c>
      <c r="S590" s="14"/>
      <c r="T590" s="17"/>
      <c r="U590" s="15"/>
    </row>
    <row r="591" customFormat="false" ht="18.75" hidden="false" customHeight="true" outlineLevel="0" collapsed="false">
      <c r="A591" s="5" t="str">
        <f aca="false">IF($B591="","",COUNT($B$5:$B591))</f>
        <v/>
      </c>
      <c r="B591" s="6"/>
      <c r="C591" s="6"/>
      <c r="D591" s="7"/>
      <c r="E591" s="7"/>
      <c r="F591" s="8"/>
      <c r="G591" s="9"/>
      <c r="H591" s="7"/>
      <c r="I591" s="7"/>
      <c r="J591" s="8"/>
      <c r="K591" s="5" t="str">
        <f aca="false">IF($I591="","",1+IF($J591="",0,LEN($J591)-LEN(SUBSTITUTE($J591,",",""))+1))</f>
        <v/>
      </c>
      <c r="L591" s="7"/>
      <c r="M591" s="8"/>
      <c r="N591" s="10"/>
      <c r="O591" s="10"/>
      <c r="P591" s="5" t="str">
        <f aca="false">IF(OR($B591="",$C591=""),"",$C591-$B591+1)</f>
        <v/>
      </c>
      <c r="Q591" s="11"/>
      <c r="R591" s="12" t="str">
        <f aca="false">IF(OR($Q591="",$K591=""),"",$Q591*$K591)</f>
        <v/>
      </c>
      <c r="S591" s="7"/>
      <c r="T591" s="10"/>
      <c r="U591" s="8"/>
    </row>
    <row r="592" customFormat="false" ht="18.75" hidden="false" customHeight="true" outlineLevel="0" collapsed="false">
      <c r="A592" s="5" t="str">
        <f aca="false">IF($B592="","",COUNT($B$5:$B592))</f>
        <v/>
      </c>
      <c r="B592" s="13"/>
      <c r="C592" s="13"/>
      <c r="D592" s="14"/>
      <c r="E592" s="14"/>
      <c r="F592" s="15"/>
      <c r="G592" s="16"/>
      <c r="H592" s="14"/>
      <c r="I592" s="14"/>
      <c r="J592" s="15"/>
      <c r="K592" s="5" t="str">
        <f aca="false">IF($I592="","",1+IF($J592="",0,LEN($J592)-LEN(SUBSTITUTE($J592,",",""))+1))</f>
        <v/>
      </c>
      <c r="L592" s="14"/>
      <c r="M592" s="15"/>
      <c r="N592" s="17"/>
      <c r="O592" s="17"/>
      <c r="P592" s="5" t="str">
        <f aca="false">IF(OR($B592="",$C592=""),"",$C592-$B592+1)</f>
        <v/>
      </c>
      <c r="Q592" s="18"/>
      <c r="R592" s="12" t="str">
        <f aca="false">IF(OR($Q592="",$K592=""),"",$Q592*$K592)</f>
        <v/>
      </c>
      <c r="S592" s="14"/>
      <c r="T592" s="17"/>
      <c r="U592" s="15"/>
    </row>
    <row r="593" customFormat="false" ht="18.75" hidden="false" customHeight="true" outlineLevel="0" collapsed="false">
      <c r="A593" s="5" t="str">
        <f aca="false">IF($B593="","",COUNT($B$5:$B593))</f>
        <v/>
      </c>
      <c r="B593" s="6"/>
      <c r="C593" s="6"/>
      <c r="D593" s="7"/>
      <c r="E593" s="7"/>
      <c r="F593" s="8"/>
      <c r="G593" s="9"/>
      <c r="H593" s="7"/>
      <c r="I593" s="7"/>
      <c r="J593" s="8"/>
      <c r="K593" s="5" t="str">
        <f aca="false">IF($I593="","",1+IF($J593="",0,LEN($J593)-LEN(SUBSTITUTE($J593,",",""))+1))</f>
        <v/>
      </c>
      <c r="L593" s="7"/>
      <c r="M593" s="8"/>
      <c r="N593" s="10"/>
      <c r="O593" s="10"/>
      <c r="P593" s="5" t="str">
        <f aca="false">IF(OR($B593="",$C593=""),"",$C593-$B593+1)</f>
        <v/>
      </c>
      <c r="Q593" s="11"/>
      <c r="R593" s="12" t="str">
        <f aca="false">IF(OR($Q593="",$K593=""),"",$Q593*$K593)</f>
        <v/>
      </c>
      <c r="S593" s="7"/>
      <c r="T593" s="10"/>
      <c r="U593" s="8"/>
    </row>
    <row r="594" customFormat="false" ht="18.75" hidden="false" customHeight="true" outlineLevel="0" collapsed="false">
      <c r="A594" s="5" t="str">
        <f aca="false">IF($B594="","",COUNT($B$5:$B594))</f>
        <v/>
      </c>
      <c r="B594" s="13"/>
      <c r="C594" s="13"/>
      <c r="D594" s="14"/>
      <c r="E594" s="14"/>
      <c r="F594" s="15"/>
      <c r="G594" s="16"/>
      <c r="H594" s="14"/>
      <c r="I594" s="14"/>
      <c r="J594" s="15"/>
      <c r="K594" s="5" t="str">
        <f aca="false">IF($I594="","",1+IF($J594="",0,LEN($J594)-LEN(SUBSTITUTE($J594,",",""))+1))</f>
        <v/>
      </c>
      <c r="L594" s="14"/>
      <c r="M594" s="15"/>
      <c r="N594" s="17"/>
      <c r="O594" s="17"/>
      <c r="P594" s="5" t="str">
        <f aca="false">IF(OR($B594="",$C594=""),"",$C594-$B594+1)</f>
        <v/>
      </c>
      <c r="Q594" s="18"/>
      <c r="R594" s="12" t="str">
        <f aca="false">IF(OR($Q594="",$K594=""),"",$Q594*$K594)</f>
        <v/>
      </c>
      <c r="S594" s="14"/>
      <c r="T594" s="17"/>
      <c r="U594" s="15"/>
    </row>
    <row r="595" customFormat="false" ht="18.75" hidden="false" customHeight="true" outlineLevel="0" collapsed="false">
      <c r="A595" s="5" t="str">
        <f aca="false">IF($B595="","",COUNT($B$5:$B595))</f>
        <v/>
      </c>
      <c r="B595" s="6"/>
      <c r="C595" s="6"/>
      <c r="D595" s="7"/>
      <c r="E595" s="7"/>
      <c r="F595" s="8"/>
      <c r="G595" s="9"/>
      <c r="H595" s="7"/>
      <c r="I595" s="7"/>
      <c r="J595" s="8"/>
      <c r="K595" s="5" t="str">
        <f aca="false">IF($I595="","",1+IF($J595="",0,LEN($J595)-LEN(SUBSTITUTE($J595,",",""))+1))</f>
        <v/>
      </c>
      <c r="L595" s="7"/>
      <c r="M595" s="8"/>
      <c r="N595" s="10"/>
      <c r="O595" s="10"/>
      <c r="P595" s="5" t="str">
        <f aca="false">IF(OR($B595="",$C595=""),"",$C595-$B595+1)</f>
        <v/>
      </c>
      <c r="Q595" s="11"/>
      <c r="R595" s="12" t="str">
        <f aca="false">IF(OR($Q595="",$K595=""),"",$Q595*$K595)</f>
        <v/>
      </c>
      <c r="S595" s="7"/>
      <c r="T595" s="10"/>
      <c r="U595" s="8"/>
    </row>
    <row r="596" customFormat="false" ht="18.75" hidden="false" customHeight="true" outlineLevel="0" collapsed="false">
      <c r="A596" s="5" t="str">
        <f aca="false">IF($B596="","",COUNT($B$5:$B596))</f>
        <v/>
      </c>
      <c r="B596" s="13"/>
      <c r="C596" s="13"/>
      <c r="D596" s="14"/>
      <c r="E596" s="14"/>
      <c r="F596" s="15"/>
      <c r="G596" s="16"/>
      <c r="H596" s="14"/>
      <c r="I596" s="14"/>
      <c r="J596" s="15"/>
      <c r="K596" s="5" t="str">
        <f aca="false">IF($I596="","",1+IF($J596="",0,LEN($J596)-LEN(SUBSTITUTE($J596,",",""))+1))</f>
        <v/>
      </c>
      <c r="L596" s="14"/>
      <c r="M596" s="15"/>
      <c r="N596" s="17"/>
      <c r="O596" s="17"/>
      <c r="P596" s="5" t="str">
        <f aca="false">IF(OR($B596="",$C596=""),"",$C596-$B596+1)</f>
        <v/>
      </c>
      <c r="Q596" s="18"/>
      <c r="R596" s="12" t="str">
        <f aca="false">IF(OR($Q596="",$K596=""),"",$Q596*$K596)</f>
        <v/>
      </c>
      <c r="S596" s="14"/>
      <c r="T596" s="17"/>
      <c r="U596" s="15"/>
    </row>
    <row r="597" customFormat="false" ht="18.75" hidden="false" customHeight="true" outlineLevel="0" collapsed="false">
      <c r="A597" s="5" t="str">
        <f aca="false">IF($B597="","",COUNT($B$5:$B597))</f>
        <v/>
      </c>
      <c r="B597" s="6"/>
      <c r="C597" s="6"/>
      <c r="D597" s="7"/>
      <c r="E597" s="7"/>
      <c r="F597" s="8"/>
      <c r="G597" s="9"/>
      <c r="H597" s="7"/>
      <c r="I597" s="7"/>
      <c r="J597" s="8"/>
      <c r="K597" s="5" t="str">
        <f aca="false">IF($I597="","",1+IF($J597="",0,LEN($J597)-LEN(SUBSTITUTE($J597,",",""))+1))</f>
        <v/>
      </c>
      <c r="L597" s="7"/>
      <c r="M597" s="8"/>
      <c r="N597" s="10"/>
      <c r="O597" s="10"/>
      <c r="P597" s="5" t="str">
        <f aca="false">IF(OR($B597="",$C597=""),"",$C597-$B597+1)</f>
        <v/>
      </c>
      <c r="Q597" s="11"/>
      <c r="R597" s="12" t="str">
        <f aca="false">IF(OR($Q597="",$K597=""),"",$Q597*$K597)</f>
        <v/>
      </c>
      <c r="S597" s="7"/>
      <c r="T597" s="10"/>
      <c r="U597" s="8"/>
    </row>
    <row r="598" customFormat="false" ht="18.75" hidden="false" customHeight="true" outlineLevel="0" collapsed="false">
      <c r="A598" s="5" t="str">
        <f aca="false">IF($B598="","",COUNT($B$5:$B598))</f>
        <v/>
      </c>
      <c r="B598" s="13"/>
      <c r="C598" s="13"/>
      <c r="D598" s="14"/>
      <c r="E598" s="14"/>
      <c r="F598" s="15"/>
      <c r="G598" s="16"/>
      <c r="H598" s="14"/>
      <c r="I598" s="14"/>
      <c r="J598" s="15"/>
      <c r="K598" s="5" t="str">
        <f aca="false">IF($I598="","",1+IF($J598="",0,LEN($J598)-LEN(SUBSTITUTE($J598,",",""))+1))</f>
        <v/>
      </c>
      <c r="L598" s="14"/>
      <c r="M598" s="15"/>
      <c r="N598" s="17"/>
      <c r="O598" s="17"/>
      <c r="P598" s="5" t="str">
        <f aca="false">IF(OR($B598="",$C598=""),"",$C598-$B598+1)</f>
        <v/>
      </c>
      <c r="Q598" s="18"/>
      <c r="R598" s="12" t="str">
        <f aca="false">IF(OR($Q598="",$K598=""),"",$Q598*$K598)</f>
        <v/>
      </c>
      <c r="S598" s="14"/>
      <c r="T598" s="17"/>
      <c r="U598" s="15"/>
    </row>
    <row r="599" customFormat="false" ht="18.75" hidden="false" customHeight="true" outlineLevel="0" collapsed="false">
      <c r="A599" s="5" t="str">
        <f aca="false">IF($B599="","",COUNT($B$5:$B599))</f>
        <v/>
      </c>
      <c r="B599" s="6"/>
      <c r="C599" s="6"/>
      <c r="D599" s="7"/>
      <c r="E599" s="7"/>
      <c r="F599" s="8"/>
      <c r="G599" s="9"/>
      <c r="H599" s="7"/>
      <c r="I599" s="7"/>
      <c r="J599" s="8"/>
      <c r="K599" s="5" t="str">
        <f aca="false">IF($I599="","",1+IF($J599="",0,LEN($J599)-LEN(SUBSTITUTE($J599,",",""))+1))</f>
        <v/>
      </c>
      <c r="L599" s="7"/>
      <c r="M599" s="8"/>
      <c r="N599" s="10"/>
      <c r="O599" s="10"/>
      <c r="P599" s="5" t="str">
        <f aca="false">IF(OR($B599="",$C599=""),"",$C599-$B599+1)</f>
        <v/>
      </c>
      <c r="Q599" s="11"/>
      <c r="R599" s="12" t="str">
        <f aca="false">IF(OR($Q599="",$K599=""),"",$Q599*$K599)</f>
        <v/>
      </c>
      <c r="S599" s="7"/>
      <c r="T599" s="10"/>
      <c r="U599" s="8"/>
    </row>
    <row r="600" customFormat="false" ht="18.75" hidden="false" customHeight="true" outlineLevel="0" collapsed="false">
      <c r="A600" s="5" t="str">
        <f aca="false">IF($B600="","",COUNT($B$5:$B600))</f>
        <v/>
      </c>
      <c r="B600" s="13"/>
      <c r="C600" s="13"/>
      <c r="D600" s="14"/>
      <c r="E600" s="14"/>
      <c r="F600" s="15"/>
      <c r="G600" s="16"/>
      <c r="H600" s="14"/>
      <c r="I600" s="14"/>
      <c r="J600" s="15"/>
      <c r="K600" s="5" t="str">
        <f aca="false">IF($I600="","",1+IF($J600="",0,LEN($J600)-LEN(SUBSTITUTE($J600,",",""))+1))</f>
        <v/>
      </c>
      <c r="L600" s="14"/>
      <c r="M600" s="15"/>
      <c r="N600" s="17"/>
      <c r="O600" s="17"/>
      <c r="P600" s="5" t="str">
        <f aca="false">IF(OR($B600="",$C600=""),"",$C600-$B600+1)</f>
        <v/>
      </c>
      <c r="Q600" s="18"/>
      <c r="R600" s="12" t="str">
        <f aca="false">IF(OR($Q600="",$K600=""),"",$Q600*$K600)</f>
        <v/>
      </c>
      <c r="S600" s="14"/>
      <c r="T600" s="17"/>
      <c r="U600" s="15"/>
    </row>
    <row r="601" customFormat="false" ht="18.75" hidden="false" customHeight="true" outlineLevel="0" collapsed="false">
      <c r="A601" s="5" t="str">
        <f aca="false">IF($B601="","",COUNT($B$5:$B601))</f>
        <v/>
      </c>
      <c r="B601" s="6"/>
      <c r="C601" s="6"/>
      <c r="D601" s="7"/>
      <c r="E601" s="7"/>
      <c r="F601" s="8"/>
      <c r="G601" s="9"/>
      <c r="H601" s="7"/>
      <c r="I601" s="7"/>
      <c r="J601" s="8"/>
      <c r="K601" s="5" t="str">
        <f aca="false">IF($I601="","",1+IF($J601="",0,LEN($J601)-LEN(SUBSTITUTE($J601,",",""))+1))</f>
        <v/>
      </c>
      <c r="L601" s="7"/>
      <c r="M601" s="8"/>
      <c r="N601" s="10"/>
      <c r="O601" s="10"/>
      <c r="P601" s="5" t="str">
        <f aca="false">IF(OR($B601="",$C601=""),"",$C601-$B601+1)</f>
        <v/>
      </c>
      <c r="Q601" s="11"/>
      <c r="R601" s="12" t="str">
        <f aca="false">IF(OR($Q601="",$K601=""),"",$Q601*$K601)</f>
        <v/>
      </c>
      <c r="S601" s="7"/>
      <c r="T601" s="10"/>
      <c r="U601" s="8"/>
    </row>
    <row r="602" customFormat="false" ht="18.75" hidden="false" customHeight="true" outlineLevel="0" collapsed="false">
      <c r="A602" s="5" t="str">
        <f aca="false">IF($B602="","",COUNT($B$5:$B602))</f>
        <v/>
      </c>
      <c r="B602" s="13"/>
      <c r="C602" s="13"/>
      <c r="D602" s="14"/>
      <c r="E602" s="14"/>
      <c r="F602" s="15"/>
      <c r="G602" s="16"/>
      <c r="H602" s="14"/>
      <c r="I602" s="14"/>
      <c r="J602" s="15"/>
      <c r="K602" s="5" t="str">
        <f aca="false">IF($I602="","",1+IF($J602="",0,LEN($J602)-LEN(SUBSTITUTE($J602,",",""))+1))</f>
        <v/>
      </c>
      <c r="L602" s="14"/>
      <c r="M602" s="15"/>
      <c r="N602" s="17"/>
      <c r="O602" s="17"/>
      <c r="P602" s="5" t="str">
        <f aca="false">IF(OR($B602="",$C602=""),"",$C602-$B602+1)</f>
        <v/>
      </c>
      <c r="Q602" s="18"/>
      <c r="R602" s="12" t="str">
        <f aca="false">IF(OR($Q602="",$K602=""),"",$Q602*$K602)</f>
        <v/>
      </c>
      <c r="S602" s="14"/>
      <c r="T602" s="17"/>
      <c r="U602" s="15"/>
    </row>
    <row r="603" customFormat="false" ht="18.75" hidden="false" customHeight="true" outlineLevel="0" collapsed="false">
      <c r="A603" s="5" t="str">
        <f aca="false">IF($B603="","",COUNT($B$5:$B603))</f>
        <v/>
      </c>
      <c r="B603" s="6"/>
      <c r="C603" s="6"/>
      <c r="D603" s="7"/>
      <c r="E603" s="7"/>
      <c r="F603" s="8"/>
      <c r="G603" s="9"/>
      <c r="H603" s="7"/>
      <c r="I603" s="7"/>
      <c r="J603" s="8"/>
      <c r="K603" s="5" t="str">
        <f aca="false">IF($I603="","",1+IF($J603="",0,LEN($J603)-LEN(SUBSTITUTE($J603,",",""))+1))</f>
        <v/>
      </c>
      <c r="L603" s="7"/>
      <c r="M603" s="8"/>
      <c r="N603" s="10"/>
      <c r="O603" s="10"/>
      <c r="P603" s="5" t="str">
        <f aca="false">IF(OR($B603="",$C603=""),"",$C603-$B603+1)</f>
        <v/>
      </c>
      <c r="Q603" s="11"/>
      <c r="R603" s="12" t="str">
        <f aca="false">IF(OR($Q603="",$K603=""),"",$Q603*$K603)</f>
        <v/>
      </c>
      <c r="S603" s="7"/>
      <c r="T603" s="10"/>
      <c r="U603" s="8"/>
    </row>
    <row r="604" customFormat="false" ht="18.75" hidden="false" customHeight="true" outlineLevel="0" collapsed="false">
      <c r="A604" s="5" t="str">
        <f aca="false">IF($B604="","",COUNT($B$5:$B604))</f>
        <v/>
      </c>
      <c r="B604" s="13"/>
      <c r="C604" s="13"/>
      <c r="D604" s="14"/>
      <c r="E604" s="14"/>
      <c r="F604" s="15"/>
      <c r="G604" s="16"/>
      <c r="H604" s="14"/>
      <c r="I604" s="14"/>
      <c r="J604" s="15"/>
      <c r="K604" s="5" t="str">
        <f aca="false">IF($I604="","",1+IF($J604="",0,LEN($J604)-LEN(SUBSTITUTE($J604,",",""))+1))</f>
        <v/>
      </c>
      <c r="L604" s="14"/>
      <c r="M604" s="15"/>
      <c r="N604" s="17"/>
      <c r="O604" s="17"/>
      <c r="P604" s="5" t="str">
        <f aca="false">IF(OR($B604="",$C604=""),"",$C604-$B604+1)</f>
        <v/>
      </c>
      <c r="Q604" s="18"/>
      <c r="R604" s="12" t="str">
        <f aca="false">IF(OR($Q604="",$K604=""),"",$Q604*$K604)</f>
        <v/>
      </c>
      <c r="S604" s="14"/>
      <c r="T604" s="17"/>
      <c r="U604" s="15"/>
    </row>
    <row r="605" customFormat="false" ht="18.75" hidden="false" customHeight="true" outlineLevel="0" collapsed="false">
      <c r="A605" s="5" t="str">
        <f aca="false">IF($B605="","",COUNT($B$5:$B605))</f>
        <v/>
      </c>
      <c r="B605" s="6"/>
      <c r="C605" s="6"/>
      <c r="D605" s="7"/>
      <c r="E605" s="7"/>
      <c r="F605" s="8"/>
      <c r="G605" s="9"/>
      <c r="H605" s="7"/>
      <c r="I605" s="7"/>
      <c r="J605" s="8"/>
      <c r="K605" s="5" t="str">
        <f aca="false">IF($I605="","",1+IF($J605="",0,LEN($J605)-LEN(SUBSTITUTE($J605,",",""))+1))</f>
        <v/>
      </c>
      <c r="L605" s="7"/>
      <c r="M605" s="8"/>
      <c r="N605" s="10"/>
      <c r="O605" s="10"/>
      <c r="P605" s="5" t="str">
        <f aca="false">IF(OR($B605="",$C605=""),"",$C605-$B605+1)</f>
        <v/>
      </c>
      <c r="Q605" s="11"/>
      <c r="R605" s="12" t="str">
        <f aca="false">IF(OR($Q605="",$K605=""),"",$Q605*$K605)</f>
        <v/>
      </c>
      <c r="S605" s="7"/>
      <c r="T605" s="10"/>
      <c r="U605" s="8"/>
    </row>
    <row r="606" customFormat="false" ht="18.75" hidden="false" customHeight="true" outlineLevel="0" collapsed="false">
      <c r="A606" s="5" t="str">
        <f aca="false">IF($B606="","",COUNT($B$5:$B606))</f>
        <v/>
      </c>
      <c r="B606" s="13"/>
      <c r="C606" s="13"/>
      <c r="D606" s="14"/>
      <c r="E606" s="14"/>
      <c r="F606" s="15"/>
      <c r="G606" s="16"/>
      <c r="H606" s="14"/>
      <c r="I606" s="14"/>
      <c r="J606" s="15"/>
      <c r="K606" s="5" t="str">
        <f aca="false">IF($I606="","",1+IF($J606="",0,LEN($J606)-LEN(SUBSTITUTE($J606,",",""))+1))</f>
        <v/>
      </c>
      <c r="L606" s="14"/>
      <c r="M606" s="15"/>
      <c r="N606" s="17"/>
      <c r="O606" s="17"/>
      <c r="P606" s="5" t="str">
        <f aca="false">IF(OR($B606="",$C606=""),"",$C606-$B606+1)</f>
        <v/>
      </c>
      <c r="Q606" s="18"/>
      <c r="R606" s="12" t="str">
        <f aca="false">IF(OR($Q606="",$K606=""),"",$Q606*$K606)</f>
        <v/>
      </c>
      <c r="S606" s="14"/>
      <c r="T606" s="17"/>
      <c r="U606" s="15"/>
    </row>
    <row r="607" customFormat="false" ht="18.75" hidden="false" customHeight="true" outlineLevel="0" collapsed="false">
      <c r="A607" s="5" t="str">
        <f aca="false">IF($B607="","",COUNT($B$5:$B607))</f>
        <v/>
      </c>
      <c r="B607" s="6"/>
      <c r="C607" s="6"/>
      <c r="D607" s="7"/>
      <c r="E607" s="7"/>
      <c r="F607" s="8"/>
      <c r="G607" s="9"/>
      <c r="H607" s="7"/>
      <c r="I607" s="7"/>
      <c r="J607" s="8"/>
      <c r="K607" s="5" t="str">
        <f aca="false">IF($I607="","",1+IF($J607="",0,LEN($J607)-LEN(SUBSTITUTE($J607,",",""))+1))</f>
        <v/>
      </c>
      <c r="L607" s="7"/>
      <c r="M607" s="8"/>
      <c r="N607" s="10"/>
      <c r="O607" s="10"/>
      <c r="P607" s="5" t="str">
        <f aca="false">IF(OR($B607="",$C607=""),"",$C607-$B607+1)</f>
        <v/>
      </c>
      <c r="Q607" s="11"/>
      <c r="R607" s="12" t="str">
        <f aca="false">IF(OR($Q607="",$K607=""),"",$Q607*$K607)</f>
        <v/>
      </c>
      <c r="S607" s="7"/>
      <c r="T607" s="10"/>
      <c r="U607" s="8"/>
    </row>
    <row r="608" customFormat="false" ht="18.75" hidden="false" customHeight="true" outlineLevel="0" collapsed="false">
      <c r="A608" s="5" t="str">
        <f aca="false">IF($B608="","",COUNT($B$5:$B608))</f>
        <v/>
      </c>
      <c r="B608" s="13"/>
      <c r="C608" s="13"/>
      <c r="D608" s="14"/>
      <c r="E608" s="14"/>
      <c r="F608" s="15"/>
      <c r="G608" s="16"/>
      <c r="H608" s="14"/>
      <c r="I608" s="14"/>
      <c r="J608" s="15"/>
      <c r="K608" s="5" t="str">
        <f aca="false">IF($I608="","",1+IF($J608="",0,LEN($J608)-LEN(SUBSTITUTE($J608,",",""))+1))</f>
        <v/>
      </c>
      <c r="L608" s="14"/>
      <c r="M608" s="15"/>
      <c r="N608" s="17"/>
      <c r="O608" s="17"/>
      <c r="P608" s="5" t="str">
        <f aca="false">IF(OR($B608="",$C608=""),"",$C608-$B608+1)</f>
        <v/>
      </c>
      <c r="Q608" s="18"/>
      <c r="R608" s="12" t="str">
        <f aca="false">IF(OR($Q608="",$K608=""),"",$Q608*$K608)</f>
        <v/>
      </c>
      <c r="S608" s="14"/>
      <c r="T608" s="17"/>
      <c r="U608" s="15"/>
    </row>
    <row r="609" customFormat="false" ht="18.75" hidden="false" customHeight="true" outlineLevel="0" collapsed="false">
      <c r="A609" s="5" t="str">
        <f aca="false">IF($B609="","",COUNT($B$5:$B609))</f>
        <v/>
      </c>
      <c r="B609" s="6"/>
      <c r="C609" s="6"/>
      <c r="D609" s="7"/>
      <c r="E609" s="7"/>
      <c r="F609" s="8"/>
      <c r="G609" s="9"/>
      <c r="H609" s="7"/>
      <c r="I609" s="7"/>
      <c r="J609" s="8"/>
      <c r="K609" s="5" t="str">
        <f aca="false">IF($I609="","",1+IF($J609="",0,LEN($J609)-LEN(SUBSTITUTE($J609,",",""))+1))</f>
        <v/>
      </c>
      <c r="L609" s="7"/>
      <c r="M609" s="8"/>
      <c r="N609" s="10"/>
      <c r="O609" s="10"/>
      <c r="P609" s="5" t="str">
        <f aca="false">IF(OR($B609="",$C609=""),"",$C609-$B609+1)</f>
        <v/>
      </c>
      <c r="Q609" s="11"/>
      <c r="R609" s="12" t="str">
        <f aca="false">IF(OR($Q609="",$K609=""),"",$Q609*$K609)</f>
        <v/>
      </c>
      <c r="S609" s="7"/>
      <c r="T609" s="10"/>
      <c r="U609" s="8"/>
    </row>
    <row r="610" customFormat="false" ht="18.75" hidden="false" customHeight="true" outlineLevel="0" collapsed="false">
      <c r="A610" s="5" t="str">
        <f aca="false">IF($B610="","",COUNT($B$5:$B610))</f>
        <v/>
      </c>
      <c r="B610" s="13"/>
      <c r="C610" s="13"/>
      <c r="D610" s="14"/>
      <c r="E610" s="14"/>
      <c r="F610" s="15"/>
      <c r="G610" s="16"/>
      <c r="H610" s="14"/>
      <c r="I610" s="14"/>
      <c r="J610" s="15"/>
      <c r="K610" s="5" t="str">
        <f aca="false">IF($I610="","",1+IF($J610="",0,LEN($J610)-LEN(SUBSTITUTE($J610,",",""))+1))</f>
        <v/>
      </c>
      <c r="L610" s="14"/>
      <c r="M610" s="15"/>
      <c r="N610" s="17"/>
      <c r="O610" s="17"/>
      <c r="P610" s="5" t="str">
        <f aca="false">IF(OR($B610="",$C610=""),"",$C610-$B610+1)</f>
        <v/>
      </c>
      <c r="Q610" s="18"/>
      <c r="R610" s="12" t="str">
        <f aca="false">IF(OR($Q610="",$K610=""),"",$Q610*$K610)</f>
        <v/>
      </c>
      <c r="S610" s="14"/>
      <c r="T610" s="17"/>
      <c r="U610" s="15"/>
    </row>
    <row r="611" customFormat="false" ht="18.75" hidden="false" customHeight="true" outlineLevel="0" collapsed="false">
      <c r="A611" s="5" t="str">
        <f aca="false">IF($B611="","",COUNT($B$5:$B611))</f>
        <v/>
      </c>
      <c r="B611" s="6"/>
      <c r="C611" s="6"/>
      <c r="D611" s="7"/>
      <c r="E611" s="7"/>
      <c r="F611" s="8"/>
      <c r="G611" s="9"/>
      <c r="H611" s="7"/>
      <c r="I611" s="7"/>
      <c r="J611" s="8"/>
      <c r="K611" s="5" t="str">
        <f aca="false">IF($I611="","",1+IF($J611="",0,LEN($J611)-LEN(SUBSTITUTE($J611,",",""))+1))</f>
        <v/>
      </c>
      <c r="L611" s="7"/>
      <c r="M611" s="8"/>
      <c r="N611" s="10"/>
      <c r="O611" s="10"/>
      <c r="P611" s="5" t="str">
        <f aca="false">IF(OR($B611="",$C611=""),"",$C611-$B611+1)</f>
        <v/>
      </c>
      <c r="Q611" s="11"/>
      <c r="R611" s="12" t="str">
        <f aca="false">IF(OR($Q611="",$K611=""),"",$Q611*$K611)</f>
        <v/>
      </c>
      <c r="S611" s="7"/>
      <c r="T611" s="10"/>
      <c r="U611" s="8"/>
    </row>
    <row r="612" customFormat="false" ht="18.75" hidden="false" customHeight="true" outlineLevel="0" collapsed="false">
      <c r="A612" s="5" t="str">
        <f aca="false">IF($B612="","",COUNT($B$5:$B612))</f>
        <v/>
      </c>
      <c r="B612" s="13"/>
      <c r="C612" s="13"/>
      <c r="D612" s="14"/>
      <c r="E612" s="14"/>
      <c r="F612" s="15"/>
      <c r="G612" s="16"/>
      <c r="H612" s="14"/>
      <c r="I612" s="14"/>
      <c r="J612" s="15"/>
      <c r="K612" s="5" t="str">
        <f aca="false">IF($I612="","",1+IF($J612="",0,LEN($J612)-LEN(SUBSTITUTE($J612,",",""))+1))</f>
        <v/>
      </c>
      <c r="L612" s="14"/>
      <c r="M612" s="15"/>
      <c r="N612" s="17"/>
      <c r="O612" s="17"/>
      <c r="P612" s="5" t="str">
        <f aca="false">IF(OR($B612="",$C612=""),"",$C612-$B612+1)</f>
        <v/>
      </c>
      <c r="Q612" s="18"/>
      <c r="R612" s="12" t="str">
        <f aca="false">IF(OR($Q612="",$K612=""),"",$Q612*$K612)</f>
        <v/>
      </c>
      <c r="S612" s="14"/>
      <c r="T612" s="17"/>
      <c r="U612" s="15"/>
    </row>
    <row r="613" customFormat="false" ht="18.75" hidden="false" customHeight="true" outlineLevel="0" collapsed="false">
      <c r="A613" s="5" t="str">
        <f aca="false">IF($B613="","",COUNT($B$5:$B613))</f>
        <v/>
      </c>
      <c r="B613" s="6"/>
      <c r="C613" s="6"/>
      <c r="D613" s="7"/>
      <c r="E613" s="7"/>
      <c r="F613" s="8"/>
      <c r="G613" s="9"/>
      <c r="H613" s="7"/>
      <c r="I613" s="7"/>
      <c r="J613" s="8"/>
      <c r="K613" s="5" t="str">
        <f aca="false">IF($I613="","",1+IF($J613="",0,LEN($J613)-LEN(SUBSTITUTE($J613,",",""))+1))</f>
        <v/>
      </c>
      <c r="L613" s="7"/>
      <c r="M613" s="8"/>
      <c r="N613" s="10"/>
      <c r="O613" s="10"/>
      <c r="P613" s="5" t="str">
        <f aca="false">IF(OR($B613="",$C613=""),"",$C613-$B613+1)</f>
        <v/>
      </c>
      <c r="Q613" s="11"/>
      <c r="R613" s="12" t="str">
        <f aca="false">IF(OR($Q613="",$K613=""),"",$Q613*$K613)</f>
        <v/>
      </c>
      <c r="S613" s="7"/>
      <c r="T613" s="10"/>
      <c r="U613" s="8"/>
    </row>
    <row r="614" customFormat="false" ht="18.75" hidden="false" customHeight="true" outlineLevel="0" collapsed="false">
      <c r="A614" s="5" t="str">
        <f aca="false">IF($B614="","",COUNT($B$5:$B614))</f>
        <v/>
      </c>
      <c r="B614" s="13"/>
      <c r="C614" s="13"/>
      <c r="D614" s="14"/>
      <c r="E614" s="14"/>
      <c r="F614" s="15"/>
      <c r="G614" s="16"/>
      <c r="H614" s="14"/>
      <c r="I614" s="14"/>
      <c r="J614" s="15"/>
      <c r="K614" s="5" t="str">
        <f aca="false">IF($I614="","",1+IF($J614="",0,LEN($J614)-LEN(SUBSTITUTE($J614,",",""))+1))</f>
        <v/>
      </c>
      <c r="L614" s="14"/>
      <c r="M614" s="15"/>
      <c r="N614" s="17"/>
      <c r="O614" s="17"/>
      <c r="P614" s="5" t="str">
        <f aca="false">IF(OR($B614="",$C614=""),"",$C614-$B614+1)</f>
        <v/>
      </c>
      <c r="Q614" s="18"/>
      <c r="R614" s="12" t="str">
        <f aca="false">IF(OR($Q614="",$K614=""),"",$Q614*$K614)</f>
        <v/>
      </c>
      <c r="S614" s="14"/>
      <c r="T614" s="17"/>
      <c r="U614" s="15"/>
    </row>
    <row r="615" customFormat="false" ht="18.75" hidden="false" customHeight="true" outlineLevel="0" collapsed="false">
      <c r="A615" s="5" t="str">
        <f aca="false">IF($B615="","",COUNT($B$5:$B615))</f>
        <v/>
      </c>
      <c r="B615" s="6"/>
      <c r="C615" s="6"/>
      <c r="D615" s="7"/>
      <c r="E615" s="7"/>
      <c r="F615" s="8"/>
      <c r="G615" s="9"/>
      <c r="H615" s="7"/>
      <c r="I615" s="7"/>
      <c r="J615" s="8"/>
      <c r="K615" s="5" t="str">
        <f aca="false">IF($I615="","",1+IF($J615="",0,LEN($J615)-LEN(SUBSTITUTE($J615,",",""))+1))</f>
        <v/>
      </c>
      <c r="L615" s="7"/>
      <c r="M615" s="8"/>
      <c r="N615" s="10"/>
      <c r="O615" s="10"/>
      <c r="P615" s="5" t="str">
        <f aca="false">IF(OR($B615="",$C615=""),"",$C615-$B615+1)</f>
        <v/>
      </c>
      <c r="Q615" s="11"/>
      <c r="R615" s="12" t="str">
        <f aca="false">IF(OR($Q615="",$K615=""),"",$Q615*$K615)</f>
        <v/>
      </c>
      <c r="S615" s="7"/>
      <c r="T615" s="10"/>
      <c r="U615" s="8"/>
    </row>
    <row r="616" customFormat="false" ht="18.75" hidden="false" customHeight="true" outlineLevel="0" collapsed="false">
      <c r="A616" s="5" t="str">
        <f aca="false">IF($B616="","",COUNT($B$5:$B616))</f>
        <v/>
      </c>
      <c r="B616" s="13"/>
      <c r="C616" s="13"/>
      <c r="D616" s="14"/>
      <c r="E616" s="14"/>
      <c r="F616" s="15"/>
      <c r="G616" s="16"/>
      <c r="H616" s="14"/>
      <c r="I616" s="14"/>
      <c r="J616" s="15"/>
      <c r="K616" s="5" t="str">
        <f aca="false">IF($I616="","",1+IF($J616="",0,LEN($J616)-LEN(SUBSTITUTE($J616,",",""))+1))</f>
        <v/>
      </c>
      <c r="L616" s="14"/>
      <c r="M616" s="15"/>
      <c r="N616" s="17"/>
      <c r="O616" s="17"/>
      <c r="P616" s="5" t="str">
        <f aca="false">IF(OR($B616="",$C616=""),"",$C616-$B616+1)</f>
        <v/>
      </c>
      <c r="Q616" s="18"/>
      <c r="R616" s="12" t="str">
        <f aca="false">IF(OR($Q616="",$K616=""),"",$Q616*$K616)</f>
        <v/>
      </c>
      <c r="S616" s="14"/>
      <c r="T616" s="17"/>
      <c r="U616" s="15"/>
    </row>
    <row r="617" customFormat="false" ht="18.75" hidden="false" customHeight="true" outlineLevel="0" collapsed="false">
      <c r="A617" s="5" t="str">
        <f aca="false">IF($B617="","",COUNT($B$5:$B617))</f>
        <v/>
      </c>
      <c r="B617" s="6"/>
      <c r="C617" s="6"/>
      <c r="D617" s="7"/>
      <c r="E617" s="7"/>
      <c r="F617" s="8"/>
      <c r="G617" s="9"/>
      <c r="H617" s="7"/>
      <c r="I617" s="7"/>
      <c r="J617" s="8"/>
      <c r="K617" s="5" t="str">
        <f aca="false">IF($I617="","",1+IF($J617="",0,LEN($J617)-LEN(SUBSTITUTE($J617,",",""))+1))</f>
        <v/>
      </c>
      <c r="L617" s="7"/>
      <c r="M617" s="8"/>
      <c r="N617" s="10"/>
      <c r="O617" s="10"/>
      <c r="P617" s="5" t="str">
        <f aca="false">IF(OR($B617="",$C617=""),"",$C617-$B617+1)</f>
        <v/>
      </c>
      <c r="Q617" s="11"/>
      <c r="R617" s="12" t="str">
        <f aca="false">IF(OR($Q617="",$K617=""),"",$Q617*$K617)</f>
        <v/>
      </c>
      <c r="S617" s="7"/>
      <c r="T617" s="10"/>
      <c r="U617" s="8"/>
    </row>
    <row r="618" customFormat="false" ht="18.75" hidden="false" customHeight="true" outlineLevel="0" collapsed="false">
      <c r="A618" s="5" t="str">
        <f aca="false">IF($B618="","",COUNT($B$5:$B618))</f>
        <v/>
      </c>
      <c r="B618" s="13"/>
      <c r="C618" s="13"/>
      <c r="D618" s="14"/>
      <c r="E618" s="14"/>
      <c r="F618" s="15"/>
      <c r="G618" s="16"/>
      <c r="H618" s="14"/>
      <c r="I618" s="14"/>
      <c r="J618" s="15"/>
      <c r="K618" s="5" t="str">
        <f aca="false">IF($I618="","",1+IF($J618="",0,LEN($J618)-LEN(SUBSTITUTE($J618,",",""))+1))</f>
        <v/>
      </c>
      <c r="L618" s="14"/>
      <c r="M618" s="15"/>
      <c r="N618" s="17"/>
      <c r="O618" s="17"/>
      <c r="P618" s="5" t="str">
        <f aca="false">IF(OR($B618="",$C618=""),"",$C618-$B618+1)</f>
        <v/>
      </c>
      <c r="Q618" s="18"/>
      <c r="R618" s="12" t="str">
        <f aca="false">IF(OR($Q618="",$K618=""),"",$Q618*$K618)</f>
        <v/>
      </c>
      <c r="S618" s="14"/>
      <c r="T618" s="17"/>
      <c r="U618" s="15"/>
    </row>
    <row r="619" customFormat="false" ht="18.75" hidden="false" customHeight="true" outlineLevel="0" collapsed="false">
      <c r="A619" s="5" t="str">
        <f aca="false">IF($B619="","",COUNT($B$5:$B619))</f>
        <v/>
      </c>
      <c r="B619" s="6"/>
      <c r="C619" s="6"/>
      <c r="D619" s="7"/>
      <c r="E619" s="7"/>
      <c r="F619" s="8"/>
      <c r="G619" s="9"/>
      <c r="H619" s="7"/>
      <c r="I619" s="7"/>
      <c r="J619" s="8"/>
      <c r="K619" s="5" t="str">
        <f aca="false">IF($I619="","",1+IF($J619="",0,LEN($J619)-LEN(SUBSTITUTE($J619,",",""))+1))</f>
        <v/>
      </c>
      <c r="L619" s="7"/>
      <c r="M619" s="8"/>
      <c r="N619" s="10"/>
      <c r="O619" s="10"/>
      <c r="P619" s="5" t="str">
        <f aca="false">IF(OR($B619="",$C619=""),"",$C619-$B619+1)</f>
        <v/>
      </c>
      <c r="Q619" s="11"/>
      <c r="R619" s="12" t="str">
        <f aca="false">IF(OR($Q619="",$K619=""),"",$Q619*$K619)</f>
        <v/>
      </c>
      <c r="S619" s="7"/>
      <c r="T619" s="10"/>
      <c r="U619" s="8"/>
    </row>
    <row r="620" customFormat="false" ht="18.75" hidden="false" customHeight="true" outlineLevel="0" collapsed="false">
      <c r="A620" s="5" t="str">
        <f aca="false">IF($B620="","",COUNT($B$5:$B620))</f>
        <v/>
      </c>
      <c r="B620" s="13"/>
      <c r="C620" s="13"/>
      <c r="D620" s="14"/>
      <c r="E620" s="14"/>
      <c r="F620" s="15"/>
      <c r="G620" s="16"/>
      <c r="H620" s="14"/>
      <c r="I620" s="14"/>
      <c r="J620" s="15"/>
      <c r="K620" s="5" t="str">
        <f aca="false">IF($I620="","",1+IF($J620="",0,LEN($J620)-LEN(SUBSTITUTE($J620,",",""))+1))</f>
        <v/>
      </c>
      <c r="L620" s="14"/>
      <c r="M620" s="15"/>
      <c r="N620" s="17"/>
      <c r="O620" s="17"/>
      <c r="P620" s="5" t="str">
        <f aca="false">IF(OR($B620="",$C620=""),"",$C620-$B620+1)</f>
        <v/>
      </c>
      <c r="Q620" s="18"/>
      <c r="R620" s="12" t="str">
        <f aca="false">IF(OR($Q620="",$K620=""),"",$Q620*$K620)</f>
        <v/>
      </c>
      <c r="S620" s="14"/>
      <c r="T620" s="17"/>
      <c r="U620" s="15"/>
    </row>
    <row r="621" customFormat="false" ht="18.75" hidden="false" customHeight="true" outlineLevel="0" collapsed="false">
      <c r="A621" s="5" t="str">
        <f aca="false">IF($B621="","",COUNT($B$5:$B621))</f>
        <v/>
      </c>
      <c r="B621" s="6"/>
      <c r="C621" s="6"/>
      <c r="D621" s="7"/>
      <c r="E621" s="7"/>
      <c r="F621" s="8"/>
      <c r="G621" s="9"/>
      <c r="H621" s="7"/>
      <c r="I621" s="7"/>
      <c r="J621" s="8"/>
      <c r="K621" s="5" t="str">
        <f aca="false">IF($I621="","",1+IF($J621="",0,LEN($J621)-LEN(SUBSTITUTE($J621,",",""))+1))</f>
        <v/>
      </c>
      <c r="L621" s="7"/>
      <c r="M621" s="8"/>
      <c r="N621" s="10"/>
      <c r="O621" s="10"/>
      <c r="P621" s="5" t="str">
        <f aca="false">IF(OR($B621="",$C621=""),"",$C621-$B621+1)</f>
        <v/>
      </c>
      <c r="Q621" s="11"/>
      <c r="R621" s="12" t="str">
        <f aca="false">IF(OR($Q621="",$K621=""),"",$Q621*$K621)</f>
        <v/>
      </c>
      <c r="S621" s="7"/>
      <c r="T621" s="10"/>
      <c r="U621" s="8"/>
    </row>
    <row r="622" customFormat="false" ht="18.75" hidden="false" customHeight="true" outlineLevel="0" collapsed="false">
      <c r="A622" s="5" t="str">
        <f aca="false">IF($B622="","",COUNT($B$5:$B622))</f>
        <v/>
      </c>
      <c r="B622" s="13"/>
      <c r="C622" s="13"/>
      <c r="D622" s="14"/>
      <c r="E622" s="14"/>
      <c r="F622" s="15"/>
      <c r="G622" s="16"/>
      <c r="H622" s="14"/>
      <c r="I622" s="14"/>
      <c r="J622" s="15"/>
      <c r="K622" s="5" t="str">
        <f aca="false">IF($I622="","",1+IF($J622="",0,LEN($J622)-LEN(SUBSTITUTE($J622,",",""))+1))</f>
        <v/>
      </c>
      <c r="L622" s="14"/>
      <c r="M622" s="15"/>
      <c r="N622" s="17"/>
      <c r="O622" s="17"/>
      <c r="P622" s="5" t="str">
        <f aca="false">IF(OR($B622="",$C622=""),"",$C622-$B622+1)</f>
        <v/>
      </c>
      <c r="Q622" s="18"/>
      <c r="R622" s="12" t="str">
        <f aca="false">IF(OR($Q622="",$K622=""),"",$Q622*$K622)</f>
        <v/>
      </c>
      <c r="S622" s="14"/>
      <c r="T622" s="17"/>
      <c r="U622" s="15"/>
    </row>
    <row r="623" customFormat="false" ht="18.75" hidden="false" customHeight="true" outlineLevel="0" collapsed="false">
      <c r="A623" s="5" t="str">
        <f aca="false">IF($B623="","",COUNT($B$5:$B623))</f>
        <v/>
      </c>
      <c r="B623" s="6"/>
      <c r="C623" s="6"/>
      <c r="D623" s="7"/>
      <c r="E623" s="7"/>
      <c r="F623" s="8"/>
      <c r="G623" s="9"/>
      <c r="H623" s="7"/>
      <c r="I623" s="7"/>
      <c r="J623" s="8"/>
      <c r="K623" s="5" t="str">
        <f aca="false">IF($I623="","",1+IF($J623="",0,LEN($J623)-LEN(SUBSTITUTE($J623,",",""))+1))</f>
        <v/>
      </c>
      <c r="L623" s="7"/>
      <c r="M623" s="8"/>
      <c r="N623" s="10"/>
      <c r="O623" s="10"/>
      <c r="P623" s="5" t="str">
        <f aca="false">IF(OR($B623="",$C623=""),"",$C623-$B623+1)</f>
        <v/>
      </c>
      <c r="Q623" s="11"/>
      <c r="R623" s="12" t="str">
        <f aca="false">IF(OR($Q623="",$K623=""),"",$Q623*$K623)</f>
        <v/>
      </c>
      <c r="S623" s="7"/>
      <c r="T623" s="10"/>
      <c r="U623" s="8"/>
    </row>
    <row r="624" customFormat="false" ht="18.75" hidden="false" customHeight="true" outlineLevel="0" collapsed="false">
      <c r="A624" s="5" t="str">
        <f aca="false">IF($B624="","",COUNT($B$5:$B624))</f>
        <v/>
      </c>
      <c r="B624" s="13"/>
      <c r="C624" s="13"/>
      <c r="D624" s="14"/>
      <c r="E624" s="14"/>
      <c r="F624" s="15"/>
      <c r="G624" s="16"/>
      <c r="H624" s="14"/>
      <c r="I624" s="14"/>
      <c r="J624" s="15"/>
      <c r="K624" s="5" t="str">
        <f aca="false">IF($I624="","",1+IF($J624="",0,LEN($J624)-LEN(SUBSTITUTE($J624,",",""))+1))</f>
        <v/>
      </c>
      <c r="L624" s="14"/>
      <c r="M624" s="15"/>
      <c r="N624" s="17"/>
      <c r="O624" s="17"/>
      <c r="P624" s="5" t="str">
        <f aca="false">IF(OR($B624="",$C624=""),"",$C624-$B624+1)</f>
        <v/>
      </c>
      <c r="Q624" s="18"/>
      <c r="R624" s="12" t="str">
        <f aca="false">IF(OR($Q624="",$K624=""),"",$Q624*$K624)</f>
        <v/>
      </c>
      <c r="S624" s="14"/>
      <c r="T624" s="17"/>
      <c r="U624" s="15"/>
    </row>
    <row r="625" customFormat="false" ht="18.75" hidden="false" customHeight="true" outlineLevel="0" collapsed="false">
      <c r="A625" s="5" t="str">
        <f aca="false">IF($B625="","",COUNT($B$5:$B625))</f>
        <v/>
      </c>
      <c r="B625" s="6"/>
      <c r="C625" s="6"/>
      <c r="D625" s="7"/>
      <c r="E625" s="7"/>
      <c r="F625" s="8"/>
      <c r="G625" s="9"/>
      <c r="H625" s="7"/>
      <c r="I625" s="7"/>
      <c r="J625" s="8"/>
      <c r="K625" s="5" t="str">
        <f aca="false">IF($I625="","",1+IF($J625="",0,LEN($J625)-LEN(SUBSTITUTE($J625,",",""))+1))</f>
        <v/>
      </c>
      <c r="L625" s="7"/>
      <c r="M625" s="8"/>
      <c r="N625" s="10"/>
      <c r="O625" s="10"/>
      <c r="P625" s="5" t="str">
        <f aca="false">IF(OR($B625="",$C625=""),"",$C625-$B625+1)</f>
        <v/>
      </c>
      <c r="Q625" s="11"/>
      <c r="R625" s="12" t="str">
        <f aca="false">IF(OR($Q625="",$K625=""),"",$Q625*$K625)</f>
        <v/>
      </c>
      <c r="S625" s="7"/>
      <c r="T625" s="10"/>
      <c r="U625" s="8"/>
    </row>
    <row r="626" customFormat="false" ht="18.75" hidden="false" customHeight="true" outlineLevel="0" collapsed="false">
      <c r="A626" s="5" t="str">
        <f aca="false">IF($B626="","",COUNT($B$5:$B626))</f>
        <v/>
      </c>
      <c r="B626" s="13"/>
      <c r="C626" s="13"/>
      <c r="D626" s="14"/>
      <c r="E626" s="14"/>
      <c r="F626" s="15"/>
      <c r="G626" s="16"/>
      <c r="H626" s="14"/>
      <c r="I626" s="14"/>
      <c r="J626" s="15"/>
      <c r="K626" s="5" t="str">
        <f aca="false">IF($I626="","",1+IF($J626="",0,LEN($J626)-LEN(SUBSTITUTE($J626,",",""))+1))</f>
        <v/>
      </c>
      <c r="L626" s="14"/>
      <c r="M626" s="15"/>
      <c r="N626" s="17"/>
      <c r="O626" s="17"/>
      <c r="P626" s="5" t="str">
        <f aca="false">IF(OR($B626="",$C626=""),"",$C626-$B626+1)</f>
        <v/>
      </c>
      <c r="Q626" s="18"/>
      <c r="R626" s="12" t="str">
        <f aca="false">IF(OR($Q626="",$K626=""),"",$Q626*$K626)</f>
        <v/>
      </c>
      <c r="S626" s="14"/>
      <c r="T626" s="17"/>
      <c r="U626" s="15"/>
    </row>
    <row r="627" customFormat="false" ht="18.75" hidden="false" customHeight="true" outlineLevel="0" collapsed="false">
      <c r="A627" s="5" t="str">
        <f aca="false">IF($B627="","",COUNT($B$5:$B627))</f>
        <v/>
      </c>
      <c r="B627" s="6"/>
      <c r="C627" s="6"/>
      <c r="D627" s="7"/>
      <c r="E627" s="7"/>
      <c r="F627" s="8"/>
      <c r="G627" s="9"/>
      <c r="H627" s="7"/>
      <c r="I627" s="7"/>
      <c r="J627" s="8"/>
      <c r="K627" s="5" t="str">
        <f aca="false">IF($I627="","",1+IF($J627="",0,LEN($J627)-LEN(SUBSTITUTE($J627,",",""))+1))</f>
        <v/>
      </c>
      <c r="L627" s="7"/>
      <c r="M627" s="8"/>
      <c r="N627" s="10"/>
      <c r="O627" s="10"/>
      <c r="P627" s="5" t="str">
        <f aca="false">IF(OR($B627="",$C627=""),"",$C627-$B627+1)</f>
        <v/>
      </c>
      <c r="Q627" s="11"/>
      <c r="R627" s="12" t="str">
        <f aca="false">IF(OR($Q627="",$K627=""),"",$Q627*$K627)</f>
        <v/>
      </c>
      <c r="S627" s="7"/>
      <c r="T627" s="10"/>
      <c r="U627" s="8"/>
    </row>
    <row r="628" customFormat="false" ht="18.75" hidden="false" customHeight="true" outlineLevel="0" collapsed="false">
      <c r="A628" s="5" t="str">
        <f aca="false">IF($B628="","",COUNT($B$5:$B628))</f>
        <v/>
      </c>
      <c r="B628" s="13"/>
      <c r="C628" s="13"/>
      <c r="D628" s="14"/>
      <c r="E628" s="14"/>
      <c r="F628" s="15"/>
      <c r="G628" s="16"/>
      <c r="H628" s="14"/>
      <c r="I628" s="14"/>
      <c r="J628" s="15"/>
      <c r="K628" s="5" t="str">
        <f aca="false">IF($I628="","",1+IF($J628="",0,LEN($J628)-LEN(SUBSTITUTE($J628,",",""))+1))</f>
        <v/>
      </c>
      <c r="L628" s="14"/>
      <c r="M628" s="15"/>
      <c r="N628" s="17"/>
      <c r="O628" s="17"/>
      <c r="P628" s="5" t="str">
        <f aca="false">IF(OR($B628="",$C628=""),"",$C628-$B628+1)</f>
        <v/>
      </c>
      <c r="Q628" s="18"/>
      <c r="R628" s="12" t="str">
        <f aca="false">IF(OR($Q628="",$K628=""),"",$Q628*$K628)</f>
        <v/>
      </c>
      <c r="S628" s="14"/>
      <c r="T628" s="17"/>
      <c r="U628" s="15"/>
    </row>
    <row r="629" customFormat="false" ht="18.75" hidden="false" customHeight="true" outlineLevel="0" collapsed="false">
      <c r="A629" s="5" t="str">
        <f aca="false">IF($B629="","",COUNT($B$5:$B629))</f>
        <v/>
      </c>
      <c r="B629" s="6"/>
      <c r="C629" s="6"/>
      <c r="D629" s="7"/>
      <c r="E629" s="7"/>
      <c r="F629" s="8"/>
      <c r="G629" s="9"/>
      <c r="H629" s="7"/>
      <c r="I629" s="7"/>
      <c r="J629" s="8"/>
      <c r="K629" s="5" t="str">
        <f aca="false">IF($I629="","",1+IF($J629="",0,LEN($J629)-LEN(SUBSTITUTE($J629,",",""))+1))</f>
        <v/>
      </c>
      <c r="L629" s="7"/>
      <c r="M629" s="8"/>
      <c r="N629" s="10"/>
      <c r="O629" s="10"/>
      <c r="P629" s="5" t="str">
        <f aca="false">IF(OR($B629="",$C629=""),"",$C629-$B629+1)</f>
        <v/>
      </c>
      <c r="Q629" s="11"/>
      <c r="R629" s="12" t="str">
        <f aca="false">IF(OR($Q629="",$K629=""),"",$Q629*$K629)</f>
        <v/>
      </c>
      <c r="S629" s="7"/>
      <c r="T629" s="10"/>
      <c r="U629" s="8"/>
    </row>
    <row r="630" customFormat="false" ht="18.75" hidden="false" customHeight="true" outlineLevel="0" collapsed="false">
      <c r="A630" s="5" t="str">
        <f aca="false">IF($B630="","",COUNT($B$5:$B630))</f>
        <v/>
      </c>
      <c r="B630" s="13"/>
      <c r="C630" s="13"/>
      <c r="D630" s="14"/>
      <c r="E630" s="14"/>
      <c r="F630" s="15"/>
      <c r="G630" s="16"/>
      <c r="H630" s="14"/>
      <c r="I630" s="14"/>
      <c r="J630" s="15"/>
      <c r="K630" s="5" t="str">
        <f aca="false">IF($I630="","",1+IF($J630="",0,LEN($J630)-LEN(SUBSTITUTE($J630,",",""))+1))</f>
        <v/>
      </c>
      <c r="L630" s="14"/>
      <c r="M630" s="15"/>
      <c r="N630" s="17"/>
      <c r="O630" s="17"/>
      <c r="P630" s="5" t="str">
        <f aca="false">IF(OR($B630="",$C630=""),"",$C630-$B630+1)</f>
        <v/>
      </c>
      <c r="Q630" s="18"/>
      <c r="R630" s="12" t="str">
        <f aca="false">IF(OR($Q630="",$K630=""),"",$Q630*$K630)</f>
        <v/>
      </c>
      <c r="S630" s="14"/>
      <c r="T630" s="17"/>
      <c r="U630" s="15"/>
    </row>
    <row r="631" customFormat="false" ht="18.75" hidden="false" customHeight="true" outlineLevel="0" collapsed="false">
      <c r="A631" s="5" t="str">
        <f aca="false">IF($B631="","",COUNT($B$5:$B631))</f>
        <v/>
      </c>
      <c r="B631" s="6"/>
      <c r="C631" s="6"/>
      <c r="D631" s="7"/>
      <c r="E631" s="7"/>
      <c r="F631" s="8"/>
      <c r="G631" s="9"/>
      <c r="H631" s="7"/>
      <c r="I631" s="7"/>
      <c r="J631" s="8"/>
      <c r="K631" s="5" t="str">
        <f aca="false">IF($I631="","",1+IF($J631="",0,LEN($J631)-LEN(SUBSTITUTE($J631,",",""))+1))</f>
        <v/>
      </c>
      <c r="L631" s="7"/>
      <c r="M631" s="8"/>
      <c r="N631" s="10"/>
      <c r="O631" s="10"/>
      <c r="P631" s="5" t="str">
        <f aca="false">IF(OR($B631="",$C631=""),"",$C631-$B631+1)</f>
        <v/>
      </c>
      <c r="Q631" s="11"/>
      <c r="R631" s="12" t="str">
        <f aca="false">IF(OR($Q631="",$K631=""),"",$Q631*$K631)</f>
        <v/>
      </c>
      <c r="S631" s="7"/>
      <c r="T631" s="10"/>
      <c r="U631" s="8"/>
    </row>
    <row r="632" customFormat="false" ht="18.75" hidden="false" customHeight="true" outlineLevel="0" collapsed="false">
      <c r="A632" s="5" t="str">
        <f aca="false">IF($B632="","",COUNT($B$5:$B632))</f>
        <v/>
      </c>
      <c r="B632" s="13"/>
      <c r="C632" s="13"/>
      <c r="D632" s="14"/>
      <c r="E632" s="14"/>
      <c r="F632" s="15"/>
      <c r="G632" s="16"/>
      <c r="H632" s="14"/>
      <c r="I632" s="14"/>
      <c r="J632" s="15"/>
      <c r="K632" s="5" t="str">
        <f aca="false">IF($I632="","",1+IF($J632="",0,LEN($J632)-LEN(SUBSTITUTE($J632,",",""))+1))</f>
        <v/>
      </c>
      <c r="L632" s="14"/>
      <c r="M632" s="15"/>
      <c r="N632" s="17"/>
      <c r="O632" s="17"/>
      <c r="P632" s="5" t="str">
        <f aca="false">IF(OR($B632="",$C632=""),"",$C632-$B632+1)</f>
        <v/>
      </c>
      <c r="Q632" s="18"/>
      <c r="R632" s="12" t="str">
        <f aca="false">IF(OR($Q632="",$K632=""),"",$Q632*$K632)</f>
        <v/>
      </c>
      <c r="S632" s="14"/>
      <c r="T632" s="17"/>
      <c r="U632" s="15"/>
    </row>
    <row r="633" customFormat="false" ht="18.75" hidden="false" customHeight="true" outlineLevel="0" collapsed="false">
      <c r="A633" s="5" t="str">
        <f aca="false">IF($B633="","",COUNT($B$5:$B633))</f>
        <v/>
      </c>
      <c r="B633" s="6"/>
      <c r="C633" s="6"/>
      <c r="D633" s="7"/>
      <c r="E633" s="7"/>
      <c r="F633" s="8"/>
      <c r="G633" s="9"/>
      <c r="H633" s="7"/>
      <c r="I633" s="7"/>
      <c r="J633" s="8"/>
      <c r="K633" s="5" t="str">
        <f aca="false">IF($I633="","",1+IF($J633="",0,LEN($J633)-LEN(SUBSTITUTE($J633,",",""))+1))</f>
        <v/>
      </c>
      <c r="L633" s="7"/>
      <c r="M633" s="8"/>
      <c r="N633" s="10"/>
      <c r="O633" s="10"/>
      <c r="P633" s="5" t="str">
        <f aca="false">IF(OR($B633="",$C633=""),"",$C633-$B633+1)</f>
        <v/>
      </c>
      <c r="Q633" s="11"/>
      <c r="R633" s="12" t="str">
        <f aca="false">IF(OR($Q633="",$K633=""),"",$Q633*$K633)</f>
        <v/>
      </c>
      <c r="S633" s="7"/>
      <c r="T633" s="10"/>
      <c r="U633" s="8"/>
    </row>
    <row r="634" customFormat="false" ht="18.75" hidden="false" customHeight="true" outlineLevel="0" collapsed="false">
      <c r="A634" s="5" t="str">
        <f aca="false">IF($B634="","",COUNT($B$5:$B634))</f>
        <v/>
      </c>
      <c r="B634" s="13"/>
      <c r="C634" s="13"/>
      <c r="D634" s="14"/>
      <c r="E634" s="14"/>
      <c r="F634" s="15"/>
      <c r="G634" s="16"/>
      <c r="H634" s="14"/>
      <c r="I634" s="14"/>
      <c r="J634" s="15"/>
      <c r="K634" s="5" t="str">
        <f aca="false">IF($I634="","",1+IF($J634="",0,LEN($J634)-LEN(SUBSTITUTE($J634,",",""))+1))</f>
        <v/>
      </c>
      <c r="L634" s="14"/>
      <c r="M634" s="15"/>
      <c r="N634" s="17"/>
      <c r="O634" s="17"/>
      <c r="P634" s="5" t="str">
        <f aca="false">IF(OR($B634="",$C634=""),"",$C634-$B634+1)</f>
        <v/>
      </c>
      <c r="Q634" s="18"/>
      <c r="R634" s="12" t="str">
        <f aca="false">IF(OR($Q634="",$K634=""),"",$Q634*$K634)</f>
        <v/>
      </c>
      <c r="S634" s="14"/>
      <c r="T634" s="17"/>
      <c r="U634" s="15"/>
    </row>
    <row r="635" customFormat="false" ht="18.75" hidden="false" customHeight="true" outlineLevel="0" collapsed="false">
      <c r="A635" s="5" t="str">
        <f aca="false">IF($B635="","",COUNT($B$5:$B635))</f>
        <v/>
      </c>
      <c r="B635" s="6"/>
      <c r="C635" s="6"/>
      <c r="D635" s="7"/>
      <c r="E635" s="7"/>
      <c r="F635" s="8"/>
      <c r="G635" s="9"/>
      <c r="H635" s="7"/>
      <c r="I635" s="7"/>
      <c r="J635" s="8"/>
      <c r="K635" s="5" t="str">
        <f aca="false">IF($I635="","",1+IF($J635="",0,LEN($J635)-LEN(SUBSTITUTE($J635,",",""))+1))</f>
        <v/>
      </c>
      <c r="L635" s="7"/>
      <c r="M635" s="8"/>
      <c r="N635" s="10"/>
      <c r="O635" s="10"/>
      <c r="P635" s="5" t="str">
        <f aca="false">IF(OR($B635="",$C635=""),"",$C635-$B635+1)</f>
        <v/>
      </c>
      <c r="Q635" s="11"/>
      <c r="R635" s="12" t="str">
        <f aca="false">IF(OR($Q635="",$K635=""),"",$Q635*$K635)</f>
        <v/>
      </c>
      <c r="S635" s="7"/>
      <c r="T635" s="10"/>
      <c r="U635" s="8"/>
    </row>
    <row r="636" customFormat="false" ht="18.75" hidden="false" customHeight="true" outlineLevel="0" collapsed="false">
      <c r="A636" s="5" t="str">
        <f aca="false">IF($B636="","",COUNT($B$5:$B636))</f>
        <v/>
      </c>
      <c r="B636" s="13"/>
      <c r="C636" s="13"/>
      <c r="D636" s="14"/>
      <c r="E636" s="14"/>
      <c r="F636" s="15"/>
      <c r="G636" s="16"/>
      <c r="H636" s="14"/>
      <c r="I636" s="14"/>
      <c r="J636" s="15"/>
      <c r="K636" s="5" t="str">
        <f aca="false">IF($I636="","",1+IF($J636="",0,LEN($J636)-LEN(SUBSTITUTE($J636,",",""))+1))</f>
        <v/>
      </c>
      <c r="L636" s="14"/>
      <c r="M636" s="15"/>
      <c r="N636" s="17"/>
      <c r="O636" s="17"/>
      <c r="P636" s="5" t="str">
        <f aca="false">IF(OR($B636="",$C636=""),"",$C636-$B636+1)</f>
        <v/>
      </c>
      <c r="Q636" s="18"/>
      <c r="R636" s="12" t="str">
        <f aca="false">IF(OR($Q636="",$K636=""),"",$Q636*$K636)</f>
        <v/>
      </c>
      <c r="S636" s="14"/>
      <c r="T636" s="17"/>
      <c r="U636" s="15"/>
    </row>
    <row r="637" customFormat="false" ht="18.75" hidden="false" customHeight="true" outlineLevel="0" collapsed="false">
      <c r="A637" s="5" t="str">
        <f aca="false">IF($B637="","",COUNT($B$5:$B637))</f>
        <v/>
      </c>
      <c r="B637" s="6"/>
      <c r="C637" s="6"/>
      <c r="D637" s="7"/>
      <c r="E637" s="7"/>
      <c r="F637" s="8"/>
      <c r="G637" s="9"/>
      <c r="H637" s="7"/>
      <c r="I637" s="7"/>
      <c r="J637" s="8"/>
      <c r="K637" s="5" t="str">
        <f aca="false">IF($I637="","",1+IF($J637="",0,LEN($J637)-LEN(SUBSTITUTE($J637,",",""))+1))</f>
        <v/>
      </c>
      <c r="L637" s="7"/>
      <c r="M637" s="8"/>
      <c r="N637" s="10"/>
      <c r="O637" s="10"/>
      <c r="P637" s="5" t="str">
        <f aca="false">IF(OR($B637="",$C637=""),"",$C637-$B637+1)</f>
        <v/>
      </c>
      <c r="Q637" s="11"/>
      <c r="R637" s="12" t="str">
        <f aca="false">IF(OR($Q637="",$K637=""),"",$Q637*$K637)</f>
        <v/>
      </c>
      <c r="S637" s="7"/>
      <c r="T637" s="10"/>
      <c r="U637" s="8"/>
    </row>
    <row r="638" customFormat="false" ht="18.75" hidden="false" customHeight="true" outlineLevel="0" collapsed="false">
      <c r="A638" s="5" t="str">
        <f aca="false">IF($B638="","",COUNT($B$5:$B638))</f>
        <v/>
      </c>
      <c r="B638" s="13"/>
      <c r="C638" s="13"/>
      <c r="D638" s="14"/>
      <c r="E638" s="14"/>
      <c r="F638" s="15"/>
      <c r="G638" s="16"/>
      <c r="H638" s="14"/>
      <c r="I638" s="14"/>
      <c r="J638" s="15"/>
      <c r="K638" s="5" t="str">
        <f aca="false">IF($I638="","",1+IF($J638="",0,LEN($J638)-LEN(SUBSTITUTE($J638,",",""))+1))</f>
        <v/>
      </c>
      <c r="L638" s="14"/>
      <c r="M638" s="15"/>
      <c r="N638" s="17"/>
      <c r="O638" s="17"/>
      <c r="P638" s="5" t="str">
        <f aca="false">IF(OR($B638="",$C638=""),"",$C638-$B638+1)</f>
        <v/>
      </c>
      <c r="Q638" s="18"/>
      <c r="R638" s="12" t="str">
        <f aca="false">IF(OR($Q638="",$K638=""),"",$Q638*$K638)</f>
        <v/>
      </c>
      <c r="S638" s="14"/>
      <c r="T638" s="17"/>
      <c r="U638" s="15"/>
    </row>
    <row r="639" customFormat="false" ht="18.75" hidden="false" customHeight="true" outlineLevel="0" collapsed="false">
      <c r="A639" s="5" t="str">
        <f aca="false">IF($B639="","",COUNT($B$5:$B639))</f>
        <v/>
      </c>
      <c r="B639" s="6"/>
      <c r="C639" s="6"/>
      <c r="D639" s="7"/>
      <c r="E639" s="7"/>
      <c r="F639" s="8"/>
      <c r="G639" s="9"/>
      <c r="H639" s="7"/>
      <c r="I639" s="7"/>
      <c r="J639" s="8"/>
      <c r="K639" s="5" t="str">
        <f aca="false">IF($I639="","",1+IF($J639="",0,LEN($J639)-LEN(SUBSTITUTE($J639,",",""))+1))</f>
        <v/>
      </c>
      <c r="L639" s="7"/>
      <c r="M639" s="8"/>
      <c r="N639" s="10"/>
      <c r="O639" s="10"/>
      <c r="P639" s="5" t="str">
        <f aca="false">IF(OR($B639="",$C639=""),"",$C639-$B639+1)</f>
        <v/>
      </c>
      <c r="Q639" s="11"/>
      <c r="R639" s="12" t="str">
        <f aca="false">IF(OR($Q639="",$K639=""),"",$Q639*$K639)</f>
        <v/>
      </c>
      <c r="S639" s="7"/>
      <c r="T639" s="10"/>
      <c r="U639" s="8"/>
    </row>
    <row r="640" customFormat="false" ht="18.75" hidden="false" customHeight="true" outlineLevel="0" collapsed="false">
      <c r="A640" s="5" t="str">
        <f aca="false">IF($B640="","",COUNT($B$5:$B640))</f>
        <v/>
      </c>
      <c r="B640" s="13"/>
      <c r="C640" s="13"/>
      <c r="D640" s="14"/>
      <c r="E640" s="14"/>
      <c r="F640" s="15"/>
      <c r="G640" s="16"/>
      <c r="H640" s="14"/>
      <c r="I640" s="14"/>
      <c r="J640" s="15"/>
      <c r="K640" s="5" t="str">
        <f aca="false">IF($I640="","",1+IF($J640="",0,LEN($J640)-LEN(SUBSTITUTE($J640,",",""))+1))</f>
        <v/>
      </c>
      <c r="L640" s="14"/>
      <c r="M640" s="15"/>
      <c r="N640" s="17"/>
      <c r="O640" s="17"/>
      <c r="P640" s="5" t="str">
        <f aca="false">IF(OR($B640="",$C640=""),"",$C640-$B640+1)</f>
        <v/>
      </c>
      <c r="Q640" s="18"/>
      <c r="R640" s="12" t="str">
        <f aca="false">IF(OR($Q640="",$K640=""),"",$Q640*$K640)</f>
        <v/>
      </c>
      <c r="S640" s="14"/>
      <c r="T640" s="17"/>
      <c r="U640" s="15"/>
    </row>
    <row r="641" customFormat="false" ht="18.75" hidden="false" customHeight="true" outlineLevel="0" collapsed="false">
      <c r="A641" s="5" t="str">
        <f aca="false">IF($B641="","",COUNT($B$5:$B641))</f>
        <v/>
      </c>
      <c r="B641" s="6"/>
      <c r="C641" s="6"/>
      <c r="D641" s="7"/>
      <c r="E641" s="7"/>
      <c r="F641" s="8"/>
      <c r="G641" s="9"/>
      <c r="H641" s="7"/>
      <c r="I641" s="7"/>
      <c r="J641" s="8"/>
      <c r="K641" s="5" t="str">
        <f aca="false">IF($I641="","",1+IF($J641="",0,LEN($J641)-LEN(SUBSTITUTE($J641,",",""))+1))</f>
        <v/>
      </c>
      <c r="L641" s="7"/>
      <c r="M641" s="8"/>
      <c r="N641" s="10"/>
      <c r="O641" s="10"/>
      <c r="P641" s="5" t="str">
        <f aca="false">IF(OR($B641="",$C641=""),"",$C641-$B641+1)</f>
        <v/>
      </c>
      <c r="Q641" s="11"/>
      <c r="R641" s="12" t="str">
        <f aca="false">IF(OR($Q641="",$K641=""),"",$Q641*$K641)</f>
        <v/>
      </c>
      <c r="S641" s="7"/>
      <c r="T641" s="10"/>
      <c r="U641" s="8"/>
    </row>
    <row r="642" customFormat="false" ht="18.75" hidden="false" customHeight="true" outlineLevel="0" collapsed="false">
      <c r="A642" s="5" t="str">
        <f aca="false">IF($B642="","",COUNT($B$5:$B642))</f>
        <v/>
      </c>
      <c r="B642" s="13"/>
      <c r="C642" s="13"/>
      <c r="D642" s="14"/>
      <c r="E642" s="14"/>
      <c r="F642" s="15"/>
      <c r="G642" s="16"/>
      <c r="H642" s="14"/>
      <c r="I642" s="14"/>
      <c r="J642" s="15"/>
      <c r="K642" s="5" t="str">
        <f aca="false">IF($I642="","",1+IF($J642="",0,LEN($J642)-LEN(SUBSTITUTE($J642,",",""))+1))</f>
        <v/>
      </c>
      <c r="L642" s="14"/>
      <c r="M642" s="15"/>
      <c r="N642" s="17"/>
      <c r="O642" s="17"/>
      <c r="P642" s="5" t="str">
        <f aca="false">IF(OR($B642="",$C642=""),"",$C642-$B642+1)</f>
        <v/>
      </c>
      <c r="Q642" s="18"/>
      <c r="R642" s="12" t="str">
        <f aca="false">IF(OR($Q642="",$K642=""),"",$Q642*$K642)</f>
        <v/>
      </c>
      <c r="S642" s="14"/>
      <c r="T642" s="17"/>
      <c r="U642" s="15"/>
    </row>
    <row r="643" customFormat="false" ht="18.75" hidden="false" customHeight="true" outlineLevel="0" collapsed="false">
      <c r="A643" s="5" t="str">
        <f aca="false">IF($B643="","",COUNT($B$5:$B643))</f>
        <v/>
      </c>
      <c r="B643" s="6"/>
      <c r="C643" s="6"/>
      <c r="D643" s="7"/>
      <c r="E643" s="7"/>
      <c r="F643" s="8"/>
      <c r="G643" s="9"/>
      <c r="H643" s="7"/>
      <c r="I643" s="7"/>
      <c r="J643" s="8"/>
      <c r="K643" s="5" t="str">
        <f aca="false">IF($I643="","",1+IF($J643="",0,LEN($J643)-LEN(SUBSTITUTE($J643,",",""))+1))</f>
        <v/>
      </c>
      <c r="L643" s="7"/>
      <c r="M643" s="8"/>
      <c r="N643" s="10"/>
      <c r="O643" s="10"/>
      <c r="P643" s="5" t="str">
        <f aca="false">IF(OR($B643="",$C643=""),"",$C643-$B643+1)</f>
        <v/>
      </c>
      <c r="Q643" s="11"/>
      <c r="R643" s="12" t="str">
        <f aca="false">IF(OR($Q643="",$K643=""),"",$Q643*$K643)</f>
        <v/>
      </c>
      <c r="S643" s="7"/>
      <c r="T643" s="10"/>
      <c r="U643" s="8"/>
    </row>
    <row r="644" customFormat="false" ht="18.75" hidden="false" customHeight="true" outlineLevel="0" collapsed="false">
      <c r="A644" s="5" t="str">
        <f aca="false">IF($B644="","",COUNT($B$5:$B644))</f>
        <v/>
      </c>
      <c r="B644" s="13"/>
      <c r="C644" s="13"/>
      <c r="D644" s="14"/>
      <c r="E644" s="14"/>
      <c r="F644" s="15"/>
      <c r="G644" s="16"/>
      <c r="H644" s="14"/>
      <c r="I644" s="14"/>
      <c r="J644" s="15"/>
      <c r="K644" s="5" t="str">
        <f aca="false">IF($I644="","",1+IF($J644="",0,LEN($J644)-LEN(SUBSTITUTE($J644,",",""))+1))</f>
        <v/>
      </c>
      <c r="L644" s="14"/>
      <c r="M644" s="15"/>
      <c r="N644" s="17"/>
      <c r="O644" s="17"/>
      <c r="P644" s="5" t="str">
        <f aca="false">IF(OR($B644="",$C644=""),"",$C644-$B644+1)</f>
        <v/>
      </c>
      <c r="Q644" s="18"/>
      <c r="R644" s="12" t="str">
        <f aca="false">IF(OR($Q644="",$K644=""),"",$Q644*$K644)</f>
        <v/>
      </c>
      <c r="S644" s="14"/>
      <c r="T644" s="17"/>
      <c r="U644" s="15"/>
    </row>
    <row r="645" customFormat="false" ht="18.75" hidden="false" customHeight="true" outlineLevel="0" collapsed="false">
      <c r="A645" s="5" t="str">
        <f aca="false">IF($B645="","",COUNT($B$5:$B645))</f>
        <v/>
      </c>
      <c r="B645" s="6"/>
      <c r="C645" s="6"/>
      <c r="D645" s="7"/>
      <c r="E645" s="7"/>
      <c r="F645" s="8"/>
      <c r="G645" s="9"/>
      <c r="H645" s="7"/>
      <c r="I645" s="7"/>
      <c r="J645" s="8"/>
      <c r="K645" s="5" t="str">
        <f aca="false">IF($I645="","",1+IF($J645="",0,LEN($J645)-LEN(SUBSTITUTE($J645,",",""))+1))</f>
        <v/>
      </c>
      <c r="L645" s="7"/>
      <c r="M645" s="8"/>
      <c r="N645" s="10"/>
      <c r="O645" s="10"/>
      <c r="P645" s="5" t="str">
        <f aca="false">IF(OR($B645="",$C645=""),"",$C645-$B645+1)</f>
        <v/>
      </c>
      <c r="Q645" s="11"/>
      <c r="R645" s="12" t="str">
        <f aca="false">IF(OR($Q645="",$K645=""),"",$Q645*$K645)</f>
        <v/>
      </c>
      <c r="S645" s="7"/>
      <c r="T645" s="10"/>
      <c r="U645" s="8"/>
    </row>
    <row r="646" customFormat="false" ht="18.75" hidden="false" customHeight="true" outlineLevel="0" collapsed="false">
      <c r="A646" s="5" t="str">
        <f aca="false">IF($B646="","",COUNT($B$5:$B646))</f>
        <v/>
      </c>
      <c r="B646" s="13"/>
      <c r="C646" s="13"/>
      <c r="D646" s="14"/>
      <c r="E646" s="14"/>
      <c r="F646" s="15"/>
      <c r="G646" s="16"/>
      <c r="H646" s="14"/>
      <c r="I646" s="14"/>
      <c r="J646" s="15"/>
      <c r="K646" s="5" t="str">
        <f aca="false">IF($I646="","",1+IF($J646="",0,LEN($J646)-LEN(SUBSTITUTE($J646,",",""))+1))</f>
        <v/>
      </c>
      <c r="L646" s="14"/>
      <c r="M646" s="15"/>
      <c r="N646" s="17"/>
      <c r="O646" s="17"/>
      <c r="P646" s="5" t="str">
        <f aca="false">IF(OR($B646="",$C646=""),"",$C646-$B646+1)</f>
        <v/>
      </c>
      <c r="Q646" s="18"/>
      <c r="R646" s="12" t="str">
        <f aca="false">IF(OR($Q646="",$K646=""),"",$Q646*$K646)</f>
        <v/>
      </c>
      <c r="S646" s="14"/>
      <c r="T646" s="17"/>
      <c r="U646" s="15"/>
    </row>
    <row r="647" customFormat="false" ht="18.75" hidden="false" customHeight="true" outlineLevel="0" collapsed="false">
      <c r="A647" s="5" t="str">
        <f aca="false">IF($B647="","",COUNT($B$5:$B647))</f>
        <v/>
      </c>
      <c r="B647" s="6"/>
      <c r="C647" s="6"/>
      <c r="D647" s="7"/>
      <c r="E647" s="7"/>
      <c r="F647" s="8"/>
      <c r="G647" s="9"/>
      <c r="H647" s="7"/>
      <c r="I647" s="7"/>
      <c r="J647" s="8"/>
      <c r="K647" s="5" t="str">
        <f aca="false">IF($I647="","",1+IF($J647="",0,LEN($J647)-LEN(SUBSTITUTE($J647,",",""))+1))</f>
        <v/>
      </c>
      <c r="L647" s="7"/>
      <c r="M647" s="8"/>
      <c r="N647" s="10"/>
      <c r="O647" s="10"/>
      <c r="P647" s="5" t="str">
        <f aca="false">IF(OR($B647="",$C647=""),"",$C647-$B647+1)</f>
        <v/>
      </c>
      <c r="Q647" s="11"/>
      <c r="R647" s="12" t="str">
        <f aca="false">IF(OR($Q647="",$K647=""),"",$Q647*$K647)</f>
        <v/>
      </c>
      <c r="S647" s="7"/>
      <c r="T647" s="10"/>
      <c r="U647" s="8"/>
    </row>
    <row r="648" customFormat="false" ht="18.75" hidden="false" customHeight="true" outlineLevel="0" collapsed="false">
      <c r="A648" s="5" t="str">
        <f aca="false">IF($B648="","",COUNT($B$5:$B648))</f>
        <v/>
      </c>
      <c r="B648" s="13"/>
      <c r="C648" s="13"/>
      <c r="D648" s="14"/>
      <c r="E648" s="14"/>
      <c r="F648" s="15"/>
      <c r="G648" s="16"/>
      <c r="H648" s="14"/>
      <c r="I648" s="14"/>
      <c r="J648" s="15"/>
      <c r="K648" s="5" t="str">
        <f aca="false">IF($I648="","",1+IF($J648="",0,LEN($J648)-LEN(SUBSTITUTE($J648,",",""))+1))</f>
        <v/>
      </c>
      <c r="L648" s="14"/>
      <c r="M648" s="15"/>
      <c r="N648" s="17"/>
      <c r="O648" s="17"/>
      <c r="P648" s="5" t="str">
        <f aca="false">IF(OR($B648="",$C648=""),"",$C648-$B648+1)</f>
        <v/>
      </c>
      <c r="Q648" s="18"/>
      <c r="R648" s="12" t="str">
        <f aca="false">IF(OR($Q648="",$K648=""),"",$Q648*$K648)</f>
        <v/>
      </c>
      <c r="S648" s="14"/>
      <c r="T648" s="17"/>
      <c r="U648" s="15"/>
    </row>
    <row r="649" customFormat="false" ht="18.75" hidden="false" customHeight="true" outlineLevel="0" collapsed="false">
      <c r="A649" s="5" t="str">
        <f aca="false">IF($B649="","",COUNT($B$5:$B649))</f>
        <v/>
      </c>
      <c r="B649" s="6"/>
      <c r="C649" s="6"/>
      <c r="D649" s="7"/>
      <c r="E649" s="7"/>
      <c r="F649" s="8"/>
      <c r="G649" s="9"/>
      <c r="H649" s="7"/>
      <c r="I649" s="7"/>
      <c r="J649" s="8"/>
      <c r="K649" s="5" t="str">
        <f aca="false">IF($I649="","",1+IF($J649="",0,LEN($J649)-LEN(SUBSTITUTE($J649,",",""))+1))</f>
        <v/>
      </c>
      <c r="L649" s="7"/>
      <c r="M649" s="8"/>
      <c r="N649" s="10"/>
      <c r="O649" s="10"/>
      <c r="P649" s="5" t="str">
        <f aca="false">IF(OR($B649="",$C649=""),"",$C649-$B649+1)</f>
        <v/>
      </c>
      <c r="Q649" s="11"/>
      <c r="R649" s="12" t="str">
        <f aca="false">IF(OR($Q649="",$K649=""),"",$Q649*$K649)</f>
        <v/>
      </c>
      <c r="S649" s="7"/>
      <c r="T649" s="10"/>
      <c r="U649" s="8"/>
    </row>
    <row r="650" customFormat="false" ht="18.75" hidden="false" customHeight="true" outlineLevel="0" collapsed="false">
      <c r="A650" s="5" t="str">
        <f aca="false">IF($B650="","",COUNT($B$5:$B650))</f>
        <v/>
      </c>
      <c r="B650" s="13"/>
      <c r="C650" s="13"/>
      <c r="D650" s="14"/>
      <c r="E650" s="14"/>
      <c r="F650" s="15"/>
      <c r="G650" s="16"/>
      <c r="H650" s="14"/>
      <c r="I650" s="14"/>
      <c r="J650" s="15"/>
      <c r="K650" s="5" t="str">
        <f aca="false">IF($I650="","",1+IF($J650="",0,LEN($J650)-LEN(SUBSTITUTE($J650,",",""))+1))</f>
        <v/>
      </c>
      <c r="L650" s="14"/>
      <c r="M650" s="15"/>
      <c r="N650" s="17"/>
      <c r="O650" s="17"/>
      <c r="P650" s="5" t="str">
        <f aca="false">IF(OR($B650="",$C650=""),"",$C650-$B650+1)</f>
        <v/>
      </c>
      <c r="Q650" s="18"/>
      <c r="R650" s="12" t="str">
        <f aca="false">IF(OR($Q650="",$K650=""),"",$Q650*$K650)</f>
        <v/>
      </c>
      <c r="S650" s="14"/>
      <c r="T650" s="17"/>
      <c r="U650" s="15"/>
    </row>
    <row r="651" customFormat="false" ht="18.75" hidden="false" customHeight="true" outlineLevel="0" collapsed="false">
      <c r="A651" s="5" t="str">
        <f aca="false">IF($B651="","",COUNT($B$5:$B651))</f>
        <v/>
      </c>
      <c r="B651" s="6"/>
      <c r="C651" s="6"/>
      <c r="D651" s="7"/>
      <c r="E651" s="7"/>
      <c r="F651" s="8"/>
      <c r="G651" s="9"/>
      <c r="H651" s="7"/>
      <c r="I651" s="7"/>
      <c r="J651" s="8"/>
      <c r="K651" s="5" t="str">
        <f aca="false">IF($I651="","",1+IF($J651="",0,LEN($J651)-LEN(SUBSTITUTE($J651,",",""))+1))</f>
        <v/>
      </c>
      <c r="L651" s="7"/>
      <c r="M651" s="8"/>
      <c r="N651" s="10"/>
      <c r="O651" s="10"/>
      <c r="P651" s="5" t="str">
        <f aca="false">IF(OR($B651="",$C651=""),"",$C651-$B651+1)</f>
        <v/>
      </c>
      <c r="Q651" s="11"/>
      <c r="R651" s="12" t="str">
        <f aca="false">IF(OR($Q651="",$K651=""),"",$Q651*$K651)</f>
        <v/>
      </c>
      <c r="S651" s="7"/>
      <c r="T651" s="10"/>
      <c r="U651" s="8"/>
    </row>
    <row r="652" customFormat="false" ht="18.75" hidden="false" customHeight="true" outlineLevel="0" collapsed="false">
      <c r="A652" s="5" t="str">
        <f aca="false">IF($B652="","",COUNT($B$5:$B652))</f>
        <v/>
      </c>
      <c r="B652" s="13"/>
      <c r="C652" s="13"/>
      <c r="D652" s="14"/>
      <c r="E652" s="14"/>
      <c r="F652" s="15"/>
      <c r="G652" s="16"/>
      <c r="H652" s="14"/>
      <c r="I652" s="14"/>
      <c r="J652" s="15"/>
      <c r="K652" s="5" t="str">
        <f aca="false">IF($I652="","",1+IF($J652="",0,LEN($J652)-LEN(SUBSTITUTE($J652,",",""))+1))</f>
        <v/>
      </c>
      <c r="L652" s="14"/>
      <c r="M652" s="15"/>
      <c r="N652" s="17"/>
      <c r="O652" s="17"/>
      <c r="P652" s="5" t="str">
        <f aca="false">IF(OR($B652="",$C652=""),"",$C652-$B652+1)</f>
        <v/>
      </c>
      <c r="Q652" s="18"/>
      <c r="R652" s="12" t="str">
        <f aca="false">IF(OR($Q652="",$K652=""),"",$Q652*$K652)</f>
        <v/>
      </c>
      <c r="S652" s="14"/>
      <c r="T652" s="17"/>
      <c r="U652" s="15"/>
    </row>
    <row r="653" customFormat="false" ht="18.75" hidden="false" customHeight="true" outlineLevel="0" collapsed="false">
      <c r="A653" s="5" t="str">
        <f aca="false">IF($B653="","",COUNT($B$5:$B653))</f>
        <v/>
      </c>
      <c r="B653" s="6"/>
      <c r="C653" s="6"/>
      <c r="D653" s="7"/>
      <c r="E653" s="7"/>
      <c r="F653" s="8"/>
      <c r="G653" s="9"/>
      <c r="H653" s="7"/>
      <c r="I653" s="7"/>
      <c r="J653" s="8"/>
      <c r="K653" s="5" t="str">
        <f aca="false">IF($I653="","",1+IF($J653="",0,LEN($J653)-LEN(SUBSTITUTE($J653,",",""))+1))</f>
        <v/>
      </c>
      <c r="L653" s="7"/>
      <c r="M653" s="8"/>
      <c r="N653" s="10"/>
      <c r="O653" s="10"/>
      <c r="P653" s="5" t="str">
        <f aca="false">IF(OR($B653="",$C653=""),"",$C653-$B653+1)</f>
        <v/>
      </c>
      <c r="Q653" s="11"/>
      <c r="R653" s="12" t="str">
        <f aca="false">IF(OR($Q653="",$K653=""),"",$Q653*$K653)</f>
        <v/>
      </c>
      <c r="S653" s="7"/>
      <c r="T653" s="10"/>
      <c r="U653" s="8"/>
    </row>
    <row r="654" customFormat="false" ht="18.75" hidden="false" customHeight="true" outlineLevel="0" collapsed="false">
      <c r="A654" s="5" t="str">
        <f aca="false">IF($B654="","",COUNT($B$5:$B654))</f>
        <v/>
      </c>
      <c r="B654" s="13"/>
      <c r="C654" s="13"/>
      <c r="D654" s="14"/>
      <c r="E654" s="14"/>
      <c r="F654" s="15"/>
      <c r="G654" s="16"/>
      <c r="H654" s="14"/>
      <c r="I654" s="14"/>
      <c r="J654" s="15"/>
      <c r="K654" s="5" t="str">
        <f aca="false">IF($I654="","",1+IF($J654="",0,LEN($J654)-LEN(SUBSTITUTE($J654,",",""))+1))</f>
        <v/>
      </c>
      <c r="L654" s="14"/>
      <c r="M654" s="15"/>
      <c r="N654" s="17"/>
      <c r="O654" s="17"/>
      <c r="P654" s="5" t="str">
        <f aca="false">IF(OR($B654="",$C654=""),"",$C654-$B654+1)</f>
        <v/>
      </c>
      <c r="Q654" s="18"/>
      <c r="R654" s="12" t="str">
        <f aca="false">IF(OR($Q654="",$K654=""),"",$Q654*$K654)</f>
        <v/>
      </c>
      <c r="S654" s="14"/>
      <c r="T654" s="17"/>
      <c r="U654" s="15"/>
    </row>
    <row r="655" customFormat="false" ht="18.75" hidden="false" customHeight="true" outlineLevel="0" collapsed="false">
      <c r="A655" s="5" t="str">
        <f aca="false">IF($B655="","",COUNT($B$5:$B655))</f>
        <v/>
      </c>
      <c r="B655" s="6"/>
      <c r="C655" s="6"/>
      <c r="D655" s="7"/>
      <c r="E655" s="7"/>
      <c r="F655" s="8"/>
      <c r="G655" s="9"/>
      <c r="H655" s="7"/>
      <c r="I655" s="7"/>
      <c r="J655" s="8"/>
      <c r="K655" s="5" t="str">
        <f aca="false">IF($I655="","",1+IF($J655="",0,LEN($J655)-LEN(SUBSTITUTE($J655,",",""))+1))</f>
        <v/>
      </c>
      <c r="L655" s="7"/>
      <c r="M655" s="8"/>
      <c r="N655" s="10"/>
      <c r="O655" s="10"/>
      <c r="P655" s="5" t="str">
        <f aca="false">IF(OR($B655="",$C655=""),"",$C655-$B655+1)</f>
        <v/>
      </c>
      <c r="Q655" s="11"/>
      <c r="R655" s="12" t="str">
        <f aca="false">IF(OR($Q655="",$K655=""),"",$Q655*$K655)</f>
        <v/>
      </c>
      <c r="S655" s="7"/>
      <c r="T655" s="10"/>
      <c r="U655" s="8"/>
    </row>
    <row r="656" customFormat="false" ht="18.75" hidden="false" customHeight="true" outlineLevel="0" collapsed="false">
      <c r="A656" s="5" t="str">
        <f aca="false">IF($B656="","",COUNT($B$5:$B656))</f>
        <v/>
      </c>
      <c r="B656" s="13"/>
      <c r="C656" s="13"/>
      <c r="D656" s="14"/>
      <c r="E656" s="14"/>
      <c r="F656" s="15"/>
      <c r="G656" s="16"/>
      <c r="H656" s="14"/>
      <c r="I656" s="14"/>
      <c r="J656" s="15"/>
      <c r="K656" s="5" t="str">
        <f aca="false">IF($I656="","",1+IF($J656="",0,LEN($J656)-LEN(SUBSTITUTE($J656,",",""))+1))</f>
        <v/>
      </c>
      <c r="L656" s="14"/>
      <c r="M656" s="15"/>
      <c r="N656" s="17"/>
      <c r="O656" s="17"/>
      <c r="P656" s="5" t="str">
        <f aca="false">IF(OR($B656="",$C656=""),"",$C656-$B656+1)</f>
        <v/>
      </c>
      <c r="Q656" s="18"/>
      <c r="R656" s="12" t="str">
        <f aca="false">IF(OR($Q656="",$K656=""),"",$Q656*$K656)</f>
        <v/>
      </c>
      <c r="S656" s="14"/>
      <c r="T656" s="17"/>
      <c r="U656" s="15"/>
    </row>
    <row r="657" customFormat="false" ht="18.75" hidden="false" customHeight="true" outlineLevel="0" collapsed="false">
      <c r="A657" s="5" t="str">
        <f aca="false">IF($B657="","",COUNT($B$5:$B657))</f>
        <v/>
      </c>
      <c r="B657" s="6"/>
      <c r="C657" s="6"/>
      <c r="D657" s="7"/>
      <c r="E657" s="7"/>
      <c r="F657" s="8"/>
      <c r="G657" s="9"/>
      <c r="H657" s="7"/>
      <c r="I657" s="7"/>
      <c r="J657" s="8"/>
      <c r="K657" s="5" t="str">
        <f aca="false">IF($I657="","",1+IF($J657="",0,LEN($J657)-LEN(SUBSTITUTE($J657,",",""))+1))</f>
        <v/>
      </c>
      <c r="L657" s="7"/>
      <c r="M657" s="8"/>
      <c r="N657" s="10"/>
      <c r="O657" s="10"/>
      <c r="P657" s="5" t="str">
        <f aca="false">IF(OR($B657="",$C657=""),"",$C657-$B657+1)</f>
        <v/>
      </c>
      <c r="Q657" s="11"/>
      <c r="R657" s="12" t="str">
        <f aca="false">IF(OR($Q657="",$K657=""),"",$Q657*$K657)</f>
        <v/>
      </c>
      <c r="S657" s="7"/>
      <c r="T657" s="10"/>
      <c r="U657" s="8"/>
    </row>
    <row r="658" customFormat="false" ht="18.75" hidden="false" customHeight="true" outlineLevel="0" collapsed="false">
      <c r="A658" s="5" t="str">
        <f aca="false">IF($B658="","",COUNT($B$5:$B658))</f>
        <v/>
      </c>
      <c r="B658" s="13"/>
      <c r="C658" s="13"/>
      <c r="D658" s="14"/>
      <c r="E658" s="14"/>
      <c r="F658" s="15"/>
      <c r="G658" s="16"/>
      <c r="H658" s="14"/>
      <c r="I658" s="14"/>
      <c r="J658" s="15"/>
      <c r="K658" s="5" t="str">
        <f aca="false">IF($I658="","",1+IF($J658="",0,LEN($J658)-LEN(SUBSTITUTE($J658,",",""))+1))</f>
        <v/>
      </c>
      <c r="L658" s="14"/>
      <c r="M658" s="15"/>
      <c r="N658" s="17"/>
      <c r="O658" s="17"/>
      <c r="P658" s="5" t="str">
        <f aca="false">IF(OR($B658="",$C658=""),"",$C658-$B658+1)</f>
        <v/>
      </c>
      <c r="Q658" s="18"/>
      <c r="R658" s="12" t="str">
        <f aca="false">IF(OR($Q658="",$K658=""),"",$Q658*$K658)</f>
        <v/>
      </c>
      <c r="S658" s="14"/>
      <c r="T658" s="17"/>
      <c r="U658" s="15"/>
    </row>
    <row r="659" customFormat="false" ht="18.75" hidden="false" customHeight="true" outlineLevel="0" collapsed="false">
      <c r="A659" s="5" t="str">
        <f aca="false">IF($B659="","",COUNT($B$5:$B659))</f>
        <v/>
      </c>
      <c r="B659" s="6"/>
      <c r="C659" s="6"/>
      <c r="D659" s="7"/>
      <c r="E659" s="7"/>
      <c r="F659" s="8"/>
      <c r="G659" s="9"/>
      <c r="H659" s="7"/>
      <c r="I659" s="7"/>
      <c r="J659" s="8"/>
      <c r="K659" s="5" t="str">
        <f aca="false">IF($I659="","",1+IF($J659="",0,LEN($J659)-LEN(SUBSTITUTE($J659,",",""))+1))</f>
        <v/>
      </c>
      <c r="L659" s="7"/>
      <c r="M659" s="8"/>
      <c r="N659" s="10"/>
      <c r="O659" s="10"/>
      <c r="P659" s="5" t="str">
        <f aca="false">IF(OR($B659="",$C659=""),"",$C659-$B659+1)</f>
        <v/>
      </c>
      <c r="Q659" s="11"/>
      <c r="R659" s="12" t="str">
        <f aca="false">IF(OR($Q659="",$K659=""),"",$Q659*$K659)</f>
        <v/>
      </c>
      <c r="S659" s="7"/>
      <c r="T659" s="10"/>
      <c r="U659" s="8"/>
    </row>
    <row r="660" customFormat="false" ht="18.75" hidden="false" customHeight="true" outlineLevel="0" collapsed="false">
      <c r="A660" s="5" t="str">
        <f aca="false">IF($B660="","",COUNT($B$5:$B660))</f>
        <v/>
      </c>
      <c r="B660" s="13"/>
      <c r="C660" s="13"/>
      <c r="D660" s="14"/>
      <c r="E660" s="14"/>
      <c r="F660" s="15"/>
      <c r="G660" s="16"/>
      <c r="H660" s="14"/>
      <c r="I660" s="14"/>
      <c r="J660" s="15"/>
      <c r="K660" s="5" t="str">
        <f aca="false">IF($I660="","",1+IF($J660="",0,LEN($J660)-LEN(SUBSTITUTE($J660,",",""))+1))</f>
        <v/>
      </c>
      <c r="L660" s="14"/>
      <c r="M660" s="15"/>
      <c r="N660" s="17"/>
      <c r="O660" s="17"/>
      <c r="P660" s="5" t="str">
        <f aca="false">IF(OR($B660="",$C660=""),"",$C660-$B660+1)</f>
        <v/>
      </c>
      <c r="Q660" s="18"/>
      <c r="R660" s="12" t="str">
        <f aca="false">IF(OR($Q660="",$K660=""),"",$Q660*$K660)</f>
        <v/>
      </c>
      <c r="S660" s="14"/>
      <c r="T660" s="17"/>
      <c r="U660" s="15"/>
    </row>
    <row r="661" customFormat="false" ht="18.75" hidden="false" customHeight="true" outlineLevel="0" collapsed="false">
      <c r="A661" s="5" t="str">
        <f aca="false">IF($B661="","",COUNT($B$5:$B661))</f>
        <v/>
      </c>
      <c r="B661" s="6"/>
      <c r="C661" s="6"/>
      <c r="D661" s="7"/>
      <c r="E661" s="7"/>
      <c r="F661" s="8"/>
      <c r="G661" s="9"/>
      <c r="H661" s="7"/>
      <c r="I661" s="7"/>
      <c r="J661" s="8"/>
      <c r="K661" s="5" t="str">
        <f aca="false">IF($I661="","",1+IF($J661="",0,LEN($J661)-LEN(SUBSTITUTE($J661,",",""))+1))</f>
        <v/>
      </c>
      <c r="L661" s="7"/>
      <c r="M661" s="8"/>
      <c r="N661" s="10"/>
      <c r="O661" s="10"/>
      <c r="P661" s="5" t="str">
        <f aca="false">IF(OR($B661="",$C661=""),"",$C661-$B661+1)</f>
        <v/>
      </c>
      <c r="Q661" s="11"/>
      <c r="R661" s="12" t="str">
        <f aca="false">IF(OR($Q661="",$K661=""),"",$Q661*$K661)</f>
        <v/>
      </c>
      <c r="S661" s="7"/>
      <c r="T661" s="10"/>
      <c r="U661" s="8"/>
    </row>
    <row r="662" customFormat="false" ht="18.75" hidden="false" customHeight="true" outlineLevel="0" collapsed="false">
      <c r="A662" s="5" t="str">
        <f aca="false">IF($B662="","",COUNT($B$5:$B662))</f>
        <v/>
      </c>
      <c r="B662" s="13"/>
      <c r="C662" s="13"/>
      <c r="D662" s="14"/>
      <c r="E662" s="14"/>
      <c r="F662" s="15"/>
      <c r="G662" s="16"/>
      <c r="H662" s="14"/>
      <c r="I662" s="14"/>
      <c r="J662" s="15"/>
      <c r="K662" s="5" t="str">
        <f aca="false">IF($I662="","",1+IF($J662="",0,LEN($J662)-LEN(SUBSTITUTE($J662,",",""))+1))</f>
        <v/>
      </c>
      <c r="L662" s="14"/>
      <c r="M662" s="15"/>
      <c r="N662" s="17"/>
      <c r="O662" s="17"/>
      <c r="P662" s="5" t="str">
        <f aca="false">IF(OR($B662="",$C662=""),"",$C662-$B662+1)</f>
        <v/>
      </c>
      <c r="Q662" s="18"/>
      <c r="R662" s="12" t="str">
        <f aca="false">IF(OR($Q662="",$K662=""),"",$Q662*$K662)</f>
        <v/>
      </c>
      <c r="S662" s="14"/>
      <c r="T662" s="17"/>
      <c r="U662" s="15"/>
    </row>
    <row r="663" customFormat="false" ht="18.75" hidden="false" customHeight="true" outlineLevel="0" collapsed="false">
      <c r="A663" s="5" t="str">
        <f aca="false">IF($B663="","",COUNT($B$5:$B663))</f>
        <v/>
      </c>
      <c r="B663" s="6"/>
      <c r="C663" s="6"/>
      <c r="D663" s="7"/>
      <c r="E663" s="7"/>
      <c r="F663" s="8"/>
      <c r="G663" s="9"/>
      <c r="H663" s="7"/>
      <c r="I663" s="7"/>
      <c r="J663" s="8"/>
      <c r="K663" s="5" t="str">
        <f aca="false">IF($I663="","",1+IF($J663="",0,LEN($J663)-LEN(SUBSTITUTE($J663,",",""))+1))</f>
        <v/>
      </c>
      <c r="L663" s="7"/>
      <c r="M663" s="8"/>
      <c r="N663" s="10"/>
      <c r="O663" s="10"/>
      <c r="P663" s="5" t="str">
        <f aca="false">IF(OR($B663="",$C663=""),"",$C663-$B663+1)</f>
        <v/>
      </c>
      <c r="Q663" s="11"/>
      <c r="R663" s="12" t="str">
        <f aca="false">IF(OR($Q663="",$K663=""),"",$Q663*$K663)</f>
        <v/>
      </c>
      <c r="S663" s="7"/>
      <c r="T663" s="10"/>
      <c r="U663" s="8"/>
    </row>
    <row r="664" customFormat="false" ht="18.75" hidden="false" customHeight="true" outlineLevel="0" collapsed="false">
      <c r="A664" s="5" t="str">
        <f aca="false">IF($B664="","",COUNT($B$5:$B664))</f>
        <v/>
      </c>
      <c r="B664" s="13"/>
      <c r="C664" s="13"/>
      <c r="D664" s="14"/>
      <c r="E664" s="14"/>
      <c r="F664" s="15"/>
      <c r="G664" s="16"/>
      <c r="H664" s="14"/>
      <c r="I664" s="14"/>
      <c r="J664" s="15"/>
      <c r="K664" s="5" t="str">
        <f aca="false">IF($I664="","",1+IF($J664="",0,LEN($J664)-LEN(SUBSTITUTE($J664,",",""))+1))</f>
        <v/>
      </c>
      <c r="L664" s="14"/>
      <c r="M664" s="15"/>
      <c r="N664" s="17"/>
      <c r="O664" s="17"/>
      <c r="P664" s="5" t="str">
        <f aca="false">IF(OR($B664="",$C664=""),"",$C664-$B664+1)</f>
        <v/>
      </c>
      <c r="Q664" s="18"/>
      <c r="R664" s="12" t="str">
        <f aca="false">IF(OR($Q664="",$K664=""),"",$Q664*$K664)</f>
        <v/>
      </c>
      <c r="S664" s="14"/>
      <c r="T664" s="17"/>
      <c r="U664" s="15"/>
    </row>
    <row r="665" customFormat="false" ht="18.75" hidden="false" customHeight="true" outlineLevel="0" collapsed="false">
      <c r="A665" s="5" t="str">
        <f aca="false">IF($B665="","",COUNT($B$5:$B665))</f>
        <v/>
      </c>
      <c r="B665" s="6"/>
      <c r="C665" s="6"/>
      <c r="D665" s="7"/>
      <c r="E665" s="7"/>
      <c r="F665" s="8"/>
      <c r="G665" s="9"/>
      <c r="H665" s="7"/>
      <c r="I665" s="7"/>
      <c r="J665" s="8"/>
      <c r="K665" s="5" t="str">
        <f aca="false">IF($I665="","",1+IF($J665="",0,LEN($J665)-LEN(SUBSTITUTE($J665,",",""))+1))</f>
        <v/>
      </c>
      <c r="L665" s="7"/>
      <c r="M665" s="8"/>
      <c r="N665" s="10"/>
      <c r="O665" s="10"/>
      <c r="P665" s="5" t="str">
        <f aca="false">IF(OR($B665="",$C665=""),"",$C665-$B665+1)</f>
        <v/>
      </c>
      <c r="Q665" s="11"/>
      <c r="R665" s="12" t="str">
        <f aca="false">IF(OR($Q665="",$K665=""),"",$Q665*$K665)</f>
        <v/>
      </c>
      <c r="S665" s="7"/>
      <c r="T665" s="10"/>
      <c r="U665" s="8"/>
    </row>
    <row r="666" customFormat="false" ht="18.75" hidden="false" customHeight="true" outlineLevel="0" collapsed="false">
      <c r="A666" s="5" t="str">
        <f aca="false">IF($B666="","",COUNT($B$5:$B666))</f>
        <v/>
      </c>
      <c r="B666" s="13"/>
      <c r="C666" s="13"/>
      <c r="D666" s="14"/>
      <c r="E666" s="14"/>
      <c r="F666" s="15"/>
      <c r="G666" s="16"/>
      <c r="H666" s="14"/>
      <c r="I666" s="14"/>
      <c r="J666" s="15"/>
      <c r="K666" s="5" t="str">
        <f aca="false">IF($I666="","",1+IF($J666="",0,LEN($J666)-LEN(SUBSTITUTE($J666,",",""))+1))</f>
        <v/>
      </c>
      <c r="L666" s="14"/>
      <c r="M666" s="15"/>
      <c r="N666" s="17"/>
      <c r="O666" s="17"/>
      <c r="P666" s="5" t="str">
        <f aca="false">IF(OR($B666="",$C666=""),"",$C666-$B666+1)</f>
        <v/>
      </c>
      <c r="Q666" s="18"/>
      <c r="R666" s="12" t="str">
        <f aca="false">IF(OR($Q666="",$K666=""),"",$Q666*$K666)</f>
        <v/>
      </c>
      <c r="S666" s="14"/>
      <c r="T666" s="17"/>
      <c r="U666" s="15"/>
    </row>
    <row r="667" customFormat="false" ht="18.75" hidden="false" customHeight="true" outlineLevel="0" collapsed="false">
      <c r="A667" s="5" t="str">
        <f aca="false">IF($B667="","",COUNT($B$5:$B667))</f>
        <v/>
      </c>
      <c r="B667" s="6"/>
      <c r="C667" s="6"/>
      <c r="D667" s="7"/>
      <c r="E667" s="7"/>
      <c r="F667" s="8"/>
      <c r="G667" s="9"/>
      <c r="H667" s="7"/>
      <c r="I667" s="7"/>
      <c r="J667" s="8"/>
      <c r="K667" s="5" t="str">
        <f aca="false">IF($I667="","",1+IF($J667="",0,LEN($J667)-LEN(SUBSTITUTE($J667,",",""))+1))</f>
        <v/>
      </c>
      <c r="L667" s="7"/>
      <c r="M667" s="8"/>
      <c r="N667" s="10"/>
      <c r="O667" s="10"/>
      <c r="P667" s="5" t="str">
        <f aca="false">IF(OR($B667="",$C667=""),"",$C667-$B667+1)</f>
        <v/>
      </c>
      <c r="Q667" s="11"/>
      <c r="R667" s="12" t="str">
        <f aca="false">IF(OR($Q667="",$K667=""),"",$Q667*$K667)</f>
        <v/>
      </c>
      <c r="S667" s="7"/>
      <c r="T667" s="10"/>
      <c r="U667" s="8"/>
    </row>
    <row r="668" customFormat="false" ht="18.75" hidden="false" customHeight="true" outlineLevel="0" collapsed="false">
      <c r="A668" s="5" t="str">
        <f aca="false">IF($B668="","",COUNT($B$5:$B668))</f>
        <v/>
      </c>
      <c r="B668" s="13"/>
      <c r="C668" s="13"/>
      <c r="D668" s="14"/>
      <c r="E668" s="14"/>
      <c r="F668" s="15"/>
      <c r="G668" s="16"/>
      <c r="H668" s="14"/>
      <c r="I668" s="14"/>
      <c r="J668" s="15"/>
      <c r="K668" s="5" t="str">
        <f aca="false">IF($I668="","",1+IF($J668="",0,LEN($J668)-LEN(SUBSTITUTE($J668,",",""))+1))</f>
        <v/>
      </c>
      <c r="L668" s="14"/>
      <c r="M668" s="15"/>
      <c r="N668" s="17"/>
      <c r="O668" s="17"/>
      <c r="P668" s="5" t="str">
        <f aca="false">IF(OR($B668="",$C668=""),"",$C668-$B668+1)</f>
        <v/>
      </c>
      <c r="Q668" s="18"/>
      <c r="R668" s="12" t="str">
        <f aca="false">IF(OR($Q668="",$K668=""),"",$Q668*$K668)</f>
        <v/>
      </c>
      <c r="S668" s="14"/>
      <c r="T668" s="17"/>
      <c r="U668" s="15"/>
    </row>
    <row r="669" customFormat="false" ht="18.75" hidden="false" customHeight="true" outlineLevel="0" collapsed="false">
      <c r="A669" s="5" t="str">
        <f aca="false">IF($B669="","",COUNT($B$5:$B669))</f>
        <v/>
      </c>
      <c r="B669" s="6"/>
      <c r="C669" s="6"/>
      <c r="D669" s="7"/>
      <c r="E669" s="7"/>
      <c r="F669" s="8"/>
      <c r="G669" s="9"/>
      <c r="H669" s="7"/>
      <c r="I669" s="7"/>
      <c r="J669" s="8"/>
      <c r="K669" s="5" t="str">
        <f aca="false">IF($I669="","",1+IF($J669="",0,LEN($J669)-LEN(SUBSTITUTE($J669,",",""))+1))</f>
        <v/>
      </c>
      <c r="L669" s="7"/>
      <c r="M669" s="8"/>
      <c r="N669" s="10"/>
      <c r="O669" s="10"/>
      <c r="P669" s="5" t="str">
        <f aca="false">IF(OR($B669="",$C669=""),"",$C669-$B669+1)</f>
        <v/>
      </c>
      <c r="Q669" s="11"/>
      <c r="R669" s="12" t="str">
        <f aca="false">IF(OR($Q669="",$K669=""),"",$Q669*$K669)</f>
        <v/>
      </c>
      <c r="S669" s="7"/>
      <c r="T669" s="10"/>
      <c r="U669" s="8"/>
    </row>
    <row r="670" customFormat="false" ht="18.75" hidden="false" customHeight="true" outlineLevel="0" collapsed="false">
      <c r="A670" s="5" t="str">
        <f aca="false">IF($B670="","",COUNT($B$5:$B670))</f>
        <v/>
      </c>
      <c r="B670" s="13"/>
      <c r="C670" s="13"/>
      <c r="D670" s="14"/>
      <c r="E670" s="14"/>
      <c r="F670" s="15"/>
      <c r="G670" s="16"/>
      <c r="H670" s="14"/>
      <c r="I670" s="14"/>
      <c r="J670" s="15"/>
      <c r="K670" s="5" t="str">
        <f aca="false">IF($I670="","",1+IF($J670="",0,LEN($J670)-LEN(SUBSTITUTE($J670,",",""))+1))</f>
        <v/>
      </c>
      <c r="L670" s="14"/>
      <c r="M670" s="15"/>
      <c r="N670" s="17"/>
      <c r="O670" s="17"/>
      <c r="P670" s="5" t="str">
        <f aca="false">IF(OR($B670="",$C670=""),"",$C670-$B670+1)</f>
        <v/>
      </c>
      <c r="Q670" s="18"/>
      <c r="R670" s="12" t="str">
        <f aca="false">IF(OR($Q670="",$K670=""),"",$Q670*$K670)</f>
        <v/>
      </c>
      <c r="S670" s="14"/>
      <c r="T670" s="17"/>
      <c r="U670" s="15"/>
    </row>
    <row r="671" customFormat="false" ht="18.75" hidden="false" customHeight="true" outlineLevel="0" collapsed="false">
      <c r="A671" s="5" t="str">
        <f aca="false">IF($B671="","",COUNT($B$5:$B671))</f>
        <v/>
      </c>
      <c r="B671" s="6"/>
      <c r="C671" s="6"/>
      <c r="D671" s="7"/>
      <c r="E671" s="7"/>
      <c r="F671" s="8"/>
      <c r="G671" s="9"/>
      <c r="H671" s="7"/>
      <c r="I671" s="7"/>
      <c r="J671" s="8"/>
      <c r="K671" s="5" t="str">
        <f aca="false">IF($I671="","",1+IF($J671="",0,LEN($J671)-LEN(SUBSTITUTE($J671,",",""))+1))</f>
        <v/>
      </c>
      <c r="L671" s="7"/>
      <c r="M671" s="8"/>
      <c r="N671" s="10"/>
      <c r="O671" s="10"/>
      <c r="P671" s="5" t="str">
        <f aca="false">IF(OR($B671="",$C671=""),"",$C671-$B671+1)</f>
        <v/>
      </c>
      <c r="Q671" s="11"/>
      <c r="R671" s="12" t="str">
        <f aca="false">IF(OR($Q671="",$K671=""),"",$Q671*$K671)</f>
        <v/>
      </c>
      <c r="S671" s="7"/>
      <c r="T671" s="10"/>
      <c r="U671" s="8"/>
    </row>
    <row r="672" customFormat="false" ht="18.75" hidden="false" customHeight="true" outlineLevel="0" collapsed="false">
      <c r="A672" s="5" t="str">
        <f aca="false">IF($B672="","",COUNT($B$5:$B672))</f>
        <v/>
      </c>
      <c r="B672" s="13"/>
      <c r="C672" s="13"/>
      <c r="D672" s="14"/>
      <c r="E672" s="14"/>
      <c r="F672" s="15"/>
      <c r="G672" s="16"/>
      <c r="H672" s="14"/>
      <c r="I672" s="14"/>
      <c r="J672" s="15"/>
      <c r="K672" s="5" t="str">
        <f aca="false">IF($I672="","",1+IF($J672="",0,LEN($J672)-LEN(SUBSTITUTE($J672,",",""))+1))</f>
        <v/>
      </c>
      <c r="L672" s="14"/>
      <c r="M672" s="15"/>
      <c r="N672" s="17"/>
      <c r="O672" s="17"/>
      <c r="P672" s="5" t="str">
        <f aca="false">IF(OR($B672="",$C672=""),"",$C672-$B672+1)</f>
        <v/>
      </c>
      <c r="Q672" s="18"/>
      <c r="R672" s="12" t="str">
        <f aca="false">IF(OR($Q672="",$K672=""),"",$Q672*$K672)</f>
        <v/>
      </c>
      <c r="S672" s="14"/>
      <c r="T672" s="17"/>
      <c r="U672" s="15"/>
    </row>
    <row r="673" customFormat="false" ht="18.75" hidden="false" customHeight="true" outlineLevel="0" collapsed="false">
      <c r="A673" s="5" t="str">
        <f aca="false">IF($B673="","",COUNT($B$5:$B673))</f>
        <v/>
      </c>
      <c r="B673" s="6"/>
      <c r="C673" s="6"/>
      <c r="D673" s="7"/>
      <c r="E673" s="7"/>
      <c r="F673" s="8"/>
      <c r="G673" s="9"/>
      <c r="H673" s="7"/>
      <c r="I673" s="7"/>
      <c r="J673" s="8"/>
      <c r="K673" s="5" t="str">
        <f aca="false">IF($I673="","",1+IF($J673="",0,LEN($J673)-LEN(SUBSTITUTE($J673,",",""))+1))</f>
        <v/>
      </c>
      <c r="L673" s="7"/>
      <c r="M673" s="8"/>
      <c r="N673" s="10"/>
      <c r="O673" s="10"/>
      <c r="P673" s="5" t="str">
        <f aca="false">IF(OR($B673="",$C673=""),"",$C673-$B673+1)</f>
        <v/>
      </c>
      <c r="Q673" s="11"/>
      <c r="R673" s="12" t="str">
        <f aca="false">IF(OR($Q673="",$K673=""),"",$Q673*$K673)</f>
        <v/>
      </c>
      <c r="S673" s="7"/>
      <c r="T673" s="10"/>
      <c r="U673" s="8"/>
    </row>
    <row r="674" customFormat="false" ht="18.75" hidden="false" customHeight="true" outlineLevel="0" collapsed="false">
      <c r="A674" s="5" t="str">
        <f aca="false">IF($B674="","",COUNT($B$5:$B674))</f>
        <v/>
      </c>
      <c r="B674" s="13"/>
      <c r="C674" s="13"/>
      <c r="D674" s="14"/>
      <c r="E674" s="14"/>
      <c r="F674" s="15"/>
      <c r="G674" s="16"/>
      <c r="H674" s="14"/>
      <c r="I674" s="14"/>
      <c r="J674" s="15"/>
      <c r="K674" s="5" t="str">
        <f aca="false">IF($I674="","",1+IF($J674="",0,LEN($J674)-LEN(SUBSTITUTE($J674,",",""))+1))</f>
        <v/>
      </c>
      <c r="L674" s="14"/>
      <c r="M674" s="15"/>
      <c r="N674" s="17"/>
      <c r="O674" s="17"/>
      <c r="P674" s="5" t="str">
        <f aca="false">IF(OR($B674="",$C674=""),"",$C674-$B674+1)</f>
        <v/>
      </c>
      <c r="Q674" s="18"/>
      <c r="R674" s="12" t="str">
        <f aca="false">IF(OR($Q674="",$K674=""),"",$Q674*$K674)</f>
        <v/>
      </c>
      <c r="S674" s="14"/>
      <c r="T674" s="17"/>
      <c r="U674" s="15"/>
    </row>
    <row r="675" customFormat="false" ht="18.75" hidden="false" customHeight="true" outlineLevel="0" collapsed="false">
      <c r="A675" s="5" t="str">
        <f aca="false">IF($B675="","",COUNT($B$5:$B675))</f>
        <v/>
      </c>
      <c r="B675" s="6"/>
      <c r="C675" s="6"/>
      <c r="D675" s="7"/>
      <c r="E675" s="7"/>
      <c r="F675" s="8"/>
      <c r="G675" s="9"/>
      <c r="H675" s="7"/>
      <c r="I675" s="7"/>
      <c r="J675" s="8"/>
      <c r="K675" s="5" t="str">
        <f aca="false">IF($I675="","",1+IF($J675="",0,LEN($J675)-LEN(SUBSTITUTE($J675,",",""))+1))</f>
        <v/>
      </c>
      <c r="L675" s="7"/>
      <c r="M675" s="8"/>
      <c r="N675" s="10"/>
      <c r="O675" s="10"/>
      <c r="P675" s="5" t="str">
        <f aca="false">IF(OR($B675="",$C675=""),"",$C675-$B675+1)</f>
        <v/>
      </c>
      <c r="Q675" s="11"/>
      <c r="R675" s="12" t="str">
        <f aca="false">IF(OR($Q675="",$K675=""),"",$Q675*$K675)</f>
        <v/>
      </c>
      <c r="S675" s="7"/>
      <c r="T675" s="10"/>
      <c r="U675" s="8"/>
    </row>
    <row r="676" customFormat="false" ht="18.75" hidden="false" customHeight="true" outlineLevel="0" collapsed="false">
      <c r="A676" s="5" t="str">
        <f aca="false">IF($B676="","",COUNT($B$5:$B676))</f>
        <v/>
      </c>
      <c r="B676" s="13"/>
      <c r="C676" s="13"/>
      <c r="D676" s="14"/>
      <c r="E676" s="14"/>
      <c r="F676" s="15"/>
      <c r="G676" s="16"/>
      <c r="H676" s="14"/>
      <c r="I676" s="14"/>
      <c r="J676" s="15"/>
      <c r="K676" s="5" t="str">
        <f aca="false">IF($I676="","",1+IF($J676="",0,LEN($J676)-LEN(SUBSTITUTE($J676,",",""))+1))</f>
        <v/>
      </c>
      <c r="L676" s="14"/>
      <c r="M676" s="15"/>
      <c r="N676" s="17"/>
      <c r="O676" s="17"/>
      <c r="P676" s="5" t="str">
        <f aca="false">IF(OR($B676="",$C676=""),"",$C676-$B676+1)</f>
        <v/>
      </c>
      <c r="Q676" s="18"/>
      <c r="R676" s="12" t="str">
        <f aca="false">IF(OR($Q676="",$K676=""),"",$Q676*$K676)</f>
        <v/>
      </c>
      <c r="S676" s="14"/>
      <c r="T676" s="17"/>
      <c r="U676" s="15"/>
    </row>
    <row r="677" customFormat="false" ht="18.75" hidden="false" customHeight="true" outlineLevel="0" collapsed="false">
      <c r="A677" s="5" t="str">
        <f aca="false">IF($B677="","",COUNT($B$5:$B677))</f>
        <v/>
      </c>
      <c r="B677" s="6"/>
      <c r="C677" s="6"/>
      <c r="D677" s="7"/>
      <c r="E677" s="7"/>
      <c r="F677" s="8"/>
      <c r="G677" s="9"/>
      <c r="H677" s="7"/>
      <c r="I677" s="7"/>
      <c r="J677" s="8"/>
      <c r="K677" s="5" t="str">
        <f aca="false">IF($I677="","",1+IF($J677="",0,LEN($J677)-LEN(SUBSTITUTE($J677,",",""))+1))</f>
        <v/>
      </c>
      <c r="L677" s="7"/>
      <c r="M677" s="8"/>
      <c r="N677" s="10"/>
      <c r="O677" s="10"/>
      <c r="P677" s="5" t="str">
        <f aca="false">IF(OR($B677="",$C677=""),"",$C677-$B677+1)</f>
        <v/>
      </c>
      <c r="Q677" s="11"/>
      <c r="R677" s="12" t="str">
        <f aca="false">IF(OR($Q677="",$K677=""),"",$Q677*$K677)</f>
        <v/>
      </c>
      <c r="S677" s="7"/>
      <c r="T677" s="10"/>
      <c r="U677" s="8"/>
    </row>
    <row r="678" customFormat="false" ht="18.75" hidden="false" customHeight="true" outlineLevel="0" collapsed="false">
      <c r="A678" s="5" t="str">
        <f aca="false">IF($B678="","",COUNT($B$5:$B678))</f>
        <v/>
      </c>
      <c r="B678" s="13"/>
      <c r="C678" s="13"/>
      <c r="D678" s="14"/>
      <c r="E678" s="14"/>
      <c r="F678" s="15"/>
      <c r="G678" s="16"/>
      <c r="H678" s="14"/>
      <c r="I678" s="14"/>
      <c r="J678" s="15"/>
      <c r="K678" s="5" t="str">
        <f aca="false">IF($I678="","",1+IF($J678="",0,LEN($J678)-LEN(SUBSTITUTE($J678,",",""))+1))</f>
        <v/>
      </c>
      <c r="L678" s="14"/>
      <c r="M678" s="15"/>
      <c r="N678" s="17"/>
      <c r="O678" s="17"/>
      <c r="P678" s="5" t="str">
        <f aca="false">IF(OR($B678="",$C678=""),"",$C678-$B678+1)</f>
        <v/>
      </c>
      <c r="Q678" s="18"/>
      <c r="R678" s="12" t="str">
        <f aca="false">IF(OR($Q678="",$K678=""),"",$Q678*$K678)</f>
        <v/>
      </c>
      <c r="S678" s="14"/>
      <c r="T678" s="17"/>
      <c r="U678" s="15"/>
    </row>
    <row r="679" customFormat="false" ht="18.75" hidden="false" customHeight="true" outlineLevel="0" collapsed="false">
      <c r="A679" s="5" t="str">
        <f aca="false">IF($B679="","",COUNT($B$5:$B679))</f>
        <v/>
      </c>
      <c r="B679" s="6"/>
      <c r="C679" s="6"/>
      <c r="D679" s="7"/>
      <c r="E679" s="7"/>
      <c r="F679" s="8"/>
      <c r="G679" s="9"/>
      <c r="H679" s="7"/>
      <c r="I679" s="7"/>
      <c r="J679" s="8"/>
      <c r="K679" s="5" t="str">
        <f aca="false">IF($I679="","",1+IF($J679="",0,LEN($J679)-LEN(SUBSTITUTE($J679,",",""))+1))</f>
        <v/>
      </c>
      <c r="L679" s="7"/>
      <c r="M679" s="8"/>
      <c r="N679" s="10"/>
      <c r="O679" s="10"/>
      <c r="P679" s="5" t="str">
        <f aca="false">IF(OR($B679="",$C679=""),"",$C679-$B679+1)</f>
        <v/>
      </c>
      <c r="Q679" s="11"/>
      <c r="R679" s="12" t="str">
        <f aca="false">IF(OR($Q679="",$K679=""),"",$Q679*$K679)</f>
        <v/>
      </c>
      <c r="S679" s="7"/>
      <c r="T679" s="10"/>
      <c r="U679" s="8"/>
    </row>
    <row r="680" customFormat="false" ht="18.75" hidden="false" customHeight="true" outlineLevel="0" collapsed="false">
      <c r="A680" s="5" t="str">
        <f aca="false">IF($B680="","",COUNT($B$5:$B680))</f>
        <v/>
      </c>
      <c r="B680" s="13"/>
      <c r="C680" s="13"/>
      <c r="D680" s="14"/>
      <c r="E680" s="14"/>
      <c r="F680" s="15"/>
      <c r="G680" s="16"/>
      <c r="H680" s="14"/>
      <c r="I680" s="14"/>
      <c r="J680" s="15"/>
      <c r="K680" s="5" t="str">
        <f aca="false">IF($I680="","",1+IF($J680="",0,LEN($J680)-LEN(SUBSTITUTE($J680,",",""))+1))</f>
        <v/>
      </c>
      <c r="L680" s="14"/>
      <c r="M680" s="15"/>
      <c r="N680" s="17"/>
      <c r="O680" s="17"/>
      <c r="P680" s="5" t="str">
        <f aca="false">IF(OR($B680="",$C680=""),"",$C680-$B680+1)</f>
        <v/>
      </c>
      <c r="Q680" s="18"/>
      <c r="R680" s="12" t="str">
        <f aca="false">IF(OR($Q680="",$K680=""),"",$Q680*$K680)</f>
        <v/>
      </c>
      <c r="S680" s="14"/>
      <c r="T680" s="17"/>
      <c r="U680" s="15"/>
    </row>
    <row r="681" customFormat="false" ht="18.75" hidden="false" customHeight="true" outlineLevel="0" collapsed="false">
      <c r="A681" s="5" t="str">
        <f aca="false">IF($B681="","",COUNT($B$5:$B681))</f>
        <v/>
      </c>
      <c r="B681" s="6"/>
      <c r="C681" s="6"/>
      <c r="D681" s="7"/>
      <c r="E681" s="7"/>
      <c r="F681" s="8"/>
      <c r="G681" s="9"/>
      <c r="H681" s="7"/>
      <c r="I681" s="7"/>
      <c r="J681" s="8"/>
      <c r="K681" s="5" t="str">
        <f aca="false">IF($I681="","",1+IF($J681="",0,LEN($J681)-LEN(SUBSTITUTE($J681,",",""))+1))</f>
        <v/>
      </c>
      <c r="L681" s="7"/>
      <c r="M681" s="8"/>
      <c r="N681" s="10"/>
      <c r="O681" s="10"/>
      <c r="P681" s="5" t="str">
        <f aca="false">IF(OR($B681="",$C681=""),"",$C681-$B681+1)</f>
        <v/>
      </c>
      <c r="Q681" s="11"/>
      <c r="R681" s="12" t="str">
        <f aca="false">IF(OR($Q681="",$K681=""),"",$Q681*$K681)</f>
        <v/>
      </c>
      <c r="S681" s="7"/>
      <c r="T681" s="10"/>
      <c r="U681" s="8"/>
    </row>
    <row r="682" customFormat="false" ht="18.75" hidden="false" customHeight="true" outlineLevel="0" collapsed="false">
      <c r="A682" s="5" t="str">
        <f aca="false">IF($B682="","",COUNT($B$5:$B682))</f>
        <v/>
      </c>
      <c r="B682" s="13"/>
      <c r="C682" s="13"/>
      <c r="D682" s="14"/>
      <c r="E682" s="14"/>
      <c r="F682" s="15"/>
      <c r="G682" s="16"/>
      <c r="H682" s="14"/>
      <c r="I682" s="14"/>
      <c r="J682" s="15"/>
      <c r="K682" s="5" t="str">
        <f aca="false">IF($I682="","",1+IF($J682="",0,LEN($J682)-LEN(SUBSTITUTE($J682,",",""))+1))</f>
        <v/>
      </c>
      <c r="L682" s="14"/>
      <c r="M682" s="15"/>
      <c r="N682" s="17"/>
      <c r="O682" s="17"/>
      <c r="P682" s="5" t="str">
        <f aca="false">IF(OR($B682="",$C682=""),"",$C682-$B682+1)</f>
        <v/>
      </c>
      <c r="Q682" s="18"/>
      <c r="R682" s="12" t="str">
        <f aca="false">IF(OR($Q682="",$K682=""),"",$Q682*$K682)</f>
        <v/>
      </c>
      <c r="S682" s="14"/>
      <c r="T682" s="17"/>
      <c r="U682" s="15"/>
    </row>
    <row r="683" customFormat="false" ht="18.75" hidden="false" customHeight="true" outlineLevel="0" collapsed="false">
      <c r="A683" s="5" t="str">
        <f aca="false">IF($B683="","",COUNT($B$5:$B683))</f>
        <v/>
      </c>
      <c r="B683" s="6"/>
      <c r="C683" s="6"/>
      <c r="D683" s="7"/>
      <c r="E683" s="7"/>
      <c r="F683" s="8"/>
      <c r="G683" s="9"/>
      <c r="H683" s="7"/>
      <c r="I683" s="7"/>
      <c r="J683" s="8"/>
      <c r="K683" s="5" t="str">
        <f aca="false">IF($I683="","",1+IF($J683="",0,LEN($J683)-LEN(SUBSTITUTE($J683,",",""))+1))</f>
        <v/>
      </c>
      <c r="L683" s="7"/>
      <c r="M683" s="8"/>
      <c r="N683" s="10"/>
      <c r="O683" s="10"/>
      <c r="P683" s="5" t="str">
        <f aca="false">IF(OR($B683="",$C683=""),"",$C683-$B683+1)</f>
        <v/>
      </c>
      <c r="Q683" s="11"/>
      <c r="R683" s="12" t="str">
        <f aca="false">IF(OR($Q683="",$K683=""),"",$Q683*$K683)</f>
        <v/>
      </c>
      <c r="S683" s="7"/>
      <c r="T683" s="10"/>
      <c r="U683" s="8"/>
    </row>
    <row r="684" customFormat="false" ht="18.75" hidden="false" customHeight="true" outlineLevel="0" collapsed="false">
      <c r="A684" s="5" t="str">
        <f aca="false">IF($B684="","",COUNT($B$5:$B684))</f>
        <v/>
      </c>
      <c r="B684" s="13"/>
      <c r="C684" s="13"/>
      <c r="D684" s="14"/>
      <c r="E684" s="14"/>
      <c r="F684" s="15"/>
      <c r="G684" s="16"/>
      <c r="H684" s="14"/>
      <c r="I684" s="14"/>
      <c r="J684" s="15"/>
      <c r="K684" s="5" t="str">
        <f aca="false">IF($I684="","",1+IF($J684="",0,LEN($J684)-LEN(SUBSTITUTE($J684,",",""))+1))</f>
        <v/>
      </c>
      <c r="L684" s="14"/>
      <c r="M684" s="15"/>
      <c r="N684" s="17"/>
      <c r="O684" s="17"/>
      <c r="P684" s="5" t="str">
        <f aca="false">IF(OR($B684="",$C684=""),"",$C684-$B684+1)</f>
        <v/>
      </c>
      <c r="Q684" s="18"/>
      <c r="R684" s="12" t="str">
        <f aca="false">IF(OR($Q684="",$K684=""),"",$Q684*$K684)</f>
        <v/>
      </c>
      <c r="S684" s="14"/>
      <c r="T684" s="17"/>
      <c r="U684" s="15"/>
    </row>
    <row r="685" customFormat="false" ht="18.75" hidden="false" customHeight="true" outlineLevel="0" collapsed="false">
      <c r="A685" s="5" t="str">
        <f aca="false">IF($B685="","",COUNT($B$5:$B685))</f>
        <v/>
      </c>
      <c r="B685" s="6"/>
      <c r="C685" s="6"/>
      <c r="D685" s="7"/>
      <c r="E685" s="7"/>
      <c r="F685" s="8"/>
      <c r="G685" s="9"/>
      <c r="H685" s="7"/>
      <c r="I685" s="7"/>
      <c r="J685" s="8"/>
      <c r="K685" s="5" t="str">
        <f aca="false">IF($I685="","",1+IF($J685="",0,LEN($J685)-LEN(SUBSTITUTE($J685,",",""))+1))</f>
        <v/>
      </c>
      <c r="L685" s="7"/>
      <c r="M685" s="8"/>
      <c r="N685" s="10"/>
      <c r="O685" s="10"/>
      <c r="P685" s="5" t="str">
        <f aca="false">IF(OR($B685="",$C685=""),"",$C685-$B685+1)</f>
        <v/>
      </c>
      <c r="Q685" s="11"/>
      <c r="R685" s="12" t="str">
        <f aca="false">IF(OR($Q685="",$K685=""),"",$Q685*$K685)</f>
        <v/>
      </c>
      <c r="S685" s="7"/>
      <c r="T685" s="10"/>
      <c r="U685" s="8"/>
    </row>
    <row r="686" customFormat="false" ht="18.75" hidden="false" customHeight="true" outlineLevel="0" collapsed="false">
      <c r="A686" s="5" t="str">
        <f aca="false">IF($B686="","",COUNT($B$5:$B686))</f>
        <v/>
      </c>
      <c r="B686" s="13"/>
      <c r="C686" s="13"/>
      <c r="D686" s="14"/>
      <c r="E686" s="14"/>
      <c r="F686" s="15"/>
      <c r="G686" s="16"/>
      <c r="H686" s="14"/>
      <c r="I686" s="14"/>
      <c r="J686" s="15"/>
      <c r="K686" s="5" t="str">
        <f aca="false">IF($I686="","",1+IF($J686="",0,LEN($J686)-LEN(SUBSTITUTE($J686,",",""))+1))</f>
        <v/>
      </c>
      <c r="L686" s="14"/>
      <c r="M686" s="15"/>
      <c r="N686" s="17"/>
      <c r="O686" s="17"/>
      <c r="P686" s="5" t="str">
        <f aca="false">IF(OR($B686="",$C686=""),"",$C686-$B686+1)</f>
        <v/>
      </c>
      <c r="Q686" s="18"/>
      <c r="R686" s="12" t="str">
        <f aca="false">IF(OR($Q686="",$K686=""),"",$Q686*$K686)</f>
        <v/>
      </c>
      <c r="S686" s="14"/>
      <c r="T686" s="17"/>
      <c r="U686" s="15"/>
    </row>
    <row r="687" customFormat="false" ht="18.75" hidden="false" customHeight="true" outlineLevel="0" collapsed="false">
      <c r="A687" s="5" t="str">
        <f aca="false">IF($B687="","",COUNT($B$5:$B687))</f>
        <v/>
      </c>
      <c r="B687" s="6"/>
      <c r="C687" s="6"/>
      <c r="D687" s="7"/>
      <c r="E687" s="7"/>
      <c r="F687" s="8"/>
      <c r="G687" s="9"/>
      <c r="H687" s="7"/>
      <c r="I687" s="7"/>
      <c r="J687" s="8"/>
      <c r="K687" s="5" t="str">
        <f aca="false">IF($I687="","",1+IF($J687="",0,LEN($J687)-LEN(SUBSTITUTE($J687,",",""))+1))</f>
        <v/>
      </c>
      <c r="L687" s="7"/>
      <c r="M687" s="8"/>
      <c r="N687" s="10"/>
      <c r="O687" s="10"/>
      <c r="P687" s="5" t="str">
        <f aca="false">IF(OR($B687="",$C687=""),"",$C687-$B687+1)</f>
        <v/>
      </c>
      <c r="Q687" s="11"/>
      <c r="R687" s="12" t="str">
        <f aca="false">IF(OR($Q687="",$K687=""),"",$Q687*$K687)</f>
        <v/>
      </c>
      <c r="S687" s="7"/>
      <c r="T687" s="10"/>
      <c r="U687" s="8"/>
    </row>
    <row r="688" customFormat="false" ht="18.75" hidden="false" customHeight="true" outlineLevel="0" collapsed="false">
      <c r="A688" s="5" t="str">
        <f aca="false">IF($B688="","",COUNT($B$5:$B688))</f>
        <v/>
      </c>
      <c r="B688" s="13"/>
      <c r="C688" s="13"/>
      <c r="D688" s="14"/>
      <c r="E688" s="14"/>
      <c r="F688" s="15"/>
      <c r="G688" s="16"/>
      <c r="H688" s="14"/>
      <c r="I688" s="14"/>
      <c r="J688" s="15"/>
      <c r="K688" s="5" t="str">
        <f aca="false">IF($I688="","",1+IF($J688="",0,LEN($J688)-LEN(SUBSTITUTE($J688,",",""))+1))</f>
        <v/>
      </c>
      <c r="L688" s="14"/>
      <c r="M688" s="15"/>
      <c r="N688" s="17"/>
      <c r="O688" s="17"/>
      <c r="P688" s="5" t="str">
        <f aca="false">IF(OR($B688="",$C688=""),"",$C688-$B688+1)</f>
        <v/>
      </c>
      <c r="Q688" s="18"/>
      <c r="R688" s="12" t="str">
        <f aca="false">IF(OR($Q688="",$K688=""),"",$Q688*$K688)</f>
        <v/>
      </c>
      <c r="S688" s="14"/>
      <c r="T688" s="17"/>
      <c r="U688" s="15"/>
    </row>
    <row r="689" customFormat="false" ht="18.75" hidden="false" customHeight="true" outlineLevel="0" collapsed="false">
      <c r="A689" s="5" t="str">
        <f aca="false">IF($B689="","",COUNT($B$5:$B689))</f>
        <v/>
      </c>
      <c r="B689" s="6"/>
      <c r="C689" s="6"/>
      <c r="D689" s="7"/>
      <c r="E689" s="7"/>
      <c r="F689" s="8"/>
      <c r="G689" s="9"/>
      <c r="H689" s="7"/>
      <c r="I689" s="7"/>
      <c r="J689" s="8"/>
      <c r="K689" s="5" t="str">
        <f aca="false">IF($I689="","",1+IF($J689="",0,LEN($J689)-LEN(SUBSTITUTE($J689,",",""))+1))</f>
        <v/>
      </c>
      <c r="L689" s="7"/>
      <c r="M689" s="8"/>
      <c r="N689" s="10"/>
      <c r="O689" s="10"/>
      <c r="P689" s="5" t="str">
        <f aca="false">IF(OR($B689="",$C689=""),"",$C689-$B689+1)</f>
        <v/>
      </c>
      <c r="Q689" s="11"/>
      <c r="R689" s="12" t="str">
        <f aca="false">IF(OR($Q689="",$K689=""),"",$Q689*$K689)</f>
        <v/>
      </c>
      <c r="S689" s="7"/>
      <c r="T689" s="10"/>
      <c r="U689" s="8"/>
    </row>
    <row r="690" customFormat="false" ht="18.75" hidden="false" customHeight="true" outlineLevel="0" collapsed="false">
      <c r="A690" s="5" t="str">
        <f aca="false">IF($B690="","",COUNT($B$5:$B690))</f>
        <v/>
      </c>
      <c r="B690" s="13"/>
      <c r="C690" s="13"/>
      <c r="D690" s="14"/>
      <c r="E690" s="14"/>
      <c r="F690" s="15"/>
      <c r="G690" s="16"/>
      <c r="H690" s="14"/>
      <c r="I690" s="14"/>
      <c r="J690" s="15"/>
      <c r="K690" s="5" t="str">
        <f aca="false">IF($I690="","",1+IF($J690="",0,LEN($J690)-LEN(SUBSTITUTE($J690,",",""))+1))</f>
        <v/>
      </c>
      <c r="L690" s="14"/>
      <c r="M690" s="15"/>
      <c r="N690" s="17"/>
      <c r="O690" s="17"/>
      <c r="P690" s="5" t="str">
        <f aca="false">IF(OR($B690="",$C690=""),"",$C690-$B690+1)</f>
        <v/>
      </c>
      <c r="Q690" s="18"/>
      <c r="R690" s="12" t="str">
        <f aca="false">IF(OR($Q690="",$K690=""),"",$Q690*$K690)</f>
        <v/>
      </c>
      <c r="S690" s="14"/>
      <c r="T690" s="17"/>
      <c r="U690" s="15"/>
    </row>
    <row r="691" customFormat="false" ht="18.75" hidden="false" customHeight="true" outlineLevel="0" collapsed="false">
      <c r="A691" s="5" t="str">
        <f aca="false">IF($B691="","",COUNT($B$5:$B691))</f>
        <v/>
      </c>
      <c r="B691" s="6"/>
      <c r="C691" s="6"/>
      <c r="D691" s="7"/>
      <c r="E691" s="7"/>
      <c r="F691" s="8"/>
      <c r="G691" s="9"/>
      <c r="H691" s="7"/>
      <c r="I691" s="7"/>
      <c r="J691" s="8"/>
      <c r="K691" s="5" t="str">
        <f aca="false">IF($I691="","",1+IF($J691="",0,LEN($J691)-LEN(SUBSTITUTE($J691,",",""))+1))</f>
        <v/>
      </c>
      <c r="L691" s="7"/>
      <c r="M691" s="8"/>
      <c r="N691" s="10"/>
      <c r="O691" s="10"/>
      <c r="P691" s="5" t="str">
        <f aca="false">IF(OR($B691="",$C691=""),"",$C691-$B691+1)</f>
        <v/>
      </c>
      <c r="Q691" s="11"/>
      <c r="R691" s="12" t="str">
        <f aca="false">IF(OR($Q691="",$K691=""),"",$Q691*$K691)</f>
        <v/>
      </c>
      <c r="S691" s="7"/>
      <c r="T691" s="10"/>
      <c r="U691" s="8"/>
    </row>
    <row r="692" customFormat="false" ht="18.75" hidden="false" customHeight="true" outlineLevel="0" collapsed="false">
      <c r="A692" s="5" t="str">
        <f aca="false">IF($B692="","",COUNT($B$5:$B692))</f>
        <v/>
      </c>
      <c r="B692" s="13"/>
      <c r="C692" s="13"/>
      <c r="D692" s="14"/>
      <c r="E692" s="14"/>
      <c r="F692" s="15"/>
      <c r="G692" s="16"/>
      <c r="H692" s="14"/>
      <c r="I692" s="14"/>
      <c r="J692" s="15"/>
      <c r="K692" s="5" t="str">
        <f aca="false">IF($I692="","",1+IF($J692="",0,LEN($J692)-LEN(SUBSTITUTE($J692,",",""))+1))</f>
        <v/>
      </c>
      <c r="L692" s="14"/>
      <c r="M692" s="15"/>
      <c r="N692" s="17"/>
      <c r="O692" s="17"/>
      <c r="P692" s="5" t="str">
        <f aca="false">IF(OR($B692="",$C692=""),"",$C692-$B692+1)</f>
        <v/>
      </c>
      <c r="Q692" s="18"/>
      <c r="R692" s="12" t="str">
        <f aca="false">IF(OR($Q692="",$K692=""),"",$Q692*$K692)</f>
        <v/>
      </c>
      <c r="S692" s="14"/>
      <c r="T692" s="17"/>
      <c r="U692" s="15"/>
    </row>
    <row r="693" customFormat="false" ht="18.75" hidden="false" customHeight="true" outlineLevel="0" collapsed="false">
      <c r="A693" s="5" t="str">
        <f aca="false">IF($B693="","",COUNT($B$5:$B693))</f>
        <v/>
      </c>
      <c r="B693" s="6"/>
      <c r="C693" s="6"/>
      <c r="D693" s="7"/>
      <c r="E693" s="7"/>
      <c r="F693" s="8"/>
      <c r="G693" s="9"/>
      <c r="H693" s="7"/>
      <c r="I693" s="7"/>
      <c r="J693" s="8"/>
      <c r="K693" s="5" t="str">
        <f aca="false">IF($I693="","",1+IF($J693="",0,LEN($J693)-LEN(SUBSTITUTE($J693,",",""))+1))</f>
        <v/>
      </c>
      <c r="L693" s="7"/>
      <c r="M693" s="8"/>
      <c r="N693" s="10"/>
      <c r="O693" s="10"/>
      <c r="P693" s="5" t="str">
        <f aca="false">IF(OR($B693="",$C693=""),"",$C693-$B693+1)</f>
        <v/>
      </c>
      <c r="Q693" s="11"/>
      <c r="R693" s="12" t="str">
        <f aca="false">IF(OR($Q693="",$K693=""),"",$Q693*$K693)</f>
        <v/>
      </c>
      <c r="S693" s="7"/>
      <c r="T693" s="10"/>
      <c r="U693" s="8"/>
    </row>
    <row r="694" customFormat="false" ht="18.75" hidden="false" customHeight="true" outlineLevel="0" collapsed="false">
      <c r="A694" s="5" t="str">
        <f aca="false">IF($B694="","",COUNT($B$5:$B694))</f>
        <v/>
      </c>
      <c r="B694" s="13"/>
      <c r="C694" s="13"/>
      <c r="D694" s="14"/>
      <c r="E694" s="14"/>
      <c r="F694" s="15"/>
      <c r="G694" s="16"/>
      <c r="H694" s="14"/>
      <c r="I694" s="14"/>
      <c r="J694" s="15"/>
      <c r="K694" s="5" t="str">
        <f aca="false">IF($I694="","",1+IF($J694="",0,LEN($J694)-LEN(SUBSTITUTE($J694,",",""))+1))</f>
        <v/>
      </c>
      <c r="L694" s="14"/>
      <c r="M694" s="15"/>
      <c r="N694" s="17"/>
      <c r="O694" s="17"/>
      <c r="P694" s="5" t="str">
        <f aca="false">IF(OR($B694="",$C694=""),"",$C694-$B694+1)</f>
        <v/>
      </c>
      <c r="Q694" s="18"/>
      <c r="R694" s="12" t="str">
        <f aca="false">IF(OR($Q694="",$K694=""),"",$Q694*$K694)</f>
        <v/>
      </c>
      <c r="S694" s="14"/>
      <c r="T694" s="17"/>
      <c r="U694" s="15"/>
    </row>
    <row r="695" customFormat="false" ht="18.75" hidden="false" customHeight="true" outlineLevel="0" collapsed="false">
      <c r="A695" s="5" t="str">
        <f aca="false">IF($B695="","",COUNT($B$5:$B695))</f>
        <v/>
      </c>
      <c r="B695" s="6"/>
      <c r="C695" s="6"/>
      <c r="D695" s="7"/>
      <c r="E695" s="7"/>
      <c r="F695" s="8"/>
      <c r="G695" s="9"/>
      <c r="H695" s="7"/>
      <c r="I695" s="7"/>
      <c r="J695" s="8"/>
      <c r="K695" s="5" t="str">
        <f aca="false">IF($I695="","",1+IF($J695="",0,LEN($J695)-LEN(SUBSTITUTE($J695,",",""))+1))</f>
        <v/>
      </c>
      <c r="L695" s="7"/>
      <c r="M695" s="8"/>
      <c r="N695" s="10"/>
      <c r="O695" s="10"/>
      <c r="P695" s="5" t="str">
        <f aca="false">IF(OR($B695="",$C695=""),"",$C695-$B695+1)</f>
        <v/>
      </c>
      <c r="Q695" s="11"/>
      <c r="R695" s="12" t="str">
        <f aca="false">IF(OR($Q695="",$K695=""),"",$Q695*$K695)</f>
        <v/>
      </c>
      <c r="S695" s="7"/>
      <c r="T695" s="10"/>
      <c r="U695" s="8"/>
    </row>
    <row r="696" customFormat="false" ht="18.75" hidden="false" customHeight="true" outlineLevel="0" collapsed="false">
      <c r="A696" s="5" t="str">
        <f aca="false">IF($B696="","",COUNT($B$5:$B696))</f>
        <v/>
      </c>
      <c r="B696" s="13"/>
      <c r="C696" s="13"/>
      <c r="D696" s="14"/>
      <c r="E696" s="14"/>
      <c r="F696" s="15"/>
      <c r="G696" s="16"/>
      <c r="H696" s="14"/>
      <c r="I696" s="14"/>
      <c r="J696" s="15"/>
      <c r="K696" s="5" t="str">
        <f aca="false">IF($I696="","",1+IF($J696="",0,LEN($J696)-LEN(SUBSTITUTE($J696,",",""))+1))</f>
        <v/>
      </c>
      <c r="L696" s="14"/>
      <c r="M696" s="15"/>
      <c r="N696" s="17"/>
      <c r="O696" s="17"/>
      <c r="P696" s="5" t="str">
        <f aca="false">IF(OR($B696="",$C696=""),"",$C696-$B696+1)</f>
        <v/>
      </c>
      <c r="Q696" s="18"/>
      <c r="R696" s="12" t="str">
        <f aca="false">IF(OR($Q696="",$K696=""),"",$Q696*$K696)</f>
        <v/>
      </c>
      <c r="S696" s="14"/>
      <c r="T696" s="17"/>
      <c r="U696" s="15"/>
    </row>
    <row r="697" customFormat="false" ht="18.75" hidden="false" customHeight="true" outlineLevel="0" collapsed="false">
      <c r="A697" s="5" t="str">
        <f aca="false">IF($B697="","",COUNT($B$5:$B697))</f>
        <v/>
      </c>
      <c r="B697" s="6"/>
      <c r="C697" s="6"/>
      <c r="D697" s="7"/>
      <c r="E697" s="7"/>
      <c r="F697" s="8"/>
      <c r="G697" s="9"/>
      <c r="H697" s="7"/>
      <c r="I697" s="7"/>
      <c r="J697" s="8"/>
      <c r="K697" s="5" t="str">
        <f aca="false">IF($I697="","",1+IF($J697="",0,LEN($J697)-LEN(SUBSTITUTE($J697,",",""))+1))</f>
        <v/>
      </c>
      <c r="L697" s="7"/>
      <c r="M697" s="8"/>
      <c r="N697" s="10"/>
      <c r="O697" s="10"/>
      <c r="P697" s="5" t="str">
        <f aca="false">IF(OR($B697="",$C697=""),"",$C697-$B697+1)</f>
        <v/>
      </c>
      <c r="Q697" s="11"/>
      <c r="R697" s="12" t="str">
        <f aca="false">IF(OR($Q697="",$K697=""),"",$Q697*$K697)</f>
        <v/>
      </c>
      <c r="S697" s="7"/>
      <c r="T697" s="10"/>
      <c r="U697" s="8"/>
    </row>
    <row r="698" customFormat="false" ht="18.75" hidden="false" customHeight="true" outlineLevel="0" collapsed="false">
      <c r="A698" s="5" t="str">
        <f aca="false">IF($B698="","",COUNT($B$5:$B698))</f>
        <v/>
      </c>
      <c r="B698" s="13"/>
      <c r="C698" s="13"/>
      <c r="D698" s="14"/>
      <c r="E698" s="14"/>
      <c r="F698" s="15"/>
      <c r="G698" s="16"/>
      <c r="H698" s="14"/>
      <c r="I698" s="14"/>
      <c r="J698" s="15"/>
      <c r="K698" s="5" t="str">
        <f aca="false">IF($I698="","",1+IF($J698="",0,LEN($J698)-LEN(SUBSTITUTE($J698,",",""))+1))</f>
        <v/>
      </c>
      <c r="L698" s="14"/>
      <c r="M698" s="15"/>
      <c r="N698" s="17"/>
      <c r="O698" s="17"/>
      <c r="P698" s="5" t="str">
        <f aca="false">IF(OR($B698="",$C698=""),"",$C698-$B698+1)</f>
        <v/>
      </c>
      <c r="Q698" s="18"/>
      <c r="R698" s="12" t="str">
        <f aca="false">IF(OR($Q698="",$K698=""),"",$Q698*$K698)</f>
        <v/>
      </c>
      <c r="S698" s="14"/>
      <c r="T698" s="17"/>
      <c r="U698" s="15"/>
    </row>
    <row r="699" customFormat="false" ht="18.75" hidden="false" customHeight="true" outlineLevel="0" collapsed="false">
      <c r="A699" s="5" t="str">
        <f aca="false">IF($B699="","",COUNT($B$5:$B699))</f>
        <v/>
      </c>
      <c r="B699" s="6"/>
      <c r="C699" s="6"/>
      <c r="D699" s="7"/>
      <c r="E699" s="7"/>
      <c r="F699" s="8"/>
      <c r="G699" s="9"/>
      <c r="H699" s="7"/>
      <c r="I699" s="7"/>
      <c r="J699" s="8"/>
      <c r="K699" s="5" t="str">
        <f aca="false">IF($I699="","",1+IF($J699="",0,LEN($J699)-LEN(SUBSTITUTE($J699,",",""))+1))</f>
        <v/>
      </c>
      <c r="L699" s="7"/>
      <c r="M699" s="8"/>
      <c r="N699" s="10"/>
      <c r="O699" s="10"/>
      <c r="P699" s="5" t="str">
        <f aca="false">IF(OR($B699="",$C699=""),"",$C699-$B699+1)</f>
        <v/>
      </c>
      <c r="Q699" s="11"/>
      <c r="R699" s="12" t="str">
        <f aca="false">IF(OR($Q699="",$K699=""),"",$Q699*$K699)</f>
        <v/>
      </c>
      <c r="S699" s="7"/>
      <c r="T699" s="10"/>
      <c r="U699" s="8"/>
    </row>
    <row r="700" customFormat="false" ht="18.75" hidden="false" customHeight="true" outlineLevel="0" collapsed="false">
      <c r="A700" s="5" t="str">
        <f aca="false">IF($B700="","",COUNT($B$5:$B700))</f>
        <v/>
      </c>
      <c r="B700" s="13"/>
      <c r="C700" s="13"/>
      <c r="D700" s="14"/>
      <c r="E700" s="14"/>
      <c r="F700" s="15"/>
      <c r="G700" s="16"/>
      <c r="H700" s="14"/>
      <c r="I700" s="14"/>
      <c r="J700" s="15"/>
      <c r="K700" s="5" t="str">
        <f aca="false">IF($I700="","",1+IF($J700="",0,LEN($J700)-LEN(SUBSTITUTE($J700,",",""))+1))</f>
        <v/>
      </c>
      <c r="L700" s="14"/>
      <c r="M700" s="15"/>
      <c r="N700" s="17"/>
      <c r="O700" s="17"/>
      <c r="P700" s="5" t="str">
        <f aca="false">IF(OR($B700="",$C700=""),"",$C700-$B700+1)</f>
        <v/>
      </c>
      <c r="Q700" s="18"/>
      <c r="R700" s="12" t="str">
        <f aca="false">IF(OR($Q700="",$K700=""),"",$Q700*$K700)</f>
        <v/>
      </c>
      <c r="S700" s="14"/>
      <c r="T700" s="17"/>
      <c r="U700" s="15"/>
    </row>
    <row r="701" customFormat="false" ht="18.75" hidden="false" customHeight="true" outlineLevel="0" collapsed="false">
      <c r="A701" s="5" t="str">
        <f aca="false">IF($B701="","",COUNT($B$5:$B701))</f>
        <v/>
      </c>
      <c r="B701" s="6"/>
      <c r="C701" s="6"/>
      <c r="D701" s="7"/>
      <c r="E701" s="7"/>
      <c r="F701" s="8"/>
      <c r="G701" s="9"/>
      <c r="H701" s="7"/>
      <c r="I701" s="7"/>
      <c r="J701" s="8"/>
      <c r="K701" s="5" t="str">
        <f aca="false">IF($I701="","",1+IF($J701="",0,LEN($J701)-LEN(SUBSTITUTE($J701,",",""))+1))</f>
        <v/>
      </c>
      <c r="L701" s="7"/>
      <c r="M701" s="8"/>
      <c r="N701" s="10"/>
      <c r="O701" s="10"/>
      <c r="P701" s="5" t="str">
        <f aca="false">IF(OR($B701="",$C701=""),"",$C701-$B701+1)</f>
        <v/>
      </c>
      <c r="Q701" s="11"/>
      <c r="R701" s="12" t="str">
        <f aca="false">IF(OR($Q701="",$K701=""),"",$Q701*$K701)</f>
        <v/>
      </c>
      <c r="S701" s="7"/>
      <c r="T701" s="10"/>
      <c r="U701" s="8"/>
    </row>
    <row r="702" customFormat="false" ht="18.75" hidden="false" customHeight="true" outlineLevel="0" collapsed="false">
      <c r="A702" s="5" t="str">
        <f aca="false">IF($B702="","",COUNT($B$5:$B702))</f>
        <v/>
      </c>
      <c r="B702" s="13"/>
      <c r="C702" s="13"/>
      <c r="D702" s="14"/>
      <c r="E702" s="14"/>
      <c r="F702" s="15"/>
      <c r="G702" s="16"/>
      <c r="H702" s="14"/>
      <c r="I702" s="14"/>
      <c r="J702" s="15"/>
      <c r="K702" s="5" t="str">
        <f aca="false">IF($I702="","",1+IF($J702="",0,LEN($J702)-LEN(SUBSTITUTE($J702,",",""))+1))</f>
        <v/>
      </c>
      <c r="L702" s="14"/>
      <c r="M702" s="15"/>
      <c r="N702" s="17"/>
      <c r="O702" s="17"/>
      <c r="P702" s="5" t="str">
        <f aca="false">IF(OR($B702="",$C702=""),"",$C702-$B702+1)</f>
        <v/>
      </c>
      <c r="Q702" s="18"/>
      <c r="R702" s="12" t="str">
        <f aca="false">IF(OR($Q702="",$K702=""),"",$Q702*$K702)</f>
        <v/>
      </c>
      <c r="S702" s="14"/>
      <c r="T702" s="17"/>
      <c r="U702" s="15"/>
    </row>
    <row r="703" customFormat="false" ht="18.75" hidden="false" customHeight="true" outlineLevel="0" collapsed="false">
      <c r="A703" s="5" t="str">
        <f aca="false">IF($B703="","",COUNT($B$5:$B703))</f>
        <v/>
      </c>
      <c r="B703" s="6"/>
      <c r="C703" s="6"/>
      <c r="D703" s="7"/>
      <c r="E703" s="7"/>
      <c r="F703" s="8"/>
      <c r="G703" s="9"/>
      <c r="H703" s="7"/>
      <c r="I703" s="7"/>
      <c r="J703" s="8"/>
      <c r="K703" s="5" t="str">
        <f aca="false">IF($I703="","",1+IF($J703="",0,LEN($J703)-LEN(SUBSTITUTE($J703,",",""))+1))</f>
        <v/>
      </c>
      <c r="L703" s="7"/>
      <c r="M703" s="8"/>
      <c r="N703" s="10"/>
      <c r="O703" s="10"/>
      <c r="P703" s="5" t="str">
        <f aca="false">IF(OR($B703="",$C703=""),"",$C703-$B703+1)</f>
        <v/>
      </c>
      <c r="Q703" s="11"/>
      <c r="R703" s="12" t="str">
        <f aca="false">IF(OR($Q703="",$K703=""),"",$Q703*$K703)</f>
        <v/>
      </c>
      <c r="S703" s="7"/>
      <c r="T703" s="10"/>
      <c r="U703" s="8"/>
    </row>
    <row r="704" customFormat="false" ht="18.75" hidden="false" customHeight="true" outlineLevel="0" collapsed="false">
      <c r="A704" s="5" t="str">
        <f aca="false">IF($B704="","",COUNT($B$5:$B704))</f>
        <v/>
      </c>
      <c r="B704" s="13"/>
      <c r="C704" s="13"/>
      <c r="D704" s="14"/>
      <c r="E704" s="14"/>
      <c r="F704" s="15"/>
      <c r="G704" s="16"/>
      <c r="H704" s="14"/>
      <c r="I704" s="14"/>
      <c r="J704" s="15"/>
      <c r="K704" s="5" t="str">
        <f aca="false">IF($I704="","",1+IF($J704="",0,LEN($J704)-LEN(SUBSTITUTE($J704,",",""))+1))</f>
        <v/>
      </c>
      <c r="L704" s="14"/>
      <c r="M704" s="15"/>
      <c r="N704" s="17"/>
      <c r="O704" s="17"/>
      <c r="P704" s="5" t="str">
        <f aca="false">IF(OR($B704="",$C704=""),"",$C704-$B704+1)</f>
        <v/>
      </c>
      <c r="Q704" s="18"/>
      <c r="R704" s="12" t="str">
        <f aca="false">IF(OR($Q704="",$K704=""),"",$Q704*$K704)</f>
        <v/>
      </c>
      <c r="S704" s="14"/>
      <c r="T704" s="17"/>
      <c r="U704" s="15"/>
    </row>
    <row r="705" customFormat="false" ht="18.75" hidden="false" customHeight="true" outlineLevel="0" collapsed="false">
      <c r="A705" s="5" t="str">
        <f aca="false">IF($B705="","",COUNT($B$5:$B705))</f>
        <v/>
      </c>
      <c r="B705" s="6"/>
      <c r="C705" s="6"/>
      <c r="D705" s="7"/>
      <c r="E705" s="7"/>
      <c r="F705" s="8"/>
      <c r="G705" s="9"/>
      <c r="H705" s="7"/>
      <c r="I705" s="7"/>
      <c r="J705" s="8"/>
      <c r="K705" s="5" t="str">
        <f aca="false">IF($I705="","",1+IF($J705="",0,LEN($J705)-LEN(SUBSTITUTE($J705,",",""))+1))</f>
        <v/>
      </c>
      <c r="L705" s="7"/>
      <c r="M705" s="8"/>
      <c r="N705" s="10"/>
      <c r="O705" s="10"/>
      <c r="P705" s="5" t="str">
        <f aca="false">IF(OR($B705="",$C705=""),"",$C705-$B705+1)</f>
        <v/>
      </c>
      <c r="Q705" s="11"/>
      <c r="R705" s="12" t="str">
        <f aca="false">IF(OR($Q705="",$K705=""),"",$Q705*$K705)</f>
        <v/>
      </c>
      <c r="S705" s="7"/>
      <c r="T705" s="10"/>
      <c r="U705" s="8"/>
    </row>
    <row r="706" customFormat="false" ht="18.75" hidden="false" customHeight="true" outlineLevel="0" collapsed="false">
      <c r="A706" s="5" t="str">
        <f aca="false">IF($B706="","",COUNT($B$5:$B706))</f>
        <v/>
      </c>
      <c r="B706" s="13"/>
      <c r="C706" s="13"/>
      <c r="D706" s="14"/>
      <c r="E706" s="14"/>
      <c r="F706" s="15"/>
      <c r="G706" s="16"/>
      <c r="H706" s="14"/>
      <c r="I706" s="14"/>
      <c r="J706" s="15"/>
      <c r="K706" s="5" t="str">
        <f aca="false">IF($I706="","",1+IF($J706="",0,LEN($J706)-LEN(SUBSTITUTE($J706,",",""))+1))</f>
        <v/>
      </c>
      <c r="L706" s="14"/>
      <c r="M706" s="15"/>
      <c r="N706" s="17"/>
      <c r="O706" s="17"/>
      <c r="P706" s="5" t="str">
        <f aca="false">IF(OR($B706="",$C706=""),"",$C706-$B706+1)</f>
        <v/>
      </c>
      <c r="Q706" s="18"/>
      <c r="R706" s="12" t="str">
        <f aca="false">IF(OR($Q706="",$K706=""),"",$Q706*$K706)</f>
        <v/>
      </c>
      <c r="S706" s="14"/>
      <c r="T706" s="17"/>
      <c r="U706" s="15"/>
    </row>
    <row r="707" customFormat="false" ht="18.75" hidden="false" customHeight="true" outlineLevel="0" collapsed="false">
      <c r="A707" s="5" t="str">
        <f aca="false">IF($B707="","",COUNT($B$5:$B707))</f>
        <v/>
      </c>
      <c r="B707" s="6"/>
      <c r="C707" s="6"/>
      <c r="D707" s="7"/>
      <c r="E707" s="7"/>
      <c r="F707" s="8"/>
      <c r="G707" s="9"/>
      <c r="H707" s="7"/>
      <c r="I707" s="7"/>
      <c r="J707" s="8"/>
      <c r="K707" s="5" t="str">
        <f aca="false">IF($I707="","",1+IF($J707="",0,LEN($J707)-LEN(SUBSTITUTE($J707,",",""))+1))</f>
        <v/>
      </c>
      <c r="L707" s="7"/>
      <c r="M707" s="8"/>
      <c r="N707" s="10"/>
      <c r="O707" s="10"/>
      <c r="P707" s="5" t="str">
        <f aca="false">IF(OR($B707="",$C707=""),"",$C707-$B707+1)</f>
        <v/>
      </c>
      <c r="Q707" s="11"/>
      <c r="R707" s="12" t="str">
        <f aca="false">IF(OR($Q707="",$K707=""),"",$Q707*$K707)</f>
        <v/>
      </c>
      <c r="S707" s="7"/>
      <c r="T707" s="10"/>
      <c r="U707" s="8"/>
    </row>
    <row r="708" customFormat="false" ht="18.75" hidden="false" customHeight="true" outlineLevel="0" collapsed="false">
      <c r="A708" s="5" t="str">
        <f aca="false">IF($B708="","",COUNT($B$5:$B708))</f>
        <v/>
      </c>
      <c r="B708" s="13"/>
      <c r="C708" s="13"/>
      <c r="D708" s="14"/>
      <c r="E708" s="14"/>
      <c r="F708" s="15"/>
      <c r="G708" s="16"/>
      <c r="H708" s="14"/>
      <c r="I708" s="14"/>
      <c r="J708" s="15"/>
      <c r="K708" s="5" t="str">
        <f aca="false">IF($I708="","",1+IF($J708="",0,LEN($J708)-LEN(SUBSTITUTE($J708,",",""))+1))</f>
        <v/>
      </c>
      <c r="L708" s="14"/>
      <c r="M708" s="15"/>
      <c r="N708" s="17"/>
      <c r="O708" s="17"/>
      <c r="P708" s="5" t="str">
        <f aca="false">IF(OR($B708="",$C708=""),"",$C708-$B708+1)</f>
        <v/>
      </c>
      <c r="Q708" s="18"/>
      <c r="R708" s="12" t="str">
        <f aca="false">IF(OR($Q708="",$K708=""),"",$Q708*$K708)</f>
        <v/>
      </c>
      <c r="S708" s="14"/>
      <c r="T708" s="17"/>
      <c r="U708" s="15"/>
    </row>
    <row r="709" customFormat="false" ht="18.75" hidden="false" customHeight="true" outlineLevel="0" collapsed="false">
      <c r="A709" s="5" t="str">
        <f aca="false">IF($B709="","",COUNT($B$5:$B709))</f>
        <v/>
      </c>
      <c r="B709" s="6"/>
      <c r="C709" s="6"/>
      <c r="D709" s="7"/>
      <c r="E709" s="7"/>
      <c r="F709" s="8"/>
      <c r="G709" s="9"/>
      <c r="H709" s="7"/>
      <c r="I709" s="7"/>
      <c r="J709" s="8"/>
      <c r="K709" s="5" t="str">
        <f aca="false">IF($I709="","",1+IF($J709="",0,LEN($J709)-LEN(SUBSTITUTE($J709,",",""))+1))</f>
        <v/>
      </c>
      <c r="L709" s="7"/>
      <c r="M709" s="8"/>
      <c r="N709" s="10"/>
      <c r="O709" s="10"/>
      <c r="P709" s="5" t="str">
        <f aca="false">IF(OR($B709="",$C709=""),"",$C709-$B709+1)</f>
        <v/>
      </c>
      <c r="Q709" s="11"/>
      <c r="R709" s="12" t="str">
        <f aca="false">IF(OR($Q709="",$K709=""),"",$Q709*$K709)</f>
        <v/>
      </c>
      <c r="S709" s="7"/>
      <c r="T709" s="10"/>
      <c r="U709" s="8"/>
    </row>
    <row r="710" customFormat="false" ht="18.75" hidden="false" customHeight="true" outlineLevel="0" collapsed="false">
      <c r="A710" s="5" t="str">
        <f aca="false">IF($B710="","",COUNT($B$5:$B710))</f>
        <v/>
      </c>
      <c r="B710" s="13"/>
      <c r="C710" s="13"/>
      <c r="D710" s="14"/>
      <c r="E710" s="14"/>
      <c r="F710" s="15"/>
      <c r="G710" s="16"/>
      <c r="H710" s="14"/>
      <c r="I710" s="14"/>
      <c r="J710" s="15"/>
      <c r="K710" s="5" t="str">
        <f aca="false">IF($I710="","",1+IF($J710="",0,LEN($J710)-LEN(SUBSTITUTE($J710,",",""))+1))</f>
        <v/>
      </c>
      <c r="L710" s="14"/>
      <c r="M710" s="15"/>
      <c r="N710" s="17"/>
      <c r="O710" s="17"/>
      <c r="P710" s="5" t="str">
        <f aca="false">IF(OR($B710="",$C710=""),"",$C710-$B710+1)</f>
        <v/>
      </c>
      <c r="Q710" s="18"/>
      <c r="R710" s="12" t="str">
        <f aca="false">IF(OR($Q710="",$K710=""),"",$Q710*$K710)</f>
        <v/>
      </c>
      <c r="S710" s="14"/>
      <c r="T710" s="17"/>
      <c r="U710" s="15"/>
    </row>
    <row r="711" customFormat="false" ht="18.75" hidden="false" customHeight="true" outlineLevel="0" collapsed="false">
      <c r="A711" s="5" t="str">
        <f aca="false">IF($B711="","",COUNT($B$5:$B711))</f>
        <v/>
      </c>
      <c r="B711" s="6"/>
      <c r="C711" s="6"/>
      <c r="D711" s="7"/>
      <c r="E711" s="7"/>
      <c r="F711" s="8"/>
      <c r="G711" s="9"/>
      <c r="H711" s="7"/>
      <c r="I711" s="7"/>
      <c r="J711" s="8"/>
      <c r="K711" s="5" t="str">
        <f aca="false">IF($I711="","",1+IF($J711="",0,LEN($J711)-LEN(SUBSTITUTE($J711,",",""))+1))</f>
        <v/>
      </c>
      <c r="L711" s="7"/>
      <c r="M711" s="8"/>
      <c r="N711" s="10"/>
      <c r="O711" s="10"/>
      <c r="P711" s="5" t="str">
        <f aca="false">IF(OR($B711="",$C711=""),"",$C711-$B711+1)</f>
        <v/>
      </c>
      <c r="Q711" s="11"/>
      <c r="R711" s="12" t="str">
        <f aca="false">IF(OR($Q711="",$K711=""),"",$Q711*$K711)</f>
        <v/>
      </c>
      <c r="S711" s="7"/>
      <c r="T711" s="10"/>
      <c r="U711" s="8"/>
    </row>
    <row r="712" customFormat="false" ht="18.75" hidden="false" customHeight="true" outlineLevel="0" collapsed="false">
      <c r="A712" s="5" t="str">
        <f aca="false">IF($B712="","",COUNT($B$5:$B712))</f>
        <v/>
      </c>
      <c r="B712" s="13"/>
      <c r="C712" s="13"/>
      <c r="D712" s="14"/>
      <c r="E712" s="14"/>
      <c r="F712" s="15"/>
      <c r="G712" s="16"/>
      <c r="H712" s="14"/>
      <c r="I712" s="14"/>
      <c r="J712" s="15"/>
      <c r="K712" s="5" t="str">
        <f aca="false">IF($I712="","",1+IF($J712="",0,LEN($J712)-LEN(SUBSTITUTE($J712,",",""))+1))</f>
        <v/>
      </c>
      <c r="L712" s="14"/>
      <c r="M712" s="15"/>
      <c r="N712" s="17"/>
      <c r="O712" s="17"/>
      <c r="P712" s="5" t="str">
        <f aca="false">IF(OR($B712="",$C712=""),"",$C712-$B712+1)</f>
        <v/>
      </c>
      <c r="Q712" s="18"/>
      <c r="R712" s="12" t="str">
        <f aca="false">IF(OR($Q712="",$K712=""),"",$Q712*$K712)</f>
        <v/>
      </c>
      <c r="S712" s="14"/>
      <c r="T712" s="17"/>
      <c r="U712" s="15"/>
    </row>
    <row r="713" customFormat="false" ht="18.75" hidden="false" customHeight="true" outlineLevel="0" collapsed="false">
      <c r="A713" s="5" t="str">
        <f aca="false">IF($B713="","",COUNT($B$5:$B713))</f>
        <v/>
      </c>
      <c r="B713" s="6"/>
      <c r="C713" s="6"/>
      <c r="D713" s="7"/>
      <c r="E713" s="7"/>
      <c r="F713" s="8"/>
      <c r="G713" s="9"/>
      <c r="H713" s="7"/>
      <c r="I713" s="7"/>
      <c r="J713" s="8"/>
      <c r="K713" s="5" t="str">
        <f aca="false">IF($I713="","",1+IF($J713="",0,LEN($J713)-LEN(SUBSTITUTE($J713,",",""))+1))</f>
        <v/>
      </c>
      <c r="L713" s="7"/>
      <c r="M713" s="8"/>
      <c r="N713" s="10"/>
      <c r="O713" s="10"/>
      <c r="P713" s="5" t="str">
        <f aca="false">IF(OR($B713="",$C713=""),"",$C713-$B713+1)</f>
        <v/>
      </c>
      <c r="Q713" s="11"/>
      <c r="R713" s="12" t="str">
        <f aca="false">IF(OR($Q713="",$K713=""),"",$Q713*$K713)</f>
        <v/>
      </c>
      <c r="S713" s="7"/>
      <c r="T713" s="10"/>
      <c r="U713" s="8"/>
    </row>
    <row r="714" customFormat="false" ht="18.75" hidden="false" customHeight="true" outlineLevel="0" collapsed="false">
      <c r="A714" s="5" t="str">
        <f aca="false">IF($B714="","",COUNT($B$5:$B714))</f>
        <v/>
      </c>
      <c r="B714" s="13"/>
      <c r="C714" s="13"/>
      <c r="D714" s="14"/>
      <c r="E714" s="14"/>
      <c r="F714" s="15"/>
      <c r="G714" s="16"/>
      <c r="H714" s="14"/>
      <c r="I714" s="14"/>
      <c r="J714" s="15"/>
      <c r="K714" s="5" t="str">
        <f aca="false">IF($I714="","",1+IF($J714="",0,LEN($J714)-LEN(SUBSTITUTE($J714,",",""))+1))</f>
        <v/>
      </c>
      <c r="L714" s="14"/>
      <c r="M714" s="15"/>
      <c r="N714" s="17"/>
      <c r="O714" s="17"/>
      <c r="P714" s="5" t="str">
        <f aca="false">IF(OR($B714="",$C714=""),"",$C714-$B714+1)</f>
        <v/>
      </c>
      <c r="Q714" s="18"/>
      <c r="R714" s="12" t="str">
        <f aca="false">IF(OR($Q714="",$K714=""),"",$Q714*$K714)</f>
        <v/>
      </c>
      <c r="S714" s="14"/>
      <c r="T714" s="17"/>
      <c r="U714" s="15"/>
    </row>
    <row r="715" customFormat="false" ht="18.75" hidden="false" customHeight="true" outlineLevel="0" collapsed="false">
      <c r="A715" s="5" t="str">
        <f aca="false">IF($B715="","",COUNT($B$5:$B715))</f>
        <v/>
      </c>
      <c r="B715" s="6"/>
      <c r="C715" s="6"/>
      <c r="D715" s="7"/>
      <c r="E715" s="7"/>
      <c r="F715" s="8"/>
      <c r="G715" s="9"/>
      <c r="H715" s="7"/>
      <c r="I715" s="7"/>
      <c r="J715" s="8"/>
      <c r="K715" s="5" t="str">
        <f aca="false">IF($I715="","",1+IF($J715="",0,LEN($J715)-LEN(SUBSTITUTE($J715,",",""))+1))</f>
        <v/>
      </c>
      <c r="L715" s="7"/>
      <c r="M715" s="8"/>
      <c r="N715" s="10"/>
      <c r="O715" s="10"/>
      <c r="P715" s="5" t="str">
        <f aca="false">IF(OR($B715="",$C715=""),"",$C715-$B715+1)</f>
        <v/>
      </c>
      <c r="Q715" s="11"/>
      <c r="R715" s="12" t="str">
        <f aca="false">IF(OR($Q715="",$K715=""),"",$Q715*$K715)</f>
        <v/>
      </c>
      <c r="S715" s="7"/>
      <c r="T715" s="10"/>
      <c r="U715" s="8"/>
    </row>
    <row r="716" customFormat="false" ht="18.75" hidden="false" customHeight="true" outlineLevel="0" collapsed="false">
      <c r="A716" s="5" t="str">
        <f aca="false">IF($B716="","",COUNT($B$5:$B716))</f>
        <v/>
      </c>
      <c r="B716" s="13"/>
      <c r="C716" s="13"/>
      <c r="D716" s="14"/>
      <c r="E716" s="14"/>
      <c r="F716" s="15"/>
      <c r="G716" s="16"/>
      <c r="H716" s="14"/>
      <c r="I716" s="14"/>
      <c r="J716" s="15"/>
      <c r="K716" s="5" t="str">
        <f aca="false">IF($I716="","",1+IF($J716="",0,LEN($J716)-LEN(SUBSTITUTE($J716,",",""))+1))</f>
        <v/>
      </c>
      <c r="L716" s="14"/>
      <c r="M716" s="15"/>
      <c r="N716" s="17"/>
      <c r="O716" s="17"/>
      <c r="P716" s="5" t="str">
        <f aca="false">IF(OR($B716="",$C716=""),"",$C716-$B716+1)</f>
        <v/>
      </c>
      <c r="Q716" s="18"/>
      <c r="R716" s="12" t="str">
        <f aca="false">IF(OR($Q716="",$K716=""),"",$Q716*$K716)</f>
        <v/>
      </c>
      <c r="S716" s="14"/>
      <c r="T716" s="17"/>
      <c r="U716" s="15"/>
    </row>
    <row r="717" customFormat="false" ht="18.75" hidden="false" customHeight="true" outlineLevel="0" collapsed="false">
      <c r="A717" s="5" t="str">
        <f aca="false">IF($B717="","",COUNT($B$5:$B717))</f>
        <v/>
      </c>
      <c r="B717" s="6"/>
      <c r="C717" s="6"/>
      <c r="D717" s="7"/>
      <c r="E717" s="7"/>
      <c r="F717" s="8"/>
      <c r="G717" s="9"/>
      <c r="H717" s="7"/>
      <c r="I717" s="7"/>
      <c r="J717" s="8"/>
      <c r="K717" s="5" t="str">
        <f aca="false">IF($I717="","",1+IF($J717="",0,LEN($J717)-LEN(SUBSTITUTE($J717,",",""))+1))</f>
        <v/>
      </c>
      <c r="L717" s="7"/>
      <c r="M717" s="8"/>
      <c r="N717" s="10"/>
      <c r="O717" s="10"/>
      <c r="P717" s="5" t="str">
        <f aca="false">IF(OR($B717="",$C717=""),"",$C717-$B717+1)</f>
        <v/>
      </c>
      <c r="Q717" s="11"/>
      <c r="R717" s="12" t="str">
        <f aca="false">IF(OR($Q717="",$K717=""),"",$Q717*$K717)</f>
        <v/>
      </c>
      <c r="S717" s="7"/>
      <c r="T717" s="10"/>
      <c r="U717" s="8"/>
    </row>
    <row r="718" customFormat="false" ht="18.75" hidden="false" customHeight="true" outlineLevel="0" collapsed="false">
      <c r="A718" s="5" t="str">
        <f aca="false">IF($B718="","",COUNT($B$5:$B718))</f>
        <v/>
      </c>
      <c r="B718" s="13"/>
      <c r="C718" s="13"/>
      <c r="D718" s="14"/>
      <c r="E718" s="14"/>
      <c r="F718" s="15"/>
      <c r="G718" s="16"/>
      <c r="H718" s="14"/>
      <c r="I718" s="14"/>
      <c r="J718" s="15"/>
      <c r="K718" s="5" t="str">
        <f aca="false">IF($I718="","",1+IF($J718="",0,LEN($J718)-LEN(SUBSTITUTE($J718,",",""))+1))</f>
        <v/>
      </c>
      <c r="L718" s="14"/>
      <c r="M718" s="15"/>
      <c r="N718" s="17"/>
      <c r="O718" s="17"/>
      <c r="P718" s="5" t="str">
        <f aca="false">IF(OR($B718="",$C718=""),"",$C718-$B718+1)</f>
        <v/>
      </c>
      <c r="Q718" s="18"/>
      <c r="R718" s="12" t="str">
        <f aca="false">IF(OR($Q718="",$K718=""),"",$Q718*$K718)</f>
        <v/>
      </c>
      <c r="S718" s="14"/>
      <c r="T718" s="17"/>
      <c r="U718" s="15"/>
    </row>
    <row r="719" customFormat="false" ht="18.75" hidden="false" customHeight="true" outlineLevel="0" collapsed="false">
      <c r="A719" s="5" t="str">
        <f aca="false">IF($B719="","",COUNT($B$5:$B719))</f>
        <v/>
      </c>
      <c r="B719" s="6"/>
      <c r="C719" s="6"/>
      <c r="D719" s="7"/>
      <c r="E719" s="7"/>
      <c r="F719" s="8"/>
      <c r="G719" s="9"/>
      <c r="H719" s="7"/>
      <c r="I719" s="7"/>
      <c r="J719" s="8"/>
      <c r="K719" s="5" t="str">
        <f aca="false">IF($I719="","",1+IF($J719="",0,LEN($J719)-LEN(SUBSTITUTE($J719,",",""))+1))</f>
        <v/>
      </c>
      <c r="L719" s="7"/>
      <c r="M719" s="8"/>
      <c r="N719" s="10"/>
      <c r="O719" s="10"/>
      <c r="P719" s="5" t="str">
        <f aca="false">IF(OR($B719="",$C719=""),"",$C719-$B719+1)</f>
        <v/>
      </c>
      <c r="Q719" s="11"/>
      <c r="R719" s="12" t="str">
        <f aca="false">IF(OR($Q719="",$K719=""),"",$Q719*$K719)</f>
        <v/>
      </c>
      <c r="S719" s="7"/>
      <c r="T719" s="10"/>
      <c r="U719" s="8"/>
    </row>
    <row r="720" customFormat="false" ht="18.75" hidden="false" customHeight="true" outlineLevel="0" collapsed="false">
      <c r="A720" s="5" t="str">
        <f aca="false">IF($B720="","",COUNT($B$5:$B720))</f>
        <v/>
      </c>
      <c r="B720" s="13"/>
      <c r="C720" s="13"/>
      <c r="D720" s="14"/>
      <c r="E720" s="14"/>
      <c r="F720" s="15"/>
      <c r="G720" s="16"/>
      <c r="H720" s="14"/>
      <c r="I720" s="14"/>
      <c r="J720" s="15"/>
      <c r="K720" s="5" t="str">
        <f aca="false">IF($I720="","",1+IF($J720="",0,LEN($J720)-LEN(SUBSTITUTE($J720,",",""))+1))</f>
        <v/>
      </c>
      <c r="L720" s="14"/>
      <c r="M720" s="15"/>
      <c r="N720" s="17"/>
      <c r="O720" s="17"/>
      <c r="P720" s="5" t="str">
        <f aca="false">IF(OR($B720="",$C720=""),"",$C720-$B720+1)</f>
        <v/>
      </c>
      <c r="Q720" s="18"/>
      <c r="R720" s="12" t="str">
        <f aca="false">IF(OR($Q720="",$K720=""),"",$Q720*$K720)</f>
        <v/>
      </c>
      <c r="S720" s="14"/>
      <c r="T720" s="17"/>
      <c r="U720" s="15"/>
    </row>
    <row r="721" customFormat="false" ht="18.75" hidden="false" customHeight="true" outlineLevel="0" collapsed="false">
      <c r="A721" s="5" t="str">
        <f aca="false">IF($B721="","",COUNT($B$5:$B721))</f>
        <v/>
      </c>
      <c r="B721" s="6"/>
      <c r="C721" s="6"/>
      <c r="D721" s="7"/>
      <c r="E721" s="7"/>
      <c r="F721" s="8"/>
      <c r="G721" s="9"/>
      <c r="H721" s="7"/>
      <c r="I721" s="7"/>
      <c r="J721" s="8"/>
      <c r="K721" s="5" t="str">
        <f aca="false">IF($I721="","",1+IF($J721="",0,LEN($J721)-LEN(SUBSTITUTE($J721,",",""))+1))</f>
        <v/>
      </c>
      <c r="L721" s="7"/>
      <c r="M721" s="8"/>
      <c r="N721" s="10"/>
      <c r="O721" s="10"/>
      <c r="P721" s="5" t="str">
        <f aca="false">IF(OR($B721="",$C721=""),"",$C721-$B721+1)</f>
        <v/>
      </c>
      <c r="Q721" s="11"/>
      <c r="R721" s="12" t="str">
        <f aca="false">IF(OR($Q721="",$K721=""),"",$Q721*$K721)</f>
        <v/>
      </c>
      <c r="S721" s="7"/>
      <c r="T721" s="10"/>
      <c r="U721" s="8"/>
    </row>
    <row r="722" customFormat="false" ht="18.75" hidden="false" customHeight="true" outlineLevel="0" collapsed="false">
      <c r="A722" s="5" t="str">
        <f aca="false">IF($B722="","",COUNT($B$5:$B722))</f>
        <v/>
      </c>
      <c r="B722" s="13"/>
      <c r="C722" s="13"/>
      <c r="D722" s="14"/>
      <c r="E722" s="14"/>
      <c r="F722" s="15"/>
      <c r="G722" s="16"/>
      <c r="H722" s="14"/>
      <c r="I722" s="14"/>
      <c r="J722" s="15"/>
      <c r="K722" s="5" t="str">
        <f aca="false">IF($I722="","",1+IF($J722="",0,LEN($J722)-LEN(SUBSTITUTE($J722,",",""))+1))</f>
        <v/>
      </c>
      <c r="L722" s="14"/>
      <c r="M722" s="15"/>
      <c r="N722" s="17"/>
      <c r="O722" s="17"/>
      <c r="P722" s="5" t="str">
        <f aca="false">IF(OR($B722="",$C722=""),"",$C722-$B722+1)</f>
        <v/>
      </c>
      <c r="Q722" s="18"/>
      <c r="R722" s="12" t="str">
        <f aca="false">IF(OR($Q722="",$K722=""),"",$Q722*$K722)</f>
        <v/>
      </c>
      <c r="S722" s="14"/>
      <c r="T722" s="17"/>
      <c r="U722" s="15"/>
    </row>
    <row r="723" customFormat="false" ht="18.75" hidden="false" customHeight="true" outlineLevel="0" collapsed="false">
      <c r="A723" s="5" t="str">
        <f aca="false">IF($B723="","",COUNT($B$5:$B723))</f>
        <v/>
      </c>
      <c r="B723" s="6"/>
      <c r="C723" s="6"/>
      <c r="D723" s="7"/>
      <c r="E723" s="7"/>
      <c r="F723" s="8"/>
      <c r="G723" s="9"/>
      <c r="H723" s="7"/>
      <c r="I723" s="7"/>
      <c r="J723" s="8"/>
      <c r="K723" s="5" t="str">
        <f aca="false">IF($I723="","",1+IF($J723="",0,LEN($J723)-LEN(SUBSTITUTE($J723,",",""))+1))</f>
        <v/>
      </c>
      <c r="L723" s="7"/>
      <c r="M723" s="8"/>
      <c r="N723" s="10"/>
      <c r="O723" s="10"/>
      <c r="P723" s="5" t="str">
        <f aca="false">IF(OR($B723="",$C723=""),"",$C723-$B723+1)</f>
        <v/>
      </c>
      <c r="Q723" s="11"/>
      <c r="R723" s="12" t="str">
        <f aca="false">IF(OR($Q723="",$K723=""),"",$Q723*$K723)</f>
        <v/>
      </c>
      <c r="S723" s="7"/>
      <c r="T723" s="10"/>
      <c r="U723" s="8"/>
    </row>
    <row r="724" customFormat="false" ht="18.75" hidden="false" customHeight="true" outlineLevel="0" collapsed="false">
      <c r="A724" s="5" t="str">
        <f aca="false">IF($B724="","",COUNT($B$5:$B724))</f>
        <v/>
      </c>
      <c r="B724" s="13"/>
      <c r="C724" s="13"/>
      <c r="D724" s="14"/>
      <c r="E724" s="14"/>
      <c r="F724" s="15"/>
      <c r="G724" s="16"/>
      <c r="H724" s="14"/>
      <c r="I724" s="14"/>
      <c r="J724" s="15"/>
      <c r="K724" s="5" t="str">
        <f aca="false">IF($I724="","",1+IF($J724="",0,LEN($J724)-LEN(SUBSTITUTE($J724,",",""))+1))</f>
        <v/>
      </c>
      <c r="L724" s="14"/>
      <c r="M724" s="15"/>
      <c r="N724" s="17"/>
      <c r="O724" s="17"/>
      <c r="P724" s="5" t="str">
        <f aca="false">IF(OR($B724="",$C724=""),"",$C724-$B724+1)</f>
        <v/>
      </c>
      <c r="Q724" s="18"/>
      <c r="R724" s="12" t="str">
        <f aca="false">IF(OR($Q724="",$K724=""),"",$Q724*$K724)</f>
        <v/>
      </c>
      <c r="S724" s="14"/>
      <c r="T724" s="17"/>
      <c r="U724" s="15"/>
    </row>
    <row r="725" customFormat="false" ht="18.75" hidden="false" customHeight="true" outlineLevel="0" collapsed="false">
      <c r="A725" s="5" t="str">
        <f aca="false">IF($B725="","",COUNT($B$5:$B725))</f>
        <v/>
      </c>
      <c r="B725" s="6"/>
      <c r="C725" s="6"/>
      <c r="D725" s="7"/>
      <c r="E725" s="7"/>
      <c r="F725" s="8"/>
      <c r="G725" s="9"/>
      <c r="H725" s="7"/>
      <c r="I725" s="7"/>
      <c r="J725" s="8"/>
      <c r="K725" s="5" t="str">
        <f aca="false">IF($I725="","",1+IF($J725="",0,LEN($J725)-LEN(SUBSTITUTE($J725,",",""))+1))</f>
        <v/>
      </c>
      <c r="L725" s="7"/>
      <c r="M725" s="8"/>
      <c r="N725" s="10"/>
      <c r="O725" s="10"/>
      <c r="P725" s="5" t="str">
        <f aca="false">IF(OR($B725="",$C725=""),"",$C725-$B725+1)</f>
        <v/>
      </c>
      <c r="Q725" s="11"/>
      <c r="R725" s="12" t="str">
        <f aca="false">IF(OR($Q725="",$K725=""),"",$Q725*$K725)</f>
        <v/>
      </c>
      <c r="S725" s="7"/>
      <c r="T725" s="10"/>
      <c r="U725" s="8"/>
    </row>
    <row r="726" customFormat="false" ht="18.75" hidden="false" customHeight="true" outlineLevel="0" collapsed="false">
      <c r="A726" s="5" t="str">
        <f aca="false">IF($B726="","",COUNT($B$5:$B726))</f>
        <v/>
      </c>
      <c r="B726" s="13"/>
      <c r="C726" s="13"/>
      <c r="D726" s="14"/>
      <c r="E726" s="14"/>
      <c r="F726" s="15"/>
      <c r="G726" s="16"/>
      <c r="H726" s="14"/>
      <c r="I726" s="14"/>
      <c r="J726" s="15"/>
      <c r="K726" s="5" t="str">
        <f aca="false">IF($I726="","",1+IF($J726="",0,LEN($J726)-LEN(SUBSTITUTE($J726,",",""))+1))</f>
        <v/>
      </c>
      <c r="L726" s="14"/>
      <c r="M726" s="15"/>
      <c r="N726" s="17"/>
      <c r="O726" s="17"/>
      <c r="P726" s="5" t="str">
        <f aca="false">IF(OR($B726="",$C726=""),"",$C726-$B726+1)</f>
        <v/>
      </c>
      <c r="Q726" s="18"/>
      <c r="R726" s="12" t="str">
        <f aca="false">IF(OR($Q726="",$K726=""),"",$Q726*$K726)</f>
        <v/>
      </c>
      <c r="S726" s="14"/>
      <c r="T726" s="17"/>
      <c r="U726" s="15"/>
    </row>
    <row r="727" customFormat="false" ht="18.75" hidden="false" customHeight="true" outlineLevel="0" collapsed="false">
      <c r="A727" s="5" t="str">
        <f aca="false">IF($B727="","",COUNT($B$5:$B727))</f>
        <v/>
      </c>
      <c r="B727" s="6"/>
      <c r="C727" s="6"/>
      <c r="D727" s="7"/>
      <c r="E727" s="7"/>
      <c r="F727" s="8"/>
      <c r="G727" s="9"/>
      <c r="H727" s="7"/>
      <c r="I727" s="7"/>
      <c r="J727" s="8"/>
      <c r="K727" s="5" t="str">
        <f aca="false">IF($I727="","",1+IF($J727="",0,LEN($J727)-LEN(SUBSTITUTE($J727,",",""))+1))</f>
        <v/>
      </c>
      <c r="L727" s="7"/>
      <c r="M727" s="8"/>
      <c r="N727" s="10"/>
      <c r="O727" s="10"/>
      <c r="P727" s="5" t="str">
        <f aca="false">IF(OR($B727="",$C727=""),"",$C727-$B727+1)</f>
        <v/>
      </c>
      <c r="Q727" s="11"/>
      <c r="R727" s="12" t="str">
        <f aca="false">IF(OR($Q727="",$K727=""),"",$Q727*$K727)</f>
        <v/>
      </c>
      <c r="S727" s="7"/>
      <c r="T727" s="10"/>
      <c r="U727" s="8"/>
    </row>
    <row r="728" customFormat="false" ht="18.75" hidden="false" customHeight="true" outlineLevel="0" collapsed="false">
      <c r="A728" s="5" t="str">
        <f aca="false">IF($B728="","",COUNT($B$5:$B728))</f>
        <v/>
      </c>
      <c r="B728" s="13"/>
      <c r="C728" s="13"/>
      <c r="D728" s="14"/>
      <c r="E728" s="14"/>
      <c r="F728" s="15"/>
      <c r="G728" s="16"/>
      <c r="H728" s="14"/>
      <c r="I728" s="14"/>
      <c r="J728" s="15"/>
      <c r="K728" s="5" t="str">
        <f aca="false">IF($I728="","",1+IF($J728="",0,LEN($J728)-LEN(SUBSTITUTE($J728,",",""))+1))</f>
        <v/>
      </c>
      <c r="L728" s="14"/>
      <c r="M728" s="15"/>
      <c r="N728" s="17"/>
      <c r="O728" s="17"/>
      <c r="P728" s="5" t="str">
        <f aca="false">IF(OR($B728="",$C728=""),"",$C728-$B728+1)</f>
        <v/>
      </c>
      <c r="Q728" s="18"/>
      <c r="R728" s="12" t="str">
        <f aca="false">IF(OR($Q728="",$K728=""),"",$Q728*$K728)</f>
        <v/>
      </c>
      <c r="S728" s="14"/>
      <c r="T728" s="17"/>
      <c r="U728" s="15"/>
    </row>
    <row r="729" customFormat="false" ht="18.75" hidden="false" customHeight="true" outlineLevel="0" collapsed="false">
      <c r="A729" s="5" t="str">
        <f aca="false">IF($B729="","",COUNT($B$5:$B729))</f>
        <v/>
      </c>
      <c r="B729" s="6"/>
      <c r="C729" s="6"/>
      <c r="D729" s="7"/>
      <c r="E729" s="7"/>
      <c r="F729" s="8"/>
      <c r="G729" s="9"/>
      <c r="H729" s="7"/>
      <c r="I729" s="7"/>
      <c r="J729" s="8"/>
      <c r="K729" s="5" t="str">
        <f aca="false">IF($I729="","",1+IF($J729="",0,LEN($J729)-LEN(SUBSTITUTE($J729,",",""))+1))</f>
        <v/>
      </c>
      <c r="L729" s="7"/>
      <c r="M729" s="8"/>
      <c r="N729" s="10"/>
      <c r="O729" s="10"/>
      <c r="P729" s="5" t="str">
        <f aca="false">IF(OR($B729="",$C729=""),"",$C729-$B729+1)</f>
        <v/>
      </c>
      <c r="Q729" s="11"/>
      <c r="R729" s="12" t="str">
        <f aca="false">IF(OR($Q729="",$K729=""),"",$Q729*$K729)</f>
        <v/>
      </c>
      <c r="S729" s="7"/>
      <c r="T729" s="10"/>
      <c r="U729" s="8"/>
    </row>
    <row r="730" customFormat="false" ht="18.75" hidden="false" customHeight="true" outlineLevel="0" collapsed="false">
      <c r="A730" s="5" t="str">
        <f aca="false">IF($B730="","",COUNT($B$5:$B730))</f>
        <v/>
      </c>
      <c r="B730" s="13"/>
      <c r="C730" s="13"/>
      <c r="D730" s="14"/>
      <c r="E730" s="14"/>
      <c r="F730" s="15"/>
      <c r="G730" s="16"/>
      <c r="H730" s="14"/>
      <c r="I730" s="14"/>
      <c r="J730" s="15"/>
      <c r="K730" s="5" t="str">
        <f aca="false">IF($I730="","",1+IF($J730="",0,LEN($J730)-LEN(SUBSTITUTE($J730,",",""))+1))</f>
        <v/>
      </c>
      <c r="L730" s="14"/>
      <c r="M730" s="15"/>
      <c r="N730" s="17"/>
      <c r="O730" s="17"/>
      <c r="P730" s="5" t="str">
        <f aca="false">IF(OR($B730="",$C730=""),"",$C730-$B730+1)</f>
        <v/>
      </c>
      <c r="Q730" s="18"/>
      <c r="R730" s="12" t="str">
        <f aca="false">IF(OR($Q730="",$K730=""),"",$Q730*$K730)</f>
        <v/>
      </c>
      <c r="S730" s="14"/>
      <c r="T730" s="17"/>
      <c r="U730" s="15"/>
    </row>
    <row r="731" customFormat="false" ht="18.75" hidden="false" customHeight="true" outlineLevel="0" collapsed="false">
      <c r="A731" s="5" t="str">
        <f aca="false">IF($B731="","",COUNT($B$5:$B731))</f>
        <v/>
      </c>
      <c r="B731" s="6"/>
      <c r="C731" s="6"/>
      <c r="D731" s="7"/>
      <c r="E731" s="7"/>
      <c r="F731" s="8"/>
      <c r="G731" s="9"/>
      <c r="H731" s="7"/>
      <c r="I731" s="7"/>
      <c r="J731" s="8"/>
      <c r="K731" s="5" t="str">
        <f aca="false">IF($I731="","",1+IF($J731="",0,LEN($J731)-LEN(SUBSTITUTE($J731,",",""))+1))</f>
        <v/>
      </c>
      <c r="L731" s="7"/>
      <c r="M731" s="8"/>
      <c r="N731" s="10"/>
      <c r="O731" s="10"/>
      <c r="P731" s="5" t="str">
        <f aca="false">IF(OR($B731="",$C731=""),"",$C731-$B731+1)</f>
        <v/>
      </c>
      <c r="Q731" s="11"/>
      <c r="R731" s="12" t="str">
        <f aca="false">IF(OR($Q731="",$K731=""),"",$Q731*$K731)</f>
        <v/>
      </c>
      <c r="S731" s="7"/>
      <c r="T731" s="10"/>
      <c r="U731" s="8"/>
    </row>
    <row r="732" customFormat="false" ht="18.75" hidden="false" customHeight="true" outlineLevel="0" collapsed="false">
      <c r="A732" s="5" t="str">
        <f aca="false">IF($B732="","",COUNT($B$5:$B732))</f>
        <v/>
      </c>
      <c r="B732" s="13"/>
      <c r="C732" s="13"/>
      <c r="D732" s="14"/>
      <c r="E732" s="14"/>
      <c r="F732" s="15"/>
      <c r="G732" s="16"/>
      <c r="H732" s="14"/>
      <c r="I732" s="14"/>
      <c r="J732" s="15"/>
      <c r="K732" s="5" t="str">
        <f aca="false">IF($I732="","",1+IF($J732="",0,LEN($J732)-LEN(SUBSTITUTE($J732,",",""))+1))</f>
        <v/>
      </c>
      <c r="L732" s="14"/>
      <c r="M732" s="15"/>
      <c r="N732" s="17"/>
      <c r="O732" s="17"/>
      <c r="P732" s="5" t="str">
        <f aca="false">IF(OR($B732="",$C732=""),"",$C732-$B732+1)</f>
        <v/>
      </c>
      <c r="Q732" s="18"/>
      <c r="R732" s="12" t="str">
        <f aca="false">IF(OR($Q732="",$K732=""),"",$Q732*$K732)</f>
        <v/>
      </c>
      <c r="S732" s="14"/>
      <c r="T732" s="17"/>
      <c r="U732" s="15"/>
    </row>
    <row r="733" customFormat="false" ht="18.75" hidden="false" customHeight="true" outlineLevel="0" collapsed="false">
      <c r="A733" s="5" t="str">
        <f aca="false">IF($B733="","",COUNT($B$5:$B733))</f>
        <v/>
      </c>
      <c r="B733" s="6"/>
      <c r="C733" s="6"/>
      <c r="D733" s="7"/>
      <c r="E733" s="7"/>
      <c r="F733" s="8"/>
      <c r="G733" s="9"/>
      <c r="H733" s="7"/>
      <c r="I733" s="7"/>
      <c r="J733" s="8"/>
      <c r="K733" s="5" t="str">
        <f aca="false">IF($I733="","",1+IF($J733="",0,LEN($J733)-LEN(SUBSTITUTE($J733,",",""))+1))</f>
        <v/>
      </c>
      <c r="L733" s="7"/>
      <c r="M733" s="8"/>
      <c r="N733" s="10"/>
      <c r="O733" s="10"/>
      <c r="P733" s="5" t="str">
        <f aca="false">IF(OR($B733="",$C733=""),"",$C733-$B733+1)</f>
        <v/>
      </c>
      <c r="Q733" s="11"/>
      <c r="R733" s="12" t="str">
        <f aca="false">IF(OR($Q733="",$K733=""),"",$Q733*$K733)</f>
        <v/>
      </c>
      <c r="S733" s="7"/>
      <c r="T733" s="10"/>
      <c r="U733" s="8"/>
    </row>
    <row r="734" customFormat="false" ht="18.75" hidden="false" customHeight="true" outlineLevel="0" collapsed="false">
      <c r="A734" s="5" t="str">
        <f aca="false">IF($B734="","",COUNT($B$5:$B734))</f>
        <v/>
      </c>
      <c r="B734" s="13"/>
      <c r="C734" s="13"/>
      <c r="D734" s="14"/>
      <c r="E734" s="14"/>
      <c r="F734" s="15"/>
      <c r="G734" s="16"/>
      <c r="H734" s="14"/>
      <c r="I734" s="14"/>
      <c r="J734" s="15"/>
      <c r="K734" s="5" t="str">
        <f aca="false">IF($I734="","",1+IF($J734="",0,LEN($J734)-LEN(SUBSTITUTE($J734,",",""))+1))</f>
        <v/>
      </c>
      <c r="L734" s="14"/>
      <c r="M734" s="15"/>
      <c r="N734" s="17"/>
      <c r="O734" s="17"/>
      <c r="P734" s="5" t="str">
        <f aca="false">IF(OR($B734="",$C734=""),"",$C734-$B734+1)</f>
        <v/>
      </c>
      <c r="Q734" s="18"/>
      <c r="R734" s="12" t="str">
        <f aca="false">IF(OR($Q734="",$K734=""),"",$Q734*$K734)</f>
        <v/>
      </c>
      <c r="S734" s="14"/>
      <c r="T734" s="17"/>
      <c r="U734" s="15"/>
    </row>
    <row r="735" customFormat="false" ht="18.75" hidden="false" customHeight="true" outlineLevel="0" collapsed="false">
      <c r="A735" s="5" t="str">
        <f aca="false">IF($B735="","",COUNT($B$5:$B735))</f>
        <v/>
      </c>
      <c r="B735" s="6"/>
      <c r="C735" s="6"/>
      <c r="D735" s="7"/>
      <c r="E735" s="7"/>
      <c r="F735" s="8"/>
      <c r="G735" s="9"/>
      <c r="H735" s="7"/>
      <c r="I735" s="7"/>
      <c r="J735" s="8"/>
      <c r="K735" s="5" t="str">
        <f aca="false">IF($I735="","",1+IF($J735="",0,LEN($J735)-LEN(SUBSTITUTE($J735,",",""))+1))</f>
        <v/>
      </c>
      <c r="L735" s="7"/>
      <c r="M735" s="8"/>
      <c r="N735" s="10"/>
      <c r="O735" s="10"/>
      <c r="P735" s="5" t="str">
        <f aca="false">IF(OR($B735="",$C735=""),"",$C735-$B735+1)</f>
        <v/>
      </c>
      <c r="Q735" s="11"/>
      <c r="R735" s="12" t="str">
        <f aca="false">IF(OR($Q735="",$K735=""),"",$Q735*$K735)</f>
        <v/>
      </c>
      <c r="S735" s="7"/>
      <c r="T735" s="10"/>
      <c r="U735" s="8"/>
    </row>
    <row r="736" customFormat="false" ht="18.75" hidden="false" customHeight="true" outlineLevel="0" collapsed="false">
      <c r="A736" s="5" t="str">
        <f aca="false">IF($B736="","",COUNT($B$5:$B736))</f>
        <v/>
      </c>
      <c r="B736" s="13"/>
      <c r="C736" s="13"/>
      <c r="D736" s="14"/>
      <c r="E736" s="14"/>
      <c r="F736" s="15"/>
      <c r="G736" s="16"/>
      <c r="H736" s="14"/>
      <c r="I736" s="14"/>
      <c r="J736" s="15"/>
      <c r="K736" s="5" t="str">
        <f aca="false">IF($I736="","",1+IF($J736="",0,LEN($J736)-LEN(SUBSTITUTE($J736,",",""))+1))</f>
        <v/>
      </c>
      <c r="L736" s="14"/>
      <c r="M736" s="15"/>
      <c r="N736" s="17"/>
      <c r="O736" s="17"/>
      <c r="P736" s="5" t="str">
        <f aca="false">IF(OR($B736="",$C736=""),"",$C736-$B736+1)</f>
        <v/>
      </c>
      <c r="Q736" s="18"/>
      <c r="R736" s="12" t="str">
        <f aca="false">IF(OR($Q736="",$K736=""),"",$Q736*$K736)</f>
        <v/>
      </c>
      <c r="S736" s="14"/>
      <c r="T736" s="17"/>
      <c r="U736" s="15"/>
    </row>
    <row r="737" customFormat="false" ht="18.75" hidden="false" customHeight="true" outlineLevel="0" collapsed="false">
      <c r="A737" s="5" t="str">
        <f aca="false">IF($B737="","",COUNT($B$5:$B737))</f>
        <v/>
      </c>
      <c r="B737" s="6"/>
      <c r="C737" s="6"/>
      <c r="D737" s="7"/>
      <c r="E737" s="7"/>
      <c r="F737" s="8"/>
      <c r="G737" s="9"/>
      <c r="H737" s="7"/>
      <c r="I737" s="7"/>
      <c r="J737" s="8"/>
      <c r="K737" s="5" t="str">
        <f aca="false">IF($I737="","",1+IF($J737="",0,LEN($J737)-LEN(SUBSTITUTE($J737,",",""))+1))</f>
        <v/>
      </c>
      <c r="L737" s="7"/>
      <c r="M737" s="8"/>
      <c r="N737" s="10"/>
      <c r="O737" s="10"/>
      <c r="P737" s="5" t="str">
        <f aca="false">IF(OR($B737="",$C737=""),"",$C737-$B737+1)</f>
        <v/>
      </c>
      <c r="Q737" s="11"/>
      <c r="R737" s="12" t="str">
        <f aca="false">IF(OR($Q737="",$K737=""),"",$Q737*$K737)</f>
        <v/>
      </c>
      <c r="S737" s="7"/>
      <c r="T737" s="10"/>
      <c r="U737" s="8"/>
    </row>
    <row r="738" customFormat="false" ht="18.75" hidden="false" customHeight="true" outlineLevel="0" collapsed="false">
      <c r="A738" s="5" t="str">
        <f aca="false">IF($B738="","",COUNT($B$5:$B738))</f>
        <v/>
      </c>
      <c r="B738" s="13"/>
      <c r="C738" s="13"/>
      <c r="D738" s="14"/>
      <c r="E738" s="14"/>
      <c r="F738" s="15"/>
      <c r="G738" s="16"/>
      <c r="H738" s="14"/>
      <c r="I738" s="14"/>
      <c r="J738" s="15"/>
      <c r="K738" s="5" t="str">
        <f aca="false">IF($I738="","",1+IF($J738="",0,LEN($J738)-LEN(SUBSTITUTE($J738,",",""))+1))</f>
        <v/>
      </c>
      <c r="L738" s="14"/>
      <c r="M738" s="15"/>
      <c r="N738" s="17"/>
      <c r="O738" s="17"/>
      <c r="P738" s="5" t="str">
        <f aca="false">IF(OR($B738="",$C738=""),"",$C738-$B738+1)</f>
        <v/>
      </c>
      <c r="Q738" s="18"/>
      <c r="R738" s="12" t="str">
        <f aca="false">IF(OR($Q738="",$K738=""),"",$Q738*$K738)</f>
        <v/>
      </c>
      <c r="S738" s="14"/>
      <c r="T738" s="17"/>
      <c r="U738" s="15"/>
    </row>
    <row r="739" customFormat="false" ht="18.75" hidden="false" customHeight="true" outlineLevel="0" collapsed="false">
      <c r="A739" s="5" t="str">
        <f aca="false">IF($B739="","",COUNT($B$5:$B739))</f>
        <v/>
      </c>
      <c r="B739" s="6"/>
      <c r="C739" s="6"/>
      <c r="D739" s="7"/>
      <c r="E739" s="7"/>
      <c r="F739" s="8"/>
      <c r="G739" s="9"/>
      <c r="H739" s="7"/>
      <c r="I739" s="7"/>
      <c r="J739" s="8"/>
      <c r="K739" s="5" t="str">
        <f aca="false">IF($I739="","",1+IF($J739="",0,LEN($J739)-LEN(SUBSTITUTE($J739,",",""))+1))</f>
        <v/>
      </c>
      <c r="L739" s="7"/>
      <c r="M739" s="8"/>
      <c r="N739" s="10"/>
      <c r="O739" s="10"/>
      <c r="P739" s="5" t="str">
        <f aca="false">IF(OR($B739="",$C739=""),"",$C739-$B739+1)</f>
        <v/>
      </c>
      <c r="Q739" s="11"/>
      <c r="R739" s="12" t="str">
        <f aca="false">IF(OR($Q739="",$K739=""),"",$Q739*$K739)</f>
        <v/>
      </c>
      <c r="S739" s="7"/>
      <c r="T739" s="10"/>
      <c r="U739" s="8"/>
    </row>
    <row r="740" customFormat="false" ht="18.75" hidden="false" customHeight="true" outlineLevel="0" collapsed="false">
      <c r="A740" s="5" t="str">
        <f aca="false">IF($B740="","",COUNT($B$5:$B740))</f>
        <v/>
      </c>
      <c r="B740" s="13"/>
      <c r="C740" s="13"/>
      <c r="D740" s="14"/>
      <c r="E740" s="14"/>
      <c r="F740" s="15"/>
      <c r="G740" s="16"/>
      <c r="H740" s="14"/>
      <c r="I740" s="14"/>
      <c r="J740" s="15"/>
      <c r="K740" s="5" t="str">
        <f aca="false">IF($I740="","",1+IF($J740="",0,LEN($J740)-LEN(SUBSTITUTE($J740,",",""))+1))</f>
        <v/>
      </c>
      <c r="L740" s="14"/>
      <c r="M740" s="15"/>
      <c r="N740" s="17"/>
      <c r="O740" s="17"/>
      <c r="P740" s="5" t="str">
        <f aca="false">IF(OR($B740="",$C740=""),"",$C740-$B740+1)</f>
        <v/>
      </c>
      <c r="Q740" s="18"/>
      <c r="R740" s="12" t="str">
        <f aca="false">IF(OR($Q740="",$K740=""),"",$Q740*$K740)</f>
        <v/>
      </c>
      <c r="S740" s="14"/>
      <c r="T740" s="17"/>
      <c r="U740" s="15"/>
    </row>
    <row r="741" customFormat="false" ht="18.75" hidden="false" customHeight="true" outlineLevel="0" collapsed="false">
      <c r="A741" s="5" t="str">
        <f aca="false">IF($B741="","",COUNT($B$5:$B741))</f>
        <v/>
      </c>
      <c r="B741" s="6"/>
      <c r="C741" s="6"/>
      <c r="D741" s="7"/>
      <c r="E741" s="7"/>
      <c r="F741" s="8"/>
      <c r="G741" s="9"/>
      <c r="H741" s="7"/>
      <c r="I741" s="7"/>
      <c r="J741" s="8"/>
      <c r="K741" s="5" t="str">
        <f aca="false">IF($I741="","",1+IF($J741="",0,LEN($J741)-LEN(SUBSTITUTE($J741,",",""))+1))</f>
        <v/>
      </c>
      <c r="L741" s="7"/>
      <c r="M741" s="8"/>
      <c r="N741" s="10"/>
      <c r="O741" s="10"/>
      <c r="P741" s="5" t="str">
        <f aca="false">IF(OR($B741="",$C741=""),"",$C741-$B741+1)</f>
        <v/>
      </c>
      <c r="Q741" s="11"/>
      <c r="R741" s="12" t="str">
        <f aca="false">IF(OR($Q741="",$K741=""),"",$Q741*$K741)</f>
        <v/>
      </c>
      <c r="S741" s="7"/>
      <c r="T741" s="10"/>
      <c r="U741" s="8"/>
    </row>
    <row r="742" customFormat="false" ht="18.75" hidden="false" customHeight="true" outlineLevel="0" collapsed="false">
      <c r="A742" s="5" t="str">
        <f aca="false">IF($B742="","",COUNT($B$5:$B742))</f>
        <v/>
      </c>
      <c r="B742" s="13"/>
      <c r="C742" s="13"/>
      <c r="D742" s="14"/>
      <c r="E742" s="14"/>
      <c r="F742" s="15"/>
      <c r="G742" s="16"/>
      <c r="H742" s="14"/>
      <c r="I742" s="14"/>
      <c r="J742" s="15"/>
      <c r="K742" s="5" t="str">
        <f aca="false">IF($I742="","",1+IF($J742="",0,LEN($J742)-LEN(SUBSTITUTE($J742,",",""))+1))</f>
        <v/>
      </c>
      <c r="L742" s="14"/>
      <c r="M742" s="15"/>
      <c r="N742" s="17"/>
      <c r="O742" s="17"/>
      <c r="P742" s="5" t="str">
        <f aca="false">IF(OR($B742="",$C742=""),"",$C742-$B742+1)</f>
        <v/>
      </c>
      <c r="Q742" s="18"/>
      <c r="R742" s="12" t="str">
        <f aca="false">IF(OR($Q742="",$K742=""),"",$Q742*$K742)</f>
        <v/>
      </c>
      <c r="S742" s="14"/>
      <c r="T742" s="17"/>
      <c r="U742" s="15"/>
    </row>
    <row r="743" customFormat="false" ht="18.75" hidden="false" customHeight="true" outlineLevel="0" collapsed="false">
      <c r="A743" s="5" t="str">
        <f aca="false">IF($B743="","",COUNT($B$5:$B743))</f>
        <v/>
      </c>
      <c r="B743" s="6"/>
      <c r="C743" s="6"/>
      <c r="D743" s="7"/>
      <c r="E743" s="7"/>
      <c r="F743" s="8"/>
      <c r="G743" s="9"/>
      <c r="H743" s="7"/>
      <c r="I743" s="7"/>
      <c r="J743" s="8"/>
      <c r="K743" s="5" t="str">
        <f aca="false">IF($I743="","",1+IF($J743="",0,LEN($J743)-LEN(SUBSTITUTE($J743,",",""))+1))</f>
        <v/>
      </c>
      <c r="L743" s="7"/>
      <c r="M743" s="8"/>
      <c r="N743" s="10"/>
      <c r="O743" s="10"/>
      <c r="P743" s="5" t="str">
        <f aca="false">IF(OR($B743="",$C743=""),"",$C743-$B743+1)</f>
        <v/>
      </c>
      <c r="Q743" s="11"/>
      <c r="R743" s="12" t="str">
        <f aca="false">IF(OR($Q743="",$K743=""),"",$Q743*$K743)</f>
        <v/>
      </c>
      <c r="S743" s="7"/>
      <c r="T743" s="10"/>
      <c r="U743" s="8"/>
    </row>
    <row r="744" customFormat="false" ht="18.75" hidden="false" customHeight="true" outlineLevel="0" collapsed="false">
      <c r="A744" s="5" t="str">
        <f aca="false">IF($B744="","",COUNT($B$5:$B744))</f>
        <v/>
      </c>
      <c r="B744" s="13"/>
      <c r="C744" s="13"/>
      <c r="D744" s="14"/>
      <c r="E744" s="14"/>
      <c r="F744" s="15"/>
      <c r="G744" s="16"/>
      <c r="H744" s="14"/>
      <c r="I744" s="14"/>
      <c r="J744" s="15"/>
      <c r="K744" s="5" t="str">
        <f aca="false">IF($I744="","",1+IF($J744="",0,LEN($J744)-LEN(SUBSTITUTE($J744,",",""))+1))</f>
        <v/>
      </c>
      <c r="L744" s="14"/>
      <c r="M744" s="15"/>
      <c r="N744" s="17"/>
      <c r="O744" s="17"/>
      <c r="P744" s="5" t="str">
        <f aca="false">IF(OR($B744="",$C744=""),"",$C744-$B744+1)</f>
        <v/>
      </c>
      <c r="Q744" s="18"/>
      <c r="R744" s="12" t="str">
        <f aca="false">IF(OR($Q744="",$K744=""),"",$Q744*$K744)</f>
        <v/>
      </c>
      <c r="S744" s="14"/>
      <c r="T744" s="17"/>
      <c r="U744" s="15"/>
    </row>
    <row r="745" customFormat="false" ht="18.75" hidden="false" customHeight="true" outlineLevel="0" collapsed="false">
      <c r="A745" s="5" t="str">
        <f aca="false">IF($B745="","",COUNT($B$5:$B745))</f>
        <v/>
      </c>
      <c r="B745" s="6"/>
      <c r="C745" s="6"/>
      <c r="D745" s="7"/>
      <c r="E745" s="7"/>
      <c r="F745" s="8"/>
      <c r="G745" s="9"/>
      <c r="H745" s="7"/>
      <c r="I745" s="7"/>
      <c r="J745" s="8"/>
      <c r="K745" s="5" t="str">
        <f aca="false">IF($I745="","",1+IF($J745="",0,LEN($J745)-LEN(SUBSTITUTE($J745,",",""))+1))</f>
        <v/>
      </c>
      <c r="L745" s="7"/>
      <c r="M745" s="8"/>
      <c r="N745" s="10"/>
      <c r="O745" s="10"/>
      <c r="P745" s="5" t="str">
        <f aca="false">IF(OR($B745="",$C745=""),"",$C745-$B745+1)</f>
        <v/>
      </c>
      <c r="Q745" s="11"/>
      <c r="R745" s="12" t="str">
        <f aca="false">IF(OR($Q745="",$K745=""),"",$Q745*$K745)</f>
        <v/>
      </c>
      <c r="S745" s="7"/>
      <c r="T745" s="10"/>
      <c r="U745" s="8"/>
    </row>
    <row r="746" customFormat="false" ht="18.75" hidden="false" customHeight="true" outlineLevel="0" collapsed="false">
      <c r="A746" s="5" t="str">
        <f aca="false">IF($B746="","",COUNT($B$5:$B746))</f>
        <v/>
      </c>
      <c r="B746" s="13"/>
      <c r="C746" s="13"/>
      <c r="D746" s="14"/>
      <c r="E746" s="14"/>
      <c r="F746" s="15"/>
      <c r="G746" s="16"/>
      <c r="H746" s="14"/>
      <c r="I746" s="14"/>
      <c r="J746" s="15"/>
      <c r="K746" s="5" t="str">
        <f aca="false">IF($I746="","",1+IF($J746="",0,LEN($J746)-LEN(SUBSTITUTE($J746,",",""))+1))</f>
        <v/>
      </c>
      <c r="L746" s="14"/>
      <c r="M746" s="15"/>
      <c r="N746" s="17"/>
      <c r="O746" s="17"/>
      <c r="P746" s="5" t="str">
        <f aca="false">IF(OR($B746="",$C746=""),"",$C746-$B746+1)</f>
        <v/>
      </c>
      <c r="Q746" s="18"/>
      <c r="R746" s="12" t="str">
        <f aca="false">IF(OR($Q746="",$K746=""),"",$Q746*$K746)</f>
        <v/>
      </c>
      <c r="S746" s="14"/>
      <c r="T746" s="17"/>
      <c r="U746" s="15"/>
    </row>
    <row r="747" customFormat="false" ht="18.75" hidden="false" customHeight="true" outlineLevel="0" collapsed="false">
      <c r="A747" s="5" t="str">
        <f aca="false">IF($B747="","",COUNT($B$5:$B747))</f>
        <v/>
      </c>
      <c r="B747" s="6"/>
      <c r="C747" s="6"/>
      <c r="D747" s="7"/>
      <c r="E747" s="7"/>
      <c r="F747" s="8"/>
      <c r="G747" s="9"/>
      <c r="H747" s="7"/>
      <c r="I747" s="7"/>
      <c r="J747" s="8"/>
      <c r="K747" s="5" t="str">
        <f aca="false">IF($I747="","",1+IF($J747="",0,LEN($J747)-LEN(SUBSTITUTE($J747,",",""))+1))</f>
        <v/>
      </c>
      <c r="L747" s="7"/>
      <c r="M747" s="8"/>
      <c r="N747" s="10"/>
      <c r="O747" s="10"/>
      <c r="P747" s="5" t="str">
        <f aca="false">IF(OR($B747="",$C747=""),"",$C747-$B747+1)</f>
        <v/>
      </c>
      <c r="Q747" s="11"/>
      <c r="R747" s="12" t="str">
        <f aca="false">IF(OR($Q747="",$K747=""),"",$Q747*$K747)</f>
        <v/>
      </c>
      <c r="S747" s="7"/>
      <c r="T747" s="10"/>
      <c r="U747" s="8"/>
    </row>
    <row r="748" customFormat="false" ht="18.75" hidden="false" customHeight="true" outlineLevel="0" collapsed="false">
      <c r="A748" s="5" t="str">
        <f aca="false">IF($B748="","",COUNT($B$5:$B748))</f>
        <v/>
      </c>
      <c r="B748" s="13"/>
      <c r="C748" s="13"/>
      <c r="D748" s="14"/>
      <c r="E748" s="14"/>
      <c r="F748" s="15"/>
      <c r="G748" s="16"/>
      <c r="H748" s="14"/>
      <c r="I748" s="14"/>
      <c r="J748" s="15"/>
      <c r="K748" s="5" t="str">
        <f aca="false">IF($I748="","",1+IF($J748="",0,LEN($J748)-LEN(SUBSTITUTE($J748,",",""))+1))</f>
        <v/>
      </c>
      <c r="L748" s="14"/>
      <c r="M748" s="15"/>
      <c r="N748" s="17"/>
      <c r="O748" s="17"/>
      <c r="P748" s="5" t="str">
        <f aca="false">IF(OR($B748="",$C748=""),"",$C748-$B748+1)</f>
        <v/>
      </c>
      <c r="Q748" s="18"/>
      <c r="R748" s="12" t="str">
        <f aca="false">IF(OR($Q748="",$K748=""),"",$Q748*$K748)</f>
        <v/>
      </c>
      <c r="S748" s="14"/>
      <c r="T748" s="17"/>
      <c r="U748" s="15"/>
    </row>
    <row r="749" customFormat="false" ht="18.75" hidden="false" customHeight="true" outlineLevel="0" collapsed="false">
      <c r="A749" s="5" t="str">
        <f aca="false">IF($B749="","",COUNT($B$5:$B749))</f>
        <v/>
      </c>
      <c r="B749" s="6"/>
      <c r="C749" s="6"/>
      <c r="D749" s="7"/>
      <c r="E749" s="7"/>
      <c r="F749" s="8"/>
      <c r="G749" s="9"/>
      <c r="H749" s="7"/>
      <c r="I749" s="7"/>
      <c r="J749" s="8"/>
      <c r="K749" s="5" t="str">
        <f aca="false">IF($I749="","",1+IF($J749="",0,LEN($J749)-LEN(SUBSTITUTE($J749,",",""))+1))</f>
        <v/>
      </c>
      <c r="L749" s="7"/>
      <c r="M749" s="8"/>
      <c r="N749" s="10"/>
      <c r="O749" s="10"/>
      <c r="P749" s="5" t="str">
        <f aca="false">IF(OR($B749="",$C749=""),"",$C749-$B749+1)</f>
        <v/>
      </c>
      <c r="Q749" s="11"/>
      <c r="R749" s="12" t="str">
        <f aca="false">IF(OR($Q749="",$K749=""),"",$Q749*$K749)</f>
        <v/>
      </c>
      <c r="S749" s="7"/>
      <c r="T749" s="10"/>
      <c r="U749" s="8"/>
    </row>
    <row r="750" customFormat="false" ht="18.75" hidden="false" customHeight="true" outlineLevel="0" collapsed="false">
      <c r="A750" s="5" t="str">
        <f aca="false">IF($B750="","",COUNT($B$5:$B750))</f>
        <v/>
      </c>
      <c r="B750" s="13"/>
      <c r="C750" s="13"/>
      <c r="D750" s="14"/>
      <c r="E750" s="14"/>
      <c r="F750" s="15"/>
      <c r="G750" s="16"/>
      <c r="H750" s="14"/>
      <c r="I750" s="14"/>
      <c r="J750" s="15"/>
      <c r="K750" s="5" t="str">
        <f aca="false">IF($I750="","",1+IF($J750="",0,LEN($J750)-LEN(SUBSTITUTE($J750,",",""))+1))</f>
        <v/>
      </c>
      <c r="L750" s="14"/>
      <c r="M750" s="15"/>
      <c r="N750" s="17"/>
      <c r="O750" s="17"/>
      <c r="P750" s="5" t="str">
        <f aca="false">IF(OR($B750="",$C750=""),"",$C750-$B750+1)</f>
        <v/>
      </c>
      <c r="Q750" s="18"/>
      <c r="R750" s="12" t="str">
        <f aca="false">IF(OR($Q750="",$K750=""),"",$Q750*$K750)</f>
        <v/>
      </c>
      <c r="S750" s="14"/>
      <c r="T750" s="17"/>
      <c r="U750" s="15"/>
    </row>
    <row r="751" customFormat="false" ht="18.75" hidden="false" customHeight="true" outlineLevel="0" collapsed="false">
      <c r="A751" s="5" t="str">
        <f aca="false">IF($B751="","",COUNT($B$5:$B751))</f>
        <v/>
      </c>
      <c r="B751" s="6"/>
      <c r="C751" s="6"/>
      <c r="D751" s="7"/>
      <c r="E751" s="7"/>
      <c r="F751" s="8"/>
      <c r="G751" s="9"/>
      <c r="H751" s="7"/>
      <c r="I751" s="7"/>
      <c r="J751" s="8"/>
      <c r="K751" s="5" t="str">
        <f aca="false">IF($I751="","",1+IF($J751="",0,LEN($J751)-LEN(SUBSTITUTE($J751,",",""))+1))</f>
        <v/>
      </c>
      <c r="L751" s="7"/>
      <c r="M751" s="8"/>
      <c r="N751" s="10"/>
      <c r="O751" s="10"/>
      <c r="P751" s="5" t="str">
        <f aca="false">IF(OR($B751="",$C751=""),"",$C751-$B751+1)</f>
        <v/>
      </c>
      <c r="Q751" s="11"/>
      <c r="R751" s="12" t="str">
        <f aca="false">IF(OR($Q751="",$K751=""),"",$Q751*$K751)</f>
        <v/>
      </c>
      <c r="S751" s="7"/>
      <c r="T751" s="10"/>
      <c r="U751" s="8"/>
    </row>
    <row r="752" customFormat="false" ht="18.75" hidden="false" customHeight="true" outlineLevel="0" collapsed="false">
      <c r="A752" s="5" t="str">
        <f aca="false">IF($B752="","",COUNT($B$5:$B752))</f>
        <v/>
      </c>
      <c r="B752" s="13"/>
      <c r="C752" s="13"/>
      <c r="D752" s="14"/>
      <c r="E752" s="14"/>
      <c r="F752" s="15"/>
      <c r="G752" s="16"/>
      <c r="H752" s="14"/>
      <c r="I752" s="14"/>
      <c r="J752" s="15"/>
      <c r="K752" s="5" t="str">
        <f aca="false">IF($I752="","",1+IF($J752="",0,LEN($J752)-LEN(SUBSTITUTE($J752,",",""))+1))</f>
        <v/>
      </c>
      <c r="L752" s="14"/>
      <c r="M752" s="15"/>
      <c r="N752" s="17"/>
      <c r="O752" s="17"/>
      <c r="P752" s="5" t="str">
        <f aca="false">IF(OR($B752="",$C752=""),"",$C752-$B752+1)</f>
        <v/>
      </c>
      <c r="Q752" s="18"/>
      <c r="R752" s="12" t="str">
        <f aca="false">IF(OR($Q752="",$K752=""),"",$Q752*$K752)</f>
        <v/>
      </c>
      <c r="S752" s="14"/>
      <c r="T752" s="17"/>
      <c r="U752" s="15"/>
    </row>
    <row r="753" customFormat="false" ht="18.75" hidden="false" customHeight="true" outlineLevel="0" collapsed="false">
      <c r="A753" s="5" t="str">
        <f aca="false">IF($B753="","",COUNT($B$5:$B753))</f>
        <v/>
      </c>
      <c r="B753" s="6"/>
      <c r="C753" s="6"/>
      <c r="D753" s="7"/>
      <c r="E753" s="7"/>
      <c r="F753" s="8"/>
      <c r="G753" s="9"/>
      <c r="H753" s="7"/>
      <c r="I753" s="7"/>
      <c r="J753" s="8"/>
      <c r="K753" s="5" t="str">
        <f aca="false">IF($I753="","",1+IF($J753="",0,LEN($J753)-LEN(SUBSTITUTE($J753,",",""))+1))</f>
        <v/>
      </c>
      <c r="L753" s="7"/>
      <c r="M753" s="8"/>
      <c r="N753" s="10"/>
      <c r="O753" s="10"/>
      <c r="P753" s="5" t="str">
        <f aca="false">IF(OR($B753="",$C753=""),"",$C753-$B753+1)</f>
        <v/>
      </c>
      <c r="Q753" s="11"/>
      <c r="R753" s="12" t="str">
        <f aca="false">IF(OR($Q753="",$K753=""),"",$Q753*$K753)</f>
        <v/>
      </c>
      <c r="S753" s="7"/>
      <c r="T753" s="10"/>
      <c r="U753" s="8"/>
    </row>
    <row r="754" customFormat="false" ht="18.75" hidden="false" customHeight="true" outlineLevel="0" collapsed="false">
      <c r="A754" s="5" t="str">
        <f aca="false">IF($B754="","",COUNT($B$5:$B754))</f>
        <v/>
      </c>
      <c r="B754" s="13"/>
      <c r="C754" s="13"/>
      <c r="D754" s="14"/>
      <c r="E754" s="14"/>
      <c r="F754" s="15"/>
      <c r="G754" s="16"/>
      <c r="H754" s="14"/>
      <c r="I754" s="14"/>
      <c r="J754" s="15"/>
      <c r="K754" s="5" t="str">
        <f aca="false">IF($I754="","",1+IF($J754="",0,LEN($J754)-LEN(SUBSTITUTE($J754,",",""))+1))</f>
        <v/>
      </c>
      <c r="L754" s="14"/>
      <c r="M754" s="15"/>
      <c r="N754" s="17"/>
      <c r="O754" s="17"/>
      <c r="P754" s="5" t="str">
        <f aca="false">IF(OR($B754="",$C754=""),"",$C754-$B754+1)</f>
        <v/>
      </c>
      <c r="Q754" s="18"/>
      <c r="R754" s="12" t="str">
        <f aca="false">IF(OR($Q754="",$K754=""),"",$Q754*$K754)</f>
        <v/>
      </c>
      <c r="S754" s="14"/>
      <c r="T754" s="17"/>
      <c r="U754" s="15"/>
    </row>
    <row r="755" customFormat="false" ht="18.75" hidden="false" customHeight="true" outlineLevel="0" collapsed="false">
      <c r="A755" s="5" t="str">
        <f aca="false">IF($B755="","",COUNT($B$5:$B755))</f>
        <v/>
      </c>
      <c r="B755" s="6"/>
      <c r="C755" s="6"/>
      <c r="D755" s="7"/>
      <c r="E755" s="7"/>
      <c r="F755" s="8"/>
      <c r="G755" s="9"/>
      <c r="H755" s="7"/>
      <c r="I755" s="7"/>
      <c r="J755" s="8"/>
      <c r="K755" s="5" t="str">
        <f aca="false">IF($I755="","",1+IF($J755="",0,LEN($J755)-LEN(SUBSTITUTE($J755,",",""))+1))</f>
        <v/>
      </c>
      <c r="L755" s="7"/>
      <c r="M755" s="8"/>
      <c r="N755" s="10"/>
      <c r="O755" s="10"/>
      <c r="P755" s="5" t="str">
        <f aca="false">IF(OR($B755="",$C755=""),"",$C755-$B755+1)</f>
        <v/>
      </c>
      <c r="Q755" s="11"/>
      <c r="R755" s="12" t="str">
        <f aca="false">IF(OR($Q755="",$K755=""),"",$Q755*$K755)</f>
        <v/>
      </c>
      <c r="S755" s="7"/>
      <c r="T755" s="10"/>
      <c r="U755" s="8"/>
    </row>
    <row r="756" customFormat="false" ht="18.75" hidden="false" customHeight="true" outlineLevel="0" collapsed="false">
      <c r="A756" s="5" t="str">
        <f aca="false">IF($B756="","",COUNT($B$5:$B756))</f>
        <v/>
      </c>
      <c r="B756" s="13"/>
      <c r="C756" s="13"/>
      <c r="D756" s="14"/>
      <c r="E756" s="14"/>
      <c r="F756" s="15"/>
      <c r="G756" s="16"/>
      <c r="H756" s="14"/>
      <c r="I756" s="14"/>
      <c r="J756" s="15"/>
      <c r="K756" s="5" t="str">
        <f aca="false">IF($I756="","",1+IF($J756="",0,LEN($J756)-LEN(SUBSTITUTE($J756,",",""))+1))</f>
        <v/>
      </c>
      <c r="L756" s="14"/>
      <c r="M756" s="15"/>
      <c r="N756" s="17"/>
      <c r="O756" s="17"/>
      <c r="P756" s="5" t="str">
        <f aca="false">IF(OR($B756="",$C756=""),"",$C756-$B756+1)</f>
        <v/>
      </c>
      <c r="Q756" s="18"/>
      <c r="R756" s="12" t="str">
        <f aca="false">IF(OR($Q756="",$K756=""),"",$Q756*$K756)</f>
        <v/>
      </c>
      <c r="S756" s="14"/>
      <c r="T756" s="17"/>
      <c r="U756" s="15"/>
    </row>
    <row r="757" customFormat="false" ht="18.75" hidden="false" customHeight="true" outlineLevel="0" collapsed="false">
      <c r="A757" s="5" t="str">
        <f aca="false">IF($B757="","",COUNT($B$5:$B757))</f>
        <v/>
      </c>
      <c r="B757" s="6"/>
      <c r="C757" s="6"/>
      <c r="D757" s="7"/>
      <c r="E757" s="7"/>
      <c r="F757" s="8"/>
      <c r="G757" s="9"/>
      <c r="H757" s="7"/>
      <c r="I757" s="7"/>
      <c r="J757" s="8"/>
      <c r="K757" s="5" t="str">
        <f aca="false">IF($I757="","",1+IF($J757="",0,LEN($J757)-LEN(SUBSTITUTE($J757,",",""))+1))</f>
        <v/>
      </c>
      <c r="L757" s="7"/>
      <c r="M757" s="8"/>
      <c r="N757" s="10"/>
      <c r="O757" s="10"/>
      <c r="P757" s="5" t="str">
        <f aca="false">IF(OR($B757="",$C757=""),"",$C757-$B757+1)</f>
        <v/>
      </c>
      <c r="Q757" s="11"/>
      <c r="R757" s="12" t="str">
        <f aca="false">IF(OR($Q757="",$K757=""),"",$Q757*$K757)</f>
        <v/>
      </c>
      <c r="S757" s="7"/>
      <c r="T757" s="10"/>
      <c r="U757" s="8"/>
    </row>
    <row r="758" customFormat="false" ht="18.75" hidden="false" customHeight="true" outlineLevel="0" collapsed="false">
      <c r="A758" s="5" t="str">
        <f aca="false">IF($B758="","",COUNT($B$5:$B758))</f>
        <v/>
      </c>
      <c r="B758" s="13"/>
      <c r="C758" s="13"/>
      <c r="D758" s="14"/>
      <c r="E758" s="14"/>
      <c r="F758" s="15"/>
      <c r="G758" s="16"/>
      <c r="H758" s="14"/>
      <c r="I758" s="14"/>
      <c r="J758" s="15"/>
      <c r="K758" s="5" t="str">
        <f aca="false">IF($I758="","",1+IF($J758="",0,LEN($J758)-LEN(SUBSTITUTE($J758,",",""))+1))</f>
        <v/>
      </c>
      <c r="L758" s="14"/>
      <c r="M758" s="15"/>
      <c r="N758" s="17"/>
      <c r="O758" s="17"/>
      <c r="P758" s="5" t="str">
        <f aca="false">IF(OR($B758="",$C758=""),"",$C758-$B758+1)</f>
        <v/>
      </c>
      <c r="Q758" s="18"/>
      <c r="R758" s="12" t="str">
        <f aca="false">IF(OR($Q758="",$K758=""),"",$Q758*$K758)</f>
        <v/>
      </c>
      <c r="S758" s="14"/>
      <c r="T758" s="17"/>
      <c r="U758" s="15"/>
    </row>
    <row r="759" customFormat="false" ht="18.75" hidden="false" customHeight="true" outlineLevel="0" collapsed="false">
      <c r="A759" s="5" t="str">
        <f aca="false">IF($B759="","",COUNT($B$5:$B759))</f>
        <v/>
      </c>
      <c r="B759" s="6"/>
      <c r="C759" s="6"/>
      <c r="D759" s="7"/>
      <c r="E759" s="7"/>
      <c r="F759" s="8"/>
      <c r="G759" s="9"/>
      <c r="H759" s="7"/>
      <c r="I759" s="7"/>
      <c r="J759" s="8"/>
      <c r="K759" s="5" t="str">
        <f aca="false">IF($I759="","",1+IF($J759="",0,LEN($J759)-LEN(SUBSTITUTE($J759,",",""))+1))</f>
        <v/>
      </c>
      <c r="L759" s="7"/>
      <c r="M759" s="8"/>
      <c r="N759" s="10"/>
      <c r="O759" s="10"/>
      <c r="P759" s="5" t="str">
        <f aca="false">IF(OR($B759="",$C759=""),"",$C759-$B759+1)</f>
        <v/>
      </c>
      <c r="Q759" s="11"/>
      <c r="R759" s="12" t="str">
        <f aca="false">IF(OR($Q759="",$K759=""),"",$Q759*$K759)</f>
        <v/>
      </c>
      <c r="S759" s="7"/>
      <c r="T759" s="10"/>
      <c r="U759" s="8"/>
    </row>
    <row r="760" customFormat="false" ht="18.75" hidden="false" customHeight="true" outlineLevel="0" collapsed="false">
      <c r="A760" s="5" t="str">
        <f aca="false">IF($B760="","",COUNT($B$5:$B760))</f>
        <v/>
      </c>
      <c r="B760" s="13"/>
      <c r="C760" s="13"/>
      <c r="D760" s="14"/>
      <c r="E760" s="14"/>
      <c r="F760" s="15"/>
      <c r="G760" s="16"/>
      <c r="H760" s="14"/>
      <c r="I760" s="14"/>
      <c r="J760" s="15"/>
      <c r="K760" s="5" t="str">
        <f aca="false">IF($I760="","",1+IF($J760="",0,LEN($J760)-LEN(SUBSTITUTE($J760,",",""))+1))</f>
        <v/>
      </c>
      <c r="L760" s="14"/>
      <c r="M760" s="15"/>
      <c r="N760" s="17"/>
      <c r="O760" s="17"/>
      <c r="P760" s="5" t="str">
        <f aca="false">IF(OR($B760="",$C760=""),"",$C760-$B760+1)</f>
        <v/>
      </c>
      <c r="Q760" s="18"/>
      <c r="R760" s="12" t="str">
        <f aca="false">IF(OR($Q760="",$K760=""),"",$Q760*$K760)</f>
        <v/>
      </c>
      <c r="S760" s="14"/>
      <c r="T760" s="17"/>
      <c r="U760" s="15"/>
    </row>
    <row r="761" customFormat="false" ht="18.75" hidden="false" customHeight="true" outlineLevel="0" collapsed="false">
      <c r="A761" s="5" t="str">
        <f aca="false">IF($B761="","",COUNT($B$5:$B761))</f>
        <v/>
      </c>
      <c r="B761" s="6"/>
      <c r="C761" s="6"/>
      <c r="D761" s="7"/>
      <c r="E761" s="7"/>
      <c r="F761" s="8"/>
      <c r="G761" s="9"/>
      <c r="H761" s="7"/>
      <c r="I761" s="7"/>
      <c r="J761" s="8"/>
      <c r="K761" s="5" t="str">
        <f aca="false">IF($I761="","",1+IF($J761="",0,LEN($J761)-LEN(SUBSTITUTE($J761,",",""))+1))</f>
        <v/>
      </c>
      <c r="L761" s="7"/>
      <c r="M761" s="8"/>
      <c r="N761" s="10"/>
      <c r="O761" s="10"/>
      <c r="P761" s="5" t="str">
        <f aca="false">IF(OR($B761="",$C761=""),"",$C761-$B761+1)</f>
        <v/>
      </c>
      <c r="Q761" s="11"/>
      <c r="R761" s="12" t="str">
        <f aca="false">IF(OR($Q761="",$K761=""),"",$Q761*$K761)</f>
        <v/>
      </c>
      <c r="S761" s="7"/>
      <c r="T761" s="10"/>
      <c r="U761" s="8"/>
    </row>
    <row r="762" customFormat="false" ht="18.75" hidden="false" customHeight="true" outlineLevel="0" collapsed="false">
      <c r="A762" s="5" t="str">
        <f aca="false">IF($B762="","",COUNT($B$5:$B762))</f>
        <v/>
      </c>
      <c r="B762" s="13"/>
      <c r="C762" s="13"/>
      <c r="D762" s="14"/>
      <c r="E762" s="14"/>
      <c r="F762" s="15"/>
      <c r="G762" s="16"/>
      <c r="H762" s="14"/>
      <c r="I762" s="14"/>
      <c r="J762" s="15"/>
      <c r="K762" s="5" t="str">
        <f aca="false">IF($I762="","",1+IF($J762="",0,LEN($J762)-LEN(SUBSTITUTE($J762,",",""))+1))</f>
        <v/>
      </c>
      <c r="L762" s="14"/>
      <c r="M762" s="15"/>
      <c r="N762" s="17"/>
      <c r="O762" s="17"/>
      <c r="P762" s="5" t="str">
        <f aca="false">IF(OR($B762="",$C762=""),"",$C762-$B762+1)</f>
        <v/>
      </c>
      <c r="Q762" s="18"/>
      <c r="R762" s="12" t="str">
        <f aca="false">IF(OR($Q762="",$K762=""),"",$Q762*$K762)</f>
        <v/>
      </c>
      <c r="S762" s="14"/>
      <c r="T762" s="17"/>
      <c r="U762" s="15"/>
    </row>
    <row r="763" customFormat="false" ht="18.75" hidden="false" customHeight="true" outlineLevel="0" collapsed="false">
      <c r="A763" s="5" t="str">
        <f aca="false">IF($B763="","",COUNT($B$5:$B763))</f>
        <v/>
      </c>
      <c r="B763" s="6"/>
      <c r="C763" s="6"/>
      <c r="D763" s="7"/>
      <c r="E763" s="7"/>
      <c r="F763" s="8"/>
      <c r="G763" s="9"/>
      <c r="H763" s="7"/>
      <c r="I763" s="7"/>
      <c r="J763" s="8"/>
      <c r="K763" s="5" t="str">
        <f aca="false">IF($I763="","",1+IF($J763="",0,LEN($J763)-LEN(SUBSTITUTE($J763,",",""))+1))</f>
        <v/>
      </c>
      <c r="L763" s="7"/>
      <c r="M763" s="8"/>
      <c r="N763" s="10"/>
      <c r="O763" s="10"/>
      <c r="P763" s="5" t="str">
        <f aca="false">IF(OR($B763="",$C763=""),"",$C763-$B763+1)</f>
        <v/>
      </c>
      <c r="Q763" s="11"/>
      <c r="R763" s="12" t="str">
        <f aca="false">IF(OR($Q763="",$K763=""),"",$Q763*$K763)</f>
        <v/>
      </c>
      <c r="S763" s="7"/>
      <c r="T763" s="10"/>
      <c r="U763" s="8"/>
    </row>
    <row r="764" customFormat="false" ht="18.75" hidden="false" customHeight="true" outlineLevel="0" collapsed="false">
      <c r="A764" s="5" t="str">
        <f aca="false">IF($B764="","",COUNT($B$5:$B764))</f>
        <v/>
      </c>
      <c r="B764" s="13"/>
      <c r="C764" s="13"/>
      <c r="D764" s="14"/>
      <c r="E764" s="14"/>
      <c r="F764" s="15"/>
      <c r="G764" s="16"/>
      <c r="H764" s="14"/>
      <c r="I764" s="14"/>
      <c r="J764" s="15"/>
      <c r="K764" s="5" t="str">
        <f aca="false">IF($I764="","",1+IF($J764="",0,LEN($J764)-LEN(SUBSTITUTE($J764,",",""))+1))</f>
        <v/>
      </c>
      <c r="L764" s="14"/>
      <c r="M764" s="15"/>
      <c r="N764" s="17"/>
      <c r="O764" s="17"/>
      <c r="P764" s="5" t="str">
        <f aca="false">IF(OR($B764="",$C764=""),"",$C764-$B764+1)</f>
        <v/>
      </c>
      <c r="Q764" s="18"/>
      <c r="R764" s="12" t="str">
        <f aca="false">IF(OR($Q764="",$K764=""),"",$Q764*$K764)</f>
        <v/>
      </c>
      <c r="S764" s="14"/>
      <c r="T764" s="17"/>
      <c r="U764" s="15"/>
    </row>
    <row r="765" customFormat="false" ht="18.75" hidden="false" customHeight="true" outlineLevel="0" collapsed="false">
      <c r="A765" s="5" t="str">
        <f aca="false">IF($B765="","",COUNT($B$5:$B765))</f>
        <v/>
      </c>
      <c r="B765" s="6"/>
      <c r="C765" s="6"/>
      <c r="D765" s="7"/>
      <c r="E765" s="7"/>
      <c r="F765" s="8"/>
      <c r="G765" s="9"/>
      <c r="H765" s="7"/>
      <c r="I765" s="7"/>
      <c r="J765" s="8"/>
      <c r="K765" s="5" t="str">
        <f aca="false">IF($I765="","",1+IF($J765="",0,LEN($J765)-LEN(SUBSTITUTE($J765,",",""))+1))</f>
        <v/>
      </c>
      <c r="L765" s="7"/>
      <c r="M765" s="8"/>
      <c r="N765" s="10"/>
      <c r="O765" s="10"/>
      <c r="P765" s="5" t="str">
        <f aca="false">IF(OR($B765="",$C765=""),"",$C765-$B765+1)</f>
        <v/>
      </c>
      <c r="Q765" s="11"/>
      <c r="R765" s="12" t="str">
        <f aca="false">IF(OR($Q765="",$K765=""),"",$Q765*$K765)</f>
        <v/>
      </c>
      <c r="S765" s="7"/>
      <c r="T765" s="10"/>
      <c r="U765" s="8"/>
    </row>
    <row r="766" customFormat="false" ht="18.75" hidden="false" customHeight="true" outlineLevel="0" collapsed="false">
      <c r="A766" s="5" t="str">
        <f aca="false">IF($B766="","",COUNT($B$5:$B766))</f>
        <v/>
      </c>
      <c r="B766" s="13"/>
      <c r="C766" s="13"/>
      <c r="D766" s="14"/>
      <c r="E766" s="14"/>
      <c r="F766" s="15"/>
      <c r="G766" s="16"/>
      <c r="H766" s="14"/>
      <c r="I766" s="14"/>
      <c r="J766" s="15"/>
      <c r="K766" s="5" t="str">
        <f aca="false">IF($I766="","",1+IF($J766="",0,LEN($J766)-LEN(SUBSTITUTE($J766,",",""))+1))</f>
        <v/>
      </c>
      <c r="L766" s="14"/>
      <c r="M766" s="15"/>
      <c r="N766" s="17"/>
      <c r="O766" s="17"/>
      <c r="P766" s="5" t="str">
        <f aca="false">IF(OR($B766="",$C766=""),"",$C766-$B766+1)</f>
        <v/>
      </c>
      <c r="Q766" s="18"/>
      <c r="R766" s="12" t="str">
        <f aca="false">IF(OR($Q766="",$K766=""),"",$Q766*$K766)</f>
        <v/>
      </c>
      <c r="S766" s="14"/>
      <c r="T766" s="17"/>
      <c r="U766" s="15"/>
    </row>
    <row r="767" customFormat="false" ht="18.75" hidden="false" customHeight="true" outlineLevel="0" collapsed="false">
      <c r="A767" s="5" t="str">
        <f aca="false">IF($B767="","",COUNT($B$5:$B767))</f>
        <v/>
      </c>
      <c r="B767" s="6"/>
      <c r="C767" s="6"/>
      <c r="D767" s="7"/>
      <c r="E767" s="7"/>
      <c r="F767" s="8"/>
      <c r="G767" s="9"/>
      <c r="H767" s="7"/>
      <c r="I767" s="7"/>
      <c r="J767" s="8"/>
      <c r="K767" s="5" t="str">
        <f aca="false">IF($I767="","",1+IF($J767="",0,LEN($J767)-LEN(SUBSTITUTE($J767,",",""))+1))</f>
        <v/>
      </c>
      <c r="L767" s="7"/>
      <c r="M767" s="8"/>
      <c r="N767" s="10"/>
      <c r="O767" s="10"/>
      <c r="P767" s="5" t="str">
        <f aca="false">IF(OR($B767="",$C767=""),"",$C767-$B767+1)</f>
        <v/>
      </c>
      <c r="Q767" s="11"/>
      <c r="R767" s="12" t="str">
        <f aca="false">IF(OR($Q767="",$K767=""),"",$Q767*$K767)</f>
        <v/>
      </c>
      <c r="S767" s="7"/>
      <c r="T767" s="10"/>
      <c r="U767" s="8"/>
    </row>
    <row r="768" customFormat="false" ht="18.75" hidden="false" customHeight="true" outlineLevel="0" collapsed="false">
      <c r="A768" s="5" t="str">
        <f aca="false">IF($B768="","",COUNT($B$5:$B768))</f>
        <v/>
      </c>
      <c r="B768" s="13"/>
      <c r="C768" s="13"/>
      <c r="D768" s="14"/>
      <c r="E768" s="14"/>
      <c r="F768" s="15"/>
      <c r="G768" s="16"/>
      <c r="H768" s="14"/>
      <c r="I768" s="14"/>
      <c r="J768" s="15"/>
      <c r="K768" s="5" t="str">
        <f aca="false">IF($I768="","",1+IF($J768="",0,LEN($J768)-LEN(SUBSTITUTE($J768,",",""))+1))</f>
        <v/>
      </c>
      <c r="L768" s="14"/>
      <c r="M768" s="15"/>
      <c r="N768" s="17"/>
      <c r="O768" s="17"/>
      <c r="P768" s="5" t="str">
        <f aca="false">IF(OR($B768="",$C768=""),"",$C768-$B768+1)</f>
        <v/>
      </c>
      <c r="Q768" s="18"/>
      <c r="R768" s="12" t="str">
        <f aca="false">IF(OR($Q768="",$K768=""),"",$Q768*$K768)</f>
        <v/>
      </c>
      <c r="S768" s="14"/>
      <c r="T768" s="17"/>
      <c r="U768" s="15"/>
    </row>
    <row r="769" customFormat="false" ht="18.75" hidden="false" customHeight="true" outlineLevel="0" collapsed="false">
      <c r="A769" s="5" t="str">
        <f aca="false">IF($B769="","",COUNT($B$5:$B769))</f>
        <v/>
      </c>
      <c r="B769" s="6"/>
      <c r="C769" s="6"/>
      <c r="D769" s="7"/>
      <c r="E769" s="7"/>
      <c r="F769" s="8"/>
      <c r="G769" s="9"/>
      <c r="H769" s="7"/>
      <c r="I769" s="7"/>
      <c r="J769" s="8"/>
      <c r="K769" s="5" t="str">
        <f aca="false">IF($I769="","",1+IF($J769="",0,LEN($J769)-LEN(SUBSTITUTE($J769,",",""))+1))</f>
        <v/>
      </c>
      <c r="L769" s="7"/>
      <c r="M769" s="8"/>
      <c r="N769" s="10"/>
      <c r="O769" s="10"/>
      <c r="P769" s="5" t="str">
        <f aca="false">IF(OR($B769="",$C769=""),"",$C769-$B769+1)</f>
        <v/>
      </c>
      <c r="Q769" s="11"/>
      <c r="R769" s="12" t="str">
        <f aca="false">IF(OR($Q769="",$K769=""),"",$Q769*$K769)</f>
        <v/>
      </c>
      <c r="S769" s="7"/>
      <c r="T769" s="10"/>
      <c r="U769" s="8"/>
    </row>
    <row r="770" customFormat="false" ht="18.75" hidden="false" customHeight="true" outlineLevel="0" collapsed="false">
      <c r="A770" s="5" t="str">
        <f aca="false">IF($B770="","",COUNT($B$5:$B770))</f>
        <v/>
      </c>
      <c r="B770" s="13"/>
      <c r="C770" s="13"/>
      <c r="D770" s="14"/>
      <c r="E770" s="14"/>
      <c r="F770" s="15"/>
      <c r="G770" s="16"/>
      <c r="H770" s="14"/>
      <c r="I770" s="14"/>
      <c r="J770" s="15"/>
      <c r="K770" s="5" t="str">
        <f aca="false">IF($I770="","",1+IF($J770="",0,LEN($J770)-LEN(SUBSTITUTE($J770,",",""))+1))</f>
        <v/>
      </c>
      <c r="L770" s="14"/>
      <c r="M770" s="15"/>
      <c r="N770" s="17"/>
      <c r="O770" s="17"/>
      <c r="P770" s="5" t="str">
        <f aca="false">IF(OR($B770="",$C770=""),"",$C770-$B770+1)</f>
        <v/>
      </c>
      <c r="Q770" s="18"/>
      <c r="R770" s="12" t="str">
        <f aca="false">IF(OR($Q770="",$K770=""),"",$Q770*$K770)</f>
        <v/>
      </c>
      <c r="S770" s="14"/>
      <c r="T770" s="17"/>
      <c r="U770" s="15"/>
    </row>
    <row r="771" customFormat="false" ht="18.75" hidden="false" customHeight="true" outlineLevel="0" collapsed="false">
      <c r="A771" s="5" t="str">
        <f aca="false">IF($B771="","",COUNT($B$5:$B771))</f>
        <v/>
      </c>
      <c r="B771" s="6"/>
      <c r="C771" s="6"/>
      <c r="D771" s="7"/>
      <c r="E771" s="7"/>
      <c r="F771" s="8"/>
      <c r="G771" s="9"/>
      <c r="H771" s="7"/>
      <c r="I771" s="7"/>
      <c r="J771" s="8"/>
      <c r="K771" s="5" t="str">
        <f aca="false">IF($I771="","",1+IF($J771="",0,LEN($J771)-LEN(SUBSTITUTE($J771,",",""))+1))</f>
        <v/>
      </c>
      <c r="L771" s="7"/>
      <c r="M771" s="8"/>
      <c r="N771" s="10"/>
      <c r="O771" s="10"/>
      <c r="P771" s="5" t="str">
        <f aca="false">IF(OR($B771="",$C771=""),"",$C771-$B771+1)</f>
        <v/>
      </c>
      <c r="Q771" s="11"/>
      <c r="R771" s="12" t="str">
        <f aca="false">IF(OR($Q771="",$K771=""),"",$Q771*$K771)</f>
        <v/>
      </c>
      <c r="S771" s="7"/>
      <c r="T771" s="10"/>
      <c r="U771" s="8"/>
    </row>
    <row r="772" customFormat="false" ht="18.75" hidden="false" customHeight="true" outlineLevel="0" collapsed="false">
      <c r="A772" s="5" t="str">
        <f aca="false">IF($B772="","",COUNT($B$5:$B772))</f>
        <v/>
      </c>
      <c r="B772" s="13"/>
      <c r="C772" s="13"/>
      <c r="D772" s="14"/>
      <c r="E772" s="14"/>
      <c r="F772" s="15"/>
      <c r="G772" s="16"/>
      <c r="H772" s="14"/>
      <c r="I772" s="14"/>
      <c r="J772" s="15"/>
      <c r="K772" s="5" t="str">
        <f aca="false">IF($I772="","",1+IF($J772="",0,LEN($J772)-LEN(SUBSTITUTE($J772,",",""))+1))</f>
        <v/>
      </c>
      <c r="L772" s="14"/>
      <c r="M772" s="15"/>
      <c r="N772" s="17"/>
      <c r="O772" s="17"/>
      <c r="P772" s="5" t="str">
        <f aca="false">IF(OR($B772="",$C772=""),"",$C772-$B772+1)</f>
        <v/>
      </c>
      <c r="Q772" s="18"/>
      <c r="R772" s="12" t="str">
        <f aca="false">IF(OR($Q772="",$K772=""),"",$Q772*$K772)</f>
        <v/>
      </c>
      <c r="S772" s="14"/>
      <c r="T772" s="17"/>
      <c r="U772" s="15"/>
    </row>
    <row r="773" customFormat="false" ht="18.75" hidden="false" customHeight="true" outlineLevel="0" collapsed="false">
      <c r="A773" s="5" t="str">
        <f aca="false">IF($B773="","",COUNT($B$5:$B773))</f>
        <v/>
      </c>
      <c r="B773" s="6"/>
      <c r="C773" s="6"/>
      <c r="D773" s="7"/>
      <c r="E773" s="7"/>
      <c r="F773" s="8"/>
      <c r="G773" s="9"/>
      <c r="H773" s="7"/>
      <c r="I773" s="7"/>
      <c r="J773" s="8"/>
      <c r="K773" s="5" t="str">
        <f aca="false">IF($I773="","",1+IF($J773="",0,LEN($J773)-LEN(SUBSTITUTE($J773,",",""))+1))</f>
        <v/>
      </c>
      <c r="L773" s="7"/>
      <c r="M773" s="8"/>
      <c r="N773" s="10"/>
      <c r="O773" s="10"/>
      <c r="P773" s="5" t="str">
        <f aca="false">IF(OR($B773="",$C773=""),"",$C773-$B773+1)</f>
        <v/>
      </c>
      <c r="Q773" s="11"/>
      <c r="R773" s="12" t="str">
        <f aca="false">IF(OR($Q773="",$K773=""),"",$Q773*$K773)</f>
        <v/>
      </c>
      <c r="S773" s="7"/>
      <c r="T773" s="10"/>
      <c r="U773" s="8"/>
    </row>
    <row r="774" customFormat="false" ht="18.75" hidden="false" customHeight="true" outlineLevel="0" collapsed="false">
      <c r="A774" s="5" t="str">
        <f aca="false">IF($B774="","",COUNT($B$5:$B774))</f>
        <v/>
      </c>
      <c r="B774" s="13"/>
      <c r="C774" s="13"/>
      <c r="D774" s="14"/>
      <c r="E774" s="14"/>
      <c r="F774" s="15"/>
      <c r="G774" s="16"/>
      <c r="H774" s="14"/>
      <c r="I774" s="14"/>
      <c r="J774" s="15"/>
      <c r="K774" s="5" t="str">
        <f aca="false">IF($I774="","",1+IF($J774="",0,LEN($J774)-LEN(SUBSTITUTE($J774,",",""))+1))</f>
        <v/>
      </c>
      <c r="L774" s="14"/>
      <c r="M774" s="15"/>
      <c r="N774" s="17"/>
      <c r="O774" s="17"/>
      <c r="P774" s="5" t="str">
        <f aca="false">IF(OR($B774="",$C774=""),"",$C774-$B774+1)</f>
        <v/>
      </c>
      <c r="Q774" s="18"/>
      <c r="R774" s="12" t="str">
        <f aca="false">IF(OR($Q774="",$K774=""),"",$Q774*$K774)</f>
        <v/>
      </c>
      <c r="S774" s="14"/>
      <c r="T774" s="17"/>
      <c r="U774" s="15"/>
    </row>
    <row r="775" customFormat="false" ht="18.75" hidden="false" customHeight="true" outlineLevel="0" collapsed="false">
      <c r="A775" s="5" t="str">
        <f aca="false">IF($B775="","",COUNT($B$5:$B775))</f>
        <v/>
      </c>
      <c r="B775" s="6"/>
      <c r="C775" s="6"/>
      <c r="D775" s="7"/>
      <c r="E775" s="7"/>
      <c r="F775" s="8"/>
      <c r="G775" s="9"/>
      <c r="H775" s="7"/>
      <c r="I775" s="7"/>
      <c r="J775" s="8"/>
      <c r="K775" s="5" t="str">
        <f aca="false">IF($I775="","",1+IF($J775="",0,LEN($J775)-LEN(SUBSTITUTE($J775,",",""))+1))</f>
        <v/>
      </c>
      <c r="L775" s="7"/>
      <c r="M775" s="8"/>
      <c r="N775" s="10"/>
      <c r="O775" s="10"/>
      <c r="P775" s="5" t="str">
        <f aca="false">IF(OR($B775="",$C775=""),"",$C775-$B775+1)</f>
        <v/>
      </c>
      <c r="Q775" s="11"/>
      <c r="R775" s="12" t="str">
        <f aca="false">IF(OR($Q775="",$K775=""),"",$Q775*$K775)</f>
        <v/>
      </c>
      <c r="S775" s="7"/>
      <c r="T775" s="10"/>
      <c r="U775" s="8"/>
    </row>
    <row r="776" customFormat="false" ht="18.75" hidden="false" customHeight="true" outlineLevel="0" collapsed="false">
      <c r="A776" s="5" t="str">
        <f aca="false">IF($B776="","",COUNT($B$5:$B776))</f>
        <v/>
      </c>
      <c r="B776" s="13"/>
      <c r="C776" s="13"/>
      <c r="D776" s="14"/>
      <c r="E776" s="14"/>
      <c r="F776" s="15"/>
      <c r="G776" s="16"/>
      <c r="H776" s="14"/>
      <c r="I776" s="14"/>
      <c r="J776" s="15"/>
      <c r="K776" s="5" t="str">
        <f aca="false">IF($I776="","",1+IF($J776="",0,LEN($J776)-LEN(SUBSTITUTE($J776,",",""))+1))</f>
        <v/>
      </c>
      <c r="L776" s="14"/>
      <c r="M776" s="15"/>
      <c r="N776" s="17"/>
      <c r="O776" s="17"/>
      <c r="P776" s="5" t="str">
        <f aca="false">IF(OR($B776="",$C776=""),"",$C776-$B776+1)</f>
        <v/>
      </c>
      <c r="Q776" s="18"/>
      <c r="R776" s="12" t="str">
        <f aca="false">IF(OR($Q776="",$K776=""),"",$Q776*$K776)</f>
        <v/>
      </c>
      <c r="S776" s="14"/>
      <c r="T776" s="17"/>
      <c r="U776" s="15"/>
    </row>
    <row r="777" customFormat="false" ht="18.75" hidden="false" customHeight="true" outlineLevel="0" collapsed="false">
      <c r="A777" s="5" t="str">
        <f aca="false">IF($B777="","",COUNT($B$5:$B777))</f>
        <v/>
      </c>
      <c r="B777" s="6"/>
      <c r="C777" s="6"/>
      <c r="D777" s="7"/>
      <c r="E777" s="7"/>
      <c r="F777" s="8"/>
      <c r="G777" s="9"/>
      <c r="H777" s="7"/>
      <c r="I777" s="7"/>
      <c r="J777" s="8"/>
      <c r="K777" s="5" t="str">
        <f aca="false">IF($I777="","",1+IF($J777="",0,LEN($J777)-LEN(SUBSTITUTE($J777,",",""))+1))</f>
        <v/>
      </c>
      <c r="L777" s="7"/>
      <c r="M777" s="8"/>
      <c r="N777" s="10"/>
      <c r="O777" s="10"/>
      <c r="P777" s="5" t="str">
        <f aca="false">IF(OR($B777="",$C777=""),"",$C777-$B777+1)</f>
        <v/>
      </c>
      <c r="Q777" s="11"/>
      <c r="R777" s="12" t="str">
        <f aca="false">IF(OR($Q777="",$K777=""),"",$Q777*$K777)</f>
        <v/>
      </c>
      <c r="S777" s="7"/>
      <c r="T777" s="10"/>
      <c r="U777" s="8"/>
    </row>
    <row r="778" customFormat="false" ht="18.75" hidden="false" customHeight="true" outlineLevel="0" collapsed="false">
      <c r="A778" s="5" t="str">
        <f aca="false">IF($B778="","",COUNT($B$5:$B778))</f>
        <v/>
      </c>
      <c r="B778" s="13"/>
      <c r="C778" s="13"/>
      <c r="D778" s="14"/>
      <c r="E778" s="14"/>
      <c r="F778" s="15"/>
      <c r="G778" s="16"/>
      <c r="H778" s="14"/>
      <c r="I778" s="14"/>
      <c r="J778" s="15"/>
      <c r="K778" s="5" t="str">
        <f aca="false">IF($I778="","",1+IF($J778="",0,LEN($J778)-LEN(SUBSTITUTE($J778,",",""))+1))</f>
        <v/>
      </c>
      <c r="L778" s="14"/>
      <c r="M778" s="15"/>
      <c r="N778" s="17"/>
      <c r="O778" s="17"/>
      <c r="P778" s="5" t="str">
        <f aca="false">IF(OR($B778="",$C778=""),"",$C778-$B778+1)</f>
        <v/>
      </c>
      <c r="Q778" s="18"/>
      <c r="R778" s="12" t="str">
        <f aca="false">IF(OR($Q778="",$K778=""),"",$Q778*$K778)</f>
        <v/>
      </c>
      <c r="S778" s="14"/>
      <c r="T778" s="17"/>
      <c r="U778" s="15"/>
    </row>
    <row r="779" customFormat="false" ht="18.75" hidden="false" customHeight="true" outlineLevel="0" collapsed="false">
      <c r="A779" s="5" t="str">
        <f aca="false">IF($B779="","",COUNT($B$5:$B779))</f>
        <v/>
      </c>
      <c r="B779" s="6"/>
      <c r="C779" s="6"/>
      <c r="D779" s="7"/>
      <c r="E779" s="7"/>
      <c r="F779" s="8"/>
      <c r="G779" s="9"/>
      <c r="H779" s="7"/>
      <c r="I779" s="7"/>
      <c r="J779" s="8"/>
      <c r="K779" s="5" t="str">
        <f aca="false">IF($I779="","",1+IF($J779="",0,LEN($J779)-LEN(SUBSTITUTE($J779,",",""))+1))</f>
        <v/>
      </c>
      <c r="L779" s="7"/>
      <c r="M779" s="8"/>
      <c r="N779" s="10"/>
      <c r="O779" s="10"/>
      <c r="P779" s="5" t="str">
        <f aca="false">IF(OR($B779="",$C779=""),"",$C779-$B779+1)</f>
        <v/>
      </c>
      <c r="Q779" s="11"/>
      <c r="R779" s="12" t="str">
        <f aca="false">IF(OR($Q779="",$K779=""),"",$Q779*$K779)</f>
        <v/>
      </c>
      <c r="S779" s="7"/>
      <c r="T779" s="10"/>
      <c r="U779" s="8"/>
    </row>
    <row r="780" customFormat="false" ht="18.75" hidden="false" customHeight="true" outlineLevel="0" collapsed="false">
      <c r="A780" s="5" t="str">
        <f aca="false">IF($B780="","",COUNT($B$5:$B780))</f>
        <v/>
      </c>
      <c r="B780" s="13"/>
      <c r="C780" s="13"/>
      <c r="D780" s="14"/>
      <c r="E780" s="14"/>
      <c r="F780" s="15"/>
      <c r="G780" s="16"/>
      <c r="H780" s="14"/>
      <c r="I780" s="14"/>
      <c r="J780" s="15"/>
      <c r="K780" s="5" t="str">
        <f aca="false">IF($I780="","",1+IF($J780="",0,LEN($J780)-LEN(SUBSTITUTE($J780,",",""))+1))</f>
        <v/>
      </c>
      <c r="L780" s="14"/>
      <c r="M780" s="15"/>
      <c r="N780" s="17"/>
      <c r="O780" s="17"/>
      <c r="P780" s="5" t="str">
        <f aca="false">IF(OR($B780="",$C780=""),"",$C780-$B780+1)</f>
        <v/>
      </c>
      <c r="Q780" s="18"/>
      <c r="R780" s="12" t="str">
        <f aca="false">IF(OR($Q780="",$K780=""),"",$Q780*$K780)</f>
        <v/>
      </c>
      <c r="S780" s="14"/>
      <c r="T780" s="17"/>
      <c r="U780" s="15"/>
    </row>
    <row r="781" customFormat="false" ht="18.75" hidden="false" customHeight="true" outlineLevel="0" collapsed="false">
      <c r="A781" s="5" t="str">
        <f aca="false">IF($B781="","",COUNT($B$5:$B781))</f>
        <v/>
      </c>
      <c r="B781" s="6"/>
      <c r="C781" s="6"/>
      <c r="D781" s="7"/>
      <c r="E781" s="7"/>
      <c r="F781" s="8"/>
      <c r="G781" s="9"/>
      <c r="H781" s="7"/>
      <c r="I781" s="7"/>
      <c r="J781" s="8"/>
      <c r="K781" s="5" t="str">
        <f aca="false">IF($I781="","",1+IF($J781="",0,LEN($J781)-LEN(SUBSTITUTE($J781,",",""))+1))</f>
        <v/>
      </c>
      <c r="L781" s="7"/>
      <c r="M781" s="8"/>
      <c r="N781" s="10"/>
      <c r="O781" s="10"/>
      <c r="P781" s="5" t="str">
        <f aca="false">IF(OR($B781="",$C781=""),"",$C781-$B781+1)</f>
        <v/>
      </c>
      <c r="Q781" s="11"/>
      <c r="R781" s="12" t="str">
        <f aca="false">IF(OR($Q781="",$K781=""),"",$Q781*$K781)</f>
        <v/>
      </c>
      <c r="S781" s="7"/>
      <c r="T781" s="10"/>
      <c r="U781" s="8"/>
    </row>
    <row r="782" customFormat="false" ht="18.75" hidden="false" customHeight="true" outlineLevel="0" collapsed="false">
      <c r="A782" s="5" t="str">
        <f aca="false">IF($B782="","",COUNT($B$5:$B782))</f>
        <v/>
      </c>
      <c r="B782" s="13"/>
      <c r="C782" s="13"/>
      <c r="D782" s="14"/>
      <c r="E782" s="14"/>
      <c r="F782" s="15"/>
      <c r="G782" s="16"/>
      <c r="H782" s="14"/>
      <c r="I782" s="14"/>
      <c r="J782" s="15"/>
      <c r="K782" s="5" t="str">
        <f aca="false">IF($I782="","",1+IF($J782="",0,LEN($J782)-LEN(SUBSTITUTE($J782,",",""))+1))</f>
        <v/>
      </c>
      <c r="L782" s="14"/>
      <c r="M782" s="15"/>
      <c r="N782" s="17"/>
      <c r="O782" s="17"/>
      <c r="P782" s="5" t="str">
        <f aca="false">IF(OR($B782="",$C782=""),"",$C782-$B782+1)</f>
        <v/>
      </c>
      <c r="Q782" s="18"/>
      <c r="R782" s="12" t="str">
        <f aca="false">IF(OR($Q782="",$K782=""),"",$Q782*$K782)</f>
        <v/>
      </c>
      <c r="S782" s="14"/>
      <c r="T782" s="17"/>
      <c r="U782" s="15"/>
    </row>
    <row r="783" customFormat="false" ht="18.75" hidden="false" customHeight="true" outlineLevel="0" collapsed="false">
      <c r="A783" s="5" t="str">
        <f aca="false">IF($B783="","",COUNT($B$5:$B783))</f>
        <v/>
      </c>
      <c r="B783" s="6"/>
      <c r="C783" s="6"/>
      <c r="D783" s="7"/>
      <c r="E783" s="7"/>
      <c r="F783" s="8"/>
      <c r="G783" s="9"/>
      <c r="H783" s="7"/>
      <c r="I783" s="7"/>
      <c r="J783" s="8"/>
      <c r="K783" s="5" t="str">
        <f aca="false">IF($I783="","",1+IF($J783="",0,LEN($J783)-LEN(SUBSTITUTE($J783,",",""))+1))</f>
        <v/>
      </c>
      <c r="L783" s="7"/>
      <c r="M783" s="8"/>
      <c r="N783" s="10"/>
      <c r="O783" s="10"/>
      <c r="P783" s="5" t="str">
        <f aca="false">IF(OR($B783="",$C783=""),"",$C783-$B783+1)</f>
        <v/>
      </c>
      <c r="Q783" s="11"/>
      <c r="R783" s="12" t="str">
        <f aca="false">IF(OR($Q783="",$K783=""),"",$Q783*$K783)</f>
        <v/>
      </c>
      <c r="S783" s="7"/>
      <c r="T783" s="10"/>
      <c r="U783" s="8"/>
    </row>
    <row r="784" customFormat="false" ht="18.75" hidden="false" customHeight="true" outlineLevel="0" collapsed="false">
      <c r="A784" s="5" t="str">
        <f aca="false">IF($B784="","",COUNT($B$5:$B784))</f>
        <v/>
      </c>
      <c r="B784" s="13"/>
      <c r="C784" s="13"/>
      <c r="D784" s="14"/>
      <c r="E784" s="14"/>
      <c r="F784" s="15"/>
      <c r="G784" s="16"/>
      <c r="H784" s="14"/>
      <c r="I784" s="14"/>
      <c r="J784" s="15"/>
      <c r="K784" s="5" t="str">
        <f aca="false">IF($I784="","",1+IF($J784="",0,LEN($J784)-LEN(SUBSTITUTE($J784,",",""))+1))</f>
        <v/>
      </c>
      <c r="L784" s="14"/>
      <c r="M784" s="15"/>
      <c r="N784" s="17"/>
      <c r="O784" s="17"/>
      <c r="P784" s="5" t="str">
        <f aca="false">IF(OR($B784="",$C784=""),"",$C784-$B784+1)</f>
        <v/>
      </c>
      <c r="Q784" s="18"/>
      <c r="R784" s="12" t="str">
        <f aca="false">IF(OR($Q784="",$K784=""),"",$Q784*$K784)</f>
        <v/>
      </c>
      <c r="S784" s="14"/>
      <c r="T784" s="17"/>
      <c r="U784" s="15"/>
    </row>
    <row r="785" customFormat="false" ht="18.75" hidden="false" customHeight="true" outlineLevel="0" collapsed="false">
      <c r="A785" s="5" t="str">
        <f aca="false">IF($B785="","",COUNT($B$5:$B785))</f>
        <v/>
      </c>
      <c r="B785" s="6"/>
      <c r="C785" s="6"/>
      <c r="D785" s="7"/>
      <c r="E785" s="7"/>
      <c r="F785" s="8"/>
      <c r="G785" s="9"/>
      <c r="H785" s="7"/>
      <c r="I785" s="7"/>
      <c r="J785" s="8"/>
      <c r="K785" s="5" t="str">
        <f aca="false">IF($I785="","",1+IF($J785="",0,LEN($J785)-LEN(SUBSTITUTE($J785,",",""))+1))</f>
        <v/>
      </c>
      <c r="L785" s="7"/>
      <c r="M785" s="8"/>
      <c r="N785" s="10"/>
      <c r="O785" s="10"/>
      <c r="P785" s="5" t="str">
        <f aca="false">IF(OR($B785="",$C785=""),"",$C785-$B785+1)</f>
        <v/>
      </c>
      <c r="Q785" s="11"/>
      <c r="R785" s="12" t="str">
        <f aca="false">IF(OR($Q785="",$K785=""),"",$Q785*$K785)</f>
        <v/>
      </c>
      <c r="S785" s="7"/>
      <c r="T785" s="10"/>
      <c r="U785" s="8"/>
    </row>
    <row r="786" customFormat="false" ht="18.75" hidden="false" customHeight="true" outlineLevel="0" collapsed="false">
      <c r="A786" s="5" t="str">
        <f aca="false">IF($B786="","",COUNT($B$5:$B786))</f>
        <v/>
      </c>
      <c r="B786" s="13"/>
      <c r="C786" s="13"/>
      <c r="D786" s="14"/>
      <c r="E786" s="14"/>
      <c r="F786" s="15"/>
      <c r="G786" s="16"/>
      <c r="H786" s="14"/>
      <c r="I786" s="14"/>
      <c r="J786" s="15"/>
      <c r="K786" s="5" t="str">
        <f aca="false">IF($I786="","",1+IF($J786="",0,LEN($J786)-LEN(SUBSTITUTE($J786,",",""))+1))</f>
        <v/>
      </c>
      <c r="L786" s="14"/>
      <c r="M786" s="15"/>
      <c r="N786" s="17"/>
      <c r="O786" s="17"/>
      <c r="P786" s="5" t="str">
        <f aca="false">IF(OR($B786="",$C786=""),"",$C786-$B786+1)</f>
        <v/>
      </c>
      <c r="Q786" s="18"/>
      <c r="R786" s="12" t="str">
        <f aca="false">IF(OR($Q786="",$K786=""),"",$Q786*$K786)</f>
        <v/>
      </c>
      <c r="S786" s="14"/>
      <c r="T786" s="17"/>
      <c r="U786" s="15"/>
    </row>
    <row r="787" customFormat="false" ht="18.75" hidden="false" customHeight="true" outlineLevel="0" collapsed="false">
      <c r="A787" s="5" t="str">
        <f aca="false">IF($B787="","",COUNT($B$5:$B787))</f>
        <v/>
      </c>
      <c r="B787" s="6"/>
      <c r="C787" s="6"/>
      <c r="D787" s="7"/>
      <c r="E787" s="7"/>
      <c r="F787" s="8"/>
      <c r="G787" s="9"/>
      <c r="H787" s="7"/>
      <c r="I787" s="7"/>
      <c r="J787" s="8"/>
      <c r="K787" s="5" t="str">
        <f aca="false">IF($I787="","",1+IF($J787="",0,LEN($J787)-LEN(SUBSTITUTE($J787,",",""))+1))</f>
        <v/>
      </c>
      <c r="L787" s="7"/>
      <c r="M787" s="8"/>
      <c r="N787" s="10"/>
      <c r="O787" s="10"/>
      <c r="P787" s="5" t="str">
        <f aca="false">IF(OR($B787="",$C787=""),"",$C787-$B787+1)</f>
        <v/>
      </c>
      <c r="Q787" s="11"/>
      <c r="R787" s="12" t="str">
        <f aca="false">IF(OR($Q787="",$K787=""),"",$Q787*$K787)</f>
        <v/>
      </c>
      <c r="S787" s="7"/>
      <c r="T787" s="10"/>
      <c r="U787" s="8"/>
    </row>
    <row r="788" customFormat="false" ht="18.75" hidden="false" customHeight="true" outlineLevel="0" collapsed="false">
      <c r="A788" s="5" t="str">
        <f aca="false">IF($B788="","",COUNT($B$5:$B788))</f>
        <v/>
      </c>
      <c r="B788" s="13"/>
      <c r="C788" s="13"/>
      <c r="D788" s="14"/>
      <c r="E788" s="14"/>
      <c r="F788" s="15"/>
      <c r="G788" s="16"/>
      <c r="H788" s="14"/>
      <c r="I788" s="14"/>
      <c r="J788" s="15"/>
      <c r="K788" s="5" t="str">
        <f aca="false">IF($I788="","",1+IF($J788="",0,LEN($J788)-LEN(SUBSTITUTE($J788,",",""))+1))</f>
        <v/>
      </c>
      <c r="L788" s="14"/>
      <c r="M788" s="15"/>
      <c r="N788" s="17"/>
      <c r="O788" s="17"/>
      <c r="P788" s="5" t="str">
        <f aca="false">IF(OR($B788="",$C788=""),"",$C788-$B788+1)</f>
        <v/>
      </c>
      <c r="Q788" s="18"/>
      <c r="R788" s="12" t="str">
        <f aca="false">IF(OR($Q788="",$K788=""),"",$Q788*$K788)</f>
        <v/>
      </c>
      <c r="S788" s="14"/>
      <c r="T788" s="17"/>
      <c r="U788" s="15"/>
    </row>
    <row r="789" customFormat="false" ht="18.75" hidden="false" customHeight="true" outlineLevel="0" collapsed="false">
      <c r="A789" s="5" t="str">
        <f aca="false">IF($B789="","",COUNT($B$5:$B789))</f>
        <v/>
      </c>
      <c r="B789" s="6"/>
      <c r="C789" s="6"/>
      <c r="D789" s="7"/>
      <c r="E789" s="7"/>
      <c r="F789" s="8"/>
      <c r="G789" s="9"/>
      <c r="H789" s="7"/>
      <c r="I789" s="7"/>
      <c r="J789" s="8"/>
      <c r="K789" s="5" t="str">
        <f aca="false">IF($I789="","",1+IF($J789="",0,LEN($J789)-LEN(SUBSTITUTE($J789,",",""))+1))</f>
        <v/>
      </c>
      <c r="L789" s="7"/>
      <c r="M789" s="8"/>
      <c r="N789" s="10"/>
      <c r="O789" s="10"/>
      <c r="P789" s="5" t="str">
        <f aca="false">IF(OR($B789="",$C789=""),"",$C789-$B789+1)</f>
        <v/>
      </c>
      <c r="Q789" s="11"/>
      <c r="R789" s="12" t="str">
        <f aca="false">IF(OR($Q789="",$K789=""),"",$Q789*$K789)</f>
        <v/>
      </c>
      <c r="S789" s="7"/>
      <c r="T789" s="10"/>
      <c r="U789" s="8"/>
    </row>
    <row r="790" customFormat="false" ht="18.75" hidden="false" customHeight="true" outlineLevel="0" collapsed="false">
      <c r="A790" s="5" t="str">
        <f aca="false">IF($B790="","",COUNT($B$5:$B790))</f>
        <v/>
      </c>
      <c r="B790" s="13"/>
      <c r="C790" s="13"/>
      <c r="D790" s="14"/>
      <c r="E790" s="14"/>
      <c r="F790" s="15"/>
      <c r="G790" s="16"/>
      <c r="H790" s="14"/>
      <c r="I790" s="14"/>
      <c r="J790" s="15"/>
      <c r="K790" s="5" t="str">
        <f aca="false">IF($I790="","",1+IF($J790="",0,LEN($J790)-LEN(SUBSTITUTE($J790,",",""))+1))</f>
        <v/>
      </c>
      <c r="L790" s="14"/>
      <c r="M790" s="15"/>
      <c r="N790" s="17"/>
      <c r="O790" s="17"/>
      <c r="P790" s="5" t="str">
        <f aca="false">IF(OR($B790="",$C790=""),"",$C790-$B790+1)</f>
        <v/>
      </c>
      <c r="Q790" s="18"/>
      <c r="R790" s="12" t="str">
        <f aca="false">IF(OR($Q790="",$K790=""),"",$Q790*$K790)</f>
        <v/>
      </c>
      <c r="S790" s="14"/>
      <c r="T790" s="17"/>
      <c r="U790" s="15"/>
    </row>
    <row r="791" customFormat="false" ht="18.75" hidden="false" customHeight="true" outlineLevel="0" collapsed="false">
      <c r="A791" s="5" t="str">
        <f aca="false">IF($B791="","",COUNT($B$5:$B791))</f>
        <v/>
      </c>
      <c r="B791" s="6"/>
      <c r="C791" s="6"/>
      <c r="D791" s="7"/>
      <c r="E791" s="7"/>
      <c r="F791" s="8"/>
      <c r="G791" s="9"/>
      <c r="H791" s="7"/>
      <c r="I791" s="7"/>
      <c r="J791" s="8"/>
      <c r="K791" s="5" t="str">
        <f aca="false">IF($I791="","",1+IF($J791="",0,LEN($J791)-LEN(SUBSTITUTE($J791,",",""))+1))</f>
        <v/>
      </c>
      <c r="L791" s="7"/>
      <c r="M791" s="8"/>
      <c r="N791" s="10"/>
      <c r="O791" s="10"/>
      <c r="P791" s="5" t="str">
        <f aca="false">IF(OR($B791="",$C791=""),"",$C791-$B791+1)</f>
        <v/>
      </c>
      <c r="Q791" s="11"/>
      <c r="R791" s="12" t="str">
        <f aca="false">IF(OR($Q791="",$K791=""),"",$Q791*$K791)</f>
        <v/>
      </c>
      <c r="S791" s="7"/>
      <c r="T791" s="10"/>
      <c r="U791" s="8"/>
    </row>
    <row r="792" customFormat="false" ht="18.75" hidden="false" customHeight="true" outlineLevel="0" collapsed="false">
      <c r="A792" s="5" t="str">
        <f aca="false">IF($B792="","",COUNT($B$5:$B792))</f>
        <v/>
      </c>
      <c r="B792" s="13"/>
      <c r="C792" s="13"/>
      <c r="D792" s="14"/>
      <c r="E792" s="14"/>
      <c r="F792" s="15"/>
      <c r="G792" s="16"/>
      <c r="H792" s="14"/>
      <c r="I792" s="14"/>
      <c r="J792" s="15"/>
      <c r="K792" s="5" t="str">
        <f aca="false">IF($I792="","",1+IF($J792="",0,LEN($J792)-LEN(SUBSTITUTE($J792,",",""))+1))</f>
        <v/>
      </c>
      <c r="L792" s="14"/>
      <c r="M792" s="15"/>
      <c r="N792" s="17"/>
      <c r="O792" s="17"/>
      <c r="P792" s="5" t="str">
        <f aca="false">IF(OR($B792="",$C792=""),"",$C792-$B792+1)</f>
        <v/>
      </c>
      <c r="Q792" s="18"/>
      <c r="R792" s="12" t="str">
        <f aca="false">IF(OR($Q792="",$K792=""),"",$Q792*$K792)</f>
        <v/>
      </c>
      <c r="S792" s="14"/>
      <c r="T792" s="17"/>
      <c r="U792" s="15"/>
    </row>
    <row r="793" customFormat="false" ht="18.75" hidden="false" customHeight="true" outlineLevel="0" collapsed="false">
      <c r="A793" s="5" t="str">
        <f aca="false">IF($B793="","",COUNT($B$5:$B793))</f>
        <v/>
      </c>
      <c r="B793" s="6"/>
      <c r="C793" s="6"/>
      <c r="D793" s="7"/>
      <c r="E793" s="7"/>
      <c r="F793" s="8"/>
      <c r="G793" s="9"/>
      <c r="H793" s="7"/>
      <c r="I793" s="7"/>
      <c r="J793" s="8"/>
      <c r="K793" s="5" t="str">
        <f aca="false">IF($I793="","",1+IF($J793="",0,LEN($J793)-LEN(SUBSTITUTE($J793,",",""))+1))</f>
        <v/>
      </c>
      <c r="L793" s="7"/>
      <c r="M793" s="8"/>
      <c r="N793" s="10"/>
      <c r="O793" s="10"/>
      <c r="P793" s="5" t="str">
        <f aca="false">IF(OR($B793="",$C793=""),"",$C793-$B793+1)</f>
        <v/>
      </c>
      <c r="Q793" s="11"/>
      <c r="R793" s="12" t="str">
        <f aca="false">IF(OR($Q793="",$K793=""),"",$Q793*$K793)</f>
        <v/>
      </c>
      <c r="S793" s="7"/>
      <c r="T793" s="10"/>
      <c r="U793" s="8"/>
    </row>
    <row r="794" customFormat="false" ht="18.75" hidden="false" customHeight="true" outlineLevel="0" collapsed="false">
      <c r="A794" s="5" t="str">
        <f aca="false">IF($B794="","",COUNT($B$5:$B794))</f>
        <v/>
      </c>
      <c r="B794" s="13"/>
      <c r="C794" s="13"/>
      <c r="D794" s="14"/>
      <c r="E794" s="14"/>
      <c r="F794" s="15"/>
      <c r="G794" s="16"/>
      <c r="H794" s="14"/>
      <c r="I794" s="14"/>
      <c r="J794" s="15"/>
      <c r="K794" s="5" t="str">
        <f aca="false">IF($I794="","",1+IF($J794="",0,LEN($J794)-LEN(SUBSTITUTE($J794,",",""))+1))</f>
        <v/>
      </c>
      <c r="L794" s="14"/>
      <c r="M794" s="15"/>
      <c r="N794" s="17"/>
      <c r="O794" s="17"/>
      <c r="P794" s="5" t="str">
        <f aca="false">IF(OR($B794="",$C794=""),"",$C794-$B794+1)</f>
        <v/>
      </c>
      <c r="Q794" s="18"/>
      <c r="R794" s="12" t="str">
        <f aca="false">IF(OR($Q794="",$K794=""),"",$Q794*$K794)</f>
        <v/>
      </c>
      <c r="S794" s="14"/>
      <c r="T794" s="17"/>
      <c r="U794" s="15"/>
    </row>
    <row r="795" customFormat="false" ht="18.75" hidden="false" customHeight="true" outlineLevel="0" collapsed="false">
      <c r="A795" s="5" t="str">
        <f aca="false">IF($B795="","",COUNT($B$5:$B795))</f>
        <v/>
      </c>
      <c r="B795" s="6"/>
      <c r="C795" s="6"/>
      <c r="D795" s="7"/>
      <c r="E795" s="7"/>
      <c r="F795" s="8"/>
      <c r="G795" s="9"/>
      <c r="H795" s="7"/>
      <c r="I795" s="7"/>
      <c r="J795" s="8"/>
      <c r="K795" s="5" t="str">
        <f aca="false">IF($I795="","",1+IF($J795="",0,LEN($J795)-LEN(SUBSTITUTE($J795,",",""))+1))</f>
        <v/>
      </c>
      <c r="L795" s="7"/>
      <c r="M795" s="8"/>
      <c r="N795" s="10"/>
      <c r="O795" s="10"/>
      <c r="P795" s="5" t="str">
        <f aca="false">IF(OR($B795="",$C795=""),"",$C795-$B795+1)</f>
        <v/>
      </c>
      <c r="Q795" s="11"/>
      <c r="R795" s="12" t="str">
        <f aca="false">IF(OR($Q795="",$K795=""),"",$Q795*$K795)</f>
        <v/>
      </c>
      <c r="S795" s="7"/>
      <c r="T795" s="10"/>
      <c r="U795" s="8"/>
    </row>
    <row r="796" customFormat="false" ht="18.75" hidden="false" customHeight="true" outlineLevel="0" collapsed="false">
      <c r="A796" s="5" t="str">
        <f aca="false">IF($B796="","",COUNT($B$5:$B796))</f>
        <v/>
      </c>
      <c r="B796" s="13"/>
      <c r="C796" s="13"/>
      <c r="D796" s="14"/>
      <c r="E796" s="14"/>
      <c r="F796" s="15"/>
      <c r="G796" s="16"/>
      <c r="H796" s="14"/>
      <c r="I796" s="14"/>
      <c r="J796" s="15"/>
      <c r="K796" s="5" t="str">
        <f aca="false">IF($I796="","",1+IF($J796="",0,LEN($J796)-LEN(SUBSTITUTE($J796,",",""))+1))</f>
        <v/>
      </c>
      <c r="L796" s="14"/>
      <c r="M796" s="15"/>
      <c r="N796" s="17"/>
      <c r="O796" s="17"/>
      <c r="P796" s="5" t="str">
        <f aca="false">IF(OR($B796="",$C796=""),"",$C796-$B796+1)</f>
        <v/>
      </c>
      <c r="Q796" s="18"/>
      <c r="R796" s="12" t="str">
        <f aca="false">IF(OR($Q796="",$K796=""),"",$Q796*$K796)</f>
        <v/>
      </c>
      <c r="S796" s="14"/>
      <c r="T796" s="17"/>
      <c r="U796" s="15"/>
    </row>
    <row r="797" customFormat="false" ht="18.75" hidden="false" customHeight="true" outlineLevel="0" collapsed="false">
      <c r="A797" s="5" t="str">
        <f aca="false">IF($B797="","",COUNT($B$5:$B797))</f>
        <v/>
      </c>
      <c r="B797" s="6"/>
      <c r="C797" s="6"/>
      <c r="D797" s="7"/>
      <c r="E797" s="7"/>
      <c r="F797" s="8"/>
      <c r="G797" s="9"/>
      <c r="H797" s="7"/>
      <c r="I797" s="7"/>
      <c r="J797" s="8"/>
      <c r="K797" s="5" t="str">
        <f aca="false">IF($I797="","",1+IF($J797="",0,LEN($J797)-LEN(SUBSTITUTE($J797,",",""))+1))</f>
        <v/>
      </c>
      <c r="L797" s="7"/>
      <c r="M797" s="8"/>
      <c r="N797" s="10"/>
      <c r="O797" s="10"/>
      <c r="P797" s="5" t="str">
        <f aca="false">IF(OR($B797="",$C797=""),"",$C797-$B797+1)</f>
        <v/>
      </c>
      <c r="Q797" s="11"/>
      <c r="R797" s="12" t="str">
        <f aca="false">IF(OR($Q797="",$K797=""),"",$Q797*$K797)</f>
        <v/>
      </c>
      <c r="S797" s="7"/>
      <c r="T797" s="10"/>
      <c r="U797" s="8"/>
    </row>
    <row r="798" customFormat="false" ht="18.75" hidden="false" customHeight="true" outlineLevel="0" collapsed="false">
      <c r="A798" s="5" t="str">
        <f aca="false">IF($B798="","",COUNT($B$5:$B798))</f>
        <v/>
      </c>
      <c r="B798" s="13"/>
      <c r="C798" s="13"/>
      <c r="D798" s="14"/>
      <c r="E798" s="14"/>
      <c r="F798" s="15"/>
      <c r="G798" s="16"/>
      <c r="H798" s="14"/>
      <c r="I798" s="14"/>
      <c r="J798" s="15"/>
      <c r="K798" s="5" t="str">
        <f aca="false">IF($I798="","",1+IF($J798="",0,LEN($J798)-LEN(SUBSTITUTE($J798,",",""))+1))</f>
        <v/>
      </c>
      <c r="L798" s="14"/>
      <c r="M798" s="15"/>
      <c r="N798" s="17"/>
      <c r="O798" s="17"/>
      <c r="P798" s="5" t="str">
        <f aca="false">IF(OR($B798="",$C798=""),"",$C798-$B798+1)</f>
        <v/>
      </c>
      <c r="Q798" s="18"/>
      <c r="R798" s="12" t="str">
        <f aca="false">IF(OR($Q798="",$K798=""),"",$Q798*$K798)</f>
        <v/>
      </c>
      <c r="S798" s="14"/>
      <c r="T798" s="17"/>
      <c r="U798" s="15"/>
    </row>
    <row r="799" customFormat="false" ht="18.75" hidden="false" customHeight="true" outlineLevel="0" collapsed="false">
      <c r="A799" s="5" t="str">
        <f aca="false">IF($B799="","",COUNT($B$5:$B799))</f>
        <v/>
      </c>
      <c r="B799" s="6"/>
      <c r="C799" s="6"/>
      <c r="D799" s="7"/>
      <c r="E799" s="7"/>
      <c r="F799" s="8"/>
      <c r="G799" s="9"/>
      <c r="H799" s="7"/>
      <c r="I799" s="7"/>
      <c r="J799" s="8"/>
      <c r="K799" s="5" t="str">
        <f aca="false">IF($I799="","",1+IF($J799="",0,LEN($J799)-LEN(SUBSTITUTE($J799,",",""))+1))</f>
        <v/>
      </c>
      <c r="L799" s="7"/>
      <c r="M799" s="8"/>
      <c r="N799" s="10"/>
      <c r="O799" s="10"/>
      <c r="P799" s="5" t="str">
        <f aca="false">IF(OR($B799="",$C799=""),"",$C799-$B799+1)</f>
        <v/>
      </c>
      <c r="Q799" s="11"/>
      <c r="R799" s="12" t="str">
        <f aca="false">IF(OR($Q799="",$K799=""),"",$Q799*$K799)</f>
        <v/>
      </c>
      <c r="S799" s="7"/>
      <c r="T799" s="10"/>
      <c r="U799" s="8"/>
    </row>
    <row r="800" customFormat="false" ht="18.75" hidden="false" customHeight="true" outlineLevel="0" collapsed="false">
      <c r="A800" s="5" t="str">
        <f aca="false">IF($B800="","",COUNT($B$5:$B800))</f>
        <v/>
      </c>
      <c r="B800" s="13"/>
      <c r="C800" s="13"/>
      <c r="D800" s="14"/>
      <c r="E800" s="14"/>
      <c r="F800" s="15"/>
      <c r="G800" s="16"/>
      <c r="H800" s="14"/>
      <c r="I800" s="14"/>
      <c r="J800" s="15"/>
      <c r="K800" s="5" t="str">
        <f aca="false">IF($I800="","",1+IF($J800="",0,LEN($J800)-LEN(SUBSTITUTE($J800,",",""))+1))</f>
        <v/>
      </c>
      <c r="L800" s="14"/>
      <c r="M800" s="15"/>
      <c r="N800" s="17"/>
      <c r="O800" s="17"/>
      <c r="P800" s="5" t="str">
        <f aca="false">IF(OR($B800="",$C800=""),"",$C800-$B800+1)</f>
        <v/>
      </c>
      <c r="Q800" s="18"/>
      <c r="R800" s="12" t="str">
        <f aca="false">IF(OR($Q800="",$K800=""),"",$Q800*$K800)</f>
        <v/>
      </c>
      <c r="S800" s="14"/>
      <c r="T800" s="17"/>
      <c r="U800" s="15"/>
    </row>
    <row r="801" customFormat="false" ht="18.75" hidden="false" customHeight="true" outlineLevel="0" collapsed="false">
      <c r="A801" s="5" t="str">
        <f aca="false">IF($B801="","",COUNT($B$5:$B801))</f>
        <v/>
      </c>
      <c r="B801" s="6"/>
      <c r="C801" s="6"/>
      <c r="D801" s="7"/>
      <c r="E801" s="7"/>
      <c r="F801" s="8"/>
      <c r="G801" s="9"/>
      <c r="H801" s="7"/>
      <c r="I801" s="7"/>
      <c r="J801" s="8"/>
      <c r="K801" s="5" t="str">
        <f aca="false">IF($I801="","",1+IF($J801="",0,LEN($J801)-LEN(SUBSTITUTE($J801,",",""))+1))</f>
        <v/>
      </c>
      <c r="L801" s="7"/>
      <c r="M801" s="8"/>
      <c r="N801" s="10"/>
      <c r="O801" s="10"/>
      <c r="P801" s="5" t="str">
        <f aca="false">IF(OR($B801="",$C801=""),"",$C801-$B801+1)</f>
        <v/>
      </c>
      <c r="Q801" s="11"/>
      <c r="R801" s="12" t="str">
        <f aca="false">IF(OR($Q801="",$K801=""),"",$Q801*$K801)</f>
        <v/>
      </c>
      <c r="S801" s="7"/>
      <c r="T801" s="10"/>
      <c r="U801" s="8"/>
    </row>
    <row r="802" customFormat="false" ht="18.75" hidden="false" customHeight="true" outlineLevel="0" collapsed="false">
      <c r="A802" s="5" t="str">
        <f aca="false">IF($B802="","",COUNT($B$5:$B802))</f>
        <v/>
      </c>
      <c r="B802" s="13"/>
      <c r="C802" s="13"/>
      <c r="D802" s="14"/>
      <c r="E802" s="14"/>
      <c r="F802" s="15"/>
      <c r="G802" s="16"/>
      <c r="H802" s="14"/>
      <c r="I802" s="14"/>
      <c r="J802" s="15"/>
      <c r="K802" s="5" t="str">
        <f aca="false">IF($I802="","",1+IF($J802="",0,LEN($J802)-LEN(SUBSTITUTE($J802,",",""))+1))</f>
        <v/>
      </c>
      <c r="L802" s="14"/>
      <c r="M802" s="15"/>
      <c r="N802" s="17"/>
      <c r="O802" s="17"/>
      <c r="P802" s="5" t="str">
        <f aca="false">IF(OR($B802="",$C802=""),"",$C802-$B802+1)</f>
        <v/>
      </c>
      <c r="Q802" s="18"/>
      <c r="R802" s="12" t="str">
        <f aca="false">IF(OR($Q802="",$K802=""),"",$Q802*$K802)</f>
        <v/>
      </c>
      <c r="S802" s="14"/>
      <c r="T802" s="17"/>
      <c r="U802" s="15"/>
    </row>
    <row r="803" customFormat="false" ht="18.75" hidden="false" customHeight="true" outlineLevel="0" collapsed="false">
      <c r="A803" s="5" t="str">
        <f aca="false">IF($B803="","",COUNT($B$5:$B803))</f>
        <v/>
      </c>
      <c r="B803" s="6"/>
      <c r="C803" s="6"/>
      <c r="D803" s="7"/>
      <c r="E803" s="7"/>
      <c r="F803" s="8"/>
      <c r="G803" s="9"/>
      <c r="H803" s="7"/>
      <c r="I803" s="7"/>
      <c r="J803" s="8"/>
      <c r="K803" s="5" t="str">
        <f aca="false">IF($I803="","",1+IF($J803="",0,LEN($J803)-LEN(SUBSTITUTE($J803,",",""))+1))</f>
        <v/>
      </c>
      <c r="L803" s="7"/>
      <c r="M803" s="8"/>
      <c r="N803" s="10"/>
      <c r="O803" s="10"/>
      <c r="P803" s="5" t="str">
        <f aca="false">IF(OR($B803="",$C803=""),"",$C803-$B803+1)</f>
        <v/>
      </c>
      <c r="Q803" s="11"/>
      <c r="R803" s="12" t="str">
        <f aca="false">IF(OR($Q803="",$K803=""),"",$Q803*$K803)</f>
        <v/>
      </c>
      <c r="S803" s="7"/>
      <c r="T803" s="10"/>
      <c r="U803" s="8"/>
    </row>
    <row r="804" customFormat="false" ht="18.75" hidden="false" customHeight="true" outlineLevel="0" collapsed="false">
      <c r="A804" s="5" t="str">
        <f aca="false">IF($B804="","",COUNT($B$5:$B804))</f>
        <v/>
      </c>
      <c r="B804" s="13"/>
      <c r="C804" s="13"/>
      <c r="D804" s="14"/>
      <c r="E804" s="14"/>
      <c r="F804" s="15"/>
      <c r="G804" s="16"/>
      <c r="H804" s="14"/>
      <c r="I804" s="14"/>
      <c r="J804" s="15"/>
      <c r="K804" s="5" t="str">
        <f aca="false">IF($I804="","",1+IF($J804="",0,LEN($J804)-LEN(SUBSTITUTE($J804,",",""))+1))</f>
        <v/>
      </c>
      <c r="L804" s="14"/>
      <c r="M804" s="15"/>
      <c r="N804" s="17"/>
      <c r="O804" s="17"/>
      <c r="P804" s="5" t="str">
        <f aca="false">IF(OR($B804="",$C804=""),"",$C804-$B804+1)</f>
        <v/>
      </c>
      <c r="Q804" s="18"/>
      <c r="R804" s="12" t="str">
        <f aca="false">IF(OR($Q804="",$K804=""),"",$Q804*$K804)</f>
        <v/>
      </c>
      <c r="S804" s="14"/>
      <c r="T804" s="17"/>
      <c r="U804" s="15"/>
    </row>
    <row r="805" customFormat="false" ht="18.75" hidden="false" customHeight="true" outlineLevel="0" collapsed="false">
      <c r="A805" s="5" t="str">
        <f aca="false">IF($B805="","",COUNT($B$5:$B805))</f>
        <v/>
      </c>
      <c r="B805" s="6"/>
      <c r="C805" s="6"/>
      <c r="D805" s="7"/>
      <c r="E805" s="7"/>
      <c r="F805" s="8"/>
      <c r="G805" s="9"/>
      <c r="H805" s="7"/>
      <c r="I805" s="7"/>
      <c r="J805" s="8"/>
      <c r="K805" s="5" t="str">
        <f aca="false">IF($I805="","",1+IF($J805="",0,LEN($J805)-LEN(SUBSTITUTE($J805,",",""))+1))</f>
        <v/>
      </c>
      <c r="L805" s="7"/>
      <c r="M805" s="8"/>
      <c r="N805" s="10"/>
      <c r="O805" s="10"/>
      <c r="P805" s="5" t="str">
        <f aca="false">IF(OR($B805="",$C805=""),"",$C805-$B805+1)</f>
        <v/>
      </c>
      <c r="Q805" s="11"/>
      <c r="R805" s="12" t="str">
        <f aca="false">IF(OR($Q805="",$K805=""),"",$Q805*$K805)</f>
        <v/>
      </c>
      <c r="S805" s="7"/>
      <c r="T805" s="10"/>
      <c r="U805" s="8"/>
    </row>
    <row r="806" customFormat="false" ht="18.75" hidden="false" customHeight="true" outlineLevel="0" collapsed="false">
      <c r="A806" s="5" t="str">
        <f aca="false">IF($B806="","",COUNT($B$5:$B806))</f>
        <v/>
      </c>
      <c r="B806" s="13"/>
      <c r="C806" s="13"/>
      <c r="D806" s="14"/>
      <c r="E806" s="14"/>
      <c r="F806" s="15"/>
      <c r="G806" s="16"/>
      <c r="H806" s="14"/>
      <c r="I806" s="14"/>
      <c r="J806" s="15"/>
      <c r="K806" s="5" t="str">
        <f aca="false">IF($I806="","",1+IF($J806="",0,LEN($J806)-LEN(SUBSTITUTE($J806,",",""))+1))</f>
        <v/>
      </c>
      <c r="L806" s="14"/>
      <c r="M806" s="15"/>
      <c r="N806" s="17"/>
      <c r="O806" s="17"/>
      <c r="P806" s="5" t="str">
        <f aca="false">IF(OR($B806="",$C806=""),"",$C806-$B806+1)</f>
        <v/>
      </c>
      <c r="Q806" s="18"/>
      <c r="R806" s="12" t="str">
        <f aca="false">IF(OR($Q806="",$K806=""),"",$Q806*$K806)</f>
        <v/>
      </c>
      <c r="S806" s="14"/>
      <c r="T806" s="17"/>
      <c r="U806" s="15"/>
    </row>
    <row r="807" customFormat="false" ht="18.75" hidden="false" customHeight="true" outlineLevel="0" collapsed="false">
      <c r="A807" s="5" t="str">
        <f aca="false">IF($B807="","",COUNT($B$5:$B807))</f>
        <v/>
      </c>
      <c r="B807" s="6"/>
      <c r="C807" s="6"/>
      <c r="D807" s="7"/>
      <c r="E807" s="7"/>
      <c r="F807" s="8"/>
      <c r="G807" s="9"/>
      <c r="H807" s="7"/>
      <c r="I807" s="7"/>
      <c r="J807" s="8"/>
      <c r="K807" s="5" t="str">
        <f aca="false">IF($I807="","",1+IF($J807="",0,LEN($J807)-LEN(SUBSTITUTE($J807,",",""))+1))</f>
        <v/>
      </c>
      <c r="L807" s="7"/>
      <c r="M807" s="8"/>
      <c r="N807" s="10"/>
      <c r="O807" s="10"/>
      <c r="P807" s="5" t="str">
        <f aca="false">IF(OR($B807="",$C807=""),"",$C807-$B807+1)</f>
        <v/>
      </c>
      <c r="Q807" s="11"/>
      <c r="R807" s="12" t="str">
        <f aca="false">IF(OR($Q807="",$K807=""),"",$Q807*$K807)</f>
        <v/>
      </c>
      <c r="S807" s="7"/>
      <c r="T807" s="10"/>
      <c r="U807" s="8"/>
    </row>
    <row r="808" customFormat="false" ht="18.75" hidden="false" customHeight="true" outlineLevel="0" collapsed="false">
      <c r="A808" s="5" t="str">
        <f aca="false">IF($B808="","",COUNT($B$5:$B808))</f>
        <v/>
      </c>
      <c r="B808" s="13"/>
      <c r="C808" s="13"/>
      <c r="D808" s="14"/>
      <c r="E808" s="14"/>
      <c r="F808" s="15"/>
      <c r="G808" s="16"/>
      <c r="H808" s="14"/>
      <c r="I808" s="14"/>
      <c r="J808" s="15"/>
      <c r="K808" s="5" t="str">
        <f aca="false">IF($I808="","",1+IF($J808="",0,LEN($J808)-LEN(SUBSTITUTE($J808,",",""))+1))</f>
        <v/>
      </c>
      <c r="L808" s="14"/>
      <c r="M808" s="15"/>
      <c r="N808" s="17"/>
      <c r="O808" s="17"/>
      <c r="P808" s="5" t="str">
        <f aca="false">IF(OR($B808="",$C808=""),"",$C808-$B808+1)</f>
        <v/>
      </c>
      <c r="Q808" s="18"/>
      <c r="R808" s="12" t="str">
        <f aca="false">IF(OR($Q808="",$K808=""),"",$Q808*$K808)</f>
        <v/>
      </c>
      <c r="S808" s="14"/>
      <c r="T808" s="17"/>
      <c r="U808" s="15"/>
    </row>
    <row r="809" customFormat="false" ht="18.75" hidden="false" customHeight="true" outlineLevel="0" collapsed="false">
      <c r="A809" s="5" t="str">
        <f aca="false">IF($B809="","",COUNT($B$5:$B809))</f>
        <v/>
      </c>
      <c r="B809" s="6"/>
      <c r="C809" s="6"/>
      <c r="D809" s="7"/>
      <c r="E809" s="7"/>
      <c r="F809" s="8"/>
      <c r="G809" s="9"/>
      <c r="H809" s="7"/>
      <c r="I809" s="7"/>
      <c r="J809" s="8"/>
      <c r="K809" s="5" t="str">
        <f aca="false">IF($I809="","",1+IF($J809="",0,LEN($J809)-LEN(SUBSTITUTE($J809,",",""))+1))</f>
        <v/>
      </c>
      <c r="L809" s="7"/>
      <c r="M809" s="8"/>
      <c r="N809" s="10"/>
      <c r="O809" s="10"/>
      <c r="P809" s="5" t="str">
        <f aca="false">IF(OR($B809="",$C809=""),"",$C809-$B809+1)</f>
        <v/>
      </c>
      <c r="Q809" s="11"/>
      <c r="R809" s="12" t="str">
        <f aca="false">IF(OR($Q809="",$K809=""),"",$Q809*$K809)</f>
        <v/>
      </c>
      <c r="S809" s="7"/>
      <c r="T809" s="10"/>
      <c r="U809" s="8"/>
    </row>
    <row r="810" customFormat="false" ht="18.75" hidden="false" customHeight="true" outlineLevel="0" collapsed="false">
      <c r="A810" s="5" t="str">
        <f aca="false">IF($B810="","",COUNT($B$5:$B810))</f>
        <v/>
      </c>
      <c r="B810" s="13"/>
      <c r="C810" s="13"/>
      <c r="D810" s="14"/>
      <c r="E810" s="14"/>
      <c r="F810" s="15"/>
      <c r="G810" s="16"/>
      <c r="H810" s="14"/>
      <c r="I810" s="14"/>
      <c r="J810" s="15"/>
      <c r="K810" s="5" t="str">
        <f aca="false">IF($I810="","",1+IF($J810="",0,LEN($J810)-LEN(SUBSTITUTE($J810,",",""))+1))</f>
        <v/>
      </c>
      <c r="L810" s="14"/>
      <c r="M810" s="15"/>
      <c r="N810" s="17"/>
      <c r="O810" s="17"/>
      <c r="P810" s="5" t="str">
        <f aca="false">IF(OR($B810="",$C810=""),"",$C810-$B810+1)</f>
        <v/>
      </c>
      <c r="Q810" s="18"/>
      <c r="R810" s="12" t="str">
        <f aca="false">IF(OR($Q810="",$K810=""),"",$Q810*$K810)</f>
        <v/>
      </c>
      <c r="S810" s="14"/>
      <c r="T810" s="17"/>
      <c r="U810" s="15"/>
    </row>
    <row r="811" customFormat="false" ht="18.75" hidden="false" customHeight="true" outlineLevel="0" collapsed="false">
      <c r="A811" s="5" t="str">
        <f aca="false">IF($B811="","",COUNT($B$5:$B811))</f>
        <v/>
      </c>
      <c r="B811" s="6"/>
      <c r="C811" s="6"/>
      <c r="D811" s="7"/>
      <c r="E811" s="7"/>
      <c r="F811" s="8"/>
      <c r="G811" s="9"/>
      <c r="H811" s="7"/>
      <c r="I811" s="7"/>
      <c r="J811" s="8"/>
      <c r="K811" s="5" t="str">
        <f aca="false">IF($I811="","",1+IF($J811="",0,LEN($J811)-LEN(SUBSTITUTE($J811,",",""))+1))</f>
        <v/>
      </c>
      <c r="L811" s="7"/>
      <c r="M811" s="8"/>
      <c r="N811" s="10"/>
      <c r="O811" s="10"/>
      <c r="P811" s="5" t="str">
        <f aca="false">IF(OR($B811="",$C811=""),"",$C811-$B811+1)</f>
        <v/>
      </c>
      <c r="Q811" s="11"/>
      <c r="R811" s="12" t="str">
        <f aca="false">IF(OR($Q811="",$K811=""),"",$Q811*$K811)</f>
        <v/>
      </c>
      <c r="S811" s="7"/>
      <c r="T811" s="10"/>
      <c r="U811" s="8"/>
    </row>
    <row r="812" customFormat="false" ht="18.75" hidden="false" customHeight="true" outlineLevel="0" collapsed="false">
      <c r="A812" s="5" t="str">
        <f aca="false">IF($B812="","",COUNT($B$5:$B812))</f>
        <v/>
      </c>
      <c r="B812" s="13"/>
      <c r="C812" s="13"/>
      <c r="D812" s="14"/>
      <c r="E812" s="14"/>
      <c r="F812" s="15"/>
      <c r="G812" s="16"/>
      <c r="H812" s="14"/>
      <c r="I812" s="14"/>
      <c r="J812" s="15"/>
      <c r="K812" s="5" t="str">
        <f aca="false">IF($I812="","",1+IF($J812="",0,LEN($J812)-LEN(SUBSTITUTE($J812,",",""))+1))</f>
        <v/>
      </c>
      <c r="L812" s="14"/>
      <c r="M812" s="15"/>
      <c r="N812" s="17"/>
      <c r="O812" s="17"/>
      <c r="P812" s="5" t="str">
        <f aca="false">IF(OR($B812="",$C812=""),"",$C812-$B812+1)</f>
        <v/>
      </c>
      <c r="Q812" s="18"/>
      <c r="R812" s="12" t="str">
        <f aca="false">IF(OR($Q812="",$K812=""),"",$Q812*$K812)</f>
        <v/>
      </c>
      <c r="S812" s="14"/>
      <c r="T812" s="17"/>
      <c r="U812" s="15"/>
    </row>
    <row r="813" customFormat="false" ht="18.75" hidden="false" customHeight="true" outlineLevel="0" collapsed="false">
      <c r="A813" s="5" t="str">
        <f aca="false">IF($B813="","",COUNT($B$5:$B813))</f>
        <v/>
      </c>
      <c r="B813" s="6"/>
      <c r="C813" s="6"/>
      <c r="D813" s="7"/>
      <c r="E813" s="7"/>
      <c r="F813" s="8"/>
      <c r="G813" s="9"/>
      <c r="H813" s="7"/>
      <c r="I813" s="7"/>
      <c r="J813" s="8"/>
      <c r="K813" s="5" t="str">
        <f aca="false">IF($I813="","",1+IF($J813="",0,LEN($J813)-LEN(SUBSTITUTE($J813,",",""))+1))</f>
        <v/>
      </c>
      <c r="L813" s="7"/>
      <c r="M813" s="8"/>
      <c r="N813" s="10"/>
      <c r="O813" s="10"/>
      <c r="P813" s="5" t="str">
        <f aca="false">IF(OR($B813="",$C813=""),"",$C813-$B813+1)</f>
        <v/>
      </c>
      <c r="Q813" s="11"/>
      <c r="R813" s="12" t="str">
        <f aca="false">IF(OR($Q813="",$K813=""),"",$Q813*$K813)</f>
        <v/>
      </c>
      <c r="S813" s="7"/>
      <c r="T813" s="10"/>
      <c r="U813" s="8"/>
    </row>
    <row r="814" customFormat="false" ht="18.75" hidden="false" customHeight="true" outlineLevel="0" collapsed="false">
      <c r="A814" s="5" t="str">
        <f aca="false">IF($B814="","",COUNT($B$5:$B814))</f>
        <v/>
      </c>
      <c r="B814" s="13"/>
      <c r="C814" s="13"/>
      <c r="D814" s="14"/>
      <c r="E814" s="14"/>
      <c r="F814" s="15"/>
      <c r="G814" s="16"/>
      <c r="H814" s="14"/>
      <c r="I814" s="14"/>
      <c r="J814" s="15"/>
      <c r="K814" s="5" t="str">
        <f aca="false">IF($I814="","",1+IF($J814="",0,LEN($J814)-LEN(SUBSTITUTE($J814,",",""))+1))</f>
        <v/>
      </c>
      <c r="L814" s="14"/>
      <c r="M814" s="15"/>
      <c r="N814" s="17"/>
      <c r="O814" s="17"/>
      <c r="P814" s="5" t="str">
        <f aca="false">IF(OR($B814="",$C814=""),"",$C814-$B814+1)</f>
        <v/>
      </c>
      <c r="Q814" s="18"/>
      <c r="R814" s="12" t="str">
        <f aca="false">IF(OR($Q814="",$K814=""),"",$Q814*$K814)</f>
        <v/>
      </c>
      <c r="S814" s="14"/>
      <c r="T814" s="17"/>
      <c r="U814" s="15"/>
    </row>
    <row r="815" customFormat="false" ht="18.75" hidden="false" customHeight="true" outlineLevel="0" collapsed="false">
      <c r="A815" s="5" t="str">
        <f aca="false">IF($B815="","",COUNT($B$5:$B815))</f>
        <v/>
      </c>
      <c r="B815" s="6"/>
      <c r="C815" s="6"/>
      <c r="D815" s="7"/>
      <c r="E815" s="7"/>
      <c r="F815" s="8"/>
      <c r="G815" s="9"/>
      <c r="H815" s="7"/>
      <c r="I815" s="7"/>
      <c r="J815" s="8"/>
      <c r="K815" s="5" t="str">
        <f aca="false">IF($I815="","",1+IF($J815="",0,LEN($J815)-LEN(SUBSTITUTE($J815,",",""))+1))</f>
        <v/>
      </c>
      <c r="L815" s="7"/>
      <c r="M815" s="8"/>
      <c r="N815" s="10"/>
      <c r="O815" s="10"/>
      <c r="P815" s="5" t="str">
        <f aca="false">IF(OR($B815="",$C815=""),"",$C815-$B815+1)</f>
        <v/>
      </c>
      <c r="Q815" s="11"/>
      <c r="R815" s="12" t="str">
        <f aca="false">IF(OR($Q815="",$K815=""),"",$Q815*$K815)</f>
        <v/>
      </c>
      <c r="S815" s="7"/>
      <c r="T815" s="10"/>
      <c r="U815" s="8"/>
    </row>
    <row r="816" customFormat="false" ht="18.75" hidden="false" customHeight="true" outlineLevel="0" collapsed="false">
      <c r="A816" s="5" t="str">
        <f aca="false">IF($B816="","",COUNT($B$5:$B816))</f>
        <v/>
      </c>
      <c r="B816" s="13"/>
      <c r="C816" s="13"/>
      <c r="D816" s="14"/>
      <c r="E816" s="14"/>
      <c r="F816" s="15"/>
      <c r="G816" s="16"/>
      <c r="H816" s="14"/>
      <c r="I816" s="14"/>
      <c r="J816" s="15"/>
      <c r="K816" s="5" t="str">
        <f aca="false">IF($I816="","",1+IF($J816="",0,LEN($J816)-LEN(SUBSTITUTE($J816,",",""))+1))</f>
        <v/>
      </c>
      <c r="L816" s="14"/>
      <c r="M816" s="15"/>
      <c r="N816" s="17"/>
      <c r="O816" s="17"/>
      <c r="P816" s="5" t="str">
        <f aca="false">IF(OR($B816="",$C816=""),"",$C816-$B816+1)</f>
        <v/>
      </c>
      <c r="Q816" s="18"/>
      <c r="R816" s="12" t="str">
        <f aca="false">IF(OR($Q816="",$K816=""),"",$Q816*$K816)</f>
        <v/>
      </c>
      <c r="S816" s="14"/>
      <c r="T816" s="17"/>
      <c r="U816" s="15"/>
    </row>
    <row r="817" customFormat="false" ht="18.75" hidden="false" customHeight="true" outlineLevel="0" collapsed="false">
      <c r="A817" s="5" t="str">
        <f aca="false">IF($B817="","",COUNT($B$5:$B817))</f>
        <v/>
      </c>
      <c r="B817" s="6"/>
      <c r="C817" s="6"/>
      <c r="D817" s="7"/>
      <c r="E817" s="7"/>
      <c r="F817" s="8"/>
      <c r="G817" s="9"/>
      <c r="H817" s="7"/>
      <c r="I817" s="7"/>
      <c r="J817" s="8"/>
      <c r="K817" s="5" t="str">
        <f aca="false">IF($I817="","",1+IF($J817="",0,LEN($J817)-LEN(SUBSTITUTE($J817,",",""))+1))</f>
        <v/>
      </c>
      <c r="L817" s="7"/>
      <c r="M817" s="8"/>
      <c r="N817" s="10"/>
      <c r="O817" s="10"/>
      <c r="P817" s="5" t="str">
        <f aca="false">IF(OR($B817="",$C817=""),"",$C817-$B817+1)</f>
        <v/>
      </c>
      <c r="Q817" s="11"/>
      <c r="R817" s="12" t="str">
        <f aca="false">IF(OR($Q817="",$K817=""),"",$Q817*$K817)</f>
        <v/>
      </c>
      <c r="S817" s="7"/>
      <c r="T817" s="10"/>
      <c r="U817" s="8"/>
    </row>
    <row r="818" customFormat="false" ht="18.75" hidden="false" customHeight="true" outlineLevel="0" collapsed="false">
      <c r="A818" s="5" t="str">
        <f aca="false">IF($B818="","",COUNT($B$5:$B818))</f>
        <v/>
      </c>
      <c r="B818" s="13"/>
      <c r="C818" s="13"/>
      <c r="D818" s="14"/>
      <c r="E818" s="14"/>
      <c r="F818" s="15"/>
      <c r="G818" s="16"/>
      <c r="H818" s="14"/>
      <c r="I818" s="14"/>
      <c r="J818" s="15"/>
      <c r="K818" s="5" t="str">
        <f aca="false">IF($I818="","",1+IF($J818="",0,LEN($J818)-LEN(SUBSTITUTE($J818,",",""))+1))</f>
        <v/>
      </c>
      <c r="L818" s="14"/>
      <c r="M818" s="15"/>
      <c r="N818" s="17"/>
      <c r="O818" s="17"/>
      <c r="P818" s="5" t="str">
        <f aca="false">IF(OR($B818="",$C818=""),"",$C818-$B818+1)</f>
        <v/>
      </c>
      <c r="Q818" s="18"/>
      <c r="R818" s="12" t="str">
        <f aca="false">IF(OR($Q818="",$K818=""),"",$Q818*$K818)</f>
        <v/>
      </c>
      <c r="S818" s="14"/>
      <c r="T818" s="17"/>
      <c r="U818" s="15"/>
    </row>
    <row r="819" customFormat="false" ht="18.75" hidden="false" customHeight="true" outlineLevel="0" collapsed="false">
      <c r="A819" s="5" t="str">
        <f aca="false">IF($B819="","",COUNT($B$5:$B819))</f>
        <v/>
      </c>
      <c r="B819" s="6"/>
      <c r="C819" s="6"/>
      <c r="D819" s="7"/>
      <c r="E819" s="7"/>
      <c r="F819" s="8"/>
      <c r="G819" s="9"/>
      <c r="H819" s="7"/>
      <c r="I819" s="7"/>
      <c r="J819" s="8"/>
      <c r="K819" s="5" t="str">
        <f aca="false">IF($I819="","",1+IF($J819="",0,LEN($J819)-LEN(SUBSTITUTE($J819,",",""))+1))</f>
        <v/>
      </c>
      <c r="L819" s="7"/>
      <c r="M819" s="8"/>
      <c r="N819" s="10"/>
      <c r="O819" s="10"/>
      <c r="P819" s="5" t="str">
        <f aca="false">IF(OR($B819="",$C819=""),"",$C819-$B819+1)</f>
        <v/>
      </c>
      <c r="Q819" s="11"/>
      <c r="R819" s="12" t="str">
        <f aca="false">IF(OR($Q819="",$K819=""),"",$Q819*$K819)</f>
        <v/>
      </c>
      <c r="S819" s="7"/>
      <c r="T819" s="10"/>
      <c r="U819" s="8"/>
    </row>
    <row r="820" customFormat="false" ht="18.75" hidden="false" customHeight="true" outlineLevel="0" collapsed="false">
      <c r="A820" s="5" t="str">
        <f aca="false">IF($B820="","",COUNT($B$5:$B820))</f>
        <v/>
      </c>
      <c r="B820" s="13"/>
      <c r="C820" s="13"/>
      <c r="D820" s="14"/>
      <c r="E820" s="14"/>
      <c r="F820" s="15"/>
      <c r="G820" s="16"/>
      <c r="H820" s="14"/>
      <c r="I820" s="14"/>
      <c r="J820" s="15"/>
      <c r="K820" s="5" t="str">
        <f aca="false">IF($I820="","",1+IF($J820="",0,LEN($J820)-LEN(SUBSTITUTE($J820,",",""))+1))</f>
        <v/>
      </c>
      <c r="L820" s="14"/>
      <c r="M820" s="15"/>
      <c r="N820" s="17"/>
      <c r="O820" s="17"/>
      <c r="P820" s="5" t="str">
        <f aca="false">IF(OR($B820="",$C820=""),"",$C820-$B820+1)</f>
        <v/>
      </c>
      <c r="Q820" s="18"/>
      <c r="R820" s="12" t="str">
        <f aca="false">IF(OR($Q820="",$K820=""),"",$Q820*$K820)</f>
        <v/>
      </c>
      <c r="S820" s="14"/>
      <c r="T820" s="17"/>
      <c r="U820" s="15"/>
    </row>
    <row r="821" customFormat="false" ht="18.75" hidden="false" customHeight="true" outlineLevel="0" collapsed="false">
      <c r="A821" s="5" t="str">
        <f aca="false">IF($B821="","",COUNT($B$5:$B821))</f>
        <v/>
      </c>
      <c r="B821" s="6"/>
      <c r="C821" s="6"/>
      <c r="D821" s="7"/>
      <c r="E821" s="7"/>
      <c r="F821" s="8"/>
      <c r="G821" s="9"/>
      <c r="H821" s="7"/>
      <c r="I821" s="7"/>
      <c r="J821" s="8"/>
      <c r="K821" s="5" t="str">
        <f aca="false">IF($I821="","",1+IF($J821="",0,LEN($J821)-LEN(SUBSTITUTE($J821,",",""))+1))</f>
        <v/>
      </c>
      <c r="L821" s="7"/>
      <c r="M821" s="8"/>
      <c r="N821" s="10"/>
      <c r="O821" s="10"/>
      <c r="P821" s="5" t="str">
        <f aca="false">IF(OR($B821="",$C821=""),"",$C821-$B821+1)</f>
        <v/>
      </c>
      <c r="Q821" s="11"/>
      <c r="R821" s="12" t="str">
        <f aca="false">IF(OR($Q821="",$K821=""),"",$Q821*$K821)</f>
        <v/>
      </c>
      <c r="S821" s="7"/>
      <c r="T821" s="10"/>
      <c r="U821" s="8"/>
    </row>
    <row r="822" customFormat="false" ht="18.75" hidden="false" customHeight="true" outlineLevel="0" collapsed="false">
      <c r="A822" s="5" t="str">
        <f aca="false">IF($B822="","",COUNT($B$5:$B822))</f>
        <v/>
      </c>
      <c r="B822" s="13"/>
      <c r="C822" s="13"/>
      <c r="D822" s="14"/>
      <c r="E822" s="14"/>
      <c r="F822" s="15"/>
      <c r="G822" s="16"/>
      <c r="H822" s="14"/>
      <c r="I822" s="14"/>
      <c r="J822" s="15"/>
      <c r="K822" s="5" t="str">
        <f aca="false">IF($I822="","",1+IF($J822="",0,LEN($J822)-LEN(SUBSTITUTE($J822,",",""))+1))</f>
        <v/>
      </c>
      <c r="L822" s="14"/>
      <c r="M822" s="15"/>
      <c r="N822" s="17"/>
      <c r="O822" s="17"/>
      <c r="P822" s="5" t="str">
        <f aca="false">IF(OR($B822="",$C822=""),"",$C822-$B822+1)</f>
        <v/>
      </c>
      <c r="Q822" s="18"/>
      <c r="R822" s="12" t="str">
        <f aca="false">IF(OR($Q822="",$K822=""),"",$Q822*$K822)</f>
        <v/>
      </c>
      <c r="S822" s="14"/>
      <c r="T822" s="17"/>
      <c r="U822" s="15"/>
    </row>
    <row r="823" customFormat="false" ht="18.75" hidden="false" customHeight="true" outlineLevel="0" collapsed="false">
      <c r="A823" s="5" t="str">
        <f aca="false">IF($B823="","",COUNT($B$5:$B823))</f>
        <v/>
      </c>
      <c r="B823" s="6"/>
      <c r="C823" s="6"/>
      <c r="D823" s="7"/>
      <c r="E823" s="7"/>
      <c r="F823" s="8"/>
      <c r="G823" s="9"/>
      <c r="H823" s="7"/>
      <c r="I823" s="7"/>
      <c r="J823" s="8"/>
      <c r="K823" s="5" t="str">
        <f aca="false">IF($I823="","",1+IF($J823="",0,LEN($J823)-LEN(SUBSTITUTE($J823,",",""))+1))</f>
        <v/>
      </c>
      <c r="L823" s="7"/>
      <c r="M823" s="8"/>
      <c r="N823" s="10"/>
      <c r="O823" s="10"/>
      <c r="P823" s="5" t="str">
        <f aca="false">IF(OR($B823="",$C823=""),"",$C823-$B823+1)</f>
        <v/>
      </c>
      <c r="Q823" s="11"/>
      <c r="R823" s="12" t="str">
        <f aca="false">IF(OR($Q823="",$K823=""),"",$Q823*$K823)</f>
        <v/>
      </c>
      <c r="S823" s="7"/>
      <c r="T823" s="10"/>
      <c r="U823" s="8"/>
    </row>
    <row r="824" customFormat="false" ht="18.75" hidden="false" customHeight="true" outlineLevel="0" collapsed="false">
      <c r="A824" s="5" t="str">
        <f aca="false">IF($B824="","",COUNT($B$5:$B824))</f>
        <v/>
      </c>
      <c r="B824" s="13"/>
      <c r="C824" s="13"/>
      <c r="D824" s="14"/>
      <c r="E824" s="14"/>
      <c r="F824" s="15"/>
      <c r="G824" s="16"/>
      <c r="H824" s="14"/>
      <c r="I824" s="14"/>
      <c r="J824" s="15"/>
      <c r="K824" s="5" t="str">
        <f aca="false">IF($I824="","",1+IF($J824="",0,LEN($J824)-LEN(SUBSTITUTE($J824,",",""))+1))</f>
        <v/>
      </c>
      <c r="L824" s="14"/>
      <c r="M824" s="15"/>
      <c r="N824" s="17"/>
      <c r="O824" s="17"/>
      <c r="P824" s="5" t="str">
        <f aca="false">IF(OR($B824="",$C824=""),"",$C824-$B824+1)</f>
        <v/>
      </c>
      <c r="Q824" s="18"/>
      <c r="R824" s="12" t="str">
        <f aca="false">IF(OR($Q824="",$K824=""),"",$Q824*$K824)</f>
        <v/>
      </c>
      <c r="S824" s="14"/>
      <c r="T824" s="17"/>
      <c r="U824" s="15"/>
    </row>
    <row r="825" customFormat="false" ht="18.75" hidden="false" customHeight="true" outlineLevel="0" collapsed="false">
      <c r="A825" s="5" t="str">
        <f aca="false">IF($B825="","",COUNT($B$5:$B825))</f>
        <v/>
      </c>
      <c r="B825" s="6"/>
      <c r="C825" s="6"/>
      <c r="D825" s="7"/>
      <c r="E825" s="7"/>
      <c r="F825" s="8"/>
      <c r="G825" s="9"/>
      <c r="H825" s="7"/>
      <c r="I825" s="7"/>
      <c r="J825" s="8"/>
      <c r="K825" s="5" t="str">
        <f aca="false">IF($I825="","",1+IF($J825="",0,LEN($J825)-LEN(SUBSTITUTE($J825,",",""))+1))</f>
        <v/>
      </c>
      <c r="L825" s="7"/>
      <c r="M825" s="8"/>
      <c r="N825" s="10"/>
      <c r="O825" s="10"/>
      <c r="P825" s="5" t="str">
        <f aca="false">IF(OR($B825="",$C825=""),"",$C825-$B825+1)</f>
        <v/>
      </c>
      <c r="Q825" s="11"/>
      <c r="R825" s="12" t="str">
        <f aca="false">IF(OR($Q825="",$K825=""),"",$Q825*$K825)</f>
        <v/>
      </c>
      <c r="S825" s="7"/>
      <c r="T825" s="10"/>
      <c r="U825" s="8"/>
    </row>
    <row r="826" customFormat="false" ht="18.75" hidden="false" customHeight="true" outlineLevel="0" collapsed="false">
      <c r="A826" s="5" t="str">
        <f aca="false">IF($B826="","",COUNT($B$5:$B826))</f>
        <v/>
      </c>
      <c r="B826" s="13"/>
      <c r="C826" s="13"/>
      <c r="D826" s="14"/>
      <c r="E826" s="14"/>
      <c r="F826" s="15"/>
      <c r="G826" s="16"/>
      <c r="H826" s="14"/>
      <c r="I826" s="14"/>
      <c r="J826" s="15"/>
      <c r="K826" s="5" t="str">
        <f aca="false">IF($I826="","",1+IF($J826="",0,LEN($J826)-LEN(SUBSTITUTE($J826,",",""))+1))</f>
        <v/>
      </c>
      <c r="L826" s="14"/>
      <c r="M826" s="15"/>
      <c r="N826" s="17"/>
      <c r="O826" s="17"/>
      <c r="P826" s="5" t="str">
        <f aca="false">IF(OR($B826="",$C826=""),"",$C826-$B826+1)</f>
        <v/>
      </c>
      <c r="Q826" s="18"/>
      <c r="R826" s="12" t="str">
        <f aca="false">IF(OR($Q826="",$K826=""),"",$Q826*$K826)</f>
        <v/>
      </c>
      <c r="S826" s="14"/>
      <c r="T826" s="17"/>
      <c r="U826" s="15"/>
    </row>
    <row r="827" customFormat="false" ht="18.75" hidden="false" customHeight="true" outlineLevel="0" collapsed="false">
      <c r="A827" s="5" t="str">
        <f aca="false">IF($B827="","",COUNT($B$5:$B827))</f>
        <v/>
      </c>
      <c r="B827" s="6"/>
      <c r="C827" s="6"/>
      <c r="D827" s="7"/>
      <c r="E827" s="7"/>
      <c r="F827" s="8"/>
      <c r="G827" s="9"/>
      <c r="H827" s="7"/>
      <c r="I827" s="7"/>
      <c r="J827" s="8"/>
      <c r="K827" s="5" t="str">
        <f aca="false">IF($I827="","",1+IF($J827="",0,LEN($J827)-LEN(SUBSTITUTE($J827,",",""))+1))</f>
        <v/>
      </c>
      <c r="L827" s="7"/>
      <c r="M827" s="8"/>
      <c r="N827" s="10"/>
      <c r="O827" s="10"/>
      <c r="P827" s="5" t="str">
        <f aca="false">IF(OR($B827="",$C827=""),"",$C827-$B827+1)</f>
        <v/>
      </c>
      <c r="Q827" s="11"/>
      <c r="R827" s="12" t="str">
        <f aca="false">IF(OR($Q827="",$K827=""),"",$Q827*$K827)</f>
        <v/>
      </c>
      <c r="S827" s="7"/>
      <c r="T827" s="10"/>
      <c r="U827" s="8"/>
    </row>
    <row r="828" customFormat="false" ht="18.75" hidden="false" customHeight="true" outlineLevel="0" collapsed="false">
      <c r="A828" s="5" t="str">
        <f aca="false">IF($B828="","",COUNT($B$5:$B828))</f>
        <v/>
      </c>
      <c r="B828" s="13"/>
      <c r="C828" s="13"/>
      <c r="D828" s="14"/>
      <c r="E828" s="14"/>
      <c r="F828" s="15"/>
      <c r="G828" s="16"/>
      <c r="H828" s="14"/>
      <c r="I828" s="14"/>
      <c r="J828" s="15"/>
      <c r="K828" s="5" t="str">
        <f aca="false">IF($I828="","",1+IF($J828="",0,LEN($J828)-LEN(SUBSTITUTE($J828,",",""))+1))</f>
        <v/>
      </c>
      <c r="L828" s="14"/>
      <c r="M828" s="15"/>
      <c r="N828" s="17"/>
      <c r="O828" s="17"/>
      <c r="P828" s="5" t="str">
        <f aca="false">IF(OR($B828="",$C828=""),"",$C828-$B828+1)</f>
        <v/>
      </c>
      <c r="Q828" s="18"/>
      <c r="R828" s="12" t="str">
        <f aca="false">IF(OR($Q828="",$K828=""),"",$Q828*$K828)</f>
        <v/>
      </c>
      <c r="S828" s="14"/>
      <c r="T828" s="17"/>
      <c r="U828" s="15"/>
    </row>
    <row r="829" customFormat="false" ht="18.75" hidden="false" customHeight="true" outlineLevel="0" collapsed="false">
      <c r="A829" s="5" t="str">
        <f aca="false">IF($B829="","",COUNT($B$5:$B829))</f>
        <v/>
      </c>
      <c r="B829" s="6"/>
      <c r="C829" s="6"/>
      <c r="D829" s="7"/>
      <c r="E829" s="7"/>
      <c r="F829" s="8"/>
      <c r="G829" s="9"/>
      <c r="H829" s="7"/>
      <c r="I829" s="7"/>
      <c r="J829" s="8"/>
      <c r="K829" s="5" t="str">
        <f aca="false">IF($I829="","",1+IF($J829="",0,LEN($J829)-LEN(SUBSTITUTE($J829,",",""))+1))</f>
        <v/>
      </c>
      <c r="L829" s="7"/>
      <c r="M829" s="8"/>
      <c r="N829" s="10"/>
      <c r="O829" s="10"/>
      <c r="P829" s="5" t="str">
        <f aca="false">IF(OR($B829="",$C829=""),"",$C829-$B829+1)</f>
        <v/>
      </c>
      <c r="Q829" s="11"/>
      <c r="R829" s="12" t="str">
        <f aca="false">IF(OR($Q829="",$K829=""),"",$Q829*$K829)</f>
        <v/>
      </c>
      <c r="S829" s="7"/>
      <c r="T829" s="10"/>
      <c r="U829" s="8"/>
    </row>
    <row r="830" customFormat="false" ht="18.75" hidden="false" customHeight="true" outlineLevel="0" collapsed="false">
      <c r="A830" s="5" t="str">
        <f aca="false">IF($B830="","",COUNT($B$5:$B830))</f>
        <v/>
      </c>
      <c r="B830" s="13"/>
      <c r="C830" s="13"/>
      <c r="D830" s="14"/>
      <c r="E830" s="14"/>
      <c r="F830" s="15"/>
      <c r="G830" s="16"/>
      <c r="H830" s="14"/>
      <c r="I830" s="14"/>
      <c r="J830" s="15"/>
      <c r="K830" s="5" t="str">
        <f aca="false">IF($I830="","",1+IF($J830="",0,LEN($J830)-LEN(SUBSTITUTE($J830,",",""))+1))</f>
        <v/>
      </c>
      <c r="L830" s="14"/>
      <c r="M830" s="15"/>
      <c r="N830" s="17"/>
      <c r="O830" s="17"/>
      <c r="P830" s="5" t="str">
        <f aca="false">IF(OR($B830="",$C830=""),"",$C830-$B830+1)</f>
        <v/>
      </c>
      <c r="Q830" s="18"/>
      <c r="R830" s="12" t="str">
        <f aca="false">IF(OR($Q830="",$K830=""),"",$Q830*$K830)</f>
        <v/>
      </c>
      <c r="S830" s="14"/>
      <c r="T830" s="17"/>
      <c r="U830" s="15"/>
    </row>
    <row r="831" customFormat="false" ht="18.75" hidden="false" customHeight="true" outlineLevel="0" collapsed="false">
      <c r="A831" s="5" t="str">
        <f aca="false">IF($B831="","",COUNT($B$5:$B831))</f>
        <v/>
      </c>
      <c r="B831" s="6"/>
      <c r="C831" s="6"/>
      <c r="D831" s="7"/>
      <c r="E831" s="7"/>
      <c r="F831" s="8"/>
      <c r="G831" s="9"/>
      <c r="H831" s="7"/>
      <c r="I831" s="7"/>
      <c r="J831" s="8"/>
      <c r="K831" s="5" t="str">
        <f aca="false">IF($I831="","",1+IF($J831="",0,LEN($J831)-LEN(SUBSTITUTE($J831,",",""))+1))</f>
        <v/>
      </c>
      <c r="L831" s="7"/>
      <c r="M831" s="8"/>
      <c r="N831" s="10"/>
      <c r="O831" s="10"/>
      <c r="P831" s="5" t="str">
        <f aca="false">IF(OR($B831="",$C831=""),"",$C831-$B831+1)</f>
        <v/>
      </c>
      <c r="Q831" s="11"/>
      <c r="R831" s="12" t="str">
        <f aca="false">IF(OR($Q831="",$K831=""),"",$Q831*$K831)</f>
        <v/>
      </c>
      <c r="S831" s="7"/>
      <c r="T831" s="10"/>
      <c r="U831" s="8"/>
    </row>
    <row r="832" customFormat="false" ht="18.75" hidden="false" customHeight="true" outlineLevel="0" collapsed="false">
      <c r="A832" s="5" t="str">
        <f aca="false">IF($B832="","",COUNT($B$5:$B832))</f>
        <v/>
      </c>
      <c r="B832" s="13"/>
      <c r="C832" s="13"/>
      <c r="D832" s="14"/>
      <c r="E832" s="14"/>
      <c r="F832" s="15"/>
      <c r="G832" s="16"/>
      <c r="H832" s="14"/>
      <c r="I832" s="14"/>
      <c r="J832" s="15"/>
      <c r="K832" s="5" t="str">
        <f aca="false">IF($I832="","",1+IF($J832="",0,LEN($J832)-LEN(SUBSTITUTE($J832,",",""))+1))</f>
        <v/>
      </c>
      <c r="L832" s="14"/>
      <c r="M832" s="15"/>
      <c r="N832" s="17"/>
      <c r="O832" s="17"/>
      <c r="P832" s="5" t="str">
        <f aca="false">IF(OR($B832="",$C832=""),"",$C832-$B832+1)</f>
        <v/>
      </c>
      <c r="Q832" s="18"/>
      <c r="R832" s="12" t="str">
        <f aca="false">IF(OR($Q832="",$K832=""),"",$Q832*$K832)</f>
        <v/>
      </c>
      <c r="S832" s="14"/>
      <c r="T832" s="17"/>
      <c r="U832" s="15"/>
    </row>
    <row r="833" customFormat="false" ht="18.75" hidden="false" customHeight="true" outlineLevel="0" collapsed="false">
      <c r="A833" s="5" t="str">
        <f aca="false">IF($B833="","",COUNT($B$5:$B833))</f>
        <v/>
      </c>
      <c r="B833" s="6"/>
      <c r="C833" s="6"/>
      <c r="D833" s="7"/>
      <c r="E833" s="7"/>
      <c r="F833" s="8"/>
      <c r="G833" s="9"/>
      <c r="H833" s="7"/>
      <c r="I833" s="7"/>
      <c r="J833" s="8"/>
      <c r="K833" s="5" t="str">
        <f aca="false">IF($I833="","",1+IF($J833="",0,LEN($J833)-LEN(SUBSTITUTE($J833,",",""))+1))</f>
        <v/>
      </c>
      <c r="L833" s="7"/>
      <c r="M833" s="8"/>
      <c r="N833" s="10"/>
      <c r="O833" s="10"/>
      <c r="P833" s="5" t="str">
        <f aca="false">IF(OR($B833="",$C833=""),"",$C833-$B833+1)</f>
        <v/>
      </c>
      <c r="Q833" s="11"/>
      <c r="R833" s="12" t="str">
        <f aca="false">IF(OR($Q833="",$K833=""),"",$Q833*$K833)</f>
        <v/>
      </c>
      <c r="S833" s="7"/>
      <c r="T833" s="10"/>
      <c r="U833" s="8"/>
    </row>
    <row r="834" customFormat="false" ht="18.75" hidden="false" customHeight="true" outlineLevel="0" collapsed="false">
      <c r="A834" s="5" t="str">
        <f aca="false">IF($B834="","",COUNT($B$5:$B834))</f>
        <v/>
      </c>
      <c r="B834" s="13"/>
      <c r="C834" s="13"/>
      <c r="D834" s="14"/>
      <c r="E834" s="14"/>
      <c r="F834" s="15"/>
      <c r="G834" s="16"/>
      <c r="H834" s="14"/>
      <c r="I834" s="14"/>
      <c r="J834" s="15"/>
      <c r="K834" s="5" t="str">
        <f aca="false">IF($I834="","",1+IF($J834="",0,LEN($J834)-LEN(SUBSTITUTE($J834,",",""))+1))</f>
        <v/>
      </c>
      <c r="L834" s="14"/>
      <c r="M834" s="15"/>
      <c r="N834" s="17"/>
      <c r="O834" s="17"/>
      <c r="P834" s="5" t="str">
        <f aca="false">IF(OR($B834="",$C834=""),"",$C834-$B834+1)</f>
        <v/>
      </c>
      <c r="Q834" s="18"/>
      <c r="R834" s="12" t="str">
        <f aca="false">IF(OR($Q834="",$K834=""),"",$Q834*$K834)</f>
        <v/>
      </c>
      <c r="S834" s="14"/>
      <c r="T834" s="17"/>
      <c r="U834" s="15"/>
    </row>
    <row r="835" customFormat="false" ht="18.75" hidden="false" customHeight="true" outlineLevel="0" collapsed="false">
      <c r="A835" s="5" t="str">
        <f aca="false">IF($B835="","",COUNT($B$5:$B835))</f>
        <v/>
      </c>
      <c r="B835" s="6"/>
      <c r="C835" s="6"/>
      <c r="D835" s="7"/>
      <c r="E835" s="7"/>
      <c r="F835" s="8"/>
      <c r="G835" s="9"/>
      <c r="H835" s="7"/>
      <c r="I835" s="7"/>
      <c r="J835" s="8"/>
      <c r="K835" s="5" t="str">
        <f aca="false">IF($I835="","",1+IF($J835="",0,LEN($J835)-LEN(SUBSTITUTE($J835,",",""))+1))</f>
        <v/>
      </c>
      <c r="L835" s="7"/>
      <c r="M835" s="8"/>
      <c r="N835" s="10"/>
      <c r="O835" s="10"/>
      <c r="P835" s="5" t="str">
        <f aca="false">IF(OR($B835="",$C835=""),"",$C835-$B835+1)</f>
        <v/>
      </c>
      <c r="Q835" s="11"/>
      <c r="R835" s="12" t="str">
        <f aca="false">IF(OR($Q835="",$K835=""),"",$Q835*$K835)</f>
        <v/>
      </c>
      <c r="S835" s="7"/>
      <c r="T835" s="10"/>
      <c r="U835" s="8"/>
    </row>
    <row r="836" customFormat="false" ht="18.75" hidden="false" customHeight="true" outlineLevel="0" collapsed="false">
      <c r="A836" s="5" t="str">
        <f aca="false">IF($B836="","",COUNT($B$5:$B836))</f>
        <v/>
      </c>
      <c r="B836" s="13"/>
      <c r="C836" s="13"/>
      <c r="D836" s="14"/>
      <c r="E836" s="14"/>
      <c r="F836" s="15"/>
      <c r="G836" s="16"/>
      <c r="H836" s="14"/>
      <c r="I836" s="14"/>
      <c r="J836" s="15"/>
      <c r="K836" s="5" t="str">
        <f aca="false">IF($I836="","",1+IF($J836="",0,LEN($J836)-LEN(SUBSTITUTE($J836,",",""))+1))</f>
        <v/>
      </c>
      <c r="L836" s="14"/>
      <c r="M836" s="15"/>
      <c r="N836" s="17"/>
      <c r="O836" s="17"/>
      <c r="P836" s="5" t="str">
        <f aca="false">IF(OR($B836="",$C836=""),"",$C836-$B836+1)</f>
        <v/>
      </c>
      <c r="Q836" s="18"/>
      <c r="R836" s="12" t="str">
        <f aca="false">IF(OR($Q836="",$K836=""),"",$Q836*$K836)</f>
        <v/>
      </c>
      <c r="S836" s="14"/>
      <c r="T836" s="17"/>
      <c r="U836" s="15"/>
    </row>
    <row r="837" customFormat="false" ht="18.75" hidden="false" customHeight="true" outlineLevel="0" collapsed="false">
      <c r="A837" s="5" t="str">
        <f aca="false">IF($B837="","",COUNT($B$5:$B837))</f>
        <v/>
      </c>
      <c r="B837" s="6"/>
      <c r="C837" s="6"/>
      <c r="D837" s="7"/>
      <c r="E837" s="7"/>
      <c r="F837" s="8"/>
      <c r="G837" s="9"/>
      <c r="H837" s="7"/>
      <c r="I837" s="7"/>
      <c r="J837" s="8"/>
      <c r="K837" s="5" t="str">
        <f aca="false">IF($I837="","",1+IF($J837="",0,LEN($J837)-LEN(SUBSTITUTE($J837,",",""))+1))</f>
        <v/>
      </c>
      <c r="L837" s="7"/>
      <c r="M837" s="8"/>
      <c r="N837" s="10"/>
      <c r="O837" s="10"/>
      <c r="P837" s="5" t="str">
        <f aca="false">IF(OR($B837="",$C837=""),"",$C837-$B837+1)</f>
        <v/>
      </c>
      <c r="Q837" s="11"/>
      <c r="R837" s="12" t="str">
        <f aca="false">IF(OR($Q837="",$K837=""),"",$Q837*$K837)</f>
        <v/>
      </c>
      <c r="S837" s="7"/>
      <c r="T837" s="10"/>
      <c r="U837" s="8"/>
    </row>
    <row r="838" customFormat="false" ht="18.75" hidden="false" customHeight="true" outlineLevel="0" collapsed="false">
      <c r="A838" s="5" t="str">
        <f aca="false">IF($B838="","",COUNT($B$5:$B838))</f>
        <v/>
      </c>
      <c r="B838" s="13"/>
      <c r="C838" s="13"/>
      <c r="D838" s="14"/>
      <c r="E838" s="14"/>
      <c r="F838" s="15"/>
      <c r="G838" s="16"/>
      <c r="H838" s="14"/>
      <c r="I838" s="14"/>
      <c r="J838" s="15"/>
      <c r="K838" s="5" t="str">
        <f aca="false">IF($I838="","",1+IF($J838="",0,LEN($J838)-LEN(SUBSTITUTE($J838,",",""))+1))</f>
        <v/>
      </c>
      <c r="L838" s="14"/>
      <c r="M838" s="15"/>
      <c r="N838" s="17"/>
      <c r="O838" s="17"/>
      <c r="P838" s="5" t="str">
        <f aca="false">IF(OR($B838="",$C838=""),"",$C838-$B838+1)</f>
        <v/>
      </c>
      <c r="Q838" s="18"/>
      <c r="R838" s="12" t="str">
        <f aca="false">IF(OR($Q838="",$K838=""),"",$Q838*$K838)</f>
        <v/>
      </c>
      <c r="S838" s="14"/>
      <c r="T838" s="17"/>
      <c r="U838" s="15"/>
    </row>
    <row r="839" customFormat="false" ht="18.75" hidden="false" customHeight="true" outlineLevel="0" collapsed="false">
      <c r="A839" s="5" t="str">
        <f aca="false">IF($B839="","",COUNT($B$5:$B839))</f>
        <v/>
      </c>
      <c r="B839" s="6"/>
      <c r="C839" s="6"/>
      <c r="D839" s="7"/>
      <c r="E839" s="7"/>
      <c r="F839" s="8"/>
      <c r="G839" s="9"/>
      <c r="H839" s="7"/>
      <c r="I839" s="7"/>
      <c r="J839" s="8"/>
      <c r="K839" s="5" t="str">
        <f aca="false">IF($I839="","",1+IF($J839="",0,LEN($J839)-LEN(SUBSTITUTE($J839,",",""))+1))</f>
        <v/>
      </c>
      <c r="L839" s="7"/>
      <c r="M839" s="8"/>
      <c r="N839" s="10"/>
      <c r="O839" s="10"/>
      <c r="P839" s="5" t="str">
        <f aca="false">IF(OR($B839="",$C839=""),"",$C839-$B839+1)</f>
        <v/>
      </c>
      <c r="Q839" s="11"/>
      <c r="R839" s="12" t="str">
        <f aca="false">IF(OR($Q839="",$K839=""),"",$Q839*$K839)</f>
        <v/>
      </c>
      <c r="S839" s="7"/>
      <c r="T839" s="10"/>
      <c r="U839" s="8"/>
    </row>
    <row r="840" customFormat="false" ht="18.75" hidden="false" customHeight="true" outlineLevel="0" collapsed="false">
      <c r="A840" s="5" t="str">
        <f aca="false">IF($B840="","",COUNT($B$5:$B840))</f>
        <v/>
      </c>
      <c r="B840" s="13"/>
      <c r="C840" s="13"/>
      <c r="D840" s="14"/>
      <c r="E840" s="14"/>
      <c r="F840" s="15"/>
      <c r="G840" s="16"/>
      <c r="H840" s="14"/>
      <c r="I840" s="14"/>
      <c r="J840" s="15"/>
      <c r="K840" s="5" t="str">
        <f aca="false">IF($I840="","",1+IF($J840="",0,LEN($J840)-LEN(SUBSTITUTE($J840,",",""))+1))</f>
        <v/>
      </c>
      <c r="L840" s="14"/>
      <c r="M840" s="15"/>
      <c r="N840" s="17"/>
      <c r="O840" s="17"/>
      <c r="P840" s="5" t="str">
        <f aca="false">IF(OR($B840="",$C840=""),"",$C840-$B840+1)</f>
        <v/>
      </c>
      <c r="Q840" s="18"/>
      <c r="R840" s="12" t="str">
        <f aca="false">IF(OR($Q840="",$K840=""),"",$Q840*$K840)</f>
        <v/>
      </c>
      <c r="S840" s="14"/>
      <c r="T840" s="17"/>
      <c r="U840" s="15"/>
    </row>
    <row r="841" customFormat="false" ht="18.75" hidden="false" customHeight="true" outlineLevel="0" collapsed="false">
      <c r="A841" s="5" t="str">
        <f aca="false">IF($B841="","",COUNT($B$5:$B841))</f>
        <v/>
      </c>
      <c r="B841" s="6"/>
      <c r="C841" s="6"/>
      <c r="D841" s="7"/>
      <c r="E841" s="7"/>
      <c r="F841" s="8"/>
      <c r="G841" s="9"/>
      <c r="H841" s="7"/>
      <c r="I841" s="7"/>
      <c r="J841" s="8"/>
      <c r="K841" s="5" t="str">
        <f aca="false">IF($I841="","",1+IF($J841="",0,LEN($J841)-LEN(SUBSTITUTE($J841,",",""))+1))</f>
        <v/>
      </c>
      <c r="L841" s="7"/>
      <c r="M841" s="8"/>
      <c r="N841" s="10"/>
      <c r="O841" s="10"/>
      <c r="P841" s="5" t="str">
        <f aca="false">IF(OR($B841="",$C841=""),"",$C841-$B841+1)</f>
        <v/>
      </c>
      <c r="Q841" s="11"/>
      <c r="R841" s="12" t="str">
        <f aca="false">IF(OR($Q841="",$K841=""),"",$Q841*$K841)</f>
        <v/>
      </c>
      <c r="S841" s="7"/>
      <c r="T841" s="10"/>
      <c r="U841" s="8"/>
    </row>
    <row r="842" customFormat="false" ht="18.75" hidden="false" customHeight="true" outlineLevel="0" collapsed="false">
      <c r="A842" s="5" t="str">
        <f aca="false">IF($B842="","",COUNT($B$5:$B842))</f>
        <v/>
      </c>
      <c r="B842" s="13"/>
      <c r="C842" s="13"/>
      <c r="D842" s="14"/>
      <c r="E842" s="14"/>
      <c r="F842" s="15"/>
      <c r="G842" s="16"/>
      <c r="H842" s="14"/>
      <c r="I842" s="14"/>
      <c r="J842" s="15"/>
      <c r="K842" s="5" t="str">
        <f aca="false">IF($I842="","",1+IF($J842="",0,LEN($J842)-LEN(SUBSTITUTE($J842,",",""))+1))</f>
        <v/>
      </c>
      <c r="L842" s="14"/>
      <c r="M842" s="15"/>
      <c r="N842" s="17"/>
      <c r="O842" s="17"/>
      <c r="P842" s="5" t="str">
        <f aca="false">IF(OR($B842="",$C842=""),"",$C842-$B842+1)</f>
        <v/>
      </c>
      <c r="Q842" s="18"/>
      <c r="R842" s="12" t="str">
        <f aca="false">IF(OR($Q842="",$K842=""),"",$Q842*$K842)</f>
        <v/>
      </c>
      <c r="S842" s="14"/>
      <c r="T842" s="17"/>
      <c r="U842" s="15"/>
    </row>
    <row r="843" customFormat="false" ht="18.75" hidden="false" customHeight="true" outlineLevel="0" collapsed="false">
      <c r="A843" s="5" t="str">
        <f aca="false">IF($B843="","",COUNT($B$5:$B843))</f>
        <v/>
      </c>
      <c r="B843" s="6"/>
      <c r="C843" s="6"/>
      <c r="D843" s="7"/>
      <c r="E843" s="7"/>
      <c r="F843" s="8"/>
      <c r="G843" s="9"/>
      <c r="H843" s="7"/>
      <c r="I843" s="7"/>
      <c r="J843" s="8"/>
      <c r="K843" s="5" t="str">
        <f aca="false">IF($I843="","",1+IF($J843="",0,LEN($J843)-LEN(SUBSTITUTE($J843,",",""))+1))</f>
        <v/>
      </c>
      <c r="L843" s="7"/>
      <c r="M843" s="8"/>
      <c r="N843" s="10"/>
      <c r="O843" s="10"/>
      <c r="P843" s="5" t="str">
        <f aca="false">IF(OR($B843="",$C843=""),"",$C843-$B843+1)</f>
        <v/>
      </c>
      <c r="Q843" s="11"/>
      <c r="R843" s="12" t="str">
        <f aca="false">IF(OR($Q843="",$K843=""),"",$Q843*$K843)</f>
        <v/>
      </c>
      <c r="S843" s="7"/>
      <c r="T843" s="10"/>
      <c r="U843" s="8"/>
    </row>
    <row r="844" customFormat="false" ht="18.75" hidden="false" customHeight="true" outlineLevel="0" collapsed="false">
      <c r="A844" s="5" t="str">
        <f aca="false">IF($B844="","",COUNT($B$5:$B844))</f>
        <v/>
      </c>
      <c r="B844" s="13"/>
      <c r="C844" s="13"/>
      <c r="D844" s="14"/>
      <c r="E844" s="14"/>
      <c r="F844" s="15"/>
      <c r="G844" s="16"/>
      <c r="H844" s="14"/>
      <c r="I844" s="14"/>
      <c r="J844" s="15"/>
      <c r="K844" s="5" t="str">
        <f aca="false">IF($I844="","",1+IF($J844="",0,LEN($J844)-LEN(SUBSTITUTE($J844,",",""))+1))</f>
        <v/>
      </c>
      <c r="L844" s="14"/>
      <c r="M844" s="15"/>
      <c r="N844" s="17"/>
      <c r="O844" s="17"/>
      <c r="P844" s="5" t="str">
        <f aca="false">IF(OR($B844="",$C844=""),"",$C844-$B844+1)</f>
        <v/>
      </c>
      <c r="Q844" s="18"/>
      <c r="R844" s="12" t="str">
        <f aca="false">IF(OR($Q844="",$K844=""),"",$Q844*$K844)</f>
        <v/>
      </c>
      <c r="S844" s="14"/>
      <c r="T844" s="17"/>
      <c r="U844" s="15"/>
    </row>
    <row r="845" customFormat="false" ht="18.75" hidden="false" customHeight="true" outlineLevel="0" collapsed="false">
      <c r="A845" s="5" t="str">
        <f aca="false">IF($B845="","",COUNT($B$5:$B845))</f>
        <v/>
      </c>
      <c r="B845" s="6"/>
      <c r="C845" s="6"/>
      <c r="D845" s="7"/>
      <c r="E845" s="7"/>
      <c r="F845" s="8"/>
      <c r="G845" s="9"/>
      <c r="H845" s="7"/>
      <c r="I845" s="7"/>
      <c r="J845" s="8"/>
      <c r="K845" s="5" t="str">
        <f aca="false">IF($I845="","",1+IF($J845="",0,LEN($J845)-LEN(SUBSTITUTE($J845,",",""))+1))</f>
        <v/>
      </c>
      <c r="L845" s="7"/>
      <c r="M845" s="8"/>
      <c r="N845" s="10"/>
      <c r="O845" s="10"/>
      <c r="P845" s="5" t="str">
        <f aca="false">IF(OR($B845="",$C845=""),"",$C845-$B845+1)</f>
        <v/>
      </c>
      <c r="Q845" s="11"/>
      <c r="R845" s="12" t="str">
        <f aca="false">IF(OR($Q845="",$K845=""),"",$Q845*$K845)</f>
        <v/>
      </c>
      <c r="S845" s="7"/>
      <c r="T845" s="10"/>
      <c r="U845" s="8"/>
    </row>
    <row r="846" customFormat="false" ht="18.75" hidden="false" customHeight="true" outlineLevel="0" collapsed="false">
      <c r="A846" s="5" t="str">
        <f aca="false">IF($B846="","",COUNT($B$5:$B846))</f>
        <v/>
      </c>
      <c r="B846" s="13"/>
      <c r="C846" s="13"/>
      <c r="D846" s="14"/>
      <c r="E846" s="14"/>
      <c r="F846" s="15"/>
      <c r="G846" s="16"/>
      <c r="H846" s="14"/>
      <c r="I846" s="14"/>
      <c r="J846" s="15"/>
      <c r="K846" s="5" t="str">
        <f aca="false">IF($I846="","",1+IF($J846="",0,LEN($J846)-LEN(SUBSTITUTE($J846,",",""))+1))</f>
        <v/>
      </c>
      <c r="L846" s="14"/>
      <c r="M846" s="15"/>
      <c r="N846" s="17"/>
      <c r="O846" s="17"/>
      <c r="P846" s="5" t="str">
        <f aca="false">IF(OR($B846="",$C846=""),"",$C846-$B846+1)</f>
        <v/>
      </c>
      <c r="Q846" s="18"/>
      <c r="R846" s="12" t="str">
        <f aca="false">IF(OR($Q846="",$K846=""),"",$Q846*$K846)</f>
        <v/>
      </c>
      <c r="S846" s="14"/>
      <c r="T846" s="17"/>
      <c r="U846" s="15"/>
    </row>
    <row r="847" customFormat="false" ht="18.75" hidden="false" customHeight="true" outlineLevel="0" collapsed="false">
      <c r="A847" s="5" t="str">
        <f aca="false">IF($B847="","",COUNT($B$5:$B847))</f>
        <v/>
      </c>
      <c r="B847" s="6"/>
      <c r="C847" s="6"/>
      <c r="D847" s="7"/>
      <c r="E847" s="7"/>
      <c r="F847" s="8"/>
      <c r="G847" s="9"/>
      <c r="H847" s="7"/>
      <c r="I847" s="7"/>
      <c r="J847" s="8"/>
      <c r="K847" s="5" t="str">
        <f aca="false">IF($I847="","",1+IF($J847="",0,LEN($J847)-LEN(SUBSTITUTE($J847,",",""))+1))</f>
        <v/>
      </c>
      <c r="L847" s="7"/>
      <c r="M847" s="8"/>
      <c r="N847" s="10"/>
      <c r="O847" s="10"/>
      <c r="P847" s="5" t="str">
        <f aca="false">IF(OR($B847="",$C847=""),"",$C847-$B847+1)</f>
        <v/>
      </c>
      <c r="Q847" s="11"/>
      <c r="R847" s="12" t="str">
        <f aca="false">IF(OR($Q847="",$K847=""),"",$Q847*$K847)</f>
        <v/>
      </c>
      <c r="S847" s="7"/>
      <c r="T847" s="10"/>
      <c r="U847" s="8"/>
    </row>
    <row r="848" customFormat="false" ht="18.75" hidden="false" customHeight="true" outlineLevel="0" collapsed="false">
      <c r="A848" s="5" t="str">
        <f aca="false">IF($B848="","",COUNT($B$5:$B848))</f>
        <v/>
      </c>
      <c r="B848" s="13"/>
      <c r="C848" s="13"/>
      <c r="D848" s="14"/>
      <c r="E848" s="14"/>
      <c r="F848" s="15"/>
      <c r="G848" s="16"/>
      <c r="H848" s="14"/>
      <c r="I848" s="14"/>
      <c r="J848" s="15"/>
      <c r="K848" s="5" t="str">
        <f aca="false">IF($I848="","",1+IF($J848="",0,LEN($J848)-LEN(SUBSTITUTE($J848,",",""))+1))</f>
        <v/>
      </c>
      <c r="L848" s="14"/>
      <c r="M848" s="15"/>
      <c r="N848" s="17"/>
      <c r="O848" s="17"/>
      <c r="P848" s="5" t="str">
        <f aca="false">IF(OR($B848="",$C848=""),"",$C848-$B848+1)</f>
        <v/>
      </c>
      <c r="Q848" s="18"/>
      <c r="R848" s="12" t="str">
        <f aca="false">IF(OR($Q848="",$K848=""),"",$Q848*$K848)</f>
        <v/>
      </c>
      <c r="S848" s="14"/>
      <c r="T848" s="17"/>
      <c r="U848" s="15"/>
    </row>
    <row r="849" customFormat="false" ht="18.75" hidden="false" customHeight="true" outlineLevel="0" collapsed="false">
      <c r="A849" s="5" t="str">
        <f aca="false">IF($B849="","",COUNT($B$5:$B849))</f>
        <v/>
      </c>
      <c r="B849" s="6"/>
      <c r="C849" s="6"/>
      <c r="D849" s="7"/>
      <c r="E849" s="7"/>
      <c r="F849" s="8"/>
      <c r="G849" s="9"/>
      <c r="H849" s="7"/>
      <c r="I849" s="7"/>
      <c r="J849" s="8"/>
      <c r="K849" s="5" t="str">
        <f aca="false">IF($I849="","",1+IF($J849="",0,LEN($J849)-LEN(SUBSTITUTE($J849,",",""))+1))</f>
        <v/>
      </c>
      <c r="L849" s="7"/>
      <c r="M849" s="8"/>
      <c r="N849" s="10"/>
      <c r="O849" s="10"/>
      <c r="P849" s="5" t="str">
        <f aca="false">IF(OR($B849="",$C849=""),"",$C849-$B849+1)</f>
        <v/>
      </c>
      <c r="Q849" s="11"/>
      <c r="R849" s="12" t="str">
        <f aca="false">IF(OR($Q849="",$K849=""),"",$Q849*$K849)</f>
        <v/>
      </c>
      <c r="S849" s="7"/>
      <c r="T849" s="10"/>
      <c r="U849" s="8"/>
    </row>
    <row r="850" customFormat="false" ht="18.75" hidden="false" customHeight="true" outlineLevel="0" collapsed="false">
      <c r="A850" s="5" t="str">
        <f aca="false">IF($B850="","",COUNT($B$5:$B850))</f>
        <v/>
      </c>
      <c r="B850" s="13"/>
      <c r="C850" s="13"/>
      <c r="D850" s="14"/>
      <c r="E850" s="14"/>
      <c r="F850" s="15"/>
      <c r="G850" s="16"/>
      <c r="H850" s="14"/>
      <c r="I850" s="14"/>
      <c r="J850" s="15"/>
      <c r="K850" s="5" t="str">
        <f aca="false">IF($I850="","",1+IF($J850="",0,LEN($J850)-LEN(SUBSTITUTE($J850,",",""))+1))</f>
        <v/>
      </c>
      <c r="L850" s="14"/>
      <c r="M850" s="15"/>
      <c r="N850" s="17"/>
      <c r="O850" s="17"/>
      <c r="P850" s="5" t="str">
        <f aca="false">IF(OR($B850="",$C850=""),"",$C850-$B850+1)</f>
        <v/>
      </c>
      <c r="Q850" s="18"/>
      <c r="R850" s="12" t="str">
        <f aca="false">IF(OR($Q850="",$K850=""),"",$Q850*$K850)</f>
        <v/>
      </c>
      <c r="S850" s="14"/>
      <c r="T850" s="17"/>
      <c r="U850" s="15"/>
    </row>
    <row r="851" customFormat="false" ht="18.75" hidden="false" customHeight="true" outlineLevel="0" collapsed="false">
      <c r="A851" s="5" t="str">
        <f aca="false">IF($B851="","",COUNT($B$5:$B851))</f>
        <v/>
      </c>
      <c r="B851" s="6"/>
      <c r="C851" s="6"/>
      <c r="D851" s="7"/>
      <c r="E851" s="7"/>
      <c r="F851" s="8"/>
      <c r="G851" s="9"/>
      <c r="H851" s="7"/>
      <c r="I851" s="7"/>
      <c r="J851" s="8"/>
      <c r="K851" s="5" t="str">
        <f aca="false">IF($I851="","",1+IF($J851="",0,LEN($J851)-LEN(SUBSTITUTE($J851,",",""))+1))</f>
        <v/>
      </c>
      <c r="L851" s="7"/>
      <c r="M851" s="8"/>
      <c r="N851" s="10"/>
      <c r="O851" s="10"/>
      <c r="P851" s="5" t="str">
        <f aca="false">IF(OR($B851="",$C851=""),"",$C851-$B851+1)</f>
        <v/>
      </c>
      <c r="Q851" s="11"/>
      <c r="R851" s="12" t="str">
        <f aca="false">IF(OR($Q851="",$K851=""),"",$Q851*$K851)</f>
        <v/>
      </c>
      <c r="S851" s="7"/>
      <c r="T851" s="10"/>
      <c r="U851" s="8"/>
    </row>
    <row r="852" customFormat="false" ht="18.75" hidden="false" customHeight="true" outlineLevel="0" collapsed="false">
      <c r="A852" s="5" t="str">
        <f aca="false">IF($B852="","",COUNT($B$5:$B852))</f>
        <v/>
      </c>
      <c r="B852" s="13"/>
      <c r="C852" s="13"/>
      <c r="D852" s="14"/>
      <c r="E852" s="14"/>
      <c r="F852" s="15"/>
      <c r="G852" s="16"/>
      <c r="H852" s="14"/>
      <c r="I852" s="14"/>
      <c r="J852" s="15"/>
      <c r="K852" s="5" t="str">
        <f aca="false">IF($I852="","",1+IF($J852="",0,LEN($J852)-LEN(SUBSTITUTE($J852,",",""))+1))</f>
        <v/>
      </c>
      <c r="L852" s="14"/>
      <c r="M852" s="15"/>
      <c r="N852" s="17"/>
      <c r="O852" s="17"/>
      <c r="P852" s="5" t="str">
        <f aca="false">IF(OR($B852="",$C852=""),"",$C852-$B852+1)</f>
        <v/>
      </c>
      <c r="Q852" s="18"/>
      <c r="R852" s="12" t="str">
        <f aca="false">IF(OR($Q852="",$K852=""),"",$Q852*$K852)</f>
        <v/>
      </c>
      <c r="S852" s="14"/>
      <c r="T852" s="17"/>
      <c r="U852" s="15"/>
    </row>
    <row r="853" customFormat="false" ht="18.75" hidden="false" customHeight="true" outlineLevel="0" collapsed="false">
      <c r="A853" s="5" t="str">
        <f aca="false">IF($B853="","",COUNT($B$5:$B853))</f>
        <v/>
      </c>
      <c r="B853" s="6"/>
      <c r="C853" s="6"/>
      <c r="D853" s="7"/>
      <c r="E853" s="7"/>
      <c r="F853" s="8"/>
      <c r="G853" s="9"/>
      <c r="H853" s="7"/>
      <c r="I853" s="7"/>
      <c r="J853" s="8"/>
      <c r="K853" s="5" t="str">
        <f aca="false">IF($I853="","",1+IF($J853="",0,LEN($J853)-LEN(SUBSTITUTE($J853,",",""))+1))</f>
        <v/>
      </c>
      <c r="L853" s="7"/>
      <c r="M853" s="8"/>
      <c r="N853" s="10"/>
      <c r="O853" s="10"/>
      <c r="P853" s="5" t="str">
        <f aca="false">IF(OR($B853="",$C853=""),"",$C853-$B853+1)</f>
        <v/>
      </c>
      <c r="Q853" s="11"/>
      <c r="R853" s="12" t="str">
        <f aca="false">IF(OR($Q853="",$K853=""),"",$Q853*$K853)</f>
        <v/>
      </c>
      <c r="S853" s="7"/>
      <c r="T853" s="10"/>
      <c r="U853" s="8"/>
    </row>
    <row r="854" customFormat="false" ht="18.75" hidden="false" customHeight="true" outlineLevel="0" collapsed="false">
      <c r="A854" s="5" t="str">
        <f aca="false">IF($B854="","",COUNT($B$5:$B854))</f>
        <v/>
      </c>
      <c r="B854" s="13"/>
      <c r="C854" s="13"/>
      <c r="D854" s="14"/>
      <c r="E854" s="14"/>
      <c r="F854" s="15"/>
      <c r="G854" s="16"/>
      <c r="H854" s="14"/>
      <c r="I854" s="14"/>
      <c r="J854" s="15"/>
      <c r="K854" s="5" t="str">
        <f aca="false">IF($I854="","",1+IF($J854="",0,LEN($J854)-LEN(SUBSTITUTE($J854,",",""))+1))</f>
        <v/>
      </c>
      <c r="L854" s="14"/>
      <c r="M854" s="15"/>
      <c r="N854" s="17"/>
      <c r="O854" s="17"/>
      <c r="P854" s="5" t="str">
        <f aca="false">IF(OR($B854="",$C854=""),"",$C854-$B854+1)</f>
        <v/>
      </c>
      <c r="Q854" s="18"/>
      <c r="R854" s="12" t="str">
        <f aca="false">IF(OR($Q854="",$K854=""),"",$Q854*$K854)</f>
        <v/>
      </c>
      <c r="S854" s="14"/>
      <c r="T854" s="17"/>
      <c r="U854" s="15"/>
    </row>
    <row r="855" customFormat="false" ht="18.75" hidden="false" customHeight="true" outlineLevel="0" collapsed="false">
      <c r="A855" s="5" t="str">
        <f aca="false">IF($B855="","",COUNT($B$5:$B855))</f>
        <v/>
      </c>
      <c r="B855" s="6"/>
      <c r="C855" s="6"/>
      <c r="D855" s="7"/>
      <c r="E855" s="7"/>
      <c r="F855" s="8"/>
      <c r="G855" s="9"/>
      <c r="H855" s="7"/>
      <c r="I855" s="7"/>
      <c r="J855" s="8"/>
      <c r="K855" s="5" t="str">
        <f aca="false">IF($I855="","",1+IF($J855="",0,LEN($J855)-LEN(SUBSTITUTE($J855,",",""))+1))</f>
        <v/>
      </c>
      <c r="L855" s="7"/>
      <c r="M855" s="8"/>
      <c r="N855" s="10"/>
      <c r="O855" s="10"/>
      <c r="P855" s="5" t="str">
        <f aca="false">IF(OR($B855="",$C855=""),"",$C855-$B855+1)</f>
        <v/>
      </c>
      <c r="Q855" s="11"/>
      <c r="R855" s="12" t="str">
        <f aca="false">IF(OR($Q855="",$K855=""),"",$Q855*$K855)</f>
        <v/>
      </c>
      <c r="S855" s="7"/>
      <c r="T855" s="10"/>
      <c r="U855" s="8"/>
    </row>
    <row r="856" customFormat="false" ht="18.75" hidden="false" customHeight="true" outlineLevel="0" collapsed="false">
      <c r="A856" s="5" t="str">
        <f aca="false">IF($B856="","",COUNT($B$5:$B856))</f>
        <v/>
      </c>
      <c r="B856" s="13"/>
      <c r="C856" s="13"/>
      <c r="D856" s="14"/>
      <c r="E856" s="14"/>
      <c r="F856" s="15"/>
      <c r="G856" s="16"/>
      <c r="H856" s="14"/>
      <c r="I856" s="14"/>
      <c r="J856" s="15"/>
      <c r="K856" s="5" t="str">
        <f aca="false">IF($I856="","",1+IF($J856="",0,LEN($J856)-LEN(SUBSTITUTE($J856,",",""))+1))</f>
        <v/>
      </c>
      <c r="L856" s="14"/>
      <c r="M856" s="15"/>
      <c r="N856" s="17"/>
      <c r="O856" s="17"/>
      <c r="P856" s="5" t="str">
        <f aca="false">IF(OR($B856="",$C856=""),"",$C856-$B856+1)</f>
        <v/>
      </c>
      <c r="Q856" s="18"/>
      <c r="R856" s="12" t="str">
        <f aca="false">IF(OR($Q856="",$K856=""),"",$Q856*$K856)</f>
        <v/>
      </c>
      <c r="S856" s="14"/>
      <c r="T856" s="17"/>
      <c r="U856" s="15"/>
    </row>
    <row r="857" customFormat="false" ht="18.75" hidden="false" customHeight="true" outlineLevel="0" collapsed="false">
      <c r="A857" s="5" t="str">
        <f aca="false">IF($B857="","",COUNT($B$5:$B857))</f>
        <v/>
      </c>
      <c r="B857" s="6"/>
      <c r="C857" s="6"/>
      <c r="D857" s="7"/>
      <c r="E857" s="7"/>
      <c r="F857" s="8"/>
      <c r="G857" s="9"/>
      <c r="H857" s="7"/>
      <c r="I857" s="7"/>
      <c r="J857" s="8"/>
      <c r="K857" s="5" t="str">
        <f aca="false">IF($I857="","",1+IF($J857="",0,LEN($J857)-LEN(SUBSTITUTE($J857,",",""))+1))</f>
        <v/>
      </c>
      <c r="L857" s="7"/>
      <c r="M857" s="8"/>
      <c r="N857" s="10"/>
      <c r="O857" s="10"/>
      <c r="P857" s="5" t="str">
        <f aca="false">IF(OR($B857="",$C857=""),"",$C857-$B857+1)</f>
        <v/>
      </c>
      <c r="Q857" s="11"/>
      <c r="R857" s="12" t="str">
        <f aca="false">IF(OR($Q857="",$K857=""),"",$Q857*$K857)</f>
        <v/>
      </c>
      <c r="S857" s="7"/>
      <c r="T857" s="10"/>
      <c r="U857" s="8"/>
    </row>
    <row r="858" customFormat="false" ht="18.75" hidden="false" customHeight="true" outlineLevel="0" collapsed="false">
      <c r="A858" s="5" t="str">
        <f aca="false">IF($B858="","",COUNT($B$5:$B858))</f>
        <v/>
      </c>
      <c r="B858" s="13"/>
      <c r="C858" s="13"/>
      <c r="D858" s="14"/>
      <c r="E858" s="14"/>
      <c r="F858" s="15"/>
      <c r="G858" s="16"/>
      <c r="H858" s="14"/>
      <c r="I858" s="14"/>
      <c r="J858" s="15"/>
      <c r="K858" s="5" t="str">
        <f aca="false">IF($I858="","",1+IF($J858="",0,LEN($J858)-LEN(SUBSTITUTE($J858,",",""))+1))</f>
        <v/>
      </c>
      <c r="L858" s="14"/>
      <c r="M858" s="15"/>
      <c r="N858" s="17"/>
      <c r="O858" s="17"/>
      <c r="P858" s="5" t="str">
        <f aca="false">IF(OR($B858="",$C858=""),"",$C858-$B858+1)</f>
        <v/>
      </c>
      <c r="Q858" s="18"/>
      <c r="R858" s="12" t="str">
        <f aca="false">IF(OR($Q858="",$K858=""),"",$Q858*$K858)</f>
        <v/>
      </c>
      <c r="S858" s="14"/>
      <c r="T858" s="17"/>
      <c r="U858" s="15"/>
    </row>
    <row r="859" customFormat="false" ht="18.75" hidden="false" customHeight="true" outlineLevel="0" collapsed="false">
      <c r="A859" s="5" t="str">
        <f aca="false">IF($B859="","",COUNT($B$5:$B859))</f>
        <v/>
      </c>
      <c r="B859" s="6"/>
      <c r="C859" s="6"/>
      <c r="D859" s="7"/>
      <c r="E859" s="7"/>
      <c r="F859" s="8"/>
      <c r="G859" s="9"/>
      <c r="H859" s="7"/>
      <c r="I859" s="7"/>
      <c r="J859" s="8"/>
      <c r="K859" s="5" t="str">
        <f aca="false">IF($I859="","",1+IF($J859="",0,LEN($J859)-LEN(SUBSTITUTE($J859,",",""))+1))</f>
        <v/>
      </c>
      <c r="L859" s="7"/>
      <c r="M859" s="8"/>
      <c r="N859" s="10"/>
      <c r="O859" s="10"/>
      <c r="P859" s="5" t="str">
        <f aca="false">IF(OR($B859="",$C859=""),"",$C859-$B859+1)</f>
        <v/>
      </c>
      <c r="Q859" s="11"/>
      <c r="R859" s="12" t="str">
        <f aca="false">IF(OR($Q859="",$K859=""),"",$Q859*$K859)</f>
        <v/>
      </c>
      <c r="S859" s="7"/>
      <c r="T859" s="10"/>
      <c r="U859" s="8"/>
    </row>
    <row r="860" customFormat="false" ht="18.75" hidden="false" customHeight="true" outlineLevel="0" collapsed="false">
      <c r="A860" s="5" t="str">
        <f aca="false">IF($B860="","",COUNT($B$5:$B860))</f>
        <v/>
      </c>
      <c r="B860" s="13"/>
      <c r="C860" s="13"/>
      <c r="D860" s="14"/>
      <c r="E860" s="14"/>
      <c r="F860" s="15"/>
      <c r="G860" s="16"/>
      <c r="H860" s="14"/>
      <c r="I860" s="14"/>
      <c r="J860" s="15"/>
      <c r="K860" s="5" t="str">
        <f aca="false">IF($I860="","",1+IF($J860="",0,LEN($J860)-LEN(SUBSTITUTE($J860,",",""))+1))</f>
        <v/>
      </c>
      <c r="L860" s="14"/>
      <c r="M860" s="15"/>
      <c r="N860" s="17"/>
      <c r="O860" s="17"/>
      <c r="P860" s="5" t="str">
        <f aca="false">IF(OR($B860="",$C860=""),"",$C860-$B860+1)</f>
        <v/>
      </c>
      <c r="Q860" s="18"/>
      <c r="R860" s="12" t="str">
        <f aca="false">IF(OR($Q860="",$K860=""),"",$Q860*$K860)</f>
        <v/>
      </c>
      <c r="S860" s="14"/>
      <c r="T860" s="17"/>
      <c r="U860" s="15"/>
    </row>
    <row r="861" customFormat="false" ht="18.75" hidden="false" customHeight="true" outlineLevel="0" collapsed="false">
      <c r="A861" s="5" t="str">
        <f aca="false">IF($B861="","",COUNT($B$5:$B861))</f>
        <v/>
      </c>
      <c r="B861" s="6"/>
      <c r="C861" s="6"/>
      <c r="D861" s="7"/>
      <c r="E861" s="7"/>
      <c r="F861" s="8"/>
      <c r="G861" s="9"/>
      <c r="H861" s="7"/>
      <c r="I861" s="7"/>
      <c r="J861" s="8"/>
      <c r="K861" s="5" t="str">
        <f aca="false">IF($I861="","",1+IF($J861="",0,LEN($J861)-LEN(SUBSTITUTE($J861,",",""))+1))</f>
        <v/>
      </c>
      <c r="L861" s="7"/>
      <c r="M861" s="8"/>
      <c r="N861" s="10"/>
      <c r="O861" s="10"/>
      <c r="P861" s="5" t="str">
        <f aca="false">IF(OR($B861="",$C861=""),"",$C861-$B861+1)</f>
        <v/>
      </c>
      <c r="Q861" s="11"/>
      <c r="R861" s="12" t="str">
        <f aca="false">IF(OR($Q861="",$K861=""),"",$Q861*$K861)</f>
        <v/>
      </c>
      <c r="S861" s="7"/>
      <c r="T861" s="10"/>
      <c r="U861" s="8"/>
    </row>
    <row r="862" customFormat="false" ht="18.75" hidden="false" customHeight="true" outlineLevel="0" collapsed="false">
      <c r="A862" s="5" t="str">
        <f aca="false">IF($B862="","",COUNT($B$5:$B862))</f>
        <v/>
      </c>
      <c r="B862" s="13"/>
      <c r="C862" s="13"/>
      <c r="D862" s="14"/>
      <c r="E862" s="14"/>
      <c r="F862" s="15"/>
      <c r="G862" s="16"/>
      <c r="H862" s="14"/>
      <c r="I862" s="14"/>
      <c r="J862" s="15"/>
      <c r="K862" s="5" t="str">
        <f aca="false">IF($I862="","",1+IF($J862="",0,LEN($J862)-LEN(SUBSTITUTE($J862,",",""))+1))</f>
        <v/>
      </c>
      <c r="L862" s="14"/>
      <c r="M862" s="15"/>
      <c r="N862" s="17"/>
      <c r="O862" s="17"/>
      <c r="P862" s="5" t="str">
        <f aca="false">IF(OR($B862="",$C862=""),"",$C862-$B862+1)</f>
        <v/>
      </c>
      <c r="Q862" s="18"/>
      <c r="R862" s="12" t="str">
        <f aca="false">IF(OR($Q862="",$K862=""),"",$Q862*$K862)</f>
        <v/>
      </c>
      <c r="S862" s="14"/>
      <c r="T862" s="17"/>
      <c r="U862" s="15"/>
    </row>
    <row r="863" customFormat="false" ht="18.75" hidden="false" customHeight="true" outlineLevel="0" collapsed="false">
      <c r="A863" s="5" t="str">
        <f aca="false">IF($B863="","",COUNT($B$5:$B863))</f>
        <v/>
      </c>
      <c r="B863" s="6"/>
      <c r="C863" s="6"/>
      <c r="D863" s="7"/>
      <c r="E863" s="7"/>
      <c r="F863" s="8"/>
      <c r="G863" s="9"/>
      <c r="H863" s="7"/>
      <c r="I863" s="7"/>
      <c r="J863" s="8"/>
      <c r="K863" s="5" t="str">
        <f aca="false">IF($I863="","",1+IF($J863="",0,LEN($J863)-LEN(SUBSTITUTE($J863,",",""))+1))</f>
        <v/>
      </c>
      <c r="L863" s="7"/>
      <c r="M863" s="8"/>
      <c r="N863" s="10"/>
      <c r="O863" s="10"/>
      <c r="P863" s="5" t="str">
        <f aca="false">IF(OR($B863="",$C863=""),"",$C863-$B863+1)</f>
        <v/>
      </c>
      <c r="Q863" s="11"/>
      <c r="R863" s="12" t="str">
        <f aca="false">IF(OR($Q863="",$K863=""),"",$Q863*$K863)</f>
        <v/>
      </c>
      <c r="S863" s="7"/>
      <c r="T863" s="10"/>
      <c r="U863" s="8"/>
    </row>
    <row r="864" customFormat="false" ht="18.75" hidden="false" customHeight="true" outlineLevel="0" collapsed="false">
      <c r="A864" s="5" t="str">
        <f aca="false">IF($B864="","",COUNT($B$5:$B864))</f>
        <v/>
      </c>
      <c r="B864" s="13"/>
      <c r="C864" s="13"/>
      <c r="D864" s="14"/>
      <c r="E864" s="14"/>
      <c r="F864" s="15"/>
      <c r="G864" s="16"/>
      <c r="H864" s="14"/>
      <c r="I864" s="14"/>
      <c r="J864" s="15"/>
      <c r="K864" s="5" t="str">
        <f aca="false">IF($I864="","",1+IF($J864="",0,LEN($J864)-LEN(SUBSTITUTE($J864,",",""))+1))</f>
        <v/>
      </c>
      <c r="L864" s="14"/>
      <c r="M864" s="15"/>
      <c r="N864" s="17"/>
      <c r="O864" s="17"/>
      <c r="P864" s="5" t="str">
        <f aca="false">IF(OR($B864="",$C864=""),"",$C864-$B864+1)</f>
        <v/>
      </c>
      <c r="Q864" s="18"/>
      <c r="R864" s="12" t="str">
        <f aca="false">IF(OR($Q864="",$K864=""),"",$Q864*$K864)</f>
        <v/>
      </c>
      <c r="S864" s="14"/>
      <c r="T864" s="17"/>
      <c r="U864" s="15"/>
    </row>
    <row r="865" customFormat="false" ht="18.75" hidden="false" customHeight="true" outlineLevel="0" collapsed="false">
      <c r="A865" s="5" t="str">
        <f aca="false">IF($B865="","",COUNT($B$5:$B865))</f>
        <v/>
      </c>
      <c r="B865" s="6"/>
      <c r="C865" s="6"/>
      <c r="D865" s="7"/>
      <c r="E865" s="7"/>
      <c r="F865" s="8"/>
      <c r="G865" s="9"/>
      <c r="H865" s="7"/>
      <c r="I865" s="7"/>
      <c r="J865" s="8"/>
      <c r="K865" s="5" t="str">
        <f aca="false">IF($I865="","",1+IF($J865="",0,LEN($J865)-LEN(SUBSTITUTE($J865,",",""))+1))</f>
        <v/>
      </c>
      <c r="L865" s="7"/>
      <c r="M865" s="8"/>
      <c r="N865" s="10"/>
      <c r="O865" s="10"/>
      <c r="P865" s="5" t="str">
        <f aca="false">IF(OR($B865="",$C865=""),"",$C865-$B865+1)</f>
        <v/>
      </c>
      <c r="Q865" s="11"/>
      <c r="R865" s="12" t="str">
        <f aca="false">IF(OR($Q865="",$K865=""),"",$Q865*$K865)</f>
        <v/>
      </c>
      <c r="S865" s="7"/>
      <c r="T865" s="10"/>
      <c r="U865" s="8"/>
    </row>
    <row r="866" customFormat="false" ht="18.75" hidden="false" customHeight="true" outlineLevel="0" collapsed="false">
      <c r="A866" s="5" t="str">
        <f aca="false">IF($B866="","",COUNT($B$5:$B866))</f>
        <v/>
      </c>
      <c r="B866" s="13"/>
      <c r="C866" s="13"/>
      <c r="D866" s="14"/>
      <c r="E866" s="14"/>
      <c r="F866" s="15"/>
      <c r="G866" s="16"/>
      <c r="H866" s="14"/>
      <c r="I866" s="14"/>
      <c r="J866" s="15"/>
      <c r="K866" s="5" t="str">
        <f aca="false">IF($I866="","",1+IF($J866="",0,LEN($J866)-LEN(SUBSTITUTE($J866,",",""))+1))</f>
        <v/>
      </c>
      <c r="L866" s="14"/>
      <c r="M866" s="15"/>
      <c r="N866" s="17"/>
      <c r="O866" s="17"/>
      <c r="P866" s="5" t="str">
        <f aca="false">IF(OR($B866="",$C866=""),"",$C866-$B866+1)</f>
        <v/>
      </c>
      <c r="Q866" s="18"/>
      <c r="R866" s="12" t="str">
        <f aca="false">IF(OR($Q866="",$K866=""),"",$Q866*$K866)</f>
        <v/>
      </c>
      <c r="S866" s="14"/>
      <c r="T866" s="17"/>
      <c r="U866" s="15"/>
    </row>
    <row r="867" customFormat="false" ht="18.75" hidden="false" customHeight="true" outlineLevel="0" collapsed="false">
      <c r="A867" s="5" t="str">
        <f aca="false">IF($B867="","",COUNT($B$5:$B867))</f>
        <v/>
      </c>
      <c r="B867" s="6"/>
      <c r="C867" s="6"/>
      <c r="D867" s="7"/>
      <c r="E867" s="7"/>
      <c r="F867" s="8"/>
      <c r="G867" s="9"/>
      <c r="H867" s="7"/>
      <c r="I867" s="7"/>
      <c r="J867" s="8"/>
      <c r="K867" s="5" t="str">
        <f aca="false">IF($I867="","",1+IF($J867="",0,LEN($J867)-LEN(SUBSTITUTE($J867,",",""))+1))</f>
        <v/>
      </c>
      <c r="L867" s="7"/>
      <c r="M867" s="8"/>
      <c r="N867" s="10"/>
      <c r="O867" s="10"/>
      <c r="P867" s="5" t="str">
        <f aca="false">IF(OR($B867="",$C867=""),"",$C867-$B867+1)</f>
        <v/>
      </c>
      <c r="Q867" s="11"/>
      <c r="R867" s="12" t="str">
        <f aca="false">IF(OR($Q867="",$K867=""),"",$Q867*$K867)</f>
        <v/>
      </c>
      <c r="S867" s="7"/>
      <c r="T867" s="10"/>
      <c r="U867" s="8"/>
    </row>
    <row r="868" customFormat="false" ht="18.75" hidden="false" customHeight="true" outlineLevel="0" collapsed="false">
      <c r="A868" s="5" t="str">
        <f aca="false">IF($B868="","",COUNT($B$5:$B868))</f>
        <v/>
      </c>
      <c r="B868" s="13"/>
      <c r="C868" s="13"/>
      <c r="D868" s="14"/>
      <c r="E868" s="14"/>
      <c r="F868" s="15"/>
      <c r="G868" s="16"/>
      <c r="H868" s="14"/>
      <c r="I868" s="14"/>
      <c r="J868" s="15"/>
      <c r="K868" s="5" t="str">
        <f aca="false">IF($I868="","",1+IF($J868="",0,LEN($J868)-LEN(SUBSTITUTE($J868,",",""))+1))</f>
        <v/>
      </c>
      <c r="L868" s="14"/>
      <c r="M868" s="15"/>
      <c r="N868" s="17"/>
      <c r="O868" s="17"/>
      <c r="P868" s="5" t="str">
        <f aca="false">IF(OR($B868="",$C868=""),"",$C868-$B868+1)</f>
        <v/>
      </c>
      <c r="Q868" s="18"/>
      <c r="R868" s="12" t="str">
        <f aca="false">IF(OR($Q868="",$K868=""),"",$Q868*$K868)</f>
        <v/>
      </c>
      <c r="S868" s="14"/>
      <c r="T868" s="17"/>
      <c r="U868" s="15"/>
    </row>
    <row r="869" customFormat="false" ht="18.75" hidden="false" customHeight="true" outlineLevel="0" collapsed="false">
      <c r="A869" s="5" t="str">
        <f aca="false">IF($B869="","",COUNT($B$5:$B869))</f>
        <v/>
      </c>
      <c r="B869" s="6"/>
      <c r="C869" s="6"/>
      <c r="D869" s="7"/>
      <c r="E869" s="7"/>
      <c r="F869" s="8"/>
      <c r="G869" s="9"/>
      <c r="H869" s="7"/>
      <c r="I869" s="7"/>
      <c r="J869" s="8"/>
      <c r="K869" s="5" t="str">
        <f aca="false">IF($I869="","",1+IF($J869="",0,LEN($J869)-LEN(SUBSTITUTE($J869,",",""))+1))</f>
        <v/>
      </c>
      <c r="L869" s="7"/>
      <c r="M869" s="8"/>
      <c r="N869" s="10"/>
      <c r="O869" s="10"/>
      <c r="P869" s="5" t="str">
        <f aca="false">IF(OR($B869="",$C869=""),"",$C869-$B869+1)</f>
        <v/>
      </c>
      <c r="Q869" s="11"/>
      <c r="R869" s="12" t="str">
        <f aca="false">IF(OR($Q869="",$K869=""),"",$Q869*$K869)</f>
        <v/>
      </c>
      <c r="S869" s="7"/>
      <c r="T869" s="10"/>
      <c r="U869" s="8"/>
    </row>
    <row r="870" customFormat="false" ht="18.75" hidden="false" customHeight="true" outlineLevel="0" collapsed="false">
      <c r="A870" s="5" t="str">
        <f aca="false">IF($B870="","",COUNT($B$5:$B870))</f>
        <v/>
      </c>
      <c r="B870" s="13"/>
      <c r="C870" s="13"/>
      <c r="D870" s="14"/>
      <c r="E870" s="14"/>
      <c r="F870" s="15"/>
      <c r="G870" s="16"/>
      <c r="H870" s="14"/>
      <c r="I870" s="14"/>
      <c r="J870" s="15"/>
      <c r="K870" s="5" t="str">
        <f aca="false">IF($I870="","",1+IF($J870="",0,LEN($J870)-LEN(SUBSTITUTE($J870,",",""))+1))</f>
        <v/>
      </c>
      <c r="L870" s="14"/>
      <c r="M870" s="15"/>
      <c r="N870" s="17"/>
      <c r="O870" s="17"/>
      <c r="P870" s="5" t="str">
        <f aca="false">IF(OR($B870="",$C870=""),"",$C870-$B870+1)</f>
        <v/>
      </c>
      <c r="Q870" s="18"/>
      <c r="R870" s="12" t="str">
        <f aca="false">IF(OR($Q870="",$K870=""),"",$Q870*$K870)</f>
        <v/>
      </c>
      <c r="S870" s="14"/>
      <c r="T870" s="17"/>
      <c r="U870" s="15"/>
    </row>
    <row r="871" customFormat="false" ht="18.75" hidden="false" customHeight="true" outlineLevel="0" collapsed="false">
      <c r="A871" s="5" t="str">
        <f aca="false">IF($B871="","",COUNT($B$5:$B871))</f>
        <v/>
      </c>
      <c r="B871" s="6"/>
      <c r="C871" s="6"/>
      <c r="D871" s="7"/>
      <c r="E871" s="7"/>
      <c r="F871" s="8"/>
      <c r="G871" s="9"/>
      <c r="H871" s="7"/>
      <c r="I871" s="7"/>
      <c r="J871" s="8"/>
      <c r="K871" s="5" t="str">
        <f aca="false">IF($I871="","",1+IF($J871="",0,LEN($J871)-LEN(SUBSTITUTE($J871,",",""))+1))</f>
        <v/>
      </c>
      <c r="L871" s="7"/>
      <c r="M871" s="8"/>
      <c r="N871" s="10"/>
      <c r="O871" s="10"/>
      <c r="P871" s="5" t="str">
        <f aca="false">IF(OR($B871="",$C871=""),"",$C871-$B871+1)</f>
        <v/>
      </c>
      <c r="Q871" s="11"/>
      <c r="R871" s="12" t="str">
        <f aca="false">IF(OR($Q871="",$K871=""),"",$Q871*$K871)</f>
        <v/>
      </c>
      <c r="S871" s="7"/>
      <c r="T871" s="10"/>
      <c r="U871" s="8"/>
    </row>
    <row r="872" customFormat="false" ht="18.75" hidden="false" customHeight="true" outlineLevel="0" collapsed="false">
      <c r="A872" s="5" t="str">
        <f aca="false">IF($B872="","",COUNT($B$5:$B872))</f>
        <v/>
      </c>
      <c r="B872" s="13"/>
      <c r="C872" s="13"/>
      <c r="D872" s="14"/>
      <c r="E872" s="14"/>
      <c r="F872" s="15"/>
      <c r="G872" s="16"/>
      <c r="H872" s="14"/>
      <c r="I872" s="14"/>
      <c r="J872" s="15"/>
      <c r="K872" s="5" t="str">
        <f aca="false">IF($I872="","",1+IF($J872="",0,LEN($J872)-LEN(SUBSTITUTE($J872,",",""))+1))</f>
        <v/>
      </c>
      <c r="L872" s="14"/>
      <c r="M872" s="15"/>
      <c r="N872" s="17"/>
      <c r="O872" s="17"/>
      <c r="P872" s="5" t="str">
        <f aca="false">IF(OR($B872="",$C872=""),"",$C872-$B872+1)</f>
        <v/>
      </c>
      <c r="Q872" s="18"/>
      <c r="R872" s="12" t="str">
        <f aca="false">IF(OR($Q872="",$K872=""),"",$Q872*$K872)</f>
        <v/>
      </c>
      <c r="S872" s="14"/>
      <c r="T872" s="17"/>
      <c r="U872" s="15"/>
    </row>
    <row r="873" customFormat="false" ht="18.75" hidden="false" customHeight="true" outlineLevel="0" collapsed="false">
      <c r="A873" s="5" t="str">
        <f aca="false">IF($B873="","",COUNT($B$5:$B873))</f>
        <v/>
      </c>
      <c r="B873" s="6"/>
      <c r="C873" s="6"/>
      <c r="D873" s="7"/>
      <c r="E873" s="7"/>
      <c r="F873" s="8"/>
      <c r="G873" s="9"/>
      <c r="H873" s="7"/>
      <c r="I873" s="7"/>
      <c r="J873" s="8"/>
      <c r="K873" s="5" t="str">
        <f aca="false">IF($I873="","",1+IF($J873="",0,LEN($J873)-LEN(SUBSTITUTE($J873,",",""))+1))</f>
        <v/>
      </c>
      <c r="L873" s="7"/>
      <c r="M873" s="8"/>
      <c r="N873" s="10"/>
      <c r="O873" s="10"/>
      <c r="P873" s="5" t="str">
        <f aca="false">IF(OR($B873="",$C873=""),"",$C873-$B873+1)</f>
        <v/>
      </c>
      <c r="Q873" s="11"/>
      <c r="R873" s="12" t="str">
        <f aca="false">IF(OR($Q873="",$K873=""),"",$Q873*$K873)</f>
        <v/>
      </c>
      <c r="S873" s="7"/>
      <c r="T873" s="10"/>
      <c r="U873" s="8"/>
    </row>
    <row r="874" customFormat="false" ht="18.75" hidden="false" customHeight="true" outlineLevel="0" collapsed="false">
      <c r="A874" s="5" t="str">
        <f aca="false">IF($B874="","",COUNT($B$5:$B874))</f>
        <v/>
      </c>
      <c r="B874" s="13"/>
      <c r="C874" s="13"/>
      <c r="D874" s="14"/>
      <c r="E874" s="14"/>
      <c r="F874" s="15"/>
      <c r="G874" s="16"/>
      <c r="H874" s="14"/>
      <c r="I874" s="14"/>
      <c r="J874" s="15"/>
      <c r="K874" s="5" t="str">
        <f aca="false">IF($I874="","",1+IF($J874="",0,LEN($J874)-LEN(SUBSTITUTE($J874,",",""))+1))</f>
        <v/>
      </c>
      <c r="L874" s="14"/>
      <c r="M874" s="15"/>
      <c r="N874" s="17"/>
      <c r="O874" s="17"/>
      <c r="P874" s="5" t="str">
        <f aca="false">IF(OR($B874="",$C874=""),"",$C874-$B874+1)</f>
        <v/>
      </c>
      <c r="Q874" s="18"/>
      <c r="R874" s="12" t="str">
        <f aca="false">IF(OR($Q874="",$K874=""),"",$Q874*$K874)</f>
        <v/>
      </c>
      <c r="S874" s="14"/>
      <c r="T874" s="17"/>
      <c r="U874" s="15"/>
    </row>
    <row r="875" customFormat="false" ht="18.75" hidden="false" customHeight="true" outlineLevel="0" collapsed="false">
      <c r="A875" s="5" t="str">
        <f aca="false">IF($B875="","",COUNT($B$5:$B875))</f>
        <v/>
      </c>
      <c r="B875" s="6"/>
      <c r="C875" s="6"/>
      <c r="D875" s="7"/>
      <c r="E875" s="7"/>
      <c r="F875" s="8"/>
      <c r="G875" s="9"/>
      <c r="H875" s="7"/>
      <c r="I875" s="7"/>
      <c r="J875" s="8"/>
      <c r="K875" s="5" t="str">
        <f aca="false">IF($I875="","",1+IF($J875="",0,LEN($J875)-LEN(SUBSTITUTE($J875,",",""))+1))</f>
        <v/>
      </c>
      <c r="L875" s="7"/>
      <c r="M875" s="8"/>
      <c r="N875" s="10"/>
      <c r="O875" s="10"/>
      <c r="P875" s="5" t="str">
        <f aca="false">IF(OR($B875="",$C875=""),"",$C875-$B875+1)</f>
        <v/>
      </c>
      <c r="Q875" s="11"/>
      <c r="R875" s="12" t="str">
        <f aca="false">IF(OR($Q875="",$K875=""),"",$Q875*$K875)</f>
        <v/>
      </c>
      <c r="S875" s="7"/>
      <c r="T875" s="10"/>
      <c r="U875" s="8"/>
    </row>
    <row r="876" customFormat="false" ht="18.75" hidden="false" customHeight="true" outlineLevel="0" collapsed="false">
      <c r="A876" s="5" t="str">
        <f aca="false">IF($B876="","",COUNT($B$5:$B876))</f>
        <v/>
      </c>
      <c r="B876" s="13"/>
      <c r="C876" s="13"/>
      <c r="D876" s="14"/>
      <c r="E876" s="14"/>
      <c r="F876" s="15"/>
      <c r="G876" s="16"/>
      <c r="H876" s="14"/>
      <c r="I876" s="14"/>
      <c r="J876" s="15"/>
      <c r="K876" s="5" t="str">
        <f aca="false">IF($I876="","",1+IF($J876="",0,LEN($J876)-LEN(SUBSTITUTE($J876,",",""))+1))</f>
        <v/>
      </c>
      <c r="L876" s="14"/>
      <c r="M876" s="15"/>
      <c r="N876" s="17"/>
      <c r="O876" s="17"/>
      <c r="P876" s="5" t="str">
        <f aca="false">IF(OR($B876="",$C876=""),"",$C876-$B876+1)</f>
        <v/>
      </c>
      <c r="Q876" s="18"/>
      <c r="R876" s="12" t="str">
        <f aca="false">IF(OR($Q876="",$K876=""),"",$Q876*$K876)</f>
        <v/>
      </c>
      <c r="S876" s="14"/>
      <c r="T876" s="17"/>
      <c r="U876" s="15"/>
    </row>
    <row r="877" customFormat="false" ht="18.75" hidden="false" customHeight="true" outlineLevel="0" collapsed="false">
      <c r="A877" s="5" t="str">
        <f aca="false">IF($B877="","",COUNT($B$5:$B877))</f>
        <v/>
      </c>
      <c r="B877" s="6"/>
      <c r="C877" s="6"/>
      <c r="D877" s="7"/>
      <c r="E877" s="7"/>
      <c r="F877" s="8"/>
      <c r="G877" s="9"/>
      <c r="H877" s="7"/>
      <c r="I877" s="7"/>
      <c r="J877" s="8"/>
      <c r="K877" s="5" t="str">
        <f aca="false">IF($I877="","",1+IF($J877="",0,LEN($J877)-LEN(SUBSTITUTE($J877,",",""))+1))</f>
        <v/>
      </c>
      <c r="L877" s="7"/>
      <c r="M877" s="8"/>
      <c r="N877" s="10"/>
      <c r="O877" s="10"/>
      <c r="P877" s="5" t="str">
        <f aca="false">IF(OR($B877="",$C877=""),"",$C877-$B877+1)</f>
        <v/>
      </c>
      <c r="Q877" s="11"/>
      <c r="R877" s="12" t="str">
        <f aca="false">IF(OR($Q877="",$K877=""),"",$Q877*$K877)</f>
        <v/>
      </c>
      <c r="S877" s="7"/>
      <c r="T877" s="10"/>
      <c r="U877" s="8"/>
    </row>
    <row r="878" customFormat="false" ht="18.75" hidden="false" customHeight="true" outlineLevel="0" collapsed="false">
      <c r="A878" s="5" t="str">
        <f aca="false">IF($B878="","",COUNT($B$5:$B878))</f>
        <v/>
      </c>
      <c r="B878" s="13"/>
      <c r="C878" s="13"/>
      <c r="D878" s="14"/>
      <c r="E878" s="14"/>
      <c r="F878" s="15"/>
      <c r="G878" s="16"/>
      <c r="H878" s="14"/>
      <c r="I878" s="14"/>
      <c r="J878" s="15"/>
      <c r="K878" s="5" t="str">
        <f aca="false">IF($I878="","",1+IF($J878="",0,LEN($J878)-LEN(SUBSTITUTE($J878,",",""))+1))</f>
        <v/>
      </c>
      <c r="L878" s="14"/>
      <c r="M878" s="15"/>
      <c r="N878" s="17"/>
      <c r="O878" s="17"/>
      <c r="P878" s="5" t="str">
        <f aca="false">IF(OR($B878="",$C878=""),"",$C878-$B878+1)</f>
        <v/>
      </c>
      <c r="Q878" s="18"/>
      <c r="R878" s="12" t="str">
        <f aca="false">IF(OR($Q878="",$K878=""),"",$Q878*$K878)</f>
        <v/>
      </c>
      <c r="S878" s="14"/>
      <c r="T878" s="17"/>
      <c r="U878" s="15"/>
    </row>
    <row r="879" customFormat="false" ht="18.75" hidden="false" customHeight="true" outlineLevel="0" collapsed="false">
      <c r="A879" s="5" t="str">
        <f aca="false">IF($B879="","",COUNT($B$5:$B879))</f>
        <v/>
      </c>
      <c r="B879" s="6"/>
      <c r="C879" s="6"/>
      <c r="D879" s="7"/>
      <c r="E879" s="7"/>
      <c r="F879" s="8"/>
      <c r="G879" s="9"/>
      <c r="H879" s="7"/>
      <c r="I879" s="7"/>
      <c r="J879" s="8"/>
      <c r="K879" s="5" t="str">
        <f aca="false">IF($I879="","",1+IF($J879="",0,LEN($J879)-LEN(SUBSTITUTE($J879,",",""))+1))</f>
        <v/>
      </c>
      <c r="L879" s="7"/>
      <c r="M879" s="8"/>
      <c r="N879" s="10"/>
      <c r="O879" s="10"/>
      <c r="P879" s="5" t="str">
        <f aca="false">IF(OR($B879="",$C879=""),"",$C879-$B879+1)</f>
        <v/>
      </c>
      <c r="Q879" s="11"/>
      <c r="R879" s="12" t="str">
        <f aca="false">IF(OR($Q879="",$K879=""),"",$Q879*$K879)</f>
        <v/>
      </c>
      <c r="S879" s="7"/>
      <c r="T879" s="10"/>
      <c r="U879" s="8"/>
    </row>
    <row r="880" customFormat="false" ht="18.75" hidden="false" customHeight="true" outlineLevel="0" collapsed="false">
      <c r="A880" s="5" t="str">
        <f aca="false">IF($B880="","",COUNT($B$5:$B880))</f>
        <v/>
      </c>
      <c r="B880" s="13"/>
      <c r="C880" s="13"/>
      <c r="D880" s="14"/>
      <c r="E880" s="14"/>
      <c r="F880" s="15"/>
      <c r="G880" s="16"/>
      <c r="H880" s="14"/>
      <c r="I880" s="14"/>
      <c r="J880" s="15"/>
      <c r="K880" s="5" t="str">
        <f aca="false">IF($I880="","",1+IF($J880="",0,LEN($J880)-LEN(SUBSTITUTE($J880,",",""))+1))</f>
        <v/>
      </c>
      <c r="L880" s="14"/>
      <c r="M880" s="15"/>
      <c r="N880" s="17"/>
      <c r="O880" s="17"/>
      <c r="P880" s="5" t="str">
        <f aca="false">IF(OR($B880="",$C880=""),"",$C880-$B880+1)</f>
        <v/>
      </c>
      <c r="Q880" s="18"/>
      <c r="R880" s="12" t="str">
        <f aca="false">IF(OR($Q880="",$K880=""),"",$Q880*$K880)</f>
        <v/>
      </c>
      <c r="S880" s="14"/>
      <c r="T880" s="17"/>
      <c r="U880" s="15"/>
    </row>
    <row r="881" customFormat="false" ht="18.75" hidden="false" customHeight="true" outlineLevel="0" collapsed="false">
      <c r="A881" s="5" t="str">
        <f aca="false">IF($B881="","",COUNT($B$5:$B881))</f>
        <v/>
      </c>
      <c r="B881" s="6"/>
      <c r="C881" s="6"/>
      <c r="D881" s="7"/>
      <c r="E881" s="7"/>
      <c r="F881" s="8"/>
      <c r="G881" s="9"/>
      <c r="H881" s="7"/>
      <c r="I881" s="7"/>
      <c r="J881" s="8"/>
      <c r="K881" s="5" t="str">
        <f aca="false">IF($I881="","",1+IF($J881="",0,LEN($J881)-LEN(SUBSTITUTE($J881,",",""))+1))</f>
        <v/>
      </c>
      <c r="L881" s="7"/>
      <c r="M881" s="8"/>
      <c r="N881" s="10"/>
      <c r="O881" s="10"/>
      <c r="P881" s="5" t="str">
        <f aca="false">IF(OR($B881="",$C881=""),"",$C881-$B881+1)</f>
        <v/>
      </c>
      <c r="Q881" s="11"/>
      <c r="R881" s="12" t="str">
        <f aca="false">IF(OR($Q881="",$K881=""),"",$Q881*$K881)</f>
        <v/>
      </c>
      <c r="S881" s="7"/>
      <c r="T881" s="10"/>
      <c r="U881" s="8"/>
    </row>
    <row r="882" customFormat="false" ht="18.75" hidden="false" customHeight="true" outlineLevel="0" collapsed="false">
      <c r="A882" s="5" t="str">
        <f aca="false">IF($B882="","",COUNT($B$5:$B882))</f>
        <v/>
      </c>
      <c r="B882" s="13"/>
      <c r="C882" s="13"/>
      <c r="D882" s="14"/>
      <c r="E882" s="14"/>
      <c r="F882" s="15"/>
      <c r="G882" s="16"/>
      <c r="H882" s="14"/>
      <c r="I882" s="14"/>
      <c r="J882" s="15"/>
      <c r="K882" s="5" t="str">
        <f aca="false">IF($I882="","",1+IF($J882="",0,LEN($J882)-LEN(SUBSTITUTE($J882,",",""))+1))</f>
        <v/>
      </c>
      <c r="L882" s="14"/>
      <c r="M882" s="15"/>
      <c r="N882" s="17"/>
      <c r="O882" s="17"/>
      <c r="P882" s="5" t="str">
        <f aca="false">IF(OR($B882="",$C882=""),"",$C882-$B882+1)</f>
        <v/>
      </c>
      <c r="Q882" s="18"/>
      <c r="R882" s="12" t="str">
        <f aca="false">IF(OR($Q882="",$K882=""),"",$Q882*$K882)</f>
        <v/>
      </c>
      <c r="S882" s="14"/>
      <c r="T882" s="17"/>
      <c r="U882" s="15"/>
    </row>
    <row r="883" customFormat="false" ht="18.75" hidden="false" customHeight="true" outlineLevel="0" collapsed="false">
      <c r="A883" s="5" t="str">
        <f aca="false">IF($B883="","",COUNT($B$5:$B883))</f>
        <v/>
      </c>
      <c r="B883" s="6"/>
      <c r="C883" s="6"/>
      <c r="D883" s="7"/>
      <c r="E883" s="7"/>
      <c r="F883" s="8"/>
      <c r="G883" s="9"/>
      <c r="H883" s="7"/>
      <c r="I883" s="7"/>
      <c r="J883" s="8"/>
      <c r="K883" s="5" t="str">
        <f aca="false">IF($I883="","",1+IF($J883="",0,LEN($J883)-LEN(SUBSTITUTE($J883,",",""))+1))</f>
        <v/>
      </c>
      <c r="L883" s="7"/>
      <c r="M883" s="8"/>
      <c r="N883" s="10"/>
      <c r="O883" s="10"/>
      <c r="P883" s="5" t="str">
        <f aca="false">IF(OR($B883="",$C883=""),"",$C883-$B883+1)</f>
        <v/>
      </c>
      <c r="Q883" s="11"/>
      <c r="R883" s="12" t="str">
        <f aca="false">IF(OR($Q883="",$K883=""),"",$Q883*$K883)</f>
        <v/>
      </c>
      <c r="S883" s="7"/>
      <c r="T883" s="10"/>
      <c r="U883" s="8"/>
    </row>
    <row r="884" customFormat="false" ht="18.75" hidden="false" customHeight="true" outlineLevel="0" collapsed="false">
      <c r="A884" s="5" t="str">
        <f aca="false">IF($B884="","",COUNT($B$5:$B884))</f>
        <v/>
      </c>
      <c r="B884" s="13"/>
      <c r="C884" s="13"/>
      <c r="D884" s="14"/>
      <c r="E884" s="14"/>
      <c r="F884" s="15"/>
      <c r="G884" s="16"/>
      <c r="H884" s="14"/>
      <c r="I884" s="14"/>
      <c r="J884" s="15"/>
      <c r="K884" s="5" t="str">
        <f aca="false">IF($I884="","",1+IF($J884="",0,LEN($J884)-LEN(SUBSTITUTE($J884,",",""))+1))</f>
        <v/>
      </c>
      <c r="L884" s="14"/>
      <c r="M884" s="15"/>
      <c r="N884" s="17"/>
      <c r="O884" s="17"/>
      <c r="P884" s="5" t="str">
        <f aca="false">IF(OR($B884="",$C884=""),"",$C884-$B884+1)</f>
        <v/>
      </c>
      <c r="Q884" s="18"/>
      <c r="R884" s="12" t="str">
        <f aca="false">IF(OR($Q884="",$K884=""),"",$Q884*$K884)</f>
        <v/>
      </c>
      <c r="S884" s="14"/>
      <c r="T884" s="17"/>
      <c r="U884" s="15"/>
    </row>
    <row r="885" customFormat="false" ht="18.75" hidden="false" customHeight="true" outlineLevel="0" collapsed="false">
      <c r="A885" s="5" t="str">
        <f aca="false">IF($B885="","",COUNT($B$5:$B885))</f>
        <v/>
      </c>
      <c r="B885" s="6"/>
      <c r="C885" s="6"/>
      <c r="D885" s="7"/>
      <c r="E885" s="7"/>
      <c r="F885" s="8"/>
      <c r="G885" s="9"/>
      <c r="H885" s="7"/>
      <c r="I885" s="7"/>
      <c r="J885" s="8"/>
      <c r="K885" s="5" t="str">
        <f aca="false">IF($I885="","",1+IF($J885="",0,LEN($J885)-LEN(SUBSTITUTE($J885,",",""))+1))</f>
        <v/>
      </c>
      <c r="L885" s="7"/>
      <c r="M885" s="8"/>
      <c r="N885" s="10"/>
      <c r="O885" s="10"/>
      <c r="P885" s="5" t="str">
        <f aca="false">IF(OR($B885="",$C885=""),"",$C885-$B885+1)</f>
        <v/>
      </c>
      <c r="Q885" s="11"/>
      <c r="R885" s="12" t="str">
        <f aca="false">IF(OR($Q885="",$K885=""),"",$Q885*$K885)</f>
        <v/>
      </c>
      <c r="S885" s="7"/>
      <c r="T885" s="10"/>
      <c r="U885" s="8"/>
    </row>
    <row r="886" customFormat="false" ht="18.75" hidden="false" customHeight="true" outlineLevel="0" collapsed="false">
      <c r="A886" s="5" t="str">
        <f aca="false">IF($B886="","",COUNT($B$5:$B886))</f>
        <v/>
      </c>
      <c r="B886" s="13"/>
      <c r="C886" s="13"/>
      <c r="D886" s="14"/>
      <c r="E886" s="14"/>
      <c r="F886" s="15"/>
      <c r="G886" s="16"/>
      <c r="H886" s="14"/>
      <c r="I886" s="14"/>
      <c r="J886" s="15"/>
      <c r="K886" s="5" t="str">
        <f aca="false">IF($I886="","",1+IF($J886="",0,LEN($J886)-LEN(SUBSTITUTE($J886,",",""))+1))</f>
        <v/>
      </c>
      <c r="L886" s="14"/>
      <c r="M886" s="15"/>
      <c r="N886" s="17"/>
      <c r="O886" s="17"/>
      <c r="P886" s="5" t="str">
        <f aca="false">IF(OR($B886="",$C886=""),"",$C886-$B886+1)</f>
        <v/>
      </c>
      <c r="Q886" s="18"/>
      <c r="R886" s="12" t="str">
        <f aca="false">IF(OR($Q886="",$K886=""),"",$Q886*$K886)</f>
        <v/>
      </c>
      <c r="S886" s="14"/>
      <c r="T886" s="17"/>
      <c r="U886" s="15"/>
    </row>
    <row r="887" customFormat="false" ht="18.75" hidden="false" customHeight="true" outlineLevel="0" collapsed="false">
      <c r="A887" s="5" t="str">
        <f aca="false">IF($B887="","",COUNT($B$5:$B887))</f>
        <v/>
      </c>
      <c r="B887" s="6"/>
      <c r="C887" s="6"/>
      <c r="D887" s="7"/>
      <c r="E887" s="7"/>
      <c r="F887" s="8"/>
      <c r="G887" s="9"/>
      <c r="H887" s="7"/>
      <c r="I887" s="7"/>
      <c r="J887" s="8"/>
      <c r="K887" s="5" t="str">
        <f aca="false">IF($I887="","",1+IF($J887="",0,LEN($J887)-LEN(SUBSTITUTE($J887,",",""))+1))</f>
        <v/>
      </c>
      <c r="L887" s="7"/>
      <c r="M887" s="8"/>
      <c r="N887" s="10"/>
      <c r="O887" s="10"/>
      <c r="P887" s="5" t="str">
        <f aca="false">IF(OR($B887="",$C887=""),"",$C887-$B887+1)</f>
        <v/>
      </c>
      <c r="Q887" s="11"/>
      <c r="R887" s="12" t="str">
        <f aca="false">IF(OR($Q887="",$K887=""),"",$Q887*$K887)</f>
        <v/>
      </c>
      <c r="S887" s="7"/>
      <c r="T887" s="10"/>
      <c r="U887" s="8"/>
    </row>
    <row r="888" customFormat="false" ht="18.75" hidden="false" customHeight="true" outlineLevel="0" collapsed="false">
      <c r="A888" s="5" t="str">
        <f aca="false">IF($B888="","",COUNT($B$5:$B888))</f>
        <v/>
      </c>
      <c r="B888" s="13"/>
      <c r="C888" s="13"/>
      <c r="D888" s="14"/>
      <c r="E888" s="14"/>
      <c r="F888" s="15"/>
      <c r="G888" s="16"/>
      <c r="H888" s="14"/>
      <c r="I888" s="14"/>
      <c r="J888" s="15"/>
      <c r="K888" s="5" t="str">
        <f aca="false">IF($I888="","",1+IF($J888="",0,LEN($J888)-LEN(SUBSTITUTE($J888,",",""))+1))</f>
        <v/>
      </c>
      <c r="L888" s="14"/>
      <c r="M888" s="15"/>
      <c r="N888" s="17"/>
      <c r="O888" s="17"/>
      <c r="P888" s="5" t="str">
        <f aca="false">IF(OR($B888="",$C888=""),"",$C888-$B888+1)</f>
        <v/>
      </c>
      <c r="Q888" s="18"/>
      <c r="R888" s="12" t="str">
        <f aca="false">IF(OR($Q888="",$K888=""),"",$Q888*$K888)</f>
        <v/>
      </c>
      <c r="S888" s="14"/>
      <c r="T888" s="17"/>
      <c r="U888" s="15"/>
    </row>
    <row r="889" customFormat="false" ht="18.75" hidden="false" customHeight="true" outlineLevel="0" collapsed="false">
      <c r="A889" s="5" t="str">
        <f aca="false">IF($B889="","",COUNT($B$5:$B889))</f>
        <v/>
      </c>
      <c r="B889" s="6"/>
      <c r="C889" s="6"/>
      <c r="D889" s="7"/>
      <c r="E889" s="7"/>
      <c r="F889" s="8"/>
      <c r="G889" s="9"/>
      <c r="H889" s="7"/>
      <c r="I889" s="7"/>
      <c r="J889" s="8"/>
      <c r="K889" s="5" t="str">
        <f aca="false">IF($I889="","",1+IF($J889="",0,LEN($J889)-LEN(SUBSTITUTE($J889,",",""))+1))</f>
        <v/>
      </c>
      <c r="L889" s="7"/>
      <c r="M889" s="8"/>
      <c r="N889" s="10"/>
      <c r="O889" s="10"/>
      <c r="P889" s="5" t="str">
        <f aca="false">IF(OR($B889="",$C889=""),"",$C889-$B889+1)</f>
        <v/>
      </c>
      <c r="Q889" s="11"/>
      <c r="R889" s="12" t="str">
        <f aca="false">IF(OR($Q889="",$K889=""),"",$Q889*$K889)</f>
        <v/>
      </c>
      <c r="S889" s="7"/>
      <c r="T889" s="10"/>
      <c r="U889" s="8"/>
    </row>
    <row r="890" customFormat="false" ht="18.75" hidden="false" customHeight="true" outlineLevel="0" collapsed="false">
      <c r="A890" s="5" t="str">
        <f aca="false">IF($B890="","",COUNT($B$5:$B890))</f>
        <v/>
      </c>
      <c r="B890" s="13"/>
      <c r="C890" s="13"/>
      <c r="D890" s="14"/>
      <c r="E890" s="14"/>
      <c r="F890" s="15"/>
      <c r="G890" s="16"/>
      <c r="H890" s="14"/>
      <c r="I890" s="14"/>
      <c r="J890" s="15"/>
      <c r="K890" s="5" t="str">
        <f aca="false">IF($I890="","",1+IF($J890="",0,LEN($J890)-LEN(SUBSTITUTE($J890,",",""))+1))</f>
        <v/>
      </c>
      <c r="L890" s="14"/>
      <c r="M890" s="15"/>
      <c r="N890" s="17"/>
      <c r="O890" s="17"/>
      <c r="P890" s="5" t="str">
        <f aca="false">IF(OR($B890="",$C890=""),"",$C890-$B890+1)</f>
        <v/>
      </c>
      <c r="Q890" s="18"/>
      <c r="R890" s="12" t="str">
        <f aca="false">IF(OR($Q890="",$K890=""),"",$Q890*$K890)</f>
        <v/>
      </c>
      <c r="S890" s="14"/>
      <c r="T890" s="17"/>
      <c r="U890" s="15"/>
    </row>
    <row r="891" customFormat="false" ht="18.75" hidden="false" customHeight="true" outlineLevel="0" collapsed="false">
      <c r="A891" s="5" t="str">
        <f aca="false">IF($B891="","",COUNT($B$5:$B891))</f>
        <v/>
      </c>
      <c r="B891" s="6"/>
      <c r="C891" s="6"/>
      <c r="D891" s="7"/>
      <c r="E891" s="7"/>
      <c r="F891" s="8"/>
      <c r="G891" s="9"/>
      <c r="H891" s="7"/>
      <c r="I891" s="7"/>
      <c r="J891" s="8"/>
      <c r="K891" s="5" t="str">
        <f aca="false">IF($I891="","",1+IF($J891="",0,LEN($J891)-LEN(SUBSTITUTE($J891,",",""))+1))</f>
        <v/>
      </c>
      <c r="L891" s="7"/>
      <c r="M891" s="8"/>
      <c r="N891" s="10"/>
      <c r="O891" s="10"/>
      <c r="P891" s="5" t="str">
        <f aca="false">IF(OR($B891="",$C891=""),"",$C891-$B891+1)</f>
        <v/>
      </c>
      <c r="Q891" s="11"/>
      <c r="R891" s="12" t="str">
        <f aca="false">IF(OR($Q891="",$K891=""),"",$Q891*$K891)</f>
        <v/>
      </c>
      <c r="S891" s="7"/>
      <c r="T891" s="10"/>
      <c r="U891" s="8"/>
    </row>
    <row r="892" customFormat="false" ht="18.75" hidden="false" customHeight="true" outlineLevel="0" collapsed="false">
      <c r="A892" s="5" t="str">
        <f aca="false">IF($B892="","",COUNT($B$5:$B892))</f>
        <v/>
      </c>
      <c r="B892" s="13"/>
      <c r="C892" s="13"/>
      <c r="D892" s="14"/>
      <c r="E892" s="14"/>
      <c r="F892" s="15"/>
      <c r="G892" s="16"/>
      <c r="H892" s="14"/>
      <c r="I892" s="14"/>
      <c r="J892" s="15"/>
      <c r="K892" s="5" t="str">
        <f aca="false">IF($I892="","",1+IF($J892="",0,LEN($J892)-LEN(SUBSTITUTE($J892,",",""))+1))</f>
        <v/>
      </c>
      <c r="L892" s="14"/>
      <c r="M892" s="15"/>
      <c r="N892" s="17"/>
      <c r="O892" s="17"/>
      <c r="P892" s="5" t="str">
        <f aca="false">IF(OR($B892="",$C892=""),"",$C892-$B892+1)</f>
        <v/>
      </c>
      <c r="Q892" s="18"/>
      <c r="R892" s="12" t="str">
        <f aca="false">IF(OR($Q892="",$K892=""),"",$Q892*$K892)</f>
        <v/>
      </c>
      <c r="S892" s="14"/>
      <c r="T892" s="17"/>
      <c r="U892" s="15"/>
    </row>
    <row r="893" customFormat="false" ht="18.75" hidden="false" customHeight="true" outlineLevel="0" collapsed="false">
      <c r="A893" s="5" t="str">
        <f aca="false">IF($B893="","",COUNT($B$5:$B893))</f>
        <v/>
      </c>
      <c r="B893" s="6"/>
      <c r="C893" s="6"/>
      <c r="D893" s="7"/>
      <c r="E893" s="7"/>
      <c r="F893" s="8"/>
      <c r="G893" s="9"/>
      <c r="H893" s="7"/>
      <c r="I893" s="7"/>
      <c r="J893" s="8"/>
      <c r="K893" s="5" t="str">
        <f aca="false">IF($I893="","",1+IF($J893="",0,LEN($J893)-LEN(SUBSTITUTE($J893,",",""))+1))</f>
        <v/>
      </c>
      <c r="L893" s="7"/>
      <c r="M893" s="8"/>
      <c r="N893" s="10"/>
      <c r="O893" s="10"/>
      <c r="P893" s="5" t="str">
        <f aca="false">IF(OR($B893="",$C893=""),"",$C893-$B893+1)</f>
        <v/>
      </c>
      <c r="Q893" s="11"/>
      <c r="R893" s="12" t="str">
        <f aca="false">IF(OR($Q893="",$K893=""),"",$Q893*$K893)</f>
        <v/>
      </c>
      <c r="S893" s="7"/>
      <c r="T893" s="10"/>
      <c r="U893" s="8"/>
    </row>
    <row r="894" customFormat="false" ht="18.75" hidden="false" customHeight="true" outlineLevel="0" collapsed="false">
      <c r="A894" s="5" t="str">
        <f aca="false">IF($B894="","",COUNT($B$5:$B894))</f>
        <v/>
      </c>
      <c r="B894" s="13"/>
      <c r="C894" s="13"/>
      <c r="D894" s="14"/>
      <c r="E894" s="14"/>
      <c r="F894" s="15"/>
      <c r="G894" s="16"/>
      <c r="H894" s="14"/>
      <c r="I894" s="14"/>
      <c r="J894" s="15"/>
      <c r="K894" s="5" t="str">
        <f aca="false">IF($I894="","",1+IF($J894="",0,LEN($J894)-LEN(SUBSTITUTE($J894,",",""))+1))</f>
        <v/>
      </c>
      <c r="L894" s="14"/>
      <c r="M894" s="15"/>
      <c r="N894" s="17"/>
      <c r="O894" s="17"/>
      <c r="P894" s="5" t="str">
        <f aca="false">IF(OR($B894="",$C894=""),"",$C894-$B894+1)</f>
        <v/>
      </c>
      <c r="Q894" s="18"/>
      <c r="R894" s="12" t="str">
        <f aca="false">IF(OR($Q894="",$K894=""),"",$Q894*$K894)</f>
        <v/>
      </c>
      <c r="S894" s="14"/>
      <c r="T894" s="17"/>
      <c r="U894" s="15"/>
    </row>
    <row r="895" customFormat="false" ht="18.75" hidden="false" customHeight="true" outlineLevel="0" collapsed="false">
      <c r="A895" s="5" t="str">
        <f aca="false">IF($B895="","",COUNT($B$5:$B895))</f>
        <v/>
      </c>
      <c r="B895" s="6"/>
      <c r="C895" s="6"/>
      <c r="D895" s="7"/>
      <c r="E895" s="7"/>
      <c r="F895" s="8"/>
      <c r="G895" s="9"/>
      <c r="H895" s="7"/>
      <c r="I895" s="7"/>
      <c r="J895" s="8"/>
      <c r="K895" s="5" t="str">
        <f aca="false">IF($I895="","",1+IF($J895="",0,LEN($J895)-LEN(SUBSTITUTE($J895,",",""))+1))</f>
        <v/>
      </c>
      <c r="L895" s="7"/>
      <c r="M895" s="8"/>
      <c r="N895" s="10"/>
      <c r="O895" s="10"/>
      <c r="P895" s="5" t="str">
        <f aca="false">IF(OR($B895="",$C895=""),"",$C895-$B895+1)</f>
        <v/>
      </c>
      <c r="Q895" s="11"/>
      <c r="R895" s="12" t="str">
        <f aca="false">IF(OR($Q895="",$K895=""),"",$Q895*$K895)</f>
        <v/>
      </c>
      <c r="S895" s="7"/>
      <c r="T895" s="10"/>
      <c r="U895" s="8"/>
    </row>
    <row r="896" customFormat="false" ht="18.75" hidden="false" customHeight="true" outlineLevel="0" collapsed="false">
      <c r="A896" s="5" t="str">
        <f aca="false">IF($B896="","",COUNT($B$5:$B896))</f>
        <v/>
      </c>
      <c r="B896" s="13"/>
      <c r="C896" s="13"/>
      <c r="D896" s="14"/>
      <c r="E896" s="14"/>
      <c r="F896" s="15"/>
      <c r="G896" s="16"/>
      <c r="H896" s="14"/>
      <c r="I896" s="14"/>
      <c r="J896" s="15"/>
      <c r="K896" s="5" t="str">
        <f aca="false">IF($I896="","",1+IF($J896="",0,LEN($J896)-LEN(SUBSTITUTE($J896,",",""))+1))</f>
        <v/>
      </c>
      <c r="L896" s="14"/>
      <c r="M896" s="15"/>
      <c r="N896" s="17"/>
      <c r="O896" s="17"/>
      <c r="P896" s="5" t="str">
        <f aca="false">IF(OR($B896="",$C896=""),"",$C896-$B896+1)</f>
        <v/>
      </c>
      <c r="Q896" s="18"/>
      <c r="R896" s="12" t="str">
        <f aca="false">IF(OR($Q896="",$K896=""),"",$Q896*$K896)</f>
        <v/>
      </c>
      <c r="S896" s="14"/>
      <c r="T896" s="17"/>
      <c r="U896" s="15"/>
    </row>
    <row r="897" customFormat="false" ht="18.75" hidden="false" customHeight="true" outlineLevel="0" collapsed="false">
      <c r="A897" s="5" t="str">
        <f aca="false">IF($B897="","",COUNT($B$5:$B897))</f>
        <v/>
      </c>
      <c r="B897" s="6"/>
      <c r="C897" s="6"/>
      <c r="D897" s="7"/>
      <c r="E897" s="7"/>
      <c r="F897" s="8"/>
      <c r="G897" s="9"/>
      <c r="H897" s="7"/>
      <c r="I897" s="7"/>
      <c r="J897" s="8"/>
      <c r="K897" s="5" t="str">
        <f aca="false">IF($I897="","",1+IF($J897="",0,LEN($J897)-LEN(SUBSTITUTE($J897,",",""))+1))</f>
        <v/>
      </c>
      <c r="L897" s="7"/>
      <c r="M897" s="8"/>
      <c r="N897" s="10"/>
      <c r="O897" s="10"/>
      <c r="P897" s="5" t="str">
        <f aca="false">IF(OR($B897="",$C897=""),"",$C897-$B897+1)</f>
        <v/>
      </c>
      <c r="Q897" s="11"/>
      <c r="R897" s="12" t="str">
        <f aca="false">IF(OR($Q897="",$K897=""),"",$Q897*$K897)</f>
        <v/>
      </c>
      <c r="S897" s="7"/>
      <c r="T897" s="10"/>
      <c r="U897" s="8"/>
    </row>
    <row r="898" customFormat="false" ht="18.75" hidden="false" customHeight="true" outlineLevel="0" collapsed="false">
      <c r="A898" s="5" t="str">
        <f aca="false">IF($B898="","",COUNT($B$5:$B898))</f>
        <v/>
      </c>
      <c r="B898" s="13"/>
      <c r="C898" s="13"/>
      <c r="D898" s="14"/>
      <c r="E898" s="14"/>
      <c r="F898" s="15"/>
      <c r="G898" s="16"/>
      <c r="H898" s="14"/>
      <c r="I898" s="14"/>
      <c r="J898" s="15"/>
      <c r="K898" s="5" t="str">
        <f aca="false">IF($I898="","",1+IF($J898="",0,LEN($J898)-LEN(SUBSTITUTE($J898,",",""))+1))</f>
        <v/>
      </c>
      <c r="L898" s="14"/>
      <c r="M898" s="15"/>
      <c r="N898" s="17"/>
      <c r="O898" s="17"/>
      <c r="P898" s="5" t="str">
        <f aca="false">IF(OR($B898="",$C898=""),"",$C898-$B898+1)</f>
        <v/>
      </c>
      <c r="Q898" s="18"/>
      <c r="R898" s="12" t="str">
        <f aca="false">IF(OR($Q898="",$K898=""),"",$Q898*$K898)</f>
        <v/>
      </c>
      <c r="S898" s="14"/>
      <c r="T898" s="17"/>
      <c r="U898" s="15"/>
    </row>
    <row r="899" customFormat="false" ht="18.75" hidden="false" customHeight="true" outlineLevel="0" collapsed="false">
      <c r="A899" s="5" t="str">
        <f aca="false">IF($B899="","",COUNT($B$5:$B899))</f>
        <v/>
      </c>
      <c r="B899" s="6"/>
      <c r="C899" s="6"/>
      <c r="D899" s="7"/>
      <c r="E899" s="7"/>
      <c r="F899" s="8"/>
      <c r="G899" s="9"/>
      <c r="H899" s="7"/>
      <c r="I899" s="7"/>
      <c r="J899" s="8"/>
      <c r="K899" s="5" t="str">
        <f aca="false">IF($I899="","",1+IF($J899="",0,LEN($J899)-LEN(SUBSTITUTE($J899,",",""))+1))</f>
        <v/>
      </c>
      <c r="L899" s="7"/>
      <c r="M899" s="8"/>
      <c r="N899" s="10"/>
      <c r="O899" s="10"/>
      <c r="P899" s="5" t="str">
        <f aca="false">IF(OR($B899="",$C899=""),"",$C899-$B899+1)</f>
        <v/>
      </c>
      <c r="Q899" s="11"/>
      <c r="R899" s="12" t="str">
        <f aca="false">IF(OR($Q899="",$K899=""),"",$Q899*$K899)</f>
        <v/>
      </c>
      <c r="S899" s="7"/>
      <c r="T899" s="10"/>
      <c r="U899" s="8"/>
    </row>
    <row r="900" customFormat="false" ht="18.75" hidden="false" customHeight="true" outlineLevel="0" collapsed="false">
      <c r="A900" s="5" t="str">
        <f aca="false">IF($B900="","",COUNT($B$5:$B900))</f>
        <v/>
      </c>
      <c r="B900" s="13"/>
      <c r="C900" s="13"/>
      <c r="D900" s="14"/>
      <c r="E900" s="14"/>
      <c r="F900" s="15"/>
      <c r="G900" s="16"/>
      <c r="H900" s="14"/>
      <c r="I900" s="14"/>
      <c r="J900" s="15"/>
      <c r="K900" s="5" t="str">
        <f aca="false">IF($I900="","",1+IF($J900="",0,LEN($J900)-LEN(SUBSTITUTE($J900,",",""))+1))</f>
        <v/>
      </c>
      <c r="L900" s="14"/>
      <c r="M900" s="15"/>
      <c r="N900" s="17"/>
      <c r="O900" s="17"/>
      <c r="P900" s="5" t="str">
        <f aca="false">IF(OR($B900="",$C900=""),"",$C900-$B900+1)</f>
        <v/>
      </c>
      <c r="Q900" s="18"/>
      <c r="R900" s="12" t="str">
        <f aca="false">IF(OR($Q900="",$K900=""),"",$Q900*$K900)</f>
        <v/>
      </c>
      <c r="S900" s="14"/>
      <c r="T900" s="17"/>
      <c r="U900" s="15"/>
    </row>
    <row r="901" customFormat="false" ht="18.75" hidden="false" customHeight="true" outlineLevel="0" collapsed="false">
      <c r="A901" s="5" t="str">
        <f aca="false">IF($B901="","",COUNT($B$5:$B901))</f>
        <v/>
      </c>
      <c r="B901" s="6"/>
      <c r="C901" s="6"/>
      <c r="D901" s="7"/>
      <c r="E901" s="7"/>
      <c r="F901" s="8"/>
      <c r="G901" s="9"/>
      <c r="H901" s="7"/>
      <c r="I901" s="7"/>
      <c r="J901" s="8"/>
      <c r="K901" s="5" t="str">
        <f aca="false">IF($I901="","",1+IF($J901="",0,LEN($J901)-LEN(SUBSTITUTE($J901,",",""))+1))</f>
        <v/>
      </c>
      <c r="L901" s="7"/>
      <c r="M901" s="8"/>
      <c r="N901" s="10"/>
      <c r="O901" s="10"/>
      <c r="P901" s="5" t="str">
        <f aca="false">IF(OR($B901="",$C901=""),"",$C901-$B901+1)</f>
        <v/>
      </c>
      <c r="Q901" s="11"/>
      <c r="R901" s="12" t="str">
        <f aca="false">IF(OR($Q901="",$K901=""),"",$Q901*$K901)</f>
        <v/>
      </c>
      <c r="S901" s="7"/>
      <c r="T901" s="10"/>
      <c r="U901" s="8"/>
    </row>
    <row r="902" customFormat="false" ht="18.75" hidden="false" customHeight="true" outlineLevel="0" collapsed="false">
      <c r="A902" s="5" t="str">
        <f aca="false">IF($B902="","",COUNT($B$5:$B902))</f>
        <v/>
      </c>
      <c r="B902" s="13"/>
      <c r="C902" s="13"/>
      <c r="D902" s="14"/>
      <c r="E902" s="14"/>
      <c r="F902" s="15"/>
      <c r="G902" s="16"/>
      <c r="H902" s="14"/>
      <c r="I902" s="14"/>
      <c r="J902" s="15"/>
      <c r="K902" s="5" t="str">
        <f aca="false">IF($I902="","",1+IF($J902="",0,LEN($J902)-LEN(SUBSTITUTE($J902,",",""))+1))</f>
        <v/>
      </c>
      <c r="L902" s="14"/>
      <c r="M902" s="15"/>
      <c r="N902" s="17"/>
      <c r="O902" s="17"/>
      <c r="P902" s="5" t="str">
        <f aca="false">IF(OR($B902="",$C902=""),"",$C902-$B902+1)</f>
        <v/>
      </c>
      <c r="Q902" s="18"/>
      <c r="R902" s="12" t="str">
        <f aca="false">IF(OR($Q902="",$K902=""),"",$Q902*$K902)</f>
        <v/>
      </c>
      <c r="S902" s="14"/>
      <c r="T902" s="17"/>
      <c r="U902" s="15"/>
    </row>
    <row r="903" customFormat="false" ht="18.75" hidden="false" customHeight="true" outlineLevel="0" collapsed="false">
      <c r="A903" s="5" t="str">
        <f aca="false">IF($B903="","",COUNT($B$5:$B903))</f>
        <v/>
      </c>
      <c r="B903" s="6"/>
      <c r="C903" s="6"/>
      <c r="D903" s="7"/>
      <c r="E903" s="7"/>
      <c r="F903" s="8"/>
      <c r="G903" s="9"/>
      <c r="H903" s="7"/>
      <c r="I903" s="7"/>
      <c r="J903" s="8"/>
      <c r="K903" s="5" t="str">
        <f aca="false">IF($I903="","",1+IF($J903="",0,LEN($J903)-LEN(SUBSTITUTE($J903,",",""))+1))</f>
        <v/>
      </c>
      <c r="L903" s="7"/>
      <c r="M903" s="8"/>
      <c r="N903" s="10"/>
      <c r="O903" s="10"/>
      <c r="P903" s="5" t="str">
        <f aca="false">IF(OR($B903="",$C903=""),"",$C903-$B903+1)</f>
        <v/>
      </c>
      <c r="Q903" s="11"/>
      <c r="R903" s="12" t="str">
        <f aca="false">IF(OR($Q903="",$K903=""),"",$Q903*$K903)</f>
        <v/>
      </c>
      <c r="S903" s="7"/>
      <c r="T903" s="10"/>
      <c r="U903" s="8"/>
    </row>
    <row r="904" customFormat="false" ht="18.75" hidden="false" customHeight="true" outlineLevel="0" collapsed="false">
      <c r="A904" s="5" t="str">
        <f aca="false">IF($B904="","",COUNT($B$5:$B904))</f>
        <v/>
      </c>
      <c r="B904" s="13"/>
      <c r="C904" s="13"/>
      <c r="D904" s="14"/>
      <c r="E904" s="14"/>
      <c r="F904" s="15"/>
      <c r="G904" s="16"/>
      <c r="H904" s="14"/>
      <c r="I904" s="14"/>
      <c r="J904" s="15"/>
      <c r="K904" s="5" t="str">
        <f aca="false">IF($I904="","",1+IF($J904="",0,LEN($J904)-LEN(SUBSTITUTE($J904,",",""))+1))</f>
        <v/>
      </c>
      <c r="L904" s="14"/>
      <c r="M904" s="15"/>
      <c r="N904" s="17"/>
      <c r="O904" s="17"/>
      <c r="P904" s="5" t="str">
        <f aca="false">IF(OR($B904="",$C904=""),"",$C904-$B904+1)</f>
        <v/>
      </c>
      <c r="Q904" s="18"/>
      <c r="R904" s="12" t="str">
        <f aca="false">IF(OR($Q904="",$K904=""),"",$Q904*$K904)</f>
        <v/>
      </c>
      <c r="S904" s="14"/>
      <c r="T904" s="17"/>
      <c r="U904" s="15"/>
    </row>
    <row r="905" customFormat="false" ht="18.75" hidden="false" customHeight="true" outlineLevel="0" collapsed="false">
      <c r="A905" s="5" t="str">
        <f aca="false">IF($B905="","",COUNT($B$5:$B905))</f>
        <v/>
      </c>
      <c r="B905" s="6"/>
      <c r="C905" s="6"/>
      <c r="D905" s="7"/>
      <c r="E905" s="7"/>
      <c r="F905" s="8"/>
      <c r="G905" s="9"/>
      <c r="H905" s="7"/>
      <c r="I905" s="7"/>
      <c r="J905" s="8"/>
      <c r="K905" s="5" t="str">
        <f aca="false">IF($I905="","",1+IF($J905="",0,LEN($J905)-LEN(SUBSTITUTE($J905,",",""))+1))</f>
        <v/>
      </c>
      <c r="L905" s="7"/>
      <c r="M905" s="8"/>
      <c r="N905" s="10"/>
      <c r="O905" s="10"/>
      <c r="P905" s="5" t="str">
        <f aca="false">IF(OR($B905="",$C905=""),"",$C905-$B905+1)</f>
        <v/>
      </c>
      <c r="Q905" s="11"/>
      <c r="R905" s="12" t="str">
        <f aca="false">IF(OR($Q905="",$K905=""),"",$Q905*$K905)</f>
        <v/>
      </c>
      <c r="S905" s="7"/>
      <c r="T905" s="10"/>
      <c r="U905" s="8"/>
    </row>
    <row r="906" customFormat="false" ht="18.75" hidden="false" customHeight="true" outlineLevel="0" collapsed="false">
      <c r="A906" s="5" t="str">
        <f aca="false">IF($B906="","",COUNT($B$5:$B906))</f>
        <v/>
      </c>
      <c r="B906" s="13"/>
      <c r="C906" s="13"/>
      <c r="D906" s="14"/>
      <c r="E906" s="14"/>
      <c r="F906" s="15"/>
      <c r="G906" s="16"/>
      <c r="H906" s="14"/>
      <c r="I906" s="14"/>
      <c r="J906" s="15"/>
      <c r="K906" s="5" t="str">
        <f aca="false">IF($I906="","",1+IF($J906="",0,LEN($J906)-LEN(SUBSTITUTE($J906,",",""))+1))</f>
        <v/>
      </c>
      <c r="L906" s="14"/>
      <c r="M906" s="15"/>
      <c r="N906" s="17"/>
      <c r="O906" s="17"/>
      <c r="P906" s="5" t="str">
        <f aca="false">IF(OR($B906="",$C906=""),"",$C906-$B906+1)</f>
        <v/>
      </c>
      <c r="Q906" s="18"/>
      <c r="R906" s="12" t="str">
        <f aca="false">IF(OR($Q906="",$K906=""),"",$Q906*$K906)</f>
        <v/>
      </c>
      <c r="S906" s="14"/>
      <c r="T906" s="17"/>
      <c r="U906" s="15"/>
    </row>
    <row r="907" customFormat="false" ht="18.75" hidden="false" customHeight="true" outlineLevel="0" collapsed="false">
      <c r="A907" s="5" t="str">
        <f aca="false">IF($B907="","",COUNT($B$5:$B907))</f>
        <v/>
      </c>
      <c r="B907" s="6"/>
      <c r="C907" s="6"/>
      <c r="D907" s="7"/>
      <c r="E907" s="7"/>
      <c r="F907" s="8"/>
      <c r="G907" s="9"/>
      <c r="H907" s="7"/>
      <c r="I907" s="7"/>
      <c r="J907" s="8"/>
      <c r="K907" s="5" t="str">
        <f aca="false">IF($I907="","",1+IF($J907="",0,LEN($J907)-LEN(SUBSTITUTE($J907,",",""))+1))</f>
        <v/>
      </c>
      <c r="L907" s="7"/>
      <c r="M907" s="8"/>
      <c r="N907" s="10"/>
      <c r="O907" s="10"/>
      <c r="P907" s="5" t="str">
        <f aca="false">IF(OR($B907="",$C907=""),"",$C907-$B907+1)</f>
        <v/>
      </c>
      <c r="Q907" s="11"/>
      <c r="R907" s="12" t="str">
        <f aca="false">IF(OR($Q907="",$K907=""),"",$Q907*$K907)</f>
        <v/>
      </c>
      <c r="S907" s="7"/>
      <c r="T907" s="10"/>
      <c r="U907" s="8"/>
    </row>
    <row r="908" customFormat="false" ht="18.75" hidden="false" customHeight="true" outlineLevel="0" collapsed="false">
      <c r="A908" s="5" t="str">
        <f aca="false">IF($B908="","",COUNT($B$5:$B908))</f>
        <v/>
      </c>
      <c r="B908" s="13"/>
      <c r="C908" s="13"/>
      <c r="D908" s="14"/>
      <c r="E908" s="14"/>
      <c r="F908" s="15"/>
      <c r="G908" s="16"/>
      <c r="H908" s="14"/>
      <c r="I908" s="14"/>
      <c r="J908" s="15"/>
      <c r="K908" s="5" t="str">
        <f aca="false">IF($I908="","",1+IF($J908="",0,LEN($J908)-LEN(SUBSTITUTE($J908,",",""))+1))</f>
        <v/>
      </c>
      <c r="L908" s="14"/>
      <c r="M908" s="15"/>
      <c r="N908" s="17"/>
      <c r="O908" s="17"/>
      <c r="P908" s="5" t="str">
        <f aca="false">IF(OR($B908="",$C908=""),"",$C908-$B908+1)</f>
        <v/>
      </c>
      <c r="Q908" s="18"/>
      <c r="R908" s="12" t="str">
        <f aca="false">IF(OR($Q908="",$K908=""),"",$Q908*$K908)</f>
        <v/>
      </c>
      <c r="S908" s="14"/>
      <c r="T908" s="17"/>
      <c r="U908" s="15"/>
    </row>
    <row r="909" customFormat="false" ht="18.75" hidden="false" customHeight="true" outlineLevel="0" collapsed="false">
      <c r="A909" s="5" t="str">
        <f aca="false">IF($B909="","",COUNT($B$5:$B909))</f>
        <v/>
      </c>
      <c r="B909" s="6"/>
      <c r="C909" s="6"/>
      <c r="D909" s="7"/>
      <c r="E909" s="7"/>
      <c r="F909" s="8"/>
      <c r="G909" s="9"/>
      <c r="H909" s="7"/>
      <c r="I909" s="7"/>
      <c r="J909" s="8"/>
      <c r="K909" s="5" t="str">
        <f aca="false">IF($I909="","",1+IF($J909="",0,LEN($J909)-LEN(SUBSTITUTE($J909,",",""))+1))</f>
        <v/>
      </c>
      <c r="L909" s="7"/>
      <c r="M909" s="8"/>
      <c r="N909" s="10"/>
      <c r="O909" s="10"/>
      <c r="P909" s="5" t="str">
        <f aca="false">IF(OR($B909="",$C909=""),"",$C909-$B909+1)</f>
        <v/>
      </c>
      <c r="Q909" s="11"/>
      <c r="R909" s="12" t="str">
        <f aca="false">IF(OR($Q909="",$K909=""),"",$Q909*$K909)</f>
        <v/>
      </c>
      <c r="S909" s="7"/>
      <c r="T909" s="10"/>
      <c r="U909" s="8"/>
    </row>
    <row r="910" customFormat="false" ht="18.75" hidden="false" customHeight="true" outlineLevel="0" collapsed="false">
      <c r="A910" s="5" t="str">
        <f aca="false">IF($B910="","",COUNT($B$5:$B910))</f>
        <v/>
      </c>
      <c r="B910" s="13"/>
      <c r="C910" s="13"/>
      <c r="D910" s="14"/>
      <c r="E910" s="14"/>
      <c r="F910" s="15"/>
      <c r="G910" s="16"/>
      <c r="H910" s="14"/>
      <c r="I910" s="14"/>
      <c r="J910" s="15"/>
      <c r="K910" s="5" t="str">
        <f aca="false">IF($I910="","",1+IF($J910="",0,LEN($J910)-LEN(SUBSTITUTE($J910,",",""))+1))</f>
        <v/>
      </c>
      <c r="L910" s="14"/>
      <c r="M910" s="15"/>
      <c r="N910" s="17"/>
      <c r="O910" s="17"/>
      <c r="P910" s="5" t="str">
        <f aca="false">IF(OR($B910="",$C910=""),"",$C910-$B910+1)</f>
        <v/>
      </c>
      <c r="Q910" s="18"/>
      <c r="R910" s="12" t="str">
        <f aca="false">IF(OR($Q910="",$K910=""),"",$Q910*$K910)</f>
        <v/>
      </c>
      <c r="S910" s="14"/>
      <c r="T910" s="17"/>
      <c r="U910" s="15"/>
    </row>
    <row r="911" customFormat="false" ht="18.75" hidden="false" customHeight="true" outlineLevel="0" collapsed="false">
      <c r="A911" s="5" t="str">
        <f aca="false">IF($B911="","",COUNT($B$5:$B911))</f>
        <v/>
      </c>
      <c r="B911" s="6"/>
      <c r="C911" s="6"/>
      <c r="D911" s="7"/>
      <c r="E911" s="7"/>
      <c r="F911" s="8"/>
      <c r="G911" s="9"/>
      <c r="H911" s="7"/>
      <c r="I911" s="7"/>
      <c r="J911" s="8"/>
      <c r="K911" s="5" t="str">
        <f aca="false">IF($I911="","",1+IF($J911="",0,LEN($J911)-LEN(SUBSTITUTE($J911,",",""))+1))</f>
        <v/>
      </c>
      <c r="L911" s="7"/>
      <c r="M911" s="8"/>
      <c r="N911" s="10"/>
      <c r="O911" s="10"/>
      <c r="P911" s="5" t="str">
        <f aca="false">IF(OR($B911="",$C911=""),"",$C911-$B911+1)</f>
        <v/>
      </c>
      <c r="Q911" s="11"/>
      <c r="R911" s="12" t="str">
        <f aca="false">IF(OR($Q911="",$K911=""),"",$Q911*$K911)</f>
        <v/>
      </c>
      <c r="S911" s="7"/>
      <c r="T911" s="10"/>
      <c r="U911" s="8"/>
    </row>
    <row r="912" customFormat="false" ht="18.75" hidden="false" customHeight="true" outlineLevel="0" collapsed="false">
      <c r="A912" s="5" t="str">
        <f aca="false">IF($B912="","",COUNT($B$5:$B912))</f>
        <v/>
      </c>
      <c r="B912" s="13"/>
      <c r="C912" s="13"/>
      <c r="D912" s="14"/>
      <c r="E912" s="14"/>
      <c r="F912" s="15"/>
      <c r="G912" s="16"/>
      <c r="H912" s="14"/>
      <c r="I912" s="14"/>
      <c r="J912" s="15"/>
      <c r="K912" s="5" t="str">
        <f aca="false">IF($I912="","",1+IF($J912="",0,LEN($J912)-LEN(SUBSTITUTE($J912,",",""))+1))</f>
        <v/>
      </c>
      <c r="L912" s="14"/>
      <c r="M912" s="15"/>
      <c r="N912" s="17"/>
      <c r="O912" s="17"/>
      <c r="P912" s="5" t="str">
        <f aca="false">IF(OR($B912="",$C912=""),"",$C912-$B912+1)</f>
        <v/>
      </c>
      <c r="Q912" s="18"/>
      <c r="R912" s="12" t="str">
        <f aca="false">IF(OR($Q912="",$K912=""),"",$Q912*$K912)</f>
        <v/>
      </c>
      <c r="S912" s="14"/>
      <c r="T912" s="17"/>
      <c r="U912" s="15"/>
    </row>
    <row r="913" customFormat="false" ht="18.75" hidden="false" customHeight="true" outlineLevel="0" collapsed="false">
      <c r="A913" s="5" t="str">
        <f aca="false">IF($B913="","",COUNT($B$5:$B913))</f>
        <v/>
      </c>
      <c r="B913" s="6"/>
      <c r="C913" s="6"/>
      <c r="D913" s="7"/>
      <c r="E913" s="7"/>
      <c r="F913" s="8"/>
      <c r="G913" s="9"/>
      <c r="H913" s="7"/>
      <c r="I913" s="7"/>
      <c r="J913" s="8"/>
      <c r="K913" s="5" t="str">
        <f aca="false">IF($I913="","",1+IF($J913="",0,LEN($J913)-LEN(SUBSTITUTE($J913,",",""))+1))</f>
        <v/>
      </c>
      <c r="L913" s="7"/>
      <c r="M913" s="8"/>
      <c r="N913" s="10"/>
      <c r="O913" s="10"/>
      <c r="P913" s="5" t="str">
        <f aca="false">IF(OR($B913="",$C913=""),"",$C913-$B913+1)</f>
        <v/>
      </c>
      <c r="Q913" s="11"/>
      <c r="R913" s="12" t="str">
        <f aca="false">IF(OR($Q913="",$K913=""),"",$Q913*$K913)</f>
        <v/>
      </c>
      <c r="S913" s="7"/>
      <c r="T913" s="10"/>
      <c r="U913" s="8"/>
    </row>
    <row r="914" customFormat="false" ht="18.75" hidden="false" customHeight="true" outlineLevel="0" collapsed="false">
      <c r="A914" s="5" t="str">
        <f aca="false">IF($B914="","",COUNT($B$5:$B914))</f>
        <v/>
      </c>
      <c r="B914" s="13"/>
      <c r="C914" s="13"/>
      <c r="D914" s="14"/>
      <c r="E914" s="14"/>
      <c r="F914" s="15"/>
      <c r="G914" s="16"/>
      <c r="H914" s="14"/>
      <c r="I914" s="14"/>
      <c r="J914" s="15"/>
      <c r="K914" s="5" t="str">
        <f aca="false">IF($I914="","",1+IF($J914="",0,LEN($J914)-LEN(SUBSTITUTE($J914,",",""))+1))</f>
        <v/>
      </c>
      <c r="L914" s="14"/>
      <c r="M914" s="15"/>
      <c r="N914" s="17"/>
      <c r="O914" s="17"/>
      <c r="P914" s="5" t="str">
        <f aca="false">IF(OR($B914="",$C914=""),"",$C914-$B914+1)</f>
        <v/>
      </c>
      <c r="Q914" s="18"/>
      <c r="R914" s="12" t="str">
        <f aca="false">IF(OR($Q914="",$K914=""),"",$Q914*$K914)</f>
        <v/>
      </c>
      <c r="S914" s="14"/>
      <c r="T914" s="17"/>
      <c r="U914" s="15"/>
    </row>
    <row r="915" customFormat="false" ht="18.75" hidden="false" customHeight="true" outlineLevel="0" collapsed="false">
      <c r="A915" s="5" t="str">
        <f aca="false">IF($B915="","",COUNT($B$5:$B915))</f>
        <v/>
      </c>
      <c r="B915" s="6"/>
      <c r="C915" s="6"/>
      <c r="D915" s="7"/>
      <c r="E915" s="7"/>
      <c r="F915" s="8"/>
      <c r="G915" s="9"/>
      <c r="H915" s="7"/>
      <c r="I915" s="7"/>
      <c r="J915" s="8"/>
      <c r="K915" s="5" t="str">
        <f aca="false">IF($I915="","",1+IF($J915="",0,LEN($J915)-LEN(SUBSTITUTE($J915,",",""))+1))</f>
        <v/>
      </c>
      <c r="L915" s="7"/>
      <c r="M915" s="8"/>
      <c r="N915" s="10"/>
      <c r="O915" s="10"/>
      <c r="P915" s="5" t="str">
        <f aca="false">IF(OR($B915="",$C915=""),"",$C915-$B915+1)</f>
        <v/>
      </c>
      <c r="Q915" s="11"/>
      <c r="R915" s="12" t="str">
        <f aca="false">IF(OR($Q915="",$K915=""),"",$Q915*$K915)</f>
        <v/>
      </c>
      <c r="S915" s="7"/>
      <c r="T915" s="10"/>
      <c r="U915" s="8"/>
    </row>
    <row r="916" customFormat="false" ht="18.75" hidden="false" customHeight="true" outlineLevel="0" collapsed="false">
      <c r="A916" s="5" t="str">
        <f aca="false">IF($B916="","",COUNT($B$5:$B916))</f>
        <v/>
      </c>
      <c r="B916" s="13"/>
      <c r="C916" s="13"/>
      <c r="D916" s="14"/>
      <c r="E916" s="14"/>
      <c r="F916" s="15"/>
      <c r="G916" s="16"/>
      <c r="H916" s="14"/>
      <c r="I916" s="14"/>
      <c r="J916" s="15"/>
      <c r="K916" s="5" t="str">
        <f aca="false">IF($I916="","",1+IF($J916="",0,LEN($J916)-LEN(SUBSTITUTE($J916,",",""))+1))</f>
        <v/>
      </c>
      <c r="L916" s="14"/>
      <c r="M916" s="15"/>
      <c r="N916" s="17"/>
      <c r="O916" s="17"/>
      <c r="P916" s="5" t="str">
        <f aca="false">IF(OR($B916="",$C916=""),"",$C916-$B916+1)</f>
        <v/>
      </c>
      <c r="Q916" s="18"/>
      <c r="R916" s="12" t="str">
        <f aca="false">IF(OR($Q916="",$K916=""),"",$Q916*$K916)</f>
        <v/>
      </c>
      <c r="S916" s="14"/>
      <c r="T916" s="17"/>
      <c r="U916" s="15"/>
    </row>
    <row r="917" customFormat="false" ht="18.75" hidden="false" customHeight="true" outlineLevel="0" collapsed="false">
      <c r="A917" s="5" t="str">
        <f aca="false">IF($B917="","",COUNT($B$5:$B917))</f>
        <v/>
      </c>
      <c r="B917" s="6"/>
      <c r="C917" s="6"/>
      <c r="D917" s="7"/>
      <c r="E917" s="7"/>
      <c r="F917" s="8"/>
      <c r="G917" s="9"/>
      <c r="H917" s="7"/>
      <c r="I917" s="7"/>
      <c r="J917" s="8"/>
      <c r="K917" s="5" t="str">
        <f aca="false">IF($I917="","",1+IF($J917="",0,LEN($J917)-LEN(SUBSTITUTE($J917,",",""))+1))</f>
        <v/>
      </c>
      <c r="L917" s="7"/>
      <c r="M917" s="8"/>
      <c r="N917" s="10"/>
      <c r="O917" s="10"/>
      <c r="P917" s="5" t="str">
        <f aca="false">IF(OR($B917="",$C917=""),"",$C917-$B917+1)</f>
        <v/>
      </c>
      <c r="Q917" s="11"/>
      <c r="R917" s="12" t="str">
        <f aca="false">IF(OR($Q917="",$K917=""),"",$Q917*$K917)</f>
        <v/>
      </c>
      <c r="S917" s="7"/>
      <c r="T917" s="10"/>
      <c r="U917" s="8"/>
    </row>
    <row r="918" customFormat="false" ht="18.75" hidden="false" customHeight="true" outlineLevel="0" collapsed="false">
      <c r="A918" s="5" t="str">
        <f aca="false">IF($B918="","",COUNT($B$5:$B918))</f>
        <v/>
      </c>
      <c r="B918" s="13"/>
      <c r="C918" s="13"/>
      <c r="D918" s="14"/>
      <c r="E918" s="14"/>
      <c r="F918" s="15"/>
      <c r="G918" s="16"/>
      <c r="H918" s="14"/>
      <c r="I918" s="14"/>
      <c r="J918" s="15"/>
      <c r="K918" s="5" t="str">
        <f aca="false">IF($I918="","",1+IF($J918="",0,LEN($J918)-LEN(SUBSTITUTE($J918,",",""))+1))</f>
        <v/>
      </c>
      <c r="L918" s="14"/>
      <c r="M918" s="15"/>
      <c r="N918" s="17"/>
      <c r="O918" s="17"/>
      <c r="P918" s="5" t="str">
        <f aca="false">IF(OR($B918="",$C918=""),"",$C918-$B918+1)</f>
        <v/>
      </c>
      <c r="Q918" s="18"/>
      <c r="R918" s="12" t="str">
        <f aca="false">IF(OR($Q918="",$K918=""),"",$Q918*$K918)</f>
        <v/>
      </c>
      <c r="S918" s="14"/>
      <c r="T918" s="17"/>
      <c r="U918" s="15"/>
    </row>
    <row r="919" customFormat="false" ht="18.75" hidden="false" customHeight="true" outlineLevel="0" collapsed="false">
      <c r="A919" s="5" t="str">
        <f aca="false">IF($B919="","",COUNT($B$5:$B919))</f>
        <v/>
      </c>
      <c r="B919" s="6"/>
      <c r="C919" s="6"/>
      <c r="D919" s="7"/>
      <c r="E919" s="7"/>
      <c r="F919" s="8"/>
      <c r="G919" s="9"/>
      <c r="H919" s="7"/>
      <c r="I919" s="7"/>
      <c r="J919" s="8"/>
      <c r="K919" s="5" t="str">
        <f aca="false">IF($I919="","",1+IF($J919="",0,LEN($J919)-LEN(SUBSTITUTE($J919,",",""))+1))</f>
        <v/>
      </c>
      <c r="L919" s="7"/>
      <c r="M919" s="8"/>
      <c r="N919" s="10"/>
      <c r="O919" s="10"/>
      <c r="P919" s="5" t="str">
        <f aca="false">IF(OR($B919="",$C919=""),"",$C919-$B919+1)</f>
        <v/>
      </c>
      <c r="Q919" s="11"/>
      <c r="R919" s="12" t="str">
        <f aca="false">IF(OR($Q919="",$K919=""),"",$Q919*$K919)</f>
        <v/>
      </c>
      <c r="S919" s="7"/>
      <c r="T919" s="10"/>
      <c r="U919" s="8"/>
    </row>
    <row r="920" customFormat="false" ht="18.75" hidden="false" customHeight="true" outlineLevel="0" collapsed="false">
      <c r="A920" s="5" t="str">
        <f aca="false">IF($B920="","",COUNT($B$5:$B920))</f>
        <v/>
      </c>
      <c r="B920" s="13"/>
      <c r="C920" s="13"/>
      <c r="D920" s="14"/>
      <c r="E920" s="14"/>
      <c r="F920" s="15"/>
      <c r="G920" s="16"/>
      <c r="H920" s="14"/>
      <c r="I920" s="14"/>
      <c r="J920" s="15"/>
      <c r="K920" s="5" t="str">
        <f aca="false">IF($I920="","",1+IF($J920="",0,LEN($J920)-LEN(SUBSTITUTE($J920,",",""))+1))</f>
        <v/>
      </c>
      <c r="L920" s="14"/>
      <c r="M920" s="15"/>
      <c r="N920" s="17"/>
      <c r="O920" s="17"/>
      <c r="P920" s="5" t="str">
        <f aca="false">IF(OR($B920="",$C920=""),"",$C920-$B920+1)</f>
        <v/>
      </c>
      <c r="Q920" s="18"/>
      <c r="R920" s="12" t="str">
        <f aca="false">IF(OR($Q920="",$K920=""),"",$Q920*$K920)</f>
        <v/>
      </c>
      <c r="S920" s="14"/>
      <c r="T920" s="17"/>
      <c r="U920" s="15"/>
    </row>
    <row r="921" customFormat="false" ht="18.75" hidden="false" customHeight="true" outlineLevel="0" collapsed="false">
      <c r="A921" s="5" t="str">
        <f aca="false">IF($B921="","",COUNT($B$5:$B921))</f>
        <v/>
      </c>
      <c r="B921" s="6"/>
      <c r="C921" s="6"/>
      <c r="D921" s="7"/>
      <c r="E921" s="7"/>
      <c r="F921" s="8"/>
      <c r="G921" s="9"/>
      <c r="H921" s="7"/>
      <c r="I921" s="7"/>
      <c r="J921" s="8"/>
      <c r="K921" s="5" t="str">
        <f aca="false">IF($I921="","",1+IF($J921="",0,LEN($J921)-LEN(SUBSTITUTE($J921,",",""))+1))</f>
        <v/>
      </c>
      <c r="L921" s="7"/>
      <c r="M921" s="8"/>
      <c r="N921" s="10"/>
      <c r="O921" s="10"/>
      <c r="P921" s="5" t="str">
        <f aca="false">IF(OR($B921="",$C921=""),"",$C921-$B921+1)</f>
        <v/>
      </c>
      <c r="Q921" s="11"/>
      <c r="R921" s="12" t="str">
        <f aca="false">IF(OR($Q921="",$K921=""),"",$Q921*$K921)</f>
        <v/>
      </c>
      <c r="S921" s="7"/>
      <c r="T921" s="10"/>
      <c r="U921" s="8"/>
    </row>
    <row r="922" customFormat="false" ht="18.75" hidden="false" customHeight="true" outlineLevel="0" collapsed="false">
      <c r="A922" s="5" t="str">
        <f aca="false">IF($B922="","",COUNT($B$5:$B922))</f>
        <v/>
      </c>
      <c r="B922" s="13"/>
      <c r="C922" s="13"/>
      <c r="D922" s="14"/>
      <c r="E922" s="14"/>
      <c r="F922" s="15"/>
      <c r="G922" s="16"/>
      <c r="H922" s="14"/>
      <c r="I922" s="14"/>
      <c r="J922" s="15"/>
      <c r="K922" s="5" t="str">
        <f aca="false">IF($I922="","",1+IF($J922="",0,LEN($J922)-LEN(SUBSTITUTE($J922,",",""))+1))</f>
        <v/>
      </c>
      <c r="L922" s="14"/>
      <c r="M922" s="15"/>
      <c r="N922" s="17"/>
      <c r="O922" s="17"/>
      <c r="P922" s="5" t="str">
        <f aca="false">IF(OR($B922="",$C922=""),"",$C922-$B922+1)</f>
        <v/>
      </c>
      <c r="Q922" s="18"/>
      <c r="R922" s="12" t="str">
        <f aca="false">IF(OR($Q922="",$K922=""),"",$Q922*$K922)</f>
        <v/>
      </c>
      <c r="S922" s="14"/>
      <c r="T922" s="17"/>
      <c r="U922" s="15"/>
    </row>
    <row r="923" customFormat="false" ht="18.75" hidden="false" customHeight="true" outlineLevel="0" collapsed="false">
      <c r="A923" s="5" t="str">
        <f aca="false">IF($B923="","",COUNT($B$5:$B923))</f>
        <v/>
      </c>
      <c r="B923" s="6"/>
      <c r="C923" s="6"/>
      <c r="D923" s="7"/>
      <c r="E923" s="7"/>
      <c r="F923" s="8"/>
      <c r="G923" s="9"/>
      <c r="H923" s="7"/>
      <c r="I923" s="7"/>
      <c r="J923" s="8"/>
      <c r="K923" s="5" t="str">
        <f aca="false">IF($I923="","",1+IF($J923="",0,LEN($J923)-LEN(SUBSTITUTE($J923,",",""))+1))</f>
        <v/>
      </c>
      <c r="L923" s="7"/>
      <c r="M923" s="8"/>
      <c r="N923" s="10"/>
      <c r="O923" s="10"/>
      <c r="P923" s="5" t="str">
        <f aca="false">IF(OR($B923="",$C923=""),"",$C923-$B923+1)</f>
        <v/>
      </c>
      <c r="Q923" s="11"/>
      <c r="R923" s="12" t="str">
        <f aca="false">IF(OR($Q923="",$K923=""),"",$Q923*$K923)</f>
        <v/>
      </c>
      <c r="S923" s="7"/>
      <c r="T923" s="10"/>
      <c r="U923" s="8"/>
    </row>
    <row r="924" customFormat="false" ht="18.75" hidden="false" customHeight="true" outlineLevel="0" collapsed="false">
      <c r="A924" s="5" t="str">
        <f aca="false">IF($B924="","",COUNT($B$5:$B924))</f>
        <v/>
      </c>
      <c r="B924" s="13"/>
      <c r="C924" s="13"/>
      <c r="D924" s="14"/>
      <c r="E924" s="14"/>
      <c r="F924" s="15"/>
      <c r="G924" s="16"/>
      <c r="H924" s="14"/>
      <c r="I924" s="14"/>
      <c r="J924" s="15"/>
      <c r="K924" s="5" t="str">
        <f aca="false">IF($I924="","",1+IF($J924="",0,LEN($J924)-LEN(SUBSTITUTE($J924,",",""))+1))</f>
        <v/>
      </c>
      <c r="L924" s="14"/>
      <c r="M924" s="15"/>
      <c r="N924" s="17"/>
      <c r="O924" s="17"/>
      <c r="P924" s="5" t="str">
        <f aca="false">IF(OR($B924="",$C924=""),"",$C924-$B924+1)</f>
        <v/>
      </c>
      <c r="Q924" s="18"/>
      <c r="R924" s="12" t="str">
        <f aca="false">IF(OR($Q924="",$K924=""),"",$Q924*$K924)</f>
        <v/>
      </c>
      <c r="S924" s="14"/>
      <c r="T924" s="17"/>
      <c r="U924" s="15"/>
    </row>
    <row r="925" customFormat="false" ht="18.75" hidden="false" customHeight="true" outlineLevel="0" collapsed="false">
      <c r="A925" s="5" t="str">
        <f aca="false">IF($B925="","",COUNT($B$5:$B925))</f>
        <v/>
      </c>
      <c r="B925" s="6"/>
      <c r="C925" s="6"/>
      <c r="D925" s="7"/>
      <c r="E925" s="7"/>
      <c r="F925" s="8"/>
      <c r="G925" s="9"/>
      <c r="H925" s="7"/>
      <c r="I925" s="7"/>
      <c r="J925" s="8"/>
      <c r="K925" s="5" t="str">
        <f aca="false">IF($I925="","",1+IF($J925="",0,LEN($J925)-LEN(SUBSTITUTE($J925,",",""))+1))</f>
        <v/>
      </c>
      <c r="L925" s="7"/>
      <c r="M925" s="8"/>
      <c r="N925" s="10"/>
      <c r="O925" s="10"/>
      <c r="P925" s="5" t="str">
        <f aca="false">IF(OR($B925="",$C925=""),"",$C925-$B925+1)</f>
        <v/>
      </c>
      <c r="Q925" s="11"/>
      <c r="R925" s="12" t="str">
        <f aca="false">IF(OR($Q925="",$K925=""),"",$Q925*$K925)</f>
        <v/>
      </c>
      <c r="S925" s="7"/>
      <c r="T925" s="10"/>
      <c r="U925" s="8"/>
    </row>
    <row r="926" customFormat="false" ht="18.75" hidden="false" customHeight="true" outlineLevel="0" collapsed="false">
      <c r="A926" s="5" t="str">
        <f aca="false">IF($B926="","",COUNT($B$5:$B926))</f>
        <v/>
      </c>
      <c r="B926" s="13"/>
      <c r="C926" s="13"/>
      <c r="D926" s="14"/>
      <c r="E926" s="14"/>
      <c r="F926" s="15"/>
      <c r="G926" s="16"/>
      <c r="H926" s="14"/>
      <c r="I926" s="14"/>
      <c r="J926" s="15"/>
      <c r="K926" s="5" t="str">
        <f aca="false">IF($I926="","",1+IF($J926="",0,LEN($J926)-LEN(SUBSTITUTE($J926,",",""))+1))</f>
        <v/>
      </c>
      <c r="L926" s="14"/>
      <c r="M926" s="15"/>
      <c r="N926" s="17"/>
      <c r="O926" s="17"/>
      <c r="P926" s="5" t="str">
        <f aca="false">IF(OR($B926="",$C926=""),"",$C926-$B926+1)</f>
        <v/>
      </c>
      <c r="Q926" s="18"/>
      <c r="R926" s="12" t="str">
        <f aca="false">IF(OR($Q926="",$K926=""),"",$Q926*$K926)</f>
        <v/>
      </c>
      <c r="S926" s="14"/>
      <c r="T926" s="17"/>
      <c r="U926" s="15"/>
    </row>
    <row r="927" customFormat="false" ht="18.75" hidden="false" customHeight="true" outlineLevel="0" collapsed="false">
      <c r="A927" s="5" t="str">
        <f aca="false">IF($B927="","",COUNT($B$5:$B927))</f>
        <v/>
      </c>
      <c r="B927" s="6"/>
      <c r="C927" s="6"/>
      <c r="D927" s="7"/>
      <c r="E927" s="7"/>
      <c r="F927" s="8"/>
      <c r="G927" s="9"/>
      <c r="H927" s="7"/>
      <c r="I927" s="7"/>
      <c r="J927" s="8"/>
      <c r="K927" s="5" t="str">
        <f aca="false">IF($I927="","",1+IF($J927="",0,LEN($J927)-LEN(SUBSTITUTE($J927,",",""))+1))</f>
        <v/>
      </c>
      <c r="L927" s="7"/>
      <c r="M927" s="8"/>
      <c r="N927" s="10"/>
      <c r="O927" s="10"/>
      <c r="P927" s="5" t="str">
        <f aca="false">IF(OR($B927="",$C927=""),"",$C927-$B927+1)</f>
        <v/>
      </c>
      <c r="Q927" s="11"/>
      <c r="R927" s="12" t="str">
        <f aca="false">IF(OR($Q927="",$K927=""),"",$Q927*$K927)</f>
        <v/>
      </c>
      <c r="S927" s="7"/>
      <c r="T927" s="10"/>
      <c r="U927" s="8"/>
    </row>
    <row r="928" customFormat="false" ht="18.75" hidden="false" customHeight="true" outlineLevel="0" collapsed="false">
      <c r="A928" s="5" t="str">
        <f aca="false">IF($B928="","",COUNT($B$5:$B928))</f>
        <v/>
      </c>
      <c r="B928" s="13"/>
      <c r="C928" s="13"/>
      <c r="D928" s="14"/>
      <c r="E928" s="14"/>
      <c r="F928" s="15"/>
      <c r="G928" s="16"/>
      <c r="H928" s="14"/>
      <c r="I928" s="14"/>
      <c r="J928" s="15"/>
      <c r="K928" s="5" t="str">
        <f aca="false">IF($I928="","",1+IF($J928="",0,LEN($J928)-LEN(SUBSTITUTE($J928,",",""))+1))</f>
        <v/>
      </c>
      <c r="L928" s="14"/>
      <c r="M928" s="15"/>
      <c r="N928" s="17"/>
      <c r="O928" s="17"/>
      <c r="P928" s="5" t="str">
        <f aca="false">IF(OR($B928="",$C928=""),"",$C928-$B928+1)</f>
        <v/>
      </c>
      <c r="Q928" s="18"/>
      <c r="R928" s="12" t="str">
        <f aca="false">IF(OR($Q928="",$K928=""),"",$Q928*$K928)</f>
        <v/>
      </c>
      <c r="S928" s="14"/>
      <c r="T928" s="17"/>
      <c r="U928" s="15"/>
    </row>
    <row r="929" customFormat="false" ht="18.75" hidden="false" customHeight="true" outlineLevel="0" collapsed="false">
      <c r="A929" s="5" t="str">
        <f aca="false">IF($B929="","",COUNT($B$5:$B929))</f>
        <v/>
      </c>
      <c r="B929" s="6"/>
      <c r="C929" s="6"/>
      <c r="D929" s="7"/>
      <c r="E929" s="7"/>
      <c r="F929" s="8"/>
      <c r="G929" s="9"/>
      <c r="H929" s="7"/>
      <c r="I929" s="7"/>
      <c r="J929" s="8"/>
      <c r="K929" s="5" t="str">
        <f aca="false">IF($I929="","",1+IF($J929="",0,LEN($J929)-LEN(SUBSTITUTE($J929,",",""))+1))</f>
        <v/>
      </c>
      <c r="L929" s="7"/>
      <c r="M929" s="8"/>
      <c r="N929" s="10"/>
      <c r="O929" s="10"/>
      <c r="P929" s="5" t="str">
        <f aca="false">IF(OR($B929="",$C929=""),"",$C929-$B929+1)</f>
        <v/>
      </c>
      <c r="Q929" s="11"/>
      <c r="R929" s="12" t="str">
        <f aca="false">IF(OR($Q929="",$K929=""),"",$Q929*$K929)</f>
        <v/>
      </c>
      <c r="S929" s="7"/>
      <c r="T929" s="10"/>
      <c r="U929" s="8"/>
    </row>
    <row r="930" customFormat="false" ht="18.75" hidden="false" customHeight="true" outlineLevel="0" collapsed="false">
      <c r="A930" s="5" t="str">
        <f aca="false">IF($B930="","",COUNT($B$5:$B930))</f>
        <v/>
      </c>
      <c r="B930" s="13"/>
      <c r="C930" s="13"/>
      <c r="D930" s="14"/>
      <c r="E930" s="14"/>
      <c r="F930" s="15"/>
      <c r="G930" s="16"/>
      <c r="H930" s="14"/>
      <c r="I930" s="14"/>
      <c r="J930" s="15"/>
      <c r="K930" s="5" t="str">
        <f aca="false">IF($I930="","",1+IF($J930="",0,LEN($J930)-LEN(SUBSTITUTE($J930,",",""))+1))</f>
        <v/>
      </c>
      <c r="L930" s="14"/>
      <c r="M930" s="15"/>
      <c r="N930" s="17"/>
      <c r="O930" s="17"/>
      <c r="P930" s="5" t="str">
        <f aca="false">IF(OR($B930="",$C930=""),"",$C930-$B930+1)</f>
        <v/>
      </c>
      <c r="Q930" s="18"/>
      <c r="R930" s="12" t="str">
        <f aca="false">IF(OR($Q930="",$K930=""),"",$Q930*$K930)</f>
        <v/>
      </c>
      <c r="S930" s="14"/>
      <c r="T930" s="17"/>
      <c r="U930" s="15"/>
    </row>
    <row r="931" customFormat="false" ht="18.75" hidden="false" customHeight="true" outlineLevel="0" collapsed="false">
      <c r="A931" s="5" t="str">
        <f aca="false">IF($B931="","",COUNT($B$5:$B931))</f>
        <v/>
      </c>
      <c r="B931" s="6"/>
      <c r="C931" s="6"/>
      <c r="D931" s="7"/>
      <c r="E931" s="7"/>
      <c r="F931" s="8"/>
      <c r="G931" s="9"/>
      <c r="H931" s="7"/>
      <c r="I931" s="7"/>
      <c r="J931" s="8"/>
      <c r="K931" s="5" t="str">
        <f aca="false">IF($I931="","",1+IF($J931="",0,LEN($J931)-LEN(SUBSTITUTE($J931,",",""))+1))</f>
        <v/>
      </c>
      <c r="L931" s="7"/>
      <c r="M931" s="8"/>
      <c r="N931" s="10"/>
      <c r="O931" s="10"/>
      <c r="P931" s="5" t="str">
        <f aca="false">IF(OR($B931="",$C931=""),"",$C931-$B931+1)</f>
        <v/>
      </c>
      <c r="Q931" s="11"/>
      <c r="R931" s="12" t="str">
        <f aca="false">IF(OR($Q931="",$K931=""),"",$Q931*$K931)</f>
        <v/>
      </c>
      <c r="S931" s="7"/>
      <c r="T931" s="10"/>
      <c r="U931" s="8"/>
    </row>
    <row r="932" customFormat="false" ht="18.75" hidden="false" customHeight="true" outlineLevel="0" collapsed="false">
      <c r="A932" s="5" t="str">
        <f aca="false">IF($B932="","",COUNT($B$5:$B932))</f>
        <v/>
      </c>
      <c r="B932" s="13"/>
      <c r="C932" s="13"/>
      <c r="D932" s="14"/>
      <c r="E932" s="14"/>
      <c r="F932" s="15"/>
      <c r="G932" s="16"/>
      <c r="H932" s="14"/>
      <c r="I932" s="14"/>
      <c r="J932" s="15"/>
      <c r="K932" s="5" t="str">
        <f aca="false">IF($I932="","",1+IF($J932="",0,LEN($J932)-LEN(SUBSTITUTE($J932,",",""))+1))</f>
        <v/>
      </c>
      <c r="L932" s="14"/>
      <c r="M932" s="15"/>
      <c r="N932" s="17"/>
      <c r="O932" s="17"/>
      <c r="P932" s="5" t="str">
        <f aca="false">IF(OR($B932="",$C932=""),"",$C932-$B932+1)</f>
        <v/>
      </c>
      <c r="Q932" s="18"/>
      <c r="R932" s="12" t="str">
        <f aca="false">IF(OR($Q932="",$K932=""),"",$Q932*$K932)</f>
        <v/>
      </c>
      <c r="S932" s="14"/>
      <c r="T932" s="17"/>
      <c r="U932" s="15"/>
    </row>
    <row r="933" customFormat="false" ht="18.75" hidden="false" customHeight="true" outlineLevel="0" collapsed="false">
      <c r="A933" s="5" t="str">
        <f aca="false">IF($B933="","",COUNT($B$5:$B933))</f>
        <v/>
      </c>
      <c r="B933" s="6"/>
      <c r="C933" s="6"/>
      <c r="D933" s="7"/>
      <c r="E933" s="7"/>
      <c r="F933" s="8"/>
      <c r="G933" s="9"/>
      <c r="H933" s="7"/>
      <c r="I933" s="7"/>
      <c r="J933" s="8"/>
      <c r="K933" s="5" t="str">
        <f aca="false">IF($I933="","",1+IF($J933="",0,LEN($J933)-LEN(SUBSTITUTE($J933,",",""))+1))</f>
        <v/>
      </c>
      <c r="L933" s="7"/>
      <c r="M933" s="8"/>
      <c r="N933" s="10"/>
      <c r="O933" s="10"/>
      <c r="P933" s="5" t="str">
        <f aca="false">IF(OR($B933="",$C933=""),"",$C933-$B933+1)</f>
        <v/>
      </c>
      <c r="Q933" s="11"/>
      <c r="R933" s="12" t="str">
        <f aca="false">IF(OR($Q933="",$K933=""),"",$Q933*$K933)</f>
        <v/>
      </c>
      <c r="S933" s="7"/>
      <c r="T933" s="10"/>
      <c r="U933" s="8"/>
    </row>
    <row r="934" customFormat="false" ht="18.75" hidden="false" customHeight="true" outlineLevel="0" collapsed="false">
      <c r="A934" s="5" t="str">
        <f aca="false">IF($B934="","",COUNT($B$5:$B934))</f>
        <v/>
      </c>
      <c r="B934" s="13"/>
      <c r="C934" s="13"/>
      <c r="D934" s="14"/>
      <c r="E934" s="14"/>
      <c r="F934" s="15"/>
      <c r="G934" s="16"/>
      <c r="H934" s="14"/>
      <c r="I934" s="14"/>
      <c r="J934" s="15"/>
      <c r="K934" s="5" t="str">
        <f aca="false">IF($I934="","",1+IF($J934="",0,LEN($J934)-LEN(SUBSTITUTE($J934,",",""))+1))</f>
        <v/>
      </c>
      <c r="L934" s="14"/>
      <c r="M934" s="15"/>
      <c r="N934" s="17"/>
      <c r="O934" s="17"/>
      <c r="P934" s="5" t="str">
        <f aca="false">IF(OR($B934="",$C934=""),"",$C934-$B934+1)</f>
        <v/>
      </c>
      <c r="Q934" s="18"/>
      <c r="R934" s="12" t="str">
        <f aca="false">IF(OR($Q934="",$K934=""),"",$Q934*$K934)</f>
        <v/>
      </c>
      <c r="S934" s="14"/>
      <c r="T934" s="17"/>
      <c r="U934" s="15"/>
    </row>
    <row r="935" customFormat="false" ht="18.75" hidden="false" customHeight="true" outlineLevel="0" collapsed="false">
      <c r="A935" s="5" t="str">
        <f aca="false">IF($B935="","",COUNT($B$5:$B935))</f>
        <v/>
      </c>
      <c r="B935" s="6"/>
      <c r="C935" s="6"/>
      <c r="D935" s="7"/>
      <c r="E935" s="7"/>
      <c r="F935" s="8"/>
      <c r="G935" s="9"/>
      <c r="H935" s="7"/>
      <c r="I935" s="7"/>
      <c r="J935" s="8"/>
      <c r="K935" s="5" t="str">
        <f aca="false">IF($I935="","",1+IF($J935="",0,LEN($J935)-LEN(SUBSTITUTE($J935,",",""))+1))</f>
        <v/>
      </c>
      <c r="L935" s="7"/>
      <c r="M935" s="8"/>
      <c r="N935" s="10"/>
      <c r="O935" s="10"/>
      <c r="P935" s="5" t="str">
        <f aca="false">IF(OR($B935="",$C935=""),"",$C935-$B935+1)</f>
        <v/>
      </c>
      <c r="Q935" s="11"/>
      <c r="R935" s="12" t="str">
        <f aca="false">IF(OR($Q935="",$K935=""),"",$Q935*$K935)</f>
        <v/>
      </c>
      <c r="S935" s="7"/>
      <c r="T935" s="10"/>
      <c r="U935" s="8"/>
    </row>
    <row r="936" customFormat="false" ht="18.75" hidden="false" customHeight="true" outlineLevel="0" collapsed="false">
      <c r="A936" s="5" t="str">
        <f aca="false">IF($B936="","",COUNT($B$5:$B936))</f>
        <v/>
      </c>
      <c r="B936" s="13"/>
      <c r="C936" s="13"/>
      <c r="D936" s="14"/>
      <c r="E936" s="14"/>
      <c r="F936" s="15"/>
      <c r="G936" s="16"/>
      <c r="H936" s="14"/>
      <c r="I936" s="14"/>
      <c r="J936" s="15"/>
      <c r="K936" s="5" t="str">
        <f aca="false">IF($I936="","",1+IF($J936="",0,LEN($J936)-LEN(SUBSTITUTE($J936,",",""))+1))</f>
        <v/>
      </c>
      <c r="L936" s="14"/>
      <c r="M936" s="15"/>
      <c r="N936" s="17"/>
      <c r="O936" s="17"/>
      <c r="P936" s="5" t="str">
        <f aca="false">IF(OR($B936="",$C936=""),"",$C936-$B936+1)</f>
        <v/>
      </c>
      <c r="Q936" s="18"/>
      <c r="R936" s="12" t="str">
        <f aca="false">IF(OR($Q936="",$K936=""),"",$Q936*$K936)</f>
        <v/>
      </c>
      <c r="S936" s="14"/>
      <c r="T936" s="17"/>
      <c r="U936" s="15"/>
    </row>
    <row r="937" customFormat="false" ht="18.75" hidden="false" customHeight="true" outlineLevel="0" collapsed="false">
      <c r="A937" s="5" t="str">
        <f aca="false">IF($B937="","",COUNT($B$5:$B937))</f>
        <v/>
      </c>
      <c r="B937" s="6"/>
      <c r="C937" s="6"/>
      <c r="D937" s="7"/>
      <c r="E937" s="7"/>
      <c r="F937" s="8"/>
      <c r="G937" s="9"/>
      <c r="H937" s="7"/>
      <c r="I937" s="7"/>
      <c r="J937" s="8"/>
      <c r="K937" s="5" t="str">
        <f aca="false">IF($I937="","",1+IF($J937="",0,LEN($J937)-LEN(SUBSTITUTE($J937,",",""))+1))</f>
        <v/>
      </c>
      <c r="L937" s="7"/>
      <c r="M937" s="8"/>
      <c r="N937" s="10"/>
      <c r="O937" s="10"/>
      <c r="P937" s="5" t="str">
        <f aca="false">IF(OR($B937="",$C937=""),"",$C937-$B937+1)</f>
        <v/>
      </c>
      <c r="Q937" s="11"/>
      <c r="R937" s="12" t="str">
        <f aca="false">IF(OR($Q937="",$K937=""),"",$Q937*$K937)</f>
        <v/>
      </c>
      <c r="S937" s="7"/>
      <c r="T937" s="10"/>
      <c r="U937" s="8"/>
    </row>
    <row r="938" customFormat="false" ht="18.75" hidden="false" customHeight="true" outlineLevel="0" collapsed="false">
      <c r="A938" s="5" t="str">
        <f aca="false">IF($B938="","",COUNT($B$5:$B938))</f>
        <v/>
      </c>
      <c r="B938" s="13"/>
      <c r="C938" s="13"/>
      <c r="D938" s="14"/>
      <c r="E938" s="14"/>
      <c r="F938" s="15"/>
      <c r="G938" s="16"/>
      <c r="H938" s="14"/>
      <c r="I938" s="14"/>
      <c r="J938" s="15"/>
      <c r="K938" s="5" t="str">
        <f aca="false">IF($I938="","",1+IF($J938="",0,LEN($J938)-LEN(SUBSTITUTE($J938,",",""))+1))</f>
        <v/>
      </c>
      <c r="L938" s="14"/>
      <c r="M938" s="15"/>
      <c r="N938" s="17"/>
      <c r="O938" s="17"/>
      <c r="P938" s="5" t="str">
        <f aca="false">IF(OR($B938="",$C938=""),"",$C938-$B938+1)</f>
        <v/>
      </c>
      <c r="Q938" s="18"/>
      <c r="R938" s="12" t="str">
        <f aca="false">IF(OR($Q938="",$K938=""),"",$Q938*$K938)</f>
        <v/>
      </c>
      <c r="S938" s="14"/>
      <c r="T938" s="17"/>
      <c r="U938" s="15"/>
    </row>
    <row r="939" customFormat="false" ht="18.75" hidden="false" customHeight="true" outlineLevel="0" collapsed="false">
      <c r="A939" s="5" t="str">
        <f aca="false">IF($B939="","",COUNT($B$5:$B939))</f>
        <v/>
      </c>
      <c r="B939" s="6"/>
      <c r="C939" s="6"/>
      <c r="D939" s="7"/>
      <c r="E939" s="7"/>
      <c r="F939" s="8"/>
      <c r="G939" s="9"/>
      <c r="H939" s="7"/>
      <c r="I939" s="7"/>
      <c r="J939" s="8"/>
      <c r="K939" s="5" t="str">
        <f aca="false">IF($I939="","",1+IF($J939="",0,LEN($J939)-LEN(SUBSTITUTE($J939,",",""))+1))</f>
        <v/>
      </c>
      <c r="L939" s="7"/>
      <c r="M939" s="8"/>
      <c r="N939" s="10"/>
      <c r="O939" s="10"/>
      <c r="P939" s="5" t="str">
        <f aca="false">IF(OR($B939="",$C939=""),"",$C939-$B939+1)</f>
        <v/>
      </c>
      <c r="Q939" s="11"/>
      <c r="R939" s="12" t="str">
        <f aca="false">IF(OR($Q939="",$K939=""),"",$Q939*$K939)</f>
        <v/>
      </c>
      <c r="S939" s="7"/>
      <c r="T939" s="10"/>
      <c r="U939" s="8"/>
    </row>
    <row r="940" customFormat="false" ht="18.75" hidden="false" customHeight="true" outlineLevel="0" collapsed="false">
      <c r="A940" s="5" t="str">
        <f aca="false">IF($B940="","",COUNT($B$5:$B940))</f>
        <v/>
      </c>
      <c r="B940" s="13"/>
      <c r="C940" s="13"/>
      <c r="D940" s="14"/>
      <c r="E940" s="14"/>
      <c r="F940" s="15"/>
      <c r="G940" s="16"/>
      <c r="H940" s="14"/>
      <c r="I940" s="14"/>
      <c r="J940" s="15"/>
      <c r="K940" s="5" t="str">
        <f aca="false">IF($I940="","",1+IF($J940="",0,LEN($J940)-LEN(SUBSTITUTE($J940,",",""))+1))</f>
        <v/>
      </c>
      <c r="L940" s="14"/>
      <c r="M940" s="15"/>
      <c r="N940" s="17"/>
      <c r="O940" s="17"/>
      <c r="P940" s="5" t="str">
        <f aca="false">IF(OR($B940="",$C940=""),"",$C940-$B940+1)</f>
        <v/>
      </c>
      <c r="Q940" s="18"/>
      <c r="R940" s="12" t="str">
        <f aca="false">IF(OR($Q940="",$K940=""),"",$Q940*$K940)</f>
        <v/>
      </c>
      <c r="S940" s="14"/>
      <c r="T940" s="17"/>
      <c r="U940" s="15"/>
    </row>
    <row r="941" customFormat="false" ht="18.75" hidden="false" customHeight="true" outlineLevel="0" collapsed="false">
      <c r="A941" s="5" t="str">
        <f aca="false">IF($B941="","",COUNT($B$5:$B941))</f>
        <v/>
      </c>
      <c r="B941" s="6"/>
      <c r="C941" s="6"/>
      <c r="D941" s="7"/>
      <c r="E941" s="7"/>
      <c r="F941" s="8"/>
      <c r="G941" s="9"/>
      <c r="H941" s="7"/>
      <c r="I941" s="7"/>
      <c r="J941" s="8"/>
      <c r="K941" s="5" t="str">
        <f aca="false">IF($I941="","",1+IF($J941="",0,LEN($J941)-LEN(SUBSTITUTE($J941,",",""))+1))</f>
        <v/>
      </c>
      <c r="L941" s="7"/>
      <c r="M941" s="8"/>
      <c r="N941" s="10"/>
      <c r="O941" s="10"/>
      <c r="P941" s="5" t="str">
        <f aca="false">IF(OR($B941="",$C941=""),"",$C941-$B941+1)</f>
        <v/>
      </c>
      <c r="Q941" s="11"/>
      <c r="R941" s="12" t="str">
        <f aca="false">IF(OR($Q941="",$K941=""),"",$Q941*$K941)</f>
        <v/>
      </c>
      <c r="S941" s="7"/>
      <c r="T941" s="10"/>
      <c r="U941" s="8"/>
    </row>
    <row r="942" customFormat="false" ht="18.75" hidden="false" customHeight="true" outlineLevel="0" collapsed="false">
      <c r="A942" s="5" t="str">
        <f aca="false">IF($B942="","",COUNT($B$5:$B942))</f>
        <v/>
      </c>
      <c r="B942" s="13"/>
      <c r="C942" s="13"/>
      <c r="D942" s="14"/>
      <c r="E942" s="14"/>
      <c r="F942" s="15"/>
      <c r="G942" s="16"/>
      <c r="H942" s="14"/>
      <c r="I942" s="14"/>
      <c r="J942" s="15"/>
      <c r="K942" s="5" t="str">
        <f aca="false">IF($I942="","",1+IF($J942="",0,LEN($J942)-LEN(SUBSTITUTE($J942,",",""))+1))</f>
        <v/>
      </c>
      <c r="L942" s="14"/>
      <c r="M942" s="15"/>
      <c r="N942" s="17"/>
      <c r="O942" s="17"/>
      <c r="P942" s="5" t="str">
        <f aca="false">IF(OR($B942="",$C942=""),"",$C942-$B942+1)</f>
        <v/>
      </c>
      <c r="Q942" s="18"/>
      <c r="R942" s="12" t="str">
        <f aca="false">IF(OR($Q942="",$K942=""),"",$Q942*$K942)</f>
        <v/>
      </c>
      <c r="S942" s="14"/>
      <c r="T942" s="17"/>
      <c r="U942" s="15"/>
    </row>
    <row r="943" customFormat="false" ht="18.75" hidden="false" customHeight="true" outlineLevel="0" collapsed="false">
      <c r="A943" s="5" t="str">
        <f aca="false">IF($B943="","",COUNT($B$5:$B943))</f>
        <v/>
      </c>
      <c r="B943" s="6"/>
      <c r="C943" s="6"/>
      <c r="D943" s="7"/>
      <c r="E943" s="7"/>
      <c r="F943" s="8"/>
      <c r="G943" s="9"/>
      <c r="H943" s="7"/>
      <c r="I943" s="7"/>
      <c r="J943" s="8"/>
      <c r="K943" s="5" t="str">
        <f aca="false">IF($I943="","",1+IF($J943="",0,LEN($J943)-LEN(SUBSTITUTE($J943,",",""))+1))</f>
        <v/>
      </c>
      <c r="L943" s="7"/>
      <c r="M943" s="8"/>
      <c r="N943" s="10"/>
      <c r="O943" s="10"/>
      <c r="P943" s="5" t="str">
        <f aca="false">IF(OR($B943="",$C943=""),"",$C943-$B943+1)</f>
        <v/>
      </c>
      <c r="Q943" s="11"/>
      <c r="R943" s="12" t="str">
        <f aca="false">IF(OR($Q943="",$K943=""),"",$Q943*$K943)</f>
        <v/>
      </c>
      <c r="S943" s="7"/>
      <c r="T943" s="10"/>
      <c r="U943" s="8"/>
    </row>
    <row r="944" customFormat="false" ht="18.75" hidden="false" customHeight="true" outlineLevel="0" collapsed="false">
      <c r="A944" s="5" t="str">
        <f aca="false">IF($B944="","",COUNT($B$5:$B944))</f>
        <v/>
      </c>
      <c r="B944" s="13"/>
      <c r="C944" s="13"/>
      <c r="D944" s="14"/>
      <c r="E944" s="14"/>
      <c r="F944" s="15"/>
      <c r="G944" s="16"/>
      <c r="H944" s="14"/>
      <c r="I944" s="14"/>
      <c r="J944" s="15"/>
      <c r="K944" s="5" t="str">
        <f aca="false">IF($I944="","",1+IF($J944="",0,LEN($J944)-LEN(SUBSTITUTE($J944,",",""))+1))</f>
        <v/>
      </c>
      <c r="L944" s="14"/>
      <c r="M944" s="15"/>
      <c r="N944" s="17"/>
      <c r="O944" s="17"/>
      <c r="P944" s="5" t="str">
        <f aca="false">IF(OR($B944="",$C944=""),"",$C944-$B944+1)</f>
        <v/>
      </c>
      <c r="Q944" s="18"/>
      <c r="R944" s="12" t="str">
        <f aca="false">IF(OR($Q944="",$K944=""),"",$Q944*$K944)</f>
        <v/>
      </c>
      <c r="S944" s="14"/>
      <c r="T944" s="17"/>
      <c r="U944" s="15"/>
    </row>
    <row r="945" customFormat="false" ht="18.75" hidden="false" customHeight="true" outlineLevel="0" collapsed="false">
      <c r="A945" s="5" t="str">
        <f aca="false">IF($B945="","",COUNT($B$5:$B945))</f>
        <v/>
      </c>
      <c r="B945" s="6"/>
      <c r="C945" s="6"/>
      <c r="D945" s="7"/>
      <c r="E945" s="7"/>
      <c r="F945" s="8"/>
      <c r="G945" s="9"/>
      <c r="H945" s="7"/>
      <c r="I945" s="7"/>
      <c r="J945" s="8"/>
      <c r="K945" s="5" t="str">
        <f aca="false">IF($I945="","",1+IF($J945="",0,LEN($J945)-LEN(SUBSTITUTE($J945,",",""))+1))</f>
        <v/>
      </c>
      <c r="L945" s="7"/>
      <c r="M945" s="8"/>
      <c r="N945" s="10"/>
      <c r="O945" s="10"/>
      <c r="P945" s="5" t="str">
        <f aca="false">IF(OR($B945="",$C945=""),"",$C945-$B945+1)</f>
        <v/>
      </c>
      <c r="Q945" s="11"/>
      <c r="R945" s="12" t="str">
        <f aca="false">IF(OR($Q945="",$K945=""),"",$Q945*$K945)</f>
        <v/>
      </c>
      <c r="S945" s="7"/>
      <c r="T945" s="10"/>
      <c r="U945" s="8"/>
    </row>
    <row r="946" customFormat="false" ht="18.75" hidden="false" customHeight="true" outlineLevel="0" collapsed="false">
      <c r="A946" s="5" t="str">
        <f aca="false">IF($B946="","",COUNT($B$5:$B946))</f>
        <v/>
      </c>
      <c r="B946" s="13"/>
      <c r="C946" s="13"/>
      <c r="D946" s="14"/>
      <c r="E946" s="14"/>
      <c r="F946" s="15"/>
      <c r="G946" s="16"/>
      <c r="H946" s="14"/>
      <c r="I946" s="14"/>
      <c r="J946" s="15"/>
      <c r="K946" s="5" t="str">
        <f aca="false">IF($I946="","",1+IF($J946="",0,LEN($J946)-LEN(SUBSTITUTE($J946,",",""))+1))</f>
        <v/>
      </c>
      <c r="L946" s="14"/>
      <c r="M946" s="15"/>
      <c r="N946" s="17"/>
      <c r="O946" s="17"/>
      <c r="P946" s="5" t="str">
        <f aca="false">IF(OR($B946="",$C946=""),"",$C946-$B946+1)</f>
        <v/>
      </c>
      <c r="Q946" s="18"/>
      <c r="R946" s="12" t="str">
        <f aca="false">IF(OR($Q946="",$K946=""),"",$Q946*$K946)</f>
        <v/>
      </c>
      <c r="S946" s="14"/>
      <c r="T946" s="17"/>
      <c r="U946" s="15"/>
    </row>
    <row r="947" customFormat="false" ht="18.75" hidden="false" customHeight="true" outlineLevel="0" collapsed="false">
      <c r="A947" s="5" t="str">
        <f aca="false">IF($B947="","",COUNT($B$5:$B947))</f>
        <v/>
      </c>
      <c r="B947" s="6"/>
      <c r="C947" s="6"/>
      <c r="D947" s="7"/>
      <c r="E947" s="7"/>
      <c r="F947" s="8"/>
      <c r="G947" s="9"/>
      <c r="H947" s="7"/>
      <c r="I947" s="7"/>
      <c r="J947" s="8"/>
      <c r="K947" s="5" t="str">
        <f aca="false">IF($I947="","",1+IF($J947="",0,LEN($J947)-LEN(SUBSTITUTE($J947,",",""))+1))</f>
        <v/>
      </c>
      <c r="L947" s="7"/>
      <c r="M947" s="8"/>
      <c r="N947" s="10"/>
      <c r="O947" s="10"/>
      <c r="P947" s="5" t="str">
        <f aca="false">IF(OR($B947="",$C947=""),"",$C947-$B947+1)</f>
        <v/>
      </c>
      <c r="Q947" s="11"/>
      <c r="R947" s="12" t="str">
        <f aca="false">IF(OR($Q947="",$K947=""),"",$Q947*$K947)</f>
        <v/>
      </c>
      <c r="S947" s="7"/>
      <c r="T947" s="10"/>
      <c r="U947" s="8"/>
    </row>
    <row r="948" customFormat="false" ht="18.75" hidden="false" customHeight="true" outlineLevel="0" collapsed="false">
      <c r="A948" s="5" t="str">
        <f aca="false">IF($B948="","",COUNT($B$5:$B948))</f>
        <v/>
      </c>
      <c r="B948" s="13"/>
      <c r="C948" s="13"/>
      <c r="D948" s="14"/>
      <c r="E948" s="14"/>
      <c r="F948" s="15"/>
      <c r="G948" s="16"/>
      <c r="H948" s="14"/>
      <c r="I948" s="14"/>
      <c r="J948" s="15"/>
      <c r="K948" s="5" t="str">
        <f aca="false">IF($I948="","",1+IF($J948="",0,LEN($J948)-LEN(SUBSTITUTE($J948,",",""))+1))</f>
        <v/>
      </c>
      <c r="L948" s="14"/>
      <c r="M948" s="15"/>
      <c r="N948" s="17"/>
      <c r="O948" s="17"/>
      <c r="P948" s="5" t="str">
        <f aca="false">IF(OR($B948="",$C948=""),"",$C948-$B948+1)</f>
        <v/>
      </c>
      <c r="Q948" s="18"/>
      <c r="R948" s="12" t="str">
        <f aca="false">IF(OR($Q948="",$K948=""),"",$Q948*$K948)</f>
        <v/>
      </c>
      <c r="S948" s="14"/>
      <c r="T948" s="17"/>
      <c r="U948" s="15"/>
    </row>
    <row r="949" customFormat="false" ht="18.75" hidden="false" customHeight="true" outlineLevel="0" collapsed="false">
      <c r="A949" s="5" t="str">
        <f aca="false">IF($B949="","",COUNT($B$5:$B949))</f>
        <v/>
      </c>
      <c r="B949" s="6"/>
      <c r="C949" s="6"/>
      <c r="D949" s="7"/>
      <c r="E949" s="7"/>
      <c r="F949" s="8"/>
      <c r="G949" s="9"/>
      <c r="H949" s="7"/>
      <c r="I949" s="7"/>
      <c r="J949" s="8"/>
      <c r="K949" s="5" t="str">
        <f aca="false">IF($I949="","",1+IF($J949="",0,LEN($J949)-LEN(SUBSTITUTE($J949,",",""))+1))</f>
        <v/>
      </c>
      <c r="L949" s="7"/>
      <c r="M949" s="8"/>
      <c r="N949" s="10"/>
      <c r="O949" s="10"/>
      <c r="P949" s="5" t="str">
        <f aca="false">IF(OR($B949="",$C949=""),"",$C949-$B949+1)</f>
        <v/>
      </c>
      <c r="Q949" s="11"/>
      <c r="R949" s="12" t="str">
        <f aca="false">IF(OR($Q949="",$K949=""),"",$Q949*$K949)</f>
        <v/>
      </c>
      <c r="S949" s="7"/>
      <c r="T949" s="10"/>
      <c r="U949" s="8"/>
    </row>
    <row r="950" customFormat="false" ht="18.75" hidden="false" customHeight="true" outlineLevel="0" collapsed="false">
      <c r="A950" s="5" t="str">
        <f aca="false">IF($B950="","",COUNT($B$5:$B950))</f>
        <v/>
      </c>
      <c r="B950" s="13"/>
      <c r="C950" s="13"/>
      <c r="D950" s="14"/>
      <c r="E950" s="14"/>
      <c r="F950" s="15"/>
      <c r="G950" s="16"/>
      <c r="H950" s="14"/>
      <c r="I950" s="14"/>
      <c r="J950" s="15"/>
      <c r="K950" s="5" t="str">
        <f aca="false">IF($I950="","",1+IF($J950="",0,LEN($J950)-LEN(SUBSTITUTE($J950,",",""))+1))</f>
        <v/>
      </c>
      <c r="L950" s="14"/>
      <c r="M950" s="15"/>
      <c r="N950" s="17"/>
      <c r="O950" s="17"/>
      <c r="P950" s="5" t="str">
        <f aca="false">IF(OR($B950="",$C950=""),"",$C950-$B950+1)</f>
        <v/>
      </c>
      <c r="Q950" s="18"/>
      <c r="R950" s="12" t="str">
        <f aca="false">IF(OR($Q950="",$K950=""),"",$Q950*$K950)</f>
        <v/>
      </c>
      <c r="S950" s="14"/>
      <c r="T950" s="17"/>
      <c r="U950" s="15"/>
    </row>
    <row r="951" customFormat="false" ht="18.75" hidden="false" customHeight="true" outlineLevel="0" collapsed="false">
      <c r="A951" s="5" t="str">
        <f aca="false">IF($B951="","",COUNT($B$5:$B951))</f>
        <v/>
      </c>
      <c r="B951" s="6"/>
      <c r="C951" s="6"/>
      <c r="D951" s="7"/>
      <c r="E951" s="7"/>
      <c r="F951" s="8"/>
      <c r="G951" s="9"/>
      <c r="H951" s="7"/>
      <c r="I951" s="7"/>
      <c r="J951" s="8"/>
      <c r="K951" s="5" t="str">
        <f aca="false">IF($I951="","",1+IF($J951="",0,LEN($J951)-LEN(SUBSTITUTE($J951,",",""))+1))</f>
        <v/>
      </c>
      <c r="L951" s="7"/>
      <c r="M951" s="8"/>
      <c r="N951" s="10"/>
      <c r="O951" s="10"/>
      <c r="P951" s="5" t="str">
        <f aca="false">IF(OR($B951="",$C951=""),"",$C951-$B951+1)</f>
        <v/>
      </c>
      <c r="Q951" s="11"/>
      <c r="R951" s="12" t="str">
        <f aca="false">IF(OR($Q951="",$K951=""),"",$Q951*$K951)</f>
        <v/>
      </c>
      <c r="S951" s="7"/>
      <c r="T951" s="10"/>
      <c r="U951" s="8"/>
    </row>
    <row r="952" customFormat="false" ht="18.75" hidden="false" customHeight="true" outlineLevel="0" collapsed="false">
      <c r="A952" s="5" t="str">
        <f aca="false">IF($B952="","",COUNT($B$5:$B952))</f>
        <v/>
      </c>
      <c r="B952" s="13"/>
      <c r="C952" s="13"/>
      <c r="D952" s="14"/>
      <c r="E952" s="14"/>
      <c r="F952" s="15"/>
      <c r="G952" s="16"/>
      <c r="H952" s="14"/>
      <c r="I952" s="14"/>
      <c r="J952" s="15"/>
      <c r="K952" s="5" t="str">
        <f aca="false">IF($I952="","",1+IF($J952="",0,LEN($J952)-LEN(SUBSTITUTE($J952,",",""))+1))</f>
        <v/>
      </c>
      <c r="L952" s="14"/>
      <c r="M952" s="15"/>
      <c r="N952" s="17"/>
      <c r="O952" s="17"/>
      <c r="P952" s="5" t="str">
        <f aca="false">IF(OR($B952="",$C952=""),"",$C952-$B952+1)</f>
        <v/>
      </c>
      <c r="Q952" s="18"/>
      <c r="R952" s="12" t="str">
        <f aca="false">IF(OR($Q952="",$K952=""),"",$Q952*$K952)</f>
        <v/>
      </c>
      <c r="S952" s="14"/>
      <c r="T952" s="17"/>
      <c r="U952" s="15"/>
    </row>
    <row r="953" customFormat="false" ht="18.75" hidden="false" customHeight="true" outlineLevel="0" collapsed="false">
      <c r="A953" s="5" t="str">
        <f aca="false">IF($B953="","",COUNT($B$5:$B953))</f>
        <v/>
      </c>
      <c r="B953" s="6"/>
      <c r="C953" s="6"/>
      <c r="D953" s="7"/>
      <c r="E953" s="7"/>
      <c r="F953" s="8"/>
      <c r="G953" s="9"/>
      <c r="H953" s="7"/>
      <c r="I953" s="7"/>
      <c r="J953" s="8"/>
      <c r="K953" s="5" t="str">
        <f aca="false">IF($I953="","",1+IF($J953="",0,LEN($J953)-LEN(SUBSTITUTE($J953,",",""))+1))</f>
        <v/>
      </c>
      <c r="L953" s="7"/>
      <c r="M953" s="8"/>
      <c r="N953" s="10"/>
      <c r="O953" s="10"/>
      <c r="P953" s="5" t="str">
        <f aca="false">IF(OR($B953="",$C953=""),"",$C953-$B953+1)</f>
        <v/>
      </c>
      <c r="Q953" s="11"/>
      <c r="R953" s="12" t="str">
        <f aca="false">IF(OR($Q953="",$K953=""),"",$Q953*$K953)</f>
        <v/>
      </c>
      <c r="S953" s="7"/>
      <c r="T953" s="10"/>
      <c r="U953" s="8"/>
    </row>
    <row r="954" customFormat="false" ht="18.75" hidden="false" customHeight="true" outlineLevel="0" collapsed="false">
      <c r="A954" s="5" t="str">
        <f aca="false">IF($B954="","",COUNT($B$5:$B954))</f>
        <v/>
      </c>
      <c r="B954" s="13"/>
      <c r="C954" s="13"/>
      <c r="D954" s="14"/>
      <c r="E954" s="14"/>
      <c r="F954" s="15"/>
      <c r="G954" s="16"/>
      <c r="H954" s="14"/>
      <c r="I954" s="14"/>
      <c r="J954" s="15"/>
      <c r="K954" s="5" t="str">
        <f aca="false">IF($I954="","",1+IF($J954="",0,LEN($J954)-LEN(SUBSTITUTE($J954,",",""))+1))</f>
        <v/>
      </c>
      <c r="L954" s="14"/>
      <c r="M954" s="15"/>
      <c r="N954" s="17"/>
      <c r="O954" s="17"/>
      <c r="P954" s="5" t="str">
        <f aca="false">IF(OR($B954="",$C954=""),"",$C954-$B954+1)</f>
        <v/>
      </c>
      <c r="Q954" s="18"/>
      <c r="R954" s="12" t="str">
        <f aca="false">IF(OR($Q954="",$K954=""),"",$Q954*$K954)</f>
        <v/>
      </c>
      <c r="S954" s="14"/>
      <c r="T954" s="17"/>
      <c r="U954" s="15"/>
    </row>
    <row r="955" customFormat="false" ht="18.75" hidden="false" customHeight="true" outlineLevel="0" collapsed="false">
      <c r="A955" s="5" t="str">
        <f aca="false">IF($B955="","",COUNT($B$5:$B955))</f>
        <v/>
      </c>
      <c r="B955" s="6"/>
      <c r="C955" s="6"/>
      <c r="D955" s="7"/>
      <c r="E955" s="7"/>
      <c r="F955" s="8"/>
      <c r="G955" s="9"/>
      <c r="H955" s="7"/>
      <c r="I955" s="7"/>
      <c r="J955" s="8"/>
      <c r="K955" s="5" t="str">
        <f aca="false">IF($I955="","",1+IF($J955="",0,LEN($J955)-LEN(SUBSTITUTE($J955,",",""))+1))</f>
        <v/>
      </c>
      <c r="L955" s="7"/>
      <c r="M955" s="8"/>
      <c r="N955" s="10"/>
      <c r="O955" s="10"/>
      <c r="P955" s="5" t="str">
        <f aca="false">IF(OR($B955="",$C955=""),"",$C955-$B955+1)</f>
        <v/>
      </c>
      <c r="Q955" s="11"/>
      <c r="R955" s="12" t="str">
        <f aca="false">IF(OR($Q955="",$K955=""),"",$Q955*$K955)</f>
        <v/>
      </c>
      <c r="S955" s="7"/>
      <c r="T955" s="10"/>
      <c r="U955" s="8"/>
    </row>
    <row r="956" customFormat="false" ht="18.75" hidden="false" customHeight="true" outlineLevel="0" collapsed="false">
      <c r="A956" s="5" t="str">
        <f aca="false">IF($B956="","",COUNT($B$5:$B956))</f>
        <v/>
      </c>
      <c r="B956" s="13"/>
      <c r="C956" s="13"/>
      <c r="D956" s="14"/>
      <c r="E956" s="14"/>
      <c r="F956" s="15"/>
      <c r="G956" s="16"/>
      <c r="H956" s="14"/>
      <c r="I956" s="14"/>
      <c r="J956" s="15"/>
      <c r="K956" s="5" t="str">
        <f aca="false">IF($I956="","",1+IF($J956="",0,LEN($J956)-LEN(SUBSTITUTE($J956,",",""))+1))</f>
        <v/>
      </c>
      <c r="L956" s="14"/>
      <c r="M956" s="15"/>
      <c r="N956" s="17"/>
      <c r="O956" s="17"/>
      <c r="P956" s="5" t="str">
        <f aca="false">IF(OR($B956="",$C956=""),"",$C956-$B956+1)</f>
        <v/>
      </c>
      <c r="Q956" s="18"/>
      <c r="R956" s="12" t="str">
        <f aca="false">IF(OR($Q956="",$K956=""),"",$Q956*$K956)</f>
        <v/>
      </c>
      <c r="S956" s="14"/>
      <c r="T956" s="17"/>
      <c r="U956" s="15"/>
    </row>
    <row r="957" customFormat="false" ht="18.75" hidden="false" customHeight="true" outlineLevel="0" collapsed="false">
      <c r="A957" s="5" t="str">
        <f aca="false">IF($B957="","",COUNT($B$5:$B957))</f>
        <v/>
      </c>
      <c r="B957" s="6"/>
      <c r="C957" s="6"/>
      <c r="D957" s="7"/>
      <c r="E957" s="7"/>
      <c r="F957" s="8"/>
      <c r="G957" s="9"/>
      <c r="H957" s="7"/>
      <c r="I957" s="7"/>
      <c r="J957" s="8"/>
      <c r="K957" s="5" t="str">
        <f aca="false">IF($I957="","",1+IF($J957="",0,LEN($J957)-LEN(SUBSTITUTE($J957,",",""))+1))</f>
        <v/>
      </c>
      <c r="L957" s="7"/>
      <c r="M957" s="8"/>
      <c r="N957" s="10"/>
      <c r="O957" s="10"/>
      <c r="P957" s="5" t="str">
        <f aca="false">IF(OR($B957="",$C957=""),"",$C957-$B957+1)</f>
        <v/>
      </c>
      <c r="Q957" s="11"/>
      <c r="R957" s="12" t="str">
        <f aca="false">IF(OR($Q957="",$K957=""),"",$Q957*$K957)</f>
        <v/>
      </c>
      <c r="S957" s="7"/>
      <c r="T957" s="10"/>
      <c r="U957" s="8"/>
    </row>
    <row r="958" customFormat="false" ht="18.75" hidden="false" customHeight="true" outlineLevel="0" collapsed="false">
      <c r="A958" s="5" t="str">
        <f aca="false">IF($B958="","",COUNT($B$5:$B958))</f>
        <v/>
      </c>
      <c r="B958" s="13"/>
      <c r="C958" s="13"/>
      <c r="D958" s="14"/>
      <c r="E958" s="14"/>
      <c r="F958" s="15"/>
      <c r="G958" s="16"/>
      <c r="H958" s="14"/>
      <c r="I958" s="14"/>
      <c r="J958" s="15"/>
      <c r="K958" s="5" t="str">
        <f aca="false">IF($I958="","",1+IF($J958="",0,LEN($J958)-LEN(SUBSTITUTE($J958,",",""))+1))</f>
        <v/>
      </c>
      <c r="L958" s="14"/>
      <c r="M958" s="15"/>
      <c r="N958" s="17"/>
      <c r="O958" s="17"/>
      <c r="P958" s="5" t="str">
        <f aca="false">IF(OR($B958="",$C958=""),"",$C958-$B958+1)</f>
        <v/>
      </c>
      <c r="Q958" s="18"/>
      <c r="R958" s="12" t="str">
        <f aca="false">IF(OR($Q958="",$K958=""),"",$Q958*$K958)</f>
        <v/>
      </c>
      <c r="S958" s="14"/>
      <c r="T958" s="17"/>
      <c r="U958" s="15"/>
    </row>
    <row r="959" customFormat="false" ht="18.75" hidden="false" customHeight="true" outlineLevel="0" collapsed="false">
      <c r="A959" s="5" t="str">
        <f aca="false">IF($B959="","",COUNT($B$5:$B959))</f>
        <v/>
      </c>
      <c r="B959" s="6"/>
      <c r="C959" s="6"/>
      <c r="D959" s="7"/>
      <c r="E959" s="7"/>
      <c r="F959" s="8"/>
      <c r="G959" s="9"/>
      <c r="H959" s="7"/>
      <c r="I959" s="7"/>
      <c r="J959" s="8"/>
      <c r="K959" s="5" t="str">
        <f aca="false">IF($I959="","",1+IF($J959="",0,LEN($J959)-LEN(SUBSTITUTE($J959,",",""))+1))</f>
        <v/>
      </c>
      <c r="L959" s="7"/>
      <c r="M959" s="8"/>
      <c r="N959" s="10"/>
      <c r="O959" s="10"/>
      <c r="P959" s="5" t="str">
        <f aca="false">IF(OR($B959="",$C959=""),"",$C959-$B959+1)</f>
        <v/>
      </c>
      <c r="Q959" s="11"/>
      <c r="R959" s="12" t="str">
        <f aca="false">IF(OR($Q959="",$K959=""),"",$Q959*$K959)</f>
        <v/>
      </c>
      <c r="S959" s="7"/>
      <c r="T959" s="10"/>
      <c r="U959" s="8"/>
    </row>
    <row r="960" customFormat="false" ht="18.75" hidden="false" customHeight="true" outlineLevel="0" collapsed="false">
      <c r="A960" s="5" t="str">
        <f aca="false">IF($B960="","",COUNT($B$5:$B960))</f>
        <v/>
      </c>
      <c r="B960" s="13"/>
      <c r="C960" s="13"/>
      <c r="D960" s="14"/>
      <c r="E960" s="14"/>
      <c r="F960" s="15"/>
      <c r="G960" s="16"/>
      <c r="H960" s="14"/>
      <c r="I960" s="14"/>
      <c r="J960" s="15"/>
      <c r="K960" s="5" t="str">
        <f aca="false">IF($I960="","",1+IF($J960="",0,LEN($J960)-LEN(SUBSTITUTE($J960,",",""))+1))</f>
        <v/>
      </c>
      <c r="L960" s="14"/>
      <c r="M960" s="15"/>
      <c r="N960" s="17"/>
      <c r="O960" s="17"/>
      <c r="P960" s="5" t="str">
        <f aca="false">IF(OR($B960="",$C960=""),"",$C960-$B960+1)</f>
        <v/>
      </c>
      <c r="Q960" s="18"/>
      <c r="R960" s="12" t="str">
        <f aca="false">IF(OR($Q960="",$K960=""),"",$Q960*$K960)</f>
        <v/>
      </c>
      <c r="S960" s="14"/>
      <c r="T960" s="17"/>
      <c r="U960" s="15"/>
    </row>
    <row r="961" customFormat="false" ht="18.75" hidden="false" customHeight="true" outlineLevel="0" collapsed="false">
      <c r="A961" s="5" t="str">
        <f aca="false">IF($B961="","",COUNT($B$5:$B961))</f>
        <v/>
      </c>
      <c r="B961" s="6"/>
      <c r="C961" s="6"/>
      <c r="D961" s="7"/>
      <c r="E961" s="7"/>
      <c r="F961" s="8"/>
      <c r="G961" s="9"/>
      <c r="H961" s="7"/>
      <c r="I961" s="7"/>
      <c r="J961" s="8"/>
      <c r="K961" s="5" t="str">
        <f aca="false">IF($I961="","",1+IF($J961="",0,LEN($J961)-LEN(SUBSTITUTE($J961,",",""))+1))</f>
        <v/>
      </c>
      <c r="L961" s="7"/>
      <c r="M961" s="8"/>
      <c r="N961" s="10"/>
      <c r="O961" s="10"/>
      <c r="P961" s="5" t="str">
        <f aca="false">IF(OR($B961="",$C961=""),"",$C961-$B961+1)</f>
        <v/>
      </c>
      <c r="Q961" s="11"/>
      <c r="R961" s="12" t="str">
        <f aca="false">IF(OR($Q961="",$K961=""),"",$Q961*$K961)</f>
        <v/>
      </c>
      <c r="S961" s="7"/>
      <c r="T961" s="10"/>
      <c r="U961" s="8"/>
    </row>
    <row r="962" customFormat="false" ht="18.75" hidden="false" customHeight="true" outlineLevel="0" collapsed="false">
      <c r="A962" s="5" t="str">
        <f aca="false">IF($B962="","",COUNT($B$5:$B962))</f>
        <v/>
      </c>
      <c r="B962" s="13"/>
      <c r="C962" s="13"/>
      <c r="D962" s="14"/>
      <c r="E962" s="14"/>
      <c r="F962" s="15"/>
      <c r="G962" s="16"/>
      <c r="H962" s="14"/>
      <c r="I962" s="14"/>
      <c r="J962" s="15"/>
      <c r="K962" s="5" t="str">
        <f aca="false">IF($I962="","",1+IF($J962="",0,LEN($J962)-LEN(SUBSTITUTE($J962,",",""))+1))</f>
        <v/>
      </c>
      <c r="L962" s="14"/>
      <c r="M962" s="15"/>
      <c r="N962" s="17"/>
      <c r="O962" s="17"/>
      <c r="P962" s="5" t="str">
        <f aca="false">IF(OR($B962="",$C962=""),"",$C962-$B962+1)</f>
        <v/>
      </c>
      <c r="Q962" s="18"/>
      <c r="R962" s="12" t="str">
        <f aca="false">IF(OR($Q962="",$K962=""),"",$Q962*$K962)</f>
        <v/>
      </c>
      <c r="S962" s="14"/>
      <c r="T962" s="17"/>
      <c r="U962" s="15"/>
    </row>
    <row r="963" customFormat="false" ht="18.75" hidden="false" customHeight="true" outlineLevel="0" collapsed="false">
      <c r="A963" s="5" t="str">
        <f aca="false">IF($B963="","",COUNT($B$5:$B963))</f>
        <v/>
      </c>
      <c r="B963" s="6"/>
      <c r="C963" s="6"/>
      <c r="D963" s="7"/>
      <c r="E963" s="7"/>
      <c r="F963" s="8"/>
      <c r="G963" s="9"/>
      <c r="H963" s="7"/>
      <c r="I963" s="7"/>
      <c r="J963" s="8"/>
      <c r="K963" s="5" t="str">
        <f aca="false">IF($I963="","",1+IF($J963="",0,LEN($J963)-LEN(SUBSTITUTE($J963,",",""))+1))</f>
        <v/>
      </c>
      <c r="L963" s="7"/>
      <c r="M963" s="8"/>
      <c r="N963" s="10"/>
      <c r="O963" s="10"/>
      <c r="P963" s="5" t="str">
        <f aca="false">IF(OR($B963="",$C963=""),"",$C963-$B963+1)</f>
        <v/>
      </c>
      <c r="Q963" s="11"/>
      <c r="R963" s="12" t="str">
        <f aca="false">IF(OR($Q963="",$K963=""),"",$Q963*$K963)</f>
        <v/>
      </c>
      <c r="S963" s="7"/>
      <c r="T963" s="10"/>
      <c r="U963" s="8"/>
    </row>
    <row r="964" customFormat="false" ht="18.75" hidden="false" customHeight="true" outlineLevel="0" collapsed="false">
      <c r="A964" s="5" t="str">
        <f aca="false">IF($B964="","",COUNT($B$5:$B964))</f>
        <v/>
      </c>
      <c r="B964" s="13"/>
      <c r="C964" s="13"/>
      <c r="D964" s="14"/>
      <c r="E964" s="14"/>
      <c r="F964" s="15"/>
      <c r="G964" s="16"/>
      <c r="H964" s="14"/>
      <c r="I964" s="14"/>
      <c r="J964" s="15"/>
      <c r="K964" s="5" t="str">
        <f aca="false">IF($I964="","",1+IF($J964="",0,LEN($J964)-LEN(SUBSTITUTE($J964,",",""))+1))</f>
        <v/>
      </c>
      <c r="L964" s="14"/>
      <c r="M964" s="15"/>
      <c r="N964" s="17"/>
      <c r="O964" s="17"/>
      <c r="P964" s="5" t="str">
        <f aca="false">IF(OR($B964="",$C964=""),"",$C964-$B964+1)</f>
        <v/>
      </c>
      <c r="Q964" s="18"/>
      <c r="R964" s="12" t="str">
        <f aca="false">IF(OR($Q964="",$K964=""),"",$Q964*$K964)</f>
        <v/>
      </c>
      <c r="S964" s="14"/>
      <c r="T964" s="17"/>
      <c r="U964" s="15"/>
    </row>
    <row r="965" customFormat="false" ht="18.75" hidden="false" customHeight="true" outlineLevel="0" collapsed="false">
      <c r="A965" s="5" t="str">
        <f aca="false">IF($B965="","",COUNT($B$5:$B965))</f>
        <v/>
      </c>
      <c r="B965" s="6"/>
      <c r="C965" s="6"/>
      <c r="D965" s="7"/>
      <c r="E965" s="7"/>
      <c r="F965" s="8"/>
      <c r="G965" s="9"/>
      <c r="H965" s="7"/>
      <c r="I965" s="7"/>
      <c r="J965" s="8"/>
      <c r="K965" s="5" t="str">
        <f aca="false">IF($I965="","",1+IF($J965="",0,LEN($J965)-LEN(SUBSTITUTE($J965,",",""))+1))</f>
        <v/>
      </c>
      <c r="L965" s="7"/>
      <c r="M965" s="8"/>
      <c r="N965" s="10"/>
      <c r="O965" s="10"/>
      <c r="P965" s="5" t="str">
        <f aca="false">IF(OR($B965="",$C965=""),"",$C965-$B965+1)</f>
        <v/>
      </c>
      <c r="Q965" s="11"/>
      <c r="R965" s="12" t="str">
        <f aca="false">IF(OR($Q965="",$K965=""),"",$Q965*$K965)</f>
        <v/>
      </c>
      <c r="S965" s="7"/>
      <c r="T965" s="10"/>
      <c r="U965" s="8"/>
    </row>
    <row r="966" customFormat="false" ht="18.75" hidden="false" customHeight="true" outlineLevel="0" collapsed="false">
      <c r="A966" s="5" t="str">
        <f aca="false">IF($B966="","",COUNT($B$5:$B966))</f>
        <v/>
      </c>
      <c r="B966" s="13"/>
      <c r="C966" s="13"/>
      <c r="D966" s="14"/>
      <c r="E966" s="14"/>
      <c r="F966" s="15"/>
      <c r="G966" s="16"/>
      <c r="H966" s="14"/>
      <c r="I966" s="14"/>
      <c r="J966" s="15"/>
      <c r="K966" s="5" t="str">
        <f aca="false">IF($I966="","",1+IF($J966="",0,LEN($J966)-LEN(SUBSTITUTE($J966,",",""))+1))</f>
        <v/>
      </c>
      <c r="L966" s="14"/>
      <c r="M966" s="15"/>
      <c r="N966" s="17"/>
      <c r="O966" s="17"/>
      <c r="P966" s="5" t="str">
        <f aca="false">IF(OR($B966="",$C966=""),"",$C966-$B966+1)</f>
        <v/>
      </c>
      <c r="Q966" s="18"/>
      <c r="R966" s="12" t="str">
        <f aca="false">IF(OR($Q966="",$K966=""),"",$Q966*$K966)</f>
        <v/>
      </c>
      <c r="S966" s="14"/>
      <c r="T966" s="17"/>
      <c r="U966" s="15"/>
    </row>
    <row r="967" customFormat="false" ht="18.75" hidden="false" customHeight="true" outlineLevel="0" collapsed="false">
      <c r="A967" s="5" t="str">
        <f aca="false">IF($B967="","",COUNT($B$5:$B967))</f>
        <v/>
      </c>
      <c r="B967" s="6"/>
      <c r="C967" s="6"/>
      <c r="D967" s="7"/>
      <c r="E967" s="7"/>
      <c r="F967" s="8"/>
      <c r="G967" s="9"/>
      <c r="H967" s="7"/>
      <c r="I967" s="7"/>
      <c r="J967" s="8"/>
      <c r="K967" s="5" t="str">
        <f aca="false">IF($I967="","",1+IF($J967="",0,LEN($J967)-LEN(SUBSTITUTE($J967,",",""))+1))</f>
        <v/>
      </c>
      <c r="L967" s="7"/>
      <c r="M967" s="8"/>
      <c r="N967" s="10"/>
      <c r="O967" s="10"/>
      <c r="P967" s="5" t="str">
        <f aca="false">IF(OR($B967="",$C967=""),"",$C967-$B967+1)</f>
        <v/>
      </c>
      <c r="Q967" s="11"/>
      <c r="R967" s="12" t="str">
        <f aca="false">IF(OR($Q967="",$K967=""),"",$Q967*$K967)</f>
        <v/>
      </c>
      <c r="S967" s="7"/>
      <c r="T967" s="10"/>
      <c r="U967" s="8"/>
    </row>
    <row r="968" customFormat="false" ht="18.75" hidden="false" customHeight="true" outlineLevel="0" collapsed="false">
      <c r="A968" s="5" t="str">
        <f aca="false">IF($B968="","",COUNT($B$5:$B968))</f>
        <v/>
      </c>
      <c r="B968" s="13"/>
      <c r="C968" s="13"/>
      <c r="D968" s="14"/>
      <c r="E968" s="14"/>
      <c r="F968" s="15"/>
      <c r="G968" s="16"/>
      <c r="H968" s="14"/>
      <c r="I968" s="14"/>
      <c r="J968" s="15"/>
      <c r="K968" s="5" t="str">
        <f aca="false">IF($I968="","",1+IF($J968="",0,LEN($J968)-LEN(SUBSTITUTE($J968,",",""))+1))</f>
        <v/>
      </c>
      <c r="L968" s="14"/>
      <c r="M968" s="15"/>
      <c r="N968" s="17"/>
      <c r="O968" s="17"/>
      <c r="P968" s="5" t="str">
        <f aca="false">IF(OR($B968="",$C968=""),"",$C968-$B968+1)</f>
        <v/>
      </c>
      <c r="Q968" s="18"/>
      <c r="R968" s="12" t="str">
        <f aca="false">IF(OR($Q968="",$K968=""),"",$Q968*$K968)</f>
        <v/>
      </c>
      <c r="S968" s="14"/>
      <c r="T968" s="17"/>
      <c r="U968" s="15"/>
    </row>
    <row r="969" customFormat="false" ht="18.75" hidden="false" customHeight="true" outlineLevel="0" collapsed="false">
      <c r="A969" s="5" t="str">
        <f aca="false">IF($B969="","",COUNT($B$5:$B969))</f>
        <v/>
      </c>
      <c r="B969" s="6"/>
      <c r="C969" s="6"/>
      <c r="D969" s="7"/>
      <c r="E969" s="7"/>
      <c r="F969" s="8"/>
      <c r="G969" s="9"/>
      <c r="H969" s="7"/>
      <c r="I969" s="7"/>
      <c r="J969" s="8"/>
      <c r="K969" s="5" t="str">
        <f aca="false">IF($I969="","",1+IF($J969="",0,LEN($J969)-LEN(SUBSTITUTE($J969,",",""))+1))</f>
        <v/>
      </c>
      <c r="L969" s="7"/>
      <c r="M969" s="8"/>
      <c r="N969" s="10"/>
      <c r="O969" s="10"/>
      <c r="P969" s="5" t="str">
        <f aca="false">IF(OR($B969="",$C969=""),"",$C969-$B969+1)</f>
        <v/>
      </c>
      <c r="Q969" s="11"/>
      <c r="R969" s="12" t="str">
        <f aca="false">IF(OR($Q969="",$K969=""),"",$Q969*$K969)</f>
        <v/>
      </c>
      <c r="S969" s="7"/>
      <c r="T969" s="10"/>
      <c r="U969" s="8"/>
    </row>
    <row r="970" customFormat="false" ht="18.75" hidden="false" customHeight="true" outlineLevel="0" collapsed="false">
      <c r="A970" s="5" t="str">
        <f aca="false">IF($B970="","",COUNT($B$5:$B970))</f>
        <v/>
      </c>
      <c r="B970" s="13"/>
      <c r="C970" s="13"/>
      <c r="D970" s="14"/>
      <c r="E970" s="14"/>
      <c r="F970" s="15"/>
      <c r="G970" s="16"/>
      <c r="H970" s="14"/>
      <c r="I970" s="14"/>
      <c r="J970" s="15"/>
      <c r="K970" s="5" t="str">
        <f aca="false">IF($I970="","",1+IF($J970="",0,LEN($J970)-LEN(SUBSTITUTE($J970,",",""))+1))</f>
        <v/>
      </c>
      <c r="L970" s="14"/>
      <c r="M970" s="15"/>
      <c r="N970" s="17"/>
      <c r="O970" s="17"/>
      <c r="P970" s="5" t="str">
        <f aca="false">IF(OR($B970="",$C970=""),"",$C970-$B970+1)</f>
        <v/>
      </c>
      <c r="Q970" s="18"/>
      <c r="R970" s="12" t="str">
        <f aca="false">IF(OR($Q970="",$K970=""),"",$Q970*$K970)</f>
        <v/>
      </c>
      <c r="S970" s="14"/>
      <c r="T970" s="17"/>
      <c r="U970" s="15"/>
    </row>
    <row r="971" customFormat="false" ht="18.75" hidden="false" customHeight="true" outlineLevel="0" collapsed="false">
      <c r="A971" s="5" t="str">
        <f aca="false">IF($B971="","",COUNT($B$5:$B971))</f>
        <v/>
      </c>
      <c r="B971" s="6"/>
      <c r="C971" s="6"/>
      <c r="D971" s="7"/>
      <c r="E971" s="7"/>
      <c r="F971" s="8"/>
      <c r="G971" s="9"/>
      <c r="H971" s="7"/>
      <c r="I971" s="7"/>
      <c r="J971" s="8"/>
      <c r="K971" s="5" t="str">
        <f aca="false">IF($I971="","",1+IF($J971="",0,LEN($J971)-LEN(SUBSTITUTE($J971,",",""))+1))</f>
        <v/>
      </c>
      <c r="L971" s="7"/>
      <c r="M971" s="8"/>
      <c r="N971" s="10"/>
      <c r="O971" s="10"/>
      <c r="P971" s="5" t="str">
        <f aca="false">IF(OR($B971="",$C971=""),"",$C971-$B971+1)</f>
        <v/>
      </c>
      <c r="Q971" s="11"/>
      <c r="R971" s="12" t="str">
        <f aca="false">IF(OR($Q971="",$K971=""),"",$Q971*$K971)</f>
        <v/>
      </c>
      <c r="S971" s="7"/>
      <c r="T971" s="10"/>
      <c r="U971" s="8"/>
    </row>
    <row r="972" customFormat="false" ht="18.75" hidden="false" customHeight="true" outlineLevel="0" collapsed="false">
      <c r="A972" s="5" t="str">
        <f aca="false">IF($B972="","",COUNT($B$5:$B972))</f>
        <v/>
      </c>
      <c r="B972" s="13"/>
      <c r="C972" s="13"/>
      <c r="D972" s="14"/>
      <c r="E972" s="14"/>
      <c r="F972" s="15"/>
      <c r="G972" s="16"/>
      <c r="H972" s="14"/>
      <c r="I972" s="14"/>
      <c r="J972" s="15"/>
      <c r="K972" s="5" t="str">
        <f aca="false">IF($I972="","",1+IF($J972="",0,LEN($J972)-LEN(SUBSTITUTE($J972,",",""))+1))</f>
        <v/>
      </c>
      <c r="L972" s="14"/>
      <c r="M972" s="15"/>
      <c r="N972" s="17"/>
      <c r="O972" s="17"/>
      <c r="P972" s="5" t="str">
        <f aca="false">IF(OR($B972="",$C972=""),"",$C972-$B972+1)</f>
        <v/>
      </c>
      <c r="Q972" s="18"/>
      <c r="R972" s="12" t="str">
        <f aca="false">IF(OR($Q972="",$K972=""),"",$Q972*$K972)</f>
        <v/>
      </c>
      <c r="S972" s="14"/>
      <c r="T972" s="17"/>
      <c r="U972" s="15"/>
    </row>
    <row r="973" customFormat="false" ht="18.75" hidden="false" customHeight="true" outlineLevel="0" collapsed="false">
      <c r="A973" s="5" t="str">
        <f aca="false">IF($B973="","",COUNT($B$5:$B973))</f>
        <v/>
      </c>
      <c r="B973" s="6"/>
      <c r="C973" s="6"/>
      <c r="D973" s="7"/>
      <c r="E973" s="7"/>
      <c r="F973" s="8"/>
      <c r="G973" s="9"/>
      <c r="H973" s="7"/>
      <c r="I973" s="7"/>
      <c r="J973" s="8"/>
      <c r="K973" s="5" t="str">
        <f aca="false">IF($I973="","",1+IF($J973="",0,LEN($J973)-LEN(SUBSTITUTE($J973,",",""))+1))</f>
        <v/>
      </c>
      <c r="L973" s="7"/>
      <c r="M973" s="8"/>
      <c r="N973" s="10"/>
      <c r="O973" s="10"/>
      <c r="P973" s="5" t="str">
        <f aca="false">IF(OR($B973="",$C973=""),"",$C973-$B973+1)</f>
        <v/>
      </c>
      <c r="Q973" s="11"/>
      <c r="R973" s="12" t="str">
        <f aca="false">IF(OR($Q973="",$K973=""),"",$Q973*$K973)</f>
        <v/>
      </c>
      <c r="S973" s="7"/>
      <c r="T973" s="10"/>
      <c r="U973" s="8"/>
    </row>
    <row r="974" customFormat="false" ht="18.75" hidden="false" customHeight="true" outlineLevel="0" collapsed="false">
      <c r="A974" s="5" t="str">
        <f aca="false">IF($B974="","",COUNT($B$5:$B974))</f>
        <v/>
      </c>
      <c r="B974" s="13"/>
      <c r="C974" s="13"/>
      <c r="D974" s="14"/>
      <c r="E974" s="14"/>
      <c r="F974" s="15"/>
      <c r="G974" s="16"/>
      <c r="H974" s="14"/>
      <c r="I974" s="14"/>
      <c r="J974" s="15"/>
      <c r="K974" s="5" t="str">
        <f aca="false">IF($I974="","",1+IF($J974="",0,LEN($J974)-LEN(SUBSTITUTE($J974,",",""))+1))</f>
        <v/>
      </c>
      <c r="L974" s="14"/>
      <c r="M974" s="15"/>
      <c r="N974" s="17"/>
      <c r="O974" s="17"/>
      <c r="P974" s="5" t="str">
        <f aca="false">IF(OR($B974="",$C974=""),"",$C974-$B974+1)</f>
        <v/>
      </c>
      <c r="Q974" s="18"/>
      <c r="R974" s="12" t="str">
        <f aca="false">IF(OR($Q974="",$K974=""),"",$Q974*$K974)</f>
        <v/>
      </c>
      <c r="S974" s="14"/>
      <c r="T974" s="17"/>
      <c r="U974" s="15"/>
    </row>
    <row r="975" customFormat="false" ht="18.75" hidden="false" customHeight="true" outlineLevel="0" collapsed="false">
      <c r="A975" s="5" t="str">
        <f aca="false">IF($B975="","",COUNT($B$5:$B975))</f>
        <v/>
      </c>
      <c r="B975" s="6"/>
      <c r="C975" s="6"/>
      <c r="D975" s="7"/>
      <c r="E975" s="7"/>
      <c r="F975" s="8"/>
      <c r="G975" s="9"/>
      <c r="H975" s="7"/>
      <c r="I975" s="7"/>
      <c r="J975" s="8"/>
      <c r="K975" s="5" t="str">
        <f aca="false">IF($I975="","",1+IF($J975="",0,LEN($J975)-LEN(SUBSTITUTE($J975,",",""))+1))</f>
        <v/>
      </c>
      <c r="L975" s="7"/>
      <c r="M975" s="8"/>
      <c r="N975" s="10"/>
      <c r="O975" s="10"/>
      <c r="P975" s="5" t="str">
        <f aca="false">IF(OR($B975="",$C975=""),"",$C975-$B975+1)</f>
        <v/>
      </c>
      <c r="Q975" s="11"/>
      <c r="R975" s="12" t="str">
        <f aca="false">IF(OR($Q975="",$K975=""),"",$Q975*$K975)</f>
        <v/>
      </c>
      <c r="S975" s="7"/>
      <c r="T975" s="10"/>
      <c r="U975" s="8"/>
    </row>
    <row r="976" customFormat="false" ht="18.75" hidden="false" customHeight="true" outlineLevel="0" collapsed="false">
      <c r="A976" s="5" t="str">
        <f aca="false">IF($B976="","",COUNT($B$5:$B976))</f>
        <v/>
      </c>
      <c r="B976" s="13"/>
      <c r="C976" s="13"/>
      <c r="D976" s="14"/>
      <c r="E976" s="14"/>
      <c r="F976" s="15"/>
      <c r="G976" s="16"/>
      <c r="H976" s="14"/>
      <c r="I976" s="14"/>
      <c r="J976" s="15"/>
      <c r="K976" s="5" t="str">
        <f aca="false">IF($I976="","",1+IF($J976="",0,LEN($J976)-LEN(SUBSTITUTE($J976,",",""))+1))</f>
        <v/>
      </c>
      <c r="L976" s="14"/>
      <c r="M976" s="15"/>
      <c r="N976" s="17"/>
      <c r="O976" s="17"/>
      <c r="P976" s="5" t="str">
        <f aca="false">IF(OR($B976="",$C976=""),"",$C976-$B976+1)</f>
        <v/>
      </c>
      <c r="Q976" s="18"/>
      <c r="R976" s="12" t="str">
        <f aca="false">IF(OR($Q976="",$K976=""),"",$Q976*$K976)</f>
        <v/>
      </c>
      <c r="S976" s="14"/>
      <c r="T976" s="17"/>
      <c r="U976" s="15"/>
    </row>
    <row r="977" customFormat="false" ht="18.75" hidden="false" customHeight="true" outlineLevel="0" collapsed="false">
      <c r="A977" s="5" t="str">
        <f aca="false">IF($B977="","",COUNT($B$5:$B977))</f>
        <v/>
      </c>
      <c r="B977" s="6"/>
      <c r="C977" s="6"/>
      <c r="D977" s="7"/>
      <c r="E977" s="7"/>
      <c r="F977" s="8"/>
      <c r="G977" s="9"/>
      <c r="H977" s="7"/>
      <c r="I977" s="7"/>
      <c r="J977" s="8"/>
      <c r="K977" s="5" t="str">
        <f aca="false">IF($I977="","",1+IF($J977="",0,LEN($J977)-LEN(SUBSTITUTE($J977,",",""))+1))</f>
        <v/>
      </c>
      <c r="L977" s="7"/>
      <c r="M977" s="8"/>
      <c r="N977" s="10"/>
      <c r="O977" s="10"/>
      <c r="P977" s="5" t="str">
        <f aca="false">IF(OR($B977="",$C977=""),"",$C977-$B977+1)</f>
        <v/>
      </c>
      <c r="Q977" s="11"/>
      <c r="R977" s="12" t="str">
        <f aca="false">IF(OR($Q977="",$K977=""),"",$Q977*$K977)</f>
        <v/>
      </c>
      <c r="S977" s="7"/>
      <c r="T977" s="10"/>
      <c r="U977" s="8"/>
    </row>
    <row r="978" customFormat="false" ht="18.75" hidden="false" customHeight="true" outlineLevel="0" collapsed="false">
      <c r="A978" s="5" t="str">
        <f aca="false">IF($B978="","",COUNT($B$5:$B978))</f>
        <v/>
      </c>
      <c r="B978" s="13"/>
      <c r="C978" s="13"/>
      <c r="D978" s="14"/>
      <c r="E978" s="14"/>
      <c r="F978" s="15"/>
      <c r="G978" s="16"/>
      <c r="H978" s="14"/>
      <c r="I978" s="14"/>
      <c r="J978" s="15"/>
      <c r="K978" s="5" t="str">
        <f aca="false">IF($I978="","",1+IF($J978="",0,LEN($J978)-LEN(SUBSTITUTE($J978,",",""))+1))</f>
        <v/>
      </c>
      <c r="L978" s="14"/>
      <c r="M978" s="15"/>
      <c r="N978" s="17"/>
      <c r="O978" s="17"/>
      <c r="P978" s="5" t="str">
        <f aca="false">IF(OR($B978="",$C978=""),"",$C978-$B978+1)</f>
        <v/>
      </c>
      <c r="Q978" s="18"/>
      <c r="R978" s="12" t="str">
        <f aca="false">IF(OR($Q978="",$K978=""),"",$Q978*$K978)</f>
        <v/>
      </c>
      <c r="S978" s="14"/>
      <c r="T978" s="17"/>
      <c r="U978" s="15"/>
    </row>
    <row r="979" customFormat="false" ht="18.75" hidden="false" customHeight="true" outlineLevel="0" collapsed="false">
      <c r="A979" s="5" t="str">
        <f aca="false">IF($B979="","",COUNT($B$5:$B979))</f>
        <v/>
      </c>
      <c r="B979" s="6"/>
      <c r="C979" s="6"/>
      <c r="D979" s="7"/>
      <c r="E979" s="7"/>
      <c r="F979" s="8"/>
      <c r="G979" s="9"/>
      <c r="H979" s="7"/>
      <c r="I979" s="7"/>
      <c r="J979" s="8"/>
      <c r="K979" s="5" t="str">
        <f aca="false">IF($I979="","",1+IF($J979="",0,LEN($J979)-LEN(SUBSTITUTE($J979,",",""))+1))</f>
        <v/>
      </c>
      <c r="L979" s="7"/>
      <c r="M979" s="8"/>
      <c r="N979" s="10"/>
      <c r="O979" s="10"/>
      <c r="P979" s="5" t="str">
        <f aca="false">IF(OR($B979="",$C979=""),"",$C979-$B979+1)</f>
        <v/>
      </c>
      <c r="Q979" s="11"/>
      <c r="R979" s="12" t="str">
        <f aca="false">IF(OR($Q979="",$K979=""),"",$Q979*$K979)</f>
        <v/>
      </c>
      <c r="S979" s="7"/>
      <c r="T979" s="10"/>
      <c r="U979" s="8"/>
    </row>
    <row r="980" customFormat="false" ht="18.75" hidden="false" customHeight="true" outlineLevel="0" collapsed="false">
      <c r="A980" s="5" t="str">
        <f aca="false">IF($B980="","",COUNT($B$5:$B980))</f>
        <v/>
      </c>
      <c r="B980" s="13"/>
      <c r="C980" s="13"/>
      <c r="D980" s="14"/>
      <c r="E980" s="14"/>
      <c r="F980" s="15"/>
      <c r="G980" s="16"/>
      <c r="H980" s="14"/>
      <c r="I980" s="14"/>
      <c r="J980" s="15"/>
      <c r="K980" s="5" t="str">
        <f aca="false">IF($I980="","",1+IF($J980="",0,LEN($J980)-LEN(SUBSTITUTE($J980,",",""))+1))</f>
        <v/>
      </c>
      <c r="L980" s="14"/>
      <c r="M980" s="15"/>
      <c r="N980" s="17"/>
      <c r="O980" s="17"/>
      <c r="P980" s="5" t="str">
        <f aca="false">IF(OR($B980="",$C980=""),"",$C980-$B980+1)</f>
        <v/>
      </c>
      <c r="Q980" s="18"/>
      <c r="R980" s="12" t="str">
        <f aca="false">IF(OR($Q980="",$K980=""),"",$Q980*$K980)</f>
        <v/>
      </c>
      <c r="S980" s="14"/>
      <c r="T980" s="17"/>
      <c r="U980" s="15"/>
    </row>
    <row r="981" customFormat="false" ht="18.75" hidden="false" customHeight="true" outlineLevel="0" collapsed="false">
      <c r="A981" s="5" t="str">
        <f aca="false">IF($B981="","",COUNT($B$5:$B981))</f>
        <v/>
      </c>
      <c r="B981" s="6"/>
      <c r="C981" s="6"/>
      <c r="D981" s="7"/>
      <c r="E981" s="7"/>
      <c r="F981" s="8"/>
      <c r="G981" s="9"/>
      <c r="H981" s="7"/>
      <c r="I981" s="7"/>
      <c r="J981" s="8"/>
      <c r="K981" s="5" t="str">
        <f aca="false">IF($I981="","",1+IF($J981="",0,LEN($J981)-LEN(SUBSTITUTE($J981,",",""))+1))</f>
        <v/>
      </c>
      <c r="L981" s="7"/>
      <c r="M981" s="8"/>
      <c r="N981" s="10"/>
      <c r="O981" s="10"/>
      <c r="P981" s="5" t="str">
        <f aca="false">IF(OR($B981="",$C981=""),"",$C981-$B981+1)</f>
        <v/>
      </c>
      <c r="Q981" s="11"/>
      <c r="R981" s="12" t="str">
        <f aca="false">IF(OR($Q981="",$K981=""),"",$Q981*$K981)</f>
        <v/>
      </c>
      <c r="S981" s="7"/>
      <c r="T981" s="10"/>
      <c r="U981" s="8"/>
    </row>
    <row r="982" customFormat="false" ht="18.75" hidden="false" customHeight="true" outlineLevel="0" collapsed="false">
      <c r="A982" s="5" t="str">
        <f aca="false">IF($B982="","",COUNT($B$5:$B982))</f>
        <v/>
      </c>
      <c r="B982" s="13"/>
      <c r="C982" s="13"/>
      <c r="D982" s="14"/>
      <c r="E982" s="14"/>
      <c r="F982" s="15"/>
      <c r="G982" s="16"/>
      <c r="H982" s="14"/>
      <c r="I982" s="14"/>
      <c r="J982" s="15"/>
      <c r="K982" s="5" t="str">
        <f aca="false">IF($I982="","",1+IF($J982="",0,LEN($J982)-LEN(SUBSTITUTE($J982,",",""))+1))</f>
        <v/>
      </c>
      <c r="L982" s="14"/>
      <c r="M982" s="15"/>
      <c r="N982" s="17"/>
      <c r="O982" s="17"/>
      <c r="P982" s="5" t="str">
        <f aca="false">IF(OR($B982="",$C982=""),"",$C982-$B982+1)</f>
        <v/>
      </c>
      <c r="Q982" s="18"/>
      <c r="R982" s="12" t="str">
        <f aca="false">IF(OR($Q982="",$K982=""),"",$Q982*$K982)</f>
        <v/>
      </c>
      <c r="S982" s="14"/>
      <c r="T982" s="17"/>
      <c r="U982" s="15"/>
    </row>
    <row r="983" customFormat="false" ht="18.75" hidden="false" customHeight="true" outlineLevel="0" collapsed="false">
      <c r="A983" s="5" t="str">
        <f aca="false">IF($B983="","",COUNT($B$5:$B983))</f>
        <v/>
      </c>
      <c r="B983" s="6"/>
      <c r="C983" s="6"/>
      <c r="D983" s="7"/>
      <c r="E983" s="7"/>
      <c r="F983" s="8"/>
      <c r="G983" s="9"/>
      <c r="H983" s="7"/>
      <c r="I983" s="7"/>
      <c r="J983" s="8"/>
      <c r="K983" s="5" t="str">
        <f aca="false">IF($I983="","",1+IF($J983="",0,LEN($J983)-LEN(SUBSTITUTE($J983,",",""))+1))</f>
        <v/>
      </c>
      <c r="L983" s="7"/>
      <c r="M983" s="8"/>
      <c r="N983" s="10"/>
      <c r="O983" s="10"/>
      <c r="P983" s="5" t="str">
        <f aca="false">IF(OR($B983="",$C983=""),"",$C983-$B983+1)</f>
        <v/>
      </c>
      <c r="Q983" s="11"/>
      <c r="R983" s="12" t="str">
        <f aca="false">IF(OR($Q983="",$K983=""),"",$Q983*$K983)</f>
        <v/>
      </c>
      <c r="S983" s="7"/>
      <c r="T983" s="10"/>
      <c r="U983" s="8"/>
    </row>
    <row r="984" customFormat="false" ht="18.75" hidden="false" customHeight="true" outlineLevel="0" collapsed="false">
      <c r="A984" s="5" t="str">
        <f aca="false">IF($B984="","",COUNT($B$5:$B984))</f>
        <v/>
      </c>
      <c r="B984" s="13"/>
      <c r="C984" s="13"/>
      <c r="D984" s="14"/>
      <c r="E984" s="14"/>
      <c r="F984" s="15"/>
      <c r="G984" s="16"/>
      <c r="H984" s="14"/>
      <c r="I984" s="14"/>
      <c r="J984" s="15"/>
      <c r="K984" s="5" t="str">
        <f aca="false">IF($I984="","",1+IF($J984="",0,LEN($J984)-LEN(SUBSTITUTE($J984,",",""))+1))</f>
        <v/>
      </c>
      <c r="L984" s="14"/>
      <c r="M984" s="15"/>
      <c r="N984" s="17"/>
      <c r="O984" s="17"/>
      <c r="P984" s="5" t="str">
        <f aca="false">IF(OR($B984="",$C984=""),"",$C984-$B984+1)</f>
        <v/>
      </c>
      <c r="Q984" s="18"/>
      <c r="R984" s="12" t="str">
        <f aca="false">IF(OR($Q984="",$K984=""),"",$Q984*$K984)</f>
        <v/>
      </c>
      <c r="S984" s="14"/>
      <c r="T984" s="17"/>
      <c r="U984" s="15"/>
    </row>
    <row r="985" customFormat="false" ht="18.75" hidden="false" customHeight="true" outlineLevel="0" collapsed="false">
      <c r="A985" s="5" t="str">
        <f aca="false">IF($B985="","",COUNT($B$5:$B985))</f>
        <v/>
      </c>
      <c r="B985" s="6"/>
      <c r="C985" s="6"/>
      <c r="D985" s="7"/>
      <c r="E985" s="7"/>
      <c r="F985" s="8"/>
      <c r="G985" s="9"/>
      <c r="H985" s="7"/>
      <c r="I985" s="7"/>
      <c r="J985" s="8"/>
      <c r="K985" s="5" t="str">
        <f aca="false">IF($I985="","",1+IF($J985="",0,LEN($J985)-LEN(SUBSTITUTE($J985,",",""))+1))</f>
        <v/>
      </c>
      <c r="L985" s="7"/>
      <c r="M985" s="8"/>
      <c r="N985" s="10"/>
      <c r="O985" s="10"/>
      <c r="P985" s="5" t="str">
        <f aca="false">IF(OR($B985="",$C985=""),"",$C985-$B985+1)</f>
        <v/>
      </c>
      <c r="Q985" s="11"/>
      <c r="R985" s="12" t="str">
        <f aca="false">IF(OR($Q985="",$K985=""),"",$Q985*$K985)</f>
        <v/>
      </c>
      <c r="S985" s="7"/>
      <c r="T985" s="10"/>
      <c r="U985" s="8"/>
    </row>
    <row r="986" customFormat="false" ht="18.75" hidden="false" customHeight="true" outlineLevel="0" collapsed="false">
      <c r="A986" s="5" t="str">
        <f aca="false">IF($B986="","",COUNT($B$5:$B986))</f>
        <v/>
      </c>
      <c r="B986" s="13"/>
      <c r="C986" s="13"/>
      <c r="D986" s="14"/>
      <c r="E986" s="14"/>
      <c r="F986" s="15"/>
      <c r="G986" s="16"/>
      <c r="H986" s="14"/>
      <c r="I986" s="14"/>
      <c r="J986" s="15"/>
      <c r="K986" s="5" t="str">
        <f aca="false">IF($I986="","",1+IF($J986="",0,LEN($J986)-LEN(SUBSTITUTE($J986,",",""))+1))</f>
        <v/>
      </c>
      <c r="L986" s="14"/>
      <c r="M986" s="15"/>
      <c r="N986" s="17"/>
      <c r="O986" s="17"/>
      <c r="P986" s="5" t="str">
        <f aca="false">IF(OR($B986="",$C986=""),"",$C986-$B986+1)</f>
        <v/>
      </c>
      <c r="Q986" s="18"/>
      <c r="R986" s="12" t="str">
        <f aca="false">IF(OR($Q986="",$K986=""),"",$Q986*$K986)</f>
        <v/>
      </c>
      <c r="S986" s="14"/>
      <c r="T986" s="17"/>
      <c r="U986" s="15"/>
    </row>
    <row r="987" customFormat="false" ht="18.75" hidden="false" customHeight="true" outlineLevel="0" collapsed="false">
      <c r="A987" s="5" t="str">
        <f aca="false">IF($B987="","",COUNT($B$5:$B987))</f>
        <v/>
      </c>
      <c r="B987" s="6"/>
      <c r="C987" s="6"/>
      <c r="D987" s="7"/>
      <c r="E987" s="7"/>
      <c r="F987" s="8"/>
      <c r="G987" s="9"/>
      <c r="H987" s="7"/>
      <c r="I987" s="7"/>
      <c r="J987" s="8"/>
      <c r="K987" s="5" t="str">
        <f aca="false">IF($I987="","",1+IF($J987="",0,LEN($J987)-LEN(SUBSTITUTE($J987,",",""))+1))</f>
        <v/>
      </c>
      <c r="L987" s="7"/>
      <c r="M987" s="8"/>
      <c r="N987" s="10"/>
      <c r="O987" s="10"/>
      <c r="P987" s="5" t="str">
        <f aca="false">IF(OR($B987="",$C987=""),"",$C987-$B987+1)</f>
        <v/>
      </c>
      <c r="Q987" s="11"/>
      <c r="R987" s="12" t="str">
        <f aca="false">IF(OR($Q987="",$K987=""),"",$Q987*$K987)</f>
        <v/>
      </c>
      <c r="S987" s="7"/>
      <c r="T987" s="10"/>
      <c r="U987" s="8"/>
    </row>
    <row r="988" customFormat="false" ht="18.75" hidden="false" customHeight="true" outlineLevel="0" collapsed="false">
      <c r="A988" s="5" t="str">
        <f aca="false">IF($B988="","",COUNT($B$5:$B988))</f>
        <v/>
      </c>
      <c r="B988" s="13"/>
      <c r="C988" s="13"/>
      <c r="D988" s="14"/>
      <c r="E988" s="14"/>
      <c r="F988" s="15"/>
      <c r="G988" s="16"/>
      <c r="H988" s="14"/>
      <c r="I988" s="14"/>
      <c r="J988" s="15"/>
      <c r="K988" s="5" t="str">
        <f aca="false">IF($I988="","",1+IF($J988="",0,LEN($J988)-LEN(SUBSTITUTE($J988,",",""))+1))</f>
        <v/>
      </c>
      <c r="L988" s="14"/>
      <c r="M988" s="15"/>
      <c r="N988" s="17"/>
      <c r="O988" s="17"/>
      <c r="P988" s="5" t="str">
        <f aca="false">IF(OR($B988="",$C988=""),"",$C988-$B988+1)</f>
        <v/>
      </c>
      <c r="Q988" s="18"/>
      <c r="R988" s="12" t="str">
        <f aca="false">IF(OR($Q988="",$K988=""),"",$Q988*$K988)</f>
        <v/>
      </c>
      <c r="S988" s="14"/>
      <c r="T988" s="17"/>
      <c r="U988" s="15"/>
    </row>
    <row r="989" customFormat="false" ht="18.75" hidden="false" customHeight="true" outlineLevel="0" collapsed="false">
      <c r="A989" s="5" t="str">
        <f aca="false">IF($B989="","",COUNT($B$5:$B989))</f>
        <v/>
      </c>
      <c r="B989" s="6"/>
      <c r="C989" s="6"/>
      <c r="D989" s="7"/>
      <c r="E989" s="7"/>
      <c r="F989" s="8"/>
      <c r="G989" s="9"/>
      <c r="H989" s="7"/>
      <c r="I989" s="7"/>
      <c r="J989" s="8"/>
      <c r="K989" s="5" t="str">
        <f aca="false">IF($I989="","",1+IF($J989="",0,LEN($J989)-LEN(SUBSTITUTE($J989,",",""))+1))</f>
        <v/>
      </c>
      <c r="L989" s="7"/>
      <c r="M989" s="8"/>
      <c r="N989" s="10"/>
      <c r="O989" s="10"/>
      <c r="P989" s="5" t="str">
        <f aca="false">IF(OR($B989="",$C989=""),"",$C989-$B989+1)</f>
        <v/>
      </c>
      <c r="Q989" s="11"/>
      <c r="R989" s="12" t="str">
        <f aca="false">IF(OR($Q989="",$K989=""),"",$Q989*$K989)</f>
        <v/>
      </c>
      <c r="S989" s="7"/>
      <c r="T989" s="10"/>
      <c r="U989" s="8"/>
    </row>
    <row r="990" customFormat="false" ht="18.75" hidden="false" customHeight="true" outlineLevel="0" collapsed="false">
      <c r="A990" s="5" t="str">
        <f aca="false">IF($B990="","",COUNT($B$5:$B990))</f>
        <v/>
      </c>
      <c r="B990" s="13"/>
      <c r="C990" s="13"/>
      <c r="D990" s="14"/>
      <c r="E990" s="14"/>
      <c r="F990" s="15"/>
      <c r="G990" s="16"/>
      <c r="H990" s="14"/>
      <c r="I990" s="14"/>
      <c r="J990" s="15"/>
      <c r="K990" s="5" t="str">
        <f aca="false">IF($I990="","",1+IF($J990="",0,LEN($J990)-LEN(SUBSTITUTE($J990,",",""))+1))</f>
        <v/>
      </c>
      <c r="L990" s="14"/>
      <c r="M990" s="15"/>
      <c r="N990" s="17"/>
      <c r="O990" s="17"/>
      <c r="P990" s="5" t="str">
        <f aca="false">IF(OR($B990="",$C990=""),"",$C990-$B990+1)</f>
        <v/>
      </c>
      <c r="Q990" s="18"/>
      <c r="R990" s="12" t="str">
        <f aca="false">IF(OR($Q990="",$K990=""),"",$Q990*$K990)</f>
        <v/>
      </c>
      <c r="S990" s="14"/>
      <c r="T990" s="17"/>
      <c r="U990" s="15"/>
    </row>
    <row r="991" customFormat="false" ht="18.75" hidden="false" customHeight="true" outlineLevel="0" collapsed="false">
      <c r="A991" s="5" t="str">
        <f aca="false">IF($B991="","",COUNT($B$5:$B991))</f>
        <v/>
      </c>
      <c r="B991" s="6"/>
      <c r="C991" s="6"/>
      <c r="D991" s="7"/>
      <c r="E991" s="7"/>
      <c r="F991" s="8"/>
      <c r="G991" s="9"/>
      <c r="H991" s="7"/>
      <c r="I991" s="7"/>
      <c r="J991" s="8"/>
      <c r="K991" s="5" t="str">
        <f aca="false">IF($I991="","",1+IF($J991="",0,LEN($J991)-LEN(SUBSTITUTE($J991,",",""))+1))</f>
        <v/>
      </c>
      <c r="L991" s="7"/>
      <c r="M991" s="8"/>
      <c r="N991" s="10"/>
      <c r="O991" s="10"/>
      <c r="P991" s="5" t="str">
        <f aca="false">IF(OR($B991="",$C991=""),"",$C991-$B991+1)</f>
        <v/>
      </c>
      <c r="Q991" s="11"/>
      <c r="R991" s="12" t="str">
        <f aca="false">IF(OR($Q991="",$K991=""),"",$Q991*$K991)</f>
        <v/>
      </c>
      <c r="S991" s="7"/>
      <c r="T991" s="10"/>
      <c r="U991" s="8"/>
    </row>
    <row r="992" customFormat="false" ht="18.75" hidden="false" customHeight="true" outlineLevel="0" collapsed="false">
      <c r="A992" s="5" t="str">
        <f aca="false">IF($B992="","",COUNT($B$5:$B992))</f>
        <v/>
      </c>
      <c r="B992" s="13"/>
      <c r="C992" s="13"/>
      <c r="D992" s="14"/>
      <c r="E992" s="14"/>
      <c r="F992" s="15"/>
      <c r="G992" s="16"/>
      <c r="H992" s="14"/>
      <c r="I992" s="14"/>
      <c r="J992" s="15"/>
      <c r="K992" s="5" t="str">
        <f aca="false">IF($I992="","",1+IF($J992="",0,LEN($J992)-LEN(SUBSTITUTE($J992,",",""))+1))</f>
        <v/>
      </c>
      <c r="L992" s="14"/>
      <c r="M992" s="15"/>
      <c r="N992" s="17"/>
      <c r="O992" s="17"/>
      <c r="P992" s="5" t="str">
        <f aca="false">IF(OR($B992="",$C992=""),"",$C992-$B992+1)</f>
        <v/>
      </c>
      <c r="Q992" s="18"/>
      <c r="R992" s="12" t="str">
        <f aca="false">IF(OR($Q992="",$K992=""),"",$Q992*$K992)</f>
        <v/>
      </c>
      <c r="S992" s="14"/>
      <c r="T992" s="17"/>
      <c r="U992" s="15"/>
    </row>
    <row r="993" customFormat="false" ht="18.75" hidden="false" customHeight="true" outlineLevel="0" collapsed="false">
      <c r="A993" s="5" t="str">
        <f aca="false">IF($B993="","",COUNT($B$5:$B993))</f>
        <v/>
      </c>
      <c r="B993" s="6"/>
      <c r="C993" s="6"/>
      <c r="D993" s="7"/>
      <c r="E993" s="7"/>
      <c r="F993" s="8"/>
      <c r="G993" s="9"/>
      <c r="H993" s="7"/>
      <c r="I993" s="7"/>
      <c r="J993" s="8"/>
      <c r="K993" s="5" t="str">
        <f aca="false">IF($I993="","",1+IF($J993="",0,LEN($J993)-LEN(SUBSTITUTE($J993,",",""))+1))</f>
        <v/>
      </c>
      <c r="L993" s="7"/>
      <c r="M993" s="8"/>
      <c r="N993" s="10"/>
      <c r="O993" s="10"/>
      <c r="P993" s="5" t="str">
        <f aca="false">IF(OR($B993="",$C993=""),"",$C993-$B993+1)</f>
        <v/>
      </c>
      <c r="Q993" s="11"/>
      <c r="R993" s="12" t="str">
        <f aca="false">IF(OR($Q993="",$K993=""),"",$Q993*$K993)</f>
        <v/>
      </c>
      <c r="S993" s="7"/>
      <c r="T993" s="10"/>
      <c r="U993" s="8"/>
    </row>
    <row r="994" customFormat="false" ht="18.75" hidden="false" customHeight="true" outlineLevel="0" collapsed="false">
      <c r="A994" s="5" t="str">
        <f aca="false">IF($B994="","",COUNT($B$5:$B994))</f>
        <v/>
      </c>
      <c r="B994" s="13"/>
      <c r="C994" s="13"/>
      <c r="D994" s="14"/>
      <c r="E994" s="14"/>
      <c r="F994" s="15"/>
      <c r="G994" s="16"/>
      <c r="H994" s="14"/>
      <c r="I994" s="14"/>
      <c r="J994" s="15"/>
      <c r="K994" s="5" t="str">
        <f aca="false">IF($I994="","",1+IF($J994="",0,LEN($J994)-LEN(SUBSTITUTE($J994,",",""))+1))</f>
        <v/>
      </c>
      <c r="L994" s="14"/>
      <c r="M994" s="15"/>
      <c r="N994" s="17"/>
      <c r="O994" s="17"/>
      <c r="P994" s="5" t="str">
        <f aca="false">IF(OR($B994="",$C994=""),"",$C994-$B994+1)</f>
        <v/>
      </c>
      <c r="Q994" s="18"/>
      <c r="R994" s="12" t="str">
        <f aca="false">IF(OR($Q994="",$K994=""),"",$Q994*$K994)</f>
        <v/>
      </c>
      <c r="S994" s="14"/>
      <c r="T994" s="17"/>
      <c r="U994" s="15"/>
    </row>
    <row r="995" customFormat="false" ht="18.75" hidden="false" customHeight="true" outlineLevel="0" collapsed="false">
      <c r="A995" s="5" t="str">
        <f aca="false">IF($B995="","",COUNT($B$5:$B995))</f>
        <v/>
      </c>
      <c r="B995" s="6"/>
      <c r="C995" s="6"/>
      <c r="D995" s="7"/>
      <c r="E995" s="7"/>
      <c r="F995" s="8"/>
      <c r="G995" s="9"/>
      <c r="H995" s="7"/>
      <c r="I995" s="7"/>
      <c r="J995" s="8"/>
      <c r="K995" s="5" t="str">
        <f aca="false">IF($I995="","",1+IF($J995="",0,LEN($J995)-LEN(SUBSTITUTE($J995,",",""))+1))</f>
        <v/>
      </c>
      <c r="L995" s="7"/>
      <c r="M995" s="8"/>
      <c r="N995" s="10"/>
      <c r="O995" s="10"/>
      <c r="P995" s="5" t="str">
        <f aca="false">IF(OR($B995="",$C995=""),"",$C995-$B995+1)</f>
        <v/>
      </c>
      <c r="Q995" s="11"/>
      <c r="R995" s="12" t="str">
        <f aca="false">IF(OR($Q995="",$K995=""),"",$Q995*$K995)</f>
        <v/>
      </c>
      <c r="S995" s="7"/>
      <c r="T995" s="10"/>
      <c r="U995" s="8"/>
    </row>
    <row r="996" customFormat="false" ht="18.75" hidden="false" customHeight="true" outlineLevel="0" collapsed="false">
      <c r="A996" s="5" t="str">
        <f aca="false">IF($B996="","",COUNT($B$5:$B996))</f>
        <v/>
      </c>
      <c r="B996" s="13"/>
      <c r="C996" s="13"/>
      <c r="D996" s="14"/>
      <c r="E996" s="14"/>
      <c r="F996" s="15"/>
      <c r="G996" s="16"/>
      <c r="H996" s="14"/>
      <c r="I996" s="14"/>
      <c r="J996" s="15"/>
      <c r="K996" s="5" t="str">
        <f aca="false">IF($I996="","",1+IF($J996="",0,LEN($J996)-LEN(SUBSTITUTE($J996,",",""))+1))</f>
        <v/>
      </c>
      <c r="L996" s="14"/>
      <c r="M996" s="15"/>
      <c r="N996" s="17"/>
      <c r="O996" s="17"/>
      <c r="P996" s="5" t="str">
        <f aca="false">IF(OR($B996="",$C996=""),"",$C996-$B996+1)</f>
        <v/>
      </c>
      <c r="Q996" s="18"/>
      <c r="R996" s="12" t="str">
        <f aca="false">IF(OR($Q996="",$K996=""),"",$Q996*$K996)</f>
        <v/>
      </c>
      <c r="S996" s="14"/>
      <c r="T996" s="17"/>
      <c r="U996" s="15"/>
    </row>
    <row r="997" customFormat="false" ht="18.75" hidden="false" customHeight="true" outlineLevel="0" collapsed="false">
      <c r="A997" s="5" t="str">
        <f aca="false">IF($B997="","",COUNT($B$5:$B997))</f>
        <v/>
      </c>
      <c r="B997" s="6"/>
      <c r="C997" s="6"/>
      <c r="D997" s="7"/>
      <c r="E997" s="7"/>
      <c r="F997" s="8"/>
      <c r="G997" s="9"/>
      <c r="H997" s="7"/>
      <c r="I997" s="7"/>
      <c r="J997" s="8"/>
      <c r="K997" s="5" t="str">
        <f aca="false">IF($I997="","",1+IF($J997="",0,LEN($J997)-LEN(SUBSTITUTE($J997,",",""))+1))</f>
        <v/>
      </c>
      <c r="L997" s="7"/>
      <c r="M997" s="8"/>
      <c r="N997" s="10"/>
      <c r="O997" s="10"/>
      <c r="P997" s="5" t="str">
        <f aca="false">IF(OR($B997="",$C997=""),"",$C997-$B997+1)</f>
        <v/>
      </c>
      <c r="Q997" s="11"/>
      <c r="R997" s="12" t="str">
        <f aca="false">IF(OR($Q997="",$K997=""),"",$Q997*$K997)</f>
        <v/>
      </c>
      <c r="S997" s="7"/>
      <c r="T997" s="10"/>
      <c r="U997" s="8"/>
    </row>
    <row r="998" customFormat="false" ht="18.75" hidden="false" customHeight="true" outlineLevel="0" collapsed="false">
      <c r="A998" s="5" t="str">
        <f aca="false">IF($B998="","",COUNT($B$5:$B998))</f>
        <v/>
      </c>
      <c r="B998" s="13"/>
      <c r="C998" s="13"/>
      <c r="D998" s="14"/>
      <c r="E998" s="14"/>
      <c r="F998" s="15"/>
      <c r="G998" s="16"/>
      <c r="H998" s="14"/>
      <c r="I998" s="14"/>
      <c r="J998" s="15"/>
      <c r="K998" s="5" t="str">
        <f aca="false">IF($I998="","",1+IF($J998="",0,LEN($J998)-LEN(SUBSTITUTE($J998,",",""))+1))</f>
        <v/>
      </c>
      <c r="L998" s="14"/>
      <c r="M998" s="15"/>
      <c r="N998" s="17"/>
      <c r="O998" s="17"/>
      <c r="P998" s="5" t="str">
        <f aca="false">IF(OR($B998="",$C998=""),"",$C998-$B998+1)</f>
        <v/>
      </c>
      <c r="Q998" s="18"/>
      <c r="R998" s="12" t="str">
        <f aca="false">IF(OR($Q998="",$K998=""),"",$Q998*$K998)</f>
        <v/>
      </c>
      <c r="S998" s="14"/>
      <c r="T998" s="17"/>
      <c r="U998" s="15"/>
    </row>
    <row r="999" customFormat="false" ht="18.75" hidden="false" customHeight="true" outlineLevel="0" collapsed="false">
      <c r="A999" s="5" t="str">
        <f aca="false">IF($B999="","",COUNT($B$5:$B999))</f>
        <v/>
      </c>
      <c r="B999" s="6"/>
      <c r="C999" s="6"/>
      <c r="D999" s="7"/>
      <c r="E999" s="7"/>
      <c r="F999" s="8"/>
      <c r="G999" s="9"/>
      <c r="H999" s="7"/>
      <c r="I999" s="7"/>
      <c r="J999" s="8"/>
      <c r="K999" s="5" t="str">
        <f aca="false">IF($I999="","",1+IF($J999="",0,LEN($J999)-LEN(SUBSTITUTE($J999,",",""))+1))</f>
        <v/>
      </c>
      <c r="L999" s="7"/>
      <c r="M999" s="8"/>
      <c r="N999" s="10"/>
      <c r="O999" s="10"/>
      <c r="P999" s="5" t="str">
        <f aca="false">IF(OR($B999="",$C999=""),"",$C999-$B999+1)</f>
        <v/>
      </c>
      <c r="Q999" s="11"/>
      <c r="R999" s="12" t="str">
        <f aca="false">IF(OR($Q999="",$K999=""),"",$Q999*$K999)</f>
        <v/>
      </c>
      <c r="S999" s="7"/>
      <c r="T999" s="10"/>
      <c r="U999" s="8"/>
    </row>
    <row r="1000" customFormat="false" ht="18.75" hidden="false" customHeight="true" outlineLevel="0" collapsed="false">
      <c r="A1000" s="5" t="str">
        <f aca="false">IF($B1000="","",COUNT($B$5:$B1000))</f>
        <v/>
      </c>
      <c r="B1000" s="13"/>
      <c r="C1000" s="13"/>
      <c r="D1000" s="14"/>
      <c r="E1000" s="14"/>
      <c r="F1000" s="15"/>
      <c r="G1000" s="16"/>
      <c r="H1000" s="14"/>
      <c r="I1000" s="14"/>
      <c r="J1000" s="15"/>
      <c r="K1000" s="5" t="str">
        <f aca="false">IF($I1000="","",1+IF($J1000="",0,LEN($J1000)-LEN(SUBSTITUTE($J1000,",",""))+1))</f>
        <v/>
      </c>
      <c r="L1000" s="14"/>
      <c r="M1000" s="15"/>
      <c r="N1000" s="17"/>
      <c r="O1000" s="17"/>
      <c r="P1000" s="5" t="str">
        <f aca="false">IF(OR($B1000="",$C1000=""),"",$C1000-$B1000+1)</f>
        <v/>
      </c>
      <c r="Q1000" s="18"/>
      <c r="R1000" s="12" t="str">
        <f aca="false">IF(OR($Q1000="",$K1000=""),"",$Q1000*$K1000)</f>
        <v/>
      </c>
      <c r="S1000" s="14"/>
      <c r="T1000" s="17"/>
      <c r="U1000" s="15"/>
    </row>
    <row r="1001" customFormat="false" ht="18.75" hidden="false" customHeight="true" outlineLevel="0" collapsed="false">
      <c r="A1001" s="5" t="str">
        <f aca="false">IF($B1001="","",COUNT($B$5:$B1001))</f>
        <v/>
      </c>
      <c r="B1001" s="6"/>
      <c r="C1001" s="6"/>
      <c r="D1001" s="7"/>
      <c r="E1001" s="7"/>
      <c r="F1001" s="8"/>
      <c r="G1001" s="9"/>
      <c r="H1001" s="7"/>
      <c r="I1001" s="7"/>
      <c r="J1001" s="8"/>
      <c r="K1001" s="5" t="str">
        <f aca="false">IF($I1001="","",1+IF($J1001="",0,LEN($J1001)-LEN(SUBSTITUTE($J1001,",",""))+1))</f>
        <v/>
      </c>
      <c r="L1001" s="7"/>
      <c r="M1001" s="8"/>
      <c r="N1001" s="10"/>
      <c r="O1001" s="10"/>
      <c r="P1001" s="5" t="str">
        <f aca="false">IF(OR($B1001="",$C1001=""),"",$C1001-$B1001+1)</f>
        <v/>
      </c>
      <c r="Q1001" s="11"/>
      <c r="R1001" s="12" t="str">
        <f aca="false">IF(OR($Q1001="",$K1001=""),"",$Q1001*$K1001)</f>
        <v/>
      </c>
      <c r="S1001" s="7"/>
      <c r="T1001" s="10"/>
      <c r="U1001" s="8"/>
    </row>
    <row r="1002" customFormat="false" ht="18.75" hidden="false" customHeight="true" outlineLevel="0" collapsed="false">
      <c r="A1002" s="5" t="str">
        <f aca="false">IF($B1002="","",COUNT($B$5:$B1002))</f>
        <v/>
      </c>
      <c r="B1002" s="13"/>
      <c r="C1002" s="13"/>
      <c r="D1002" s="14"/>
      <c r="E1002" s="14"/>
      <c r="F1002" s="15"/>
      <c r="G1002" s="16"/>
      <c r="H1002" s="14"/>
      <c r="I1002" s="14"/>
      <c r="J1002" s="15"/>
      <c r="K1002" s="5" t="str">
        <f aca="false">IF($I1002="","",1+IF($J1002="",0,LEN($J1002)-LEN(SUBSTITUTE($J1002,",",""))+1))</f>
        <v/>
      </c>
      <c r="L1002" s="14"/>
      <c r="M1002" s="15"/>
      <c r="N1002" s="17"/>
      <c r="O1002" s="17"/>
      <c r="P1002" s="5" t="str">
        <f aca="false">IF(OR($B1002="",$C1002=""),"",$C1002-$B1002+1)</f>
        <v/>
      </c>
      <c r="Q1002" s="18"/>
      <c r="R1002" s="12" t="str">
        <f aca="false">IF(OR($Q1002="",$K1002=""),"",$Q1002*$K1002)</f>
        <v/>
      </c>
      <c r="S1002" s="14"/>
      <c r="T1002" s="17"/>
      <c r="U1002" s="15"/>
    </row>
    <row r="1003" customFormat="false" ht="18.75" hidden="false" customHeight="true" outlineLevel="0" collapsed="false">
      <c r="A1003" s="5" t="str">
        <f aca="false">IF($B1003="","",COUNT($B$5:$B1003))</f>
        <v/>
      </c>
      <c r="B1003" s="6"/>
      <c r="C1003" s="6"/>
      <c r="D1003" s="7"/>
      <c r="E1003" s="7"/>
      <c r="F1003" s="8"/>
      <c r="G1003" s="9"/>
      <c r="H1003" s="7"/>
      <c r="I1003" s="7"/>
      <c r="J1003" s="8"/>
      <c r="K1003" s="5" t="str">
        <f aca="false">IF($I1003="","",1+IF($J1003="",0,LEN($J1003)-LEN(SUBSTITUTE($J1003,",",""))+1))</f>
        <v/>
      </c>
      <c r="L1003" s="7"/>
      <c r="M1003" s="8"/>
      <c r="N1003" s="10"/>
      <c r="O1003" s="10"/>
      <c r="P1003" s="5" t="str">
        <f aca="false">IF(OR($B1003="",$C1003=""),"",$C1003-$B1003+1)</f>
        <v/>
      </c>
      <c r="Q1003" s="11"/>
      <c r="R1003" s="12" t="str">
        <f aca="false">IF(OR($Q1003="",$K1003=""),"",$Q1003*$K1003)</f>
        <v/>
      </c>
      <c r="S1003" s="7"/>
      <c r="T1003" s="10"/>
      <c r="U1003" s="8"/>
    </row>
    <row r="1004" customFormat="false" ht="18.75" hidden="false" customHeight="true" outlineLevel="0" collapsed="false">
      <c r="A1004" s="5" t="str">
        <f aca="false">IF($B1004="","",COUNT($B$5:$B1004))</f>
        <v/>
      </c>
      <c r="B1004" s="13"/>
      <c r="C1004" s="13"/>
      <c r="D1004" s="14"/>
      <c r="E1004" s="14"/>
      <c r="F1004" s="15"/>
      <c r="G1004" s="16"/>
      <c r="H1004" s="14"/>
      <c r="I1004" s="14"/>
      <c r="J1004" s="15"/>
      <c r="K1004" s="5" t="str">
        <f aca="false">IF($I1004="","",1+IF($J1004="",0,LEN($J1004)-LEN(SUBSTITUTE($J1004,",",""))+1))</f>
        <v/>
      </c>
      <c r="L1004" s="14"/>
      <c r="M1004" s="15"/>
      <c r="N1004" s="17"/>
      <c r="O1004" s="17"/>
      <c r="P1004" s="5" t="str">
        <f aca="false">IF(OR($B1004="",$C1004=""),"",$C1004-$B1004+1)</f>
        <v/>
      </c>
      <c r="Q1004" s="18"/>
      <c r="R1004" s="12" t="str">
        <f aca="false">IF(OR($Q1004="",$K1004=""),"",$Q1004*$K1004)</f>
        <v/>
      </c>
      <c r="S1004" s="14"/>
      <c r="T1004" s="17"/>
      <c r="U1004" s="15"/>
    </row>
  </sheetData>
  <autoFilter ref="A4:U1004"/>
  <mergeCells count="2">
    <mergeCell ref="A1:U1"/>
    <mergeCell ref="A2:U2"/>
  </mergeCells>
  <dataValidations count="7">
    <dataValidation allowBlank="true" errorStyle="stop" operator="between" showDropDown="false" showErrorMessage="false" showInputMessage="false" sqref="D5:D1004" type="list">
      <formula1>코드설정!$H$5:$H$6</formula1>
      <formula2>0</formula2>
    </dataValidation>
    <dataValidation allowBlank="true" errorStyle="stop" operator="between" showDropDown="false" showErrorMessage="false" showInputMessage="false" sqref="E5:E1004" type="list">
      <formula1>코드설정!$B$5:$B$24</formula1>
      <formula2>0</formula2>
    </dataValidation>
    <dataValidation allowBlank="true" errorStyle="stop" operator="between" showDropDown="false" showErrorMessage="false" showInputMessage="false" sqref="H5:H1004" type="list">
      <formula1>코드설정!$E$5:$E$24</formula1>
      <formula2>0</formula2>
    </dataValidation>
    <dataValidation allowBlank="true" errorStyle="stop" operator="between" showDropDown="false" showErrorMessage="false" showInputMessage="false" sqref="I5:I1004" type="list">
      <formula1>코드설정!$C$5:$C$24</formula1>
      <formula2>0</formula2>
    </dataValidation>
    <dataValidation allowBlank="true" errorStyle="stop" operator="between" showDropDown="false" showErrorMessage="false" showInputMessage="false" sqref="L5:L1004" type="list">
      <formula1>코드설정!$D$5:$D$24</formula1>
      <formula2>0</formula2>
    </dataValidation>
    <dataValidation allowBlank="true" errorStyle="stop" operator="between" showDropDown="false" showErrorMessage="false" showInputMessage="false" sqref="S5:S1004" type="list">
      <formula1>코드설정!$F$5:$F$24</formula1>
      <formula2>0</formula2>
    </dataValidation>
    <dataValidation allowBlank="true" errorStyle="stop" operator="between" showDropDown="false" showErrorMessage="false" showInputMessage="false" sqref="G5:G1004" type="list">
      <formula1>'사건별 현황'!$A$6:$A$65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10" min="9" style="0" width="14"/>
  </cols>
  <sheetData>
    <row r="1" customFormat="false" ht="30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48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19" t="s">
        <v>49</v>
      </c>
      <c r="B3" s="20" t="n">
        <v>2026</v>
      </c>
    </row>
    <row r="5" customFormat="false" ht="17.15" hidden="false" customHeight="false" outlineLevel="0" collapsed="false">
      <c r="A5" s="21" t="s">
        <v>50</v>
      </c>
    </row>
    <row r="6" customFormat="false" ht="30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19</v>
      </c>
      <c r="H6" s="3" t="s">
        <v>15</v>
      </c>
      <c r="I6" s="3" t="s">
        <v>21</v>
      </c>
      <c r="J6" s="4" t="s">
        <v>57</v>
      </c>
    </row>
    <row r="7" customFormat="false" ht="15" hidden="false" customHeight="false" outlineLevel="0" collapsed="false">
      <c r="A7" s="22" t="s">
        <v>58</v>
      </c>
      <c r="B7" s="23" t="n">
        <f aca="false">COUNTIFS(업무일지!$B$5:$B$1004,"&gt;="&amp;DATE($B$3,1,1),업무일지!$B$5:$B$1004,"&lt;"&amp;DATE($B$3,1+1,1),업무일지!$D$5:$D$1004,"출장")</f>
        <v>0</v>
      </c>
      <c r="C7" s="23" t="n">
        <f aca="false">COUNTIFS(업무일지!$B$5:$B$1004,"&gt;="&amp;DATE($B$3,1,1),업무일지!$B$5:$B$1004,"&lt;"&amp;DATE($B$3,1+1,1),업무일지!$D$5:$D$1004,"분석")</f>
        <v>0</v>
      </c>
      <c r="D7" s="23" t="n">
        <f aca="false">B7+C7</f>
        <v>0</v>
      </c>
      <c r="E7" s="24" t="n">
        <f aca="false">SUMIFS(업무일지!$P$5:$P$1004,업무일지!$B$5:$B$1004,"&gt;="&amp;DATE($B$3,1,1),업무일지!$B$5:$B$1004,"&lt;"&amp;DATE($B$3,1+1,1),업무일지!$D$5:$D$1004,"출장")</f>
        <v>0</v>
      </c>
      <c r="F7" s="23" t="n">
        <f aca="false">SUMIFS(업무일지!$K$5:$K$1004,업무일지!$B$5:$B$1004,"&gt;="&amp;DATE($B$3,1,1),업무일지!$B$5:$B$1004,"&lt;"&amp;DATE($B$3,1+1,1))</f>
        <v>0</v>
      </c>
      <c r="G7" s="24" t="n">
        <f aca="false">SUMIFS(업무일지!$R$5:$R$1004,업무일지!$B$5:$B$1004,"&gt;="&amp;DATE($B$3,1,1),업무일지!$B$5:$B$1004,"&lt;"&amp;DATE($B$3,1+1,1))</f>
        <v>0</v>
      </c>
      <c r="H7" s="23" t="n">
        <f aca="false">SUMIFS(업무일지!$N$5:$N$1004,업무일지!$B$5:$B$1004,"&gt;="&amp;DATE($B$3,1,1),업무일지!$B$5:$B$1004,"&lt;"&amp;DATE($B$3,1+1,1))</f>
        <v>0</v>
      </c>
      <c r="I7" s="23" t="n">
        <f aca="false">SUMIFS(업무일지!$T$5:$T$1004,업무일지!$B$5:$B$1004,"&gt;="&amp;DATE($B$3,1,1),업무일지!$B$5:$B$1004,"&lt;"&amp;DATE($B$3,1+1,1))</f>
        <v>0</v>
      </c>
      <c r="J7" s="24" t="n">
        <f aca="false">IFERROR(G7/D7,0)</f>
        <v>0</v>
      </c>
    </row>
    <row r="8" customFormat="false" ht="15" hidden="false" customHeight="false" outlineLevel="0" collapsed="false">
      <c r="A8" s="25" t="s">
        <v>59</v>
      </c>
      <c r="B8" s="26" t="n">
        <f aca="false">COUNTIFS(업무일지!$B$5:$B$1004,"&gt;="&amp;DATE($B$3,2,1),업무일지!$B$5:$B$1004,"&lt;"&amp;DATE($B$3,2+1,1),업무일지!$D$5:$D$1004,"출장")</f>
        <v>0</v>
      </c>
      <c r="C8" s="26" t="n">
        <f aca="false">COUNTIFS(업무일지!$B$5:$B$1004,"&gt;="&amp;DATE($B$3,2,1),업무일지!$B$5:$B$1004,"&lt;"&amp;DATE($B$3,2+1,1),업무일지!$D$5:$D$1004,"분석")</f>
        <v>0</v>
      </c>
      <c r="D8" s="26" t="n">
        <f aca="false">B8+C8</f>
        <v>0</v>
      </c>
      <c r="E8" s="27" t="n">
        <f aca="false">SUMIFS(업무일지!$P$5:$P$1004,업무일지!$B$5:$B$1004,"&gt;="&amp;DATE($B$3,2,1),업무일지!$B$5:$B$1004,"&lt;"&amp;DATE($B$3,2+1,1),업무일지!$D$5:$D$1004,"출장")</f>
        <v>0</v>
      </c>
      <c r="F8" s="26" t="n">
        <f aca="false">SUMIFS(업무일지!$K$5:$K$1004,업무일지!$B$5:$B$1004,"&gt;="&amp;DATE($B$3,2,1),업무일지!$B$5:$B$1004,"&lt;"&amp;DATE($B$3,2+1,1))</f>
        <v>0</v>
      </c>
      <c r="G8" s="27" t="n">
        <f aca="false">SUMIFS(업무일지!$R$5:$R$1004,업무일지!$B$5:$B$1004,"&gt;="&amp;DATE($B$3,2,1),업무일지!$B$5:$B$1004,"&lt;"&amp;DATE($B$3,2+1,1))</f>
        <v>0</v>
      </c>
      <c r="H8" s="26" t="n">
        <f aca="false">SUMIFS(업무일지!$N$5:$N$1004,업무일지!$B$5:$B$1004,"&gt;="&amp;DATE($B$3,2,1),업무일지!$B$5:$B$1004,"&lt;"&amp;DATE($B$3,2+1,1))</f>
        <v>0</v>
      </c>
      <c r="I8" s="26" t="n">
        <f aca="false">SUMIFS(업무일지!$T$5:$T$1004,업무일지!$B$5:$B$1004,"&gt;="&amp;DATE($B$3,2,1),업무일지!$B$5:$B$1004,"&lt;"&amp;DATE($B$3,2+1,1))</f>
        <v>0</v>
      </c>
      <c r="J8" s="27" t="n">
        <f aca="false">IFERROR(G8/D8,0)</f>
        <v>0</v>
      </c>
    </row>
    <row r="9" customFormat="false" ht="15" hidden="false" customHeight="false" outlineLevel="0" collapsed="false">
      <c r="A9" s="22" t="s">
        <v>60</v>
      </c>
      <c r="B9" s="23" t="n">
        <f aca="false">COUNTIFS(업무일지!$B$5:$B$1004,"&gt;="&amp;DATE($B$3,3,1),업무일지!$B$5:$B$1004,"&lt;"&amp;DATE($B$3,3+1,1),업무일지!$D$5:$D$1004,"출장")</f>
        <v>1</v>
      </c>
      <c r="C9" s="23" t="n">
        <f aca="false">COUNTIFS(업무일지!$B$5:$B$1004,"&gt;="&amp;DATE($B$3,3,1),업무일지!$B$5:$B$1004,"&lt;"&amp;DATE($B$3,3+1,1),업무일지!$D$5:$D$1004,"분석")</f>
        <v>2</v>
      </c>
      <c r="D9" s="23" t="n">
        <f aca="false">B9+C9</f>
        <v>3</v>
      </c>
      <c r="E9" s="24" t="n">
        <f aca="false">SUMIFS(업무일지!$P$5:$P$1004,업무일지!$B$5:$B$1004,"&gt;="&amp;DATE($B$3,3,1),업무일지!$B$5:$B$1004,"&lt;"&amp;DATE($B$3,3+1,1),업무일지!$D$5:$D$1004,"출장")</f>
        <v>2</v>
      </c>
      <c r="F9" s="23" t="n">
        <f aca="false">SUMIFS(업무일지!$K$5:$K$1004,업무일지!$B$5:$B$1004,"&gt;="&amp;DATE($B$3,3,1),업무일지!$B$5:$B$1004,"&lt;"&amp;DATE($B$3,3+1,1))</f>
        <v>5</v>
      </c>
      <c r="G9" s="24" t="n">
        <f aca="false">SUMIFS(업무일지!$R$5:$R$1004,업무일지!$B$5:$B$1004,"&gt;="&amp;DATE($B$3,3,1),업무일지!$B$5:$B$1004,"&lt;"&amp;DATE($B$3,3+1,1))</f>
        <v>89</v>
      </c>
      <c r="H9" s="23" t="n">
        <f aca="false">SUMIFS(업무일지!$N$5:$N$1004,업무일지!$B$5:$B$1004,"&gt;="&amp;DATE($B$3,3,1),업무일지!$B$5:$B$1004,"&lt;"&amp;DATE($B$3,3+1,1))</f>
        <v>12</v>
      </c>
      <c r="I9" s="23" t="n">
        <f aca="false">SUMIFS(업무일지!$T$5:$T$1004,업무일지!$B$5:$B$1004,"&gt;="&amp;DATE($B$3,3,1),업무일지!$B$5:$B$1004,"&lt;"&amp;DATE($B$3,3+1,1))</f>
        <v>552000</v>
      </c>
      <c r="J9" s="24" t="n">
        <f aca="false">IFERROR(G9/D9,0)</f>
        <v>29.6666666666667</v>
      </c>
    </row>
    <row r="10" customFormat="false" ht="15" hidden="false" customHeight="false" outlineLevel="0" collapsed="false">
      <c r="A10" s="25" t="s">
        <v>61</v>
      </c>
      <c r="B10" s="26" t="n">
        <f aca="false">COUNTIFS(업무일지!$B$5:$B$1004,"&gt;="&amp;DATE($B$3,4,1),업무일지!$B$5:$B$1004,"&lt;"&amp;DATE($B$3,4+1,1),업무일지!$D$5:$D$1004,"출장")</f>
        <v>0</v>
      </c>
      <c r="C10" s="26" t="n">
        <f aca="false">COUNTIFS(업무일지!$B$5:$B$1004,"&gt;="&amp;DATE($B$3,4,1),업무일지!$B$5:$B$1004,"&lt;"&amp;DATE($B$3,4+1,1),업무일지!$D$5:$D$1004,"분석")</f>
        <v>0</v>
      </c>
      <c r="D10" s="26" t="n">
        <f aca="false">B10+C10</f>
        <v>0</v>
      </c>
      <c r="E10" s="27" t="n">
        <f aca="false">SUMIFS(업무일지!$P$5:$P$1004,업무일지!$B$5:$B$1004,"&gt;="&amp;DATE($B$3,4,1),업무일지!$B$5:$B$1004,"&lt;"&amp;DATE($B$3,4+1,1),업무일지!$D$5:$D$1004,"출장")</f>
        <v>0</v>
      </c>
      <c r="F10" s="26" t="n">
        <f aca="false">SUMIFS(업무일지!$K$5:$K$1004,업무일지!$B$5:$B$1004,"&gt;="&amp;DATE($B$3,4,1),업무일지!$B$5:$B$1004,"&lt;"&amp;DATE($B$3,4+1,1))</f>
        <v>0</v>
      </c>
      <c r="G10" s="27" t="n">
        <f aca="false">SUMIFS(업무일지!$R$5:$R$1004,업무일지!$B$5:$B$1004,"&gt;="&amp;DATE($B$3,4,1),업무일지!$B$5:$B$1004,"&lt;"&amp;DATE($B$3,4+1,1))</f>
        <v>0</v>
      </c>
      <c r="H10" s="26" t="n">
        <f aca="false">SUMIFS(업무일지!$N$5:$N$1004,업무일지!$B$5:$B$1004,"&gt;="&amp;DATE($B$3,4,1),업무일지!$B$5:$B$1004,"&lt;"&amp;DATE($B$3,4+1,1))</f>
        <v>0</v>
      </c>
      <c r="I10" s="26" t="n">
        <f aca="false">SUMIFS(업무일지!$T$5:$T$1004,업무일지!$B$5:$B$1004,"&gt;="&amp;DATE($B$3,4,1),업무일지!$B$5:$B$1004,"&lt;"&amp;DATE($B$3,4+1,1))</f>
        <v>0</v>
      </c>
      <c r="J10" s="27" t="n">
        <f aca="false">IFERROR(G10/D10,0)</f>
        <v>0</v>
      </c>
    </row>
    <row r="11" customFormat="false" ht="15" hidden="false" customHeight="false" outlineLevel="0" collapsed="false">
      <c r="A11" s="22" t="s">
        <v>62</v>
      </c>
      <c r="B11" s="23" t="n">
        <f aca="false">COUNTIFS(업무일지!$B$5:$B$1004,"&gt;="&amp;DATE($B$3,5,1),업무일지!$B$5:$B$1004,"&lt;"&amp;DATE($B$3,5+1,1),업무일지!$D$5:$D$1004,"출장")</f>
        <v>0</v>
      </c>
      <c r="C11" s="23" t="n">
        <f aca="false">COUNTIFS(업무일지!$B$5:$B$1004,"&gt;="&amp;DATE($B$3,5,1),업무일지!$B$5:$B$1004,"&lt;"&amp;DATE($B$3,5+1,1),업무일지!$D$5:$D$1004,"분석")</f>
        <v>0</v>
      </c>
      <c r="D11" s="23" t="n">
        <f aca="false">B11+C11</f>
        <v>0</v>
      </c>
      <c r="E11" s="24" t="n">
        <f aca="false">SUMIFS(업무일지!$P$5:$P$1004,업무일지!$B$5:$B$1004,"&gt;="&amp;DATE($B$3,5,1),업무일지!$B$5:$B$1004,"&lt;"&amp;DATE($B$3,5+1,1),업무일지!$D$5:$D$1004,"출장")</f>
        <v>0</v>
      </c>
      <c r="F11" s="23" t="n">
        <f aca="false">SUMIFS(업무일지!$K$5:$K$1004,업무일지!$B$5:$B$1004,"&gt;="&amp;DATE($B$3,5,1),업무일지!$B$5:$B$1004,"&lt;"&amp;DATE($B$3,5+1,1))</f>
        <v>0</v>
      </c>
      <c r="G11" s="24" t="n">
        <f aca="false">SUMIFS(업무일지!$R$5:$R$1004,업무일지!$B$5:$B$1004,"&gt;="&amp;DATE($B$3,5,1),업무일지!$B$5:$B$1004,"&lt;"&amp;DATE($B$3,5+1,1))</f>
        <v>0</v>
      </c>
      <c r="H11" s="23" t="n">
        <f aca="false">SUMIFS(업무일지!$N$5:$N$1004,업무일지!$B$5:$B$1004,"&gt;="&amp;DATE($B$3,5,1),업무일지!$B$5:$B$1004,"&lt;"&amp;DATE($B$3,5+1,1))</f>
        <v>0</v>
      </c>
      <c r="I11" s="23" t="n">
        <f aca="false">SUMIFS(업무일지!$T$5:$T$1004,업무일지!$B$5:$B$1004,"&gt;="&amp;DATE($B$3,5,1),업무일지!$B$5:$B$1004,"&lt;"&amp;DATE($B$3,5+1,1))</f>
        <v>0</v>
      </c>
      <c r="J11" s="24" t="n">
        <f aca="false">IFERROR(G11/D11,0)</f>
        <v>0</v>
      </c>
    </row>
    <row r="12" customFormat="false" ht="15" hidden="false" customHeight="false" outlineLevel="0" collapsed="false">
      <c r="A12" s="25" t="s">
        <v>63</v>
      </c>
      <c r="B12" s="26" t="n">
        <f aca="false">COUNTIFS(업무일지!$B$5:$B$1004,"&gt;="&amp;DATE($B$3,6,1),업무일지!$B$5:$B$1004,"&lt;"&amp;DATE($B$3,6+1,1),업무일지!$D$5:$D$1004,"출장")</f>
        <v>0</v>
      </c>
      <c r="C12" s="26" t="n">
        <f aca="false">COUNTIFS(업무일지!$B$5:$B$1004,"&gt;="&amp;DATE($B$3,6,1),업무일지!$B$5:$B$1004,"&lt;"&amp;DATE($B$3,6+1,1),업무일지!$D$5:$D$1004,"분석")</f>
        <v>0</v>
      </c>
      <c r="D12" s="26" t="n">
        <f aca="false">B12+C12</f>
        <v>0</v>
      </c>
      <c r="E12" s="27" t="n">
        <f aca="false">SUMIFS(업무일지!$P$5:$P$1004,업무일지!$B$5:$B$1004,"&gt;="&amp;DATE($B$3,6,1),업무일지!$B$5:$B$1004,"&lt;"&amp;DATE($B$3,6+1,1),업무일지!$D$5:$D$1004,"출장")</f>
        <v>0</v>
      </c>
      <c r="F12" s="26" t="n">
        <f aca="false">SUMIFS(업무일지!$K$5:$K$1004,업무일지!$B$5:$B$1004,"&gt;="&amp;DATE($B$3,6,1),업무일지!$B$5:$B$1004,"&lt;"&amp;DATE($B$3,6+1,1))</f>
        <v>0</v>
      </c>
      <c r="G12" s="27" t="n">
        <f aca="false">SUMIFS(업무일지!$R$5:$R$1004,업무일지!$B$5:$B$1004,"&gt;="&amp;DATE($B$3,6,1),업무일지!$B$5:$B$1004,"&lt;"&amp;DATE($B$3,6+1,1))</f>
        <v>0</v>
      </c>
      <c r="H12" s="26" t="n">
        <f aca="false">SUMIFS(업무일지!$N$5:$N$1004,업무일지!$B$5:$B$1004,"&gt;="&amp;DATE($B$3,6,1),업무일지!$B$5:$B$1004,"&lt;"&amp;DATE($B$3,6+1,1))</f>
        <v>0</v>
      </c>
      <c r="I12" s="26" t="n">
        <f aca="false">SUMIFS(업무일지!$T$5:$T$1004,업무일지!$B$5:$B$1004,"&gt;="&amp;DATE($B$3,6,1),업무일지!$B$5:$B$1004,"&lt;"&amp;DATE($B$3,6+1,1))</f>
        <v>0</v>
      </c>
      <c r="J12" s="27" t="n">
        <f aca="false">IFERROR(G12/D12,0)</f>
        <v>0</v>
      </c>
    </row>
    <row r="13" customFormat="false" ht="15" hidden="false" customHeight="false" outlineLevel="0" collapsed="false">
      <c r="A13" s="22" t="s">
        <v>64</v>
      </c>
      <c r="B13" s="23" t="n">
        <f aca="false">COUNTIFS(업무일지!$B$5:$B$1004,"&gt;="&amp;DATE($B$3,7,1),업무일지!$B$5:$B$1004,"&lt;"&amp;DATE($B$3,7+1,1),업무일지!$D$5:$D$1004,"출장")</f>
        <v>0</v>
      </c>
      <c r="C13" s="23" t="n">
        <f aca="false">COUNTIFS(업무일지!$B$5:$B$1004,"&gt;="&amp;DATE($B$3,7,1),업무일지!$B$5:$B$1004,"&lt;"&amp;DATE($B$3,7+1,1),업무일지!$D$5:$D$1004,"분석")</f>
        <v>0</v>
      </c>
      <c r="D13" s="23" t="n">
        <f aca="false">B13+C13</f>
        <v>0</v>
      </c>
      <c r="E13" s="24" t="n">
        <f aca="false">SUMIFS(업무일지!$P$5:$P$1004,업무일지!$B$5:$B$1004,"&gt;="&amp;DATE($B$3,7,1),업무일지!$B$5:$B$1004,"&lt;"&amp;DATE($B$3,7+1,1),업무일지!$D$5:$D$1004,"출장")</f>
        <v>0</v>
      </c>
      <c r="F13" s="23" t="n">
        <f aca="false">SUMIFS(업무일지!$K$5:$K$1004,업무일지!$B$5:$B$1004,"&gt;="&amp;DATE($B$3,7,1),업무일지!$B$5:$B$1004,"&lt;"&amp;DATE($B$3,7+1,1))</f>
        <v>0</v>
      </c>
      <c r="G13" s="24" t="n">
        <f aca="false">SUMIFS(업무일지!$R$5:$R$1004,업무일지!$B$5:$B$1004,"&gt;="&amp;DATE($B$3,7,1),업무일지!$B$5:$B$1004,"&lt;"&amp;DATE($B$3,7+1,1))</f>
        <v>0</v>
      </c>
      <c r="H13" s="23" t="n">
        <f aca="false">SUMIFS(업무일지!$N$5:$N$1004,업무일지!$B$5:$B$1004,"&gt;="&amp;DATE($B$3,7,1),업무일지!$B$5:$B$1004,"&lt;"&amp;DATE($B$3,7+1,1))</f>
        <v>0</v>
      </c>
      <c r="I13" s="23" t="n">
        <f aca="false">SUMIFS(업무일지!$T$5:$T$1004,업무일지!$B$5:$B$1004,"&gt;="&amp;DATE($B$3,7,1),업무일지!$B$5:$B$1004,"&lt;"&amp;DATE($B$3,7+1,1))</f>
        <v>0</v>
      </c>
      <c r="J13" s="24" t="n">
        <f aca="false">IFERROR(G13/D13,0)</f>
        <v>0</v>
      </c>
    </row>
    <row r="14" customFormat="false" ht="15" hidden="false" customHeight="false" outlineLevel="0" collapsed="false">
      <c r="A14" s="25" t="s">
        <v>65</v>
      </c>
      <c r="B14" s="26" t="n">
        <f aca="false">COUNTIFS(업무일지!$B$5:$B$1004,"&gt;="&amp;DATE($B$3,8,1),업무일지!$B$5:$B$1004,"&lt;"&amp;DATE($B$3,8+1,1),업무일지!$D$5:$D$1004,"출장")</f>
        <v>0</v>
      </c>
      <c r="C14" s="26" t="n">
        <f aca="false">COUNTIFS(업무일지!$B$5:$B$1004,"&gt;="&amp;DATE($B$3,8,1),업무일지!$B$5:$B$1004,"&lt;"&amp;DATE($B$3,8+1,1),업무일지!$D$5:$D$1004,"분석")</f>
        <v>0</v>
      </c>
      <c r="D14" s="26" t="n">
        <f aca="false">B14+C14</f>
        <v>0</v>
      </c>
      <c r="E14" s="27" t="n">
        <f aca="false">SUMIFS(업무일지!$P$5:$P$1004,업무일지!$B$5:$B$1004,"&gt;="&amp;DATE($B$3,8,1),업무일지!$B$5:$B$1004,"&lt;"&amp;DATE($B$3,8+1,1),업무일지!$D$5:$D$1004,"출장")</f>
        <v>0</v>
      </c>
      <c r="F14" s="26" t="n">
        <f aca="false">SUMIFS(업무일지!$K$5:$K$1004,업무일지!$B$5:$B$1004,"&gt;="&amp;DATE($B$3,8,1),업무일지!$B$5:$B$1004,"&lt;"&amp;DATE($B$3,8+1,1))</f>
        <v>0</v>
      </c>
      <c r="G14" s="27" t="n">
        <f aca="false">SUMIFS(업무일지!$R$5:$R$1004,업무일지!$B$5:$B$1004,"&gt;="&amp;DATE($B$3,8,1),업무일지!$B$5:$B$1004,"&lt;"&amp;DATE($B$3,8+1,1))</f>
        <v>0</v>
      </c>
      <c r="H14" s="26" t="n">
        <f aca="false">SUMIFS(업무일지!$N$5:$N$1004,업무일지!$B$5:$B$1004,"&gt;="&amp;DATE($B$3,8,1),업무일지!$B$5:$B$1004,"&lt;"&amp;DATE($B$3,8+1,1))</f>
        <v>0</v>
      </c>
      <c r="I14" s="26" t="n">
        <f aca="false">SUMIFS(업무일지!$T$5:$T$1004,업무일지!$B$5:$B$1004,"&gt;="&amp;DATE($B$3,8,1),업무일지!$B$5:$B$1004,"&lt;"&amp;DATE($B$3,8+1,1))</f>
        <v>0</v>
      </c>
      <c r="J14" s="27" t="n">
        <f aca="false">IFERROR(G14/D14,0)</f>
        <v>0</v>
      </c>
    </row>
    <row r="15" customFormat="false" ht="15" hidden="false" customHeight="false" outlineLevel="0" collapsed="false">
      <c r="A15" s="22" t="s">
        <v>66</v>
      </c>
      <c r="B15" s="23" t="n">
        <f aca="false">COUNTIFS(업무일지!$B$5:$B$1004,"&gt;="&amp;DATE($B$3,9,1),업무일지!$B$5:$B$1004,"&lt;"&amp;DATE($B$3,9+1,1),업무일지!$D$5:$D$1004,"출장")</f>
        <v>0</v>
      </c>
      <c r="C15" s="23" t="n">
        <f aca="false">COUNTIFS(업무일지!$B$5:$B$1004,"&gt;="&amp;DATE($B$3,9,1),업무일지!$B$5:$B$1004,"&lt;"&amp;DATE($B$3,9+1,1),업무일지!$D$5:$D$1004,"분석")</f>
        <v>0</v>
      </c>
      <c r="D15" s="23" t="n">
        <f aca="false">B15+C15</f>
        <v>0</v>
      </c>
      <c r="E15" s="24" t="n">
        <f aca="false">SUMIFS(업무일지!$P$5:$P$1004,업무일지!$B$5:$B$1004,"&gt;="&amp;DATE($B$3,9,1),업무일지!$B$5:$B$1004,"&lt;"&amp;DATE($B$3,9+1,1),업무일지!$D$5:$D$1004,"출장")</f>
        <v>0</v>
      </c>
      <c r="F15" s="23" t="n">
        <f aca="false">SUMIFS(업무일지!$K$5:$K$1004,업무일지!$B$5:$B$1004,"&gt;="&amp;DATE($B$3,9,1),업무일지!$B$5:$B$1004,"&lt;"&amp;DATE($B$3,9+1,1))</f>
        <v>0</v>
      </c>
      <c r="G15" s="24" t="n">
        <f aca="false">SUMIFS(업무일지!$R$5:$R$1004,업무일지!$B$5:$B$1004,"&gt;="&amp;DATE($B$3,9,1),업무일지!$B$5:$B$1004,"&lt;"&amp;DATE($B$3,9+1,1))</f>
        <v>0</v>
      </c>
      <c r="H15" s="23" t="n">
        <f aca="false">SUMIFS(업무일지!$N$5:$N$1004,업무일지!$B$5:$B$1004,"&gt;="&amp;DATE($B$3,9,1),업무일지!$B$5:$B$1004,"&lt;"&amp;DATE($B$3,9+1,1))</f>
        <v>0</v>
      </c>
      <c r="I15" s="23" t="n">
        <f aca="false">SUMIFS(업무일지!$T$5:$T$1004,업무일지!$B$5:$B$1004,"&gt;="&amp;DATE($B$3,9,1),업무일지!$B$5:$B$1004,"&lt;"&amp;DATE($B$3,9+1,1))</f>
        <v>0</v>
      </c>
      <c r="J15" s="24" t="n">
        <f aca="false">IFERROR(G15/D15,0)</f>
        <v>0</v>
      </c>
    </row>
    <row r="16" customFormat="false" ht="15" hidden="false" customHeight="false" outlineLevel="0" collapsed="false">
      <c r="A16" s="25" t="s">
        <v>67</v>
      </c>
      <c r="B16" s="26" t="n">
        <f aca="false">COUNTIFS(업무일지!$B$5:$B$1004,"&gt;="&amp;DATE($B$3,10,1),업무일지!$B$5:$B$1004,"&lt;"&amp;DATE($B$3,10+1,1),업무일지!$D$5:$D$1004,"출장")</f>
        <v>0</v>
      </c>
      <c r="C16" s="26" t="n">
        <f aca="false">COUNTIFS(업무일지!$B$5:$B$1004,"&gt;="&amp;DATE($B$3,10,1),업무일지!$B$5:$B$1004,"&lt;"&amp;DATE($B$3,10+1,1),업무일지!$D$5:$D$1004,"분석")</f>
        <v>0</v>
      </c>
      <c r="D16" s="26" t="n">
        <f aca="false">B16+C16</f>
        <v>0</v>
      </c>
      <c r="E16" s="27" t="n">
        <f aca="false">SUMIFS(업무일지!$P$5:$P$1004,업무일지!$B$5:$B$1004,"&gt;="&amp;DATE($B$3,10,1),업무일지!$B$5:$B$1004,"&lt;"&amp;DATE($B$3,10+1,1),업무일지!$D$5:$D$1004,"출장")</f>
        <v>0</v>
      </c>
      <c r="F16" s="26" t="n">
        <f aca="false">SUMIFS(업무일지!$K$5:$K$1004,업무일지!$B$5:$B$1004,"&gt;="&amp;DATE($B$3,10,1),업무일지!$B$5:$B$1004,"&lt;"&amp;DATE($B$3,10+1,1))</f>
        <v>0</v>
      </c>
      <c r="G16" s="27" t="n">
        <f aca="false">SUMIFS(업무일지!$R$5:$R$1004,업무일지!$B$5:$B$1004,"&gt;="&amp;DATE($B$3,10,1),업무일지!$B$5:$B$1004,"&lt;"&amp;DATE($B$3,10+1,1))</f>
        <v>0</v>
      </c>
      <c r="H16" s="26" t="n">
        <f aca="false">SUMIFS(업무일지!$N$5:$N$1004,업무일지!$B$5:$B$1004,"&gt;="&amp;DATE($B$3,10,1),업무일지!$B$5:$B$1004,"&lt;"&amp;DATE($B$3,10+1,1))</f>
        <v>0</v>
      </c>
      <c r="I16" s="26" t="n">
        <f aca="false">SUMIFS(업무일지!$T$5:$T$1004,업무일지!$B$5:$B$1004,"&gt;="&amp;DATE($B$3,10,1),업무일지!$B$5:$B$1004,"&lt;"&amp;DATE($B$3,10+1,1))</f>
        <v>0</v>
      </c>
      <c r="J16" s="27" t="n">
        <f aca="false">IFERROR(G16/D16,0)</f>
        <v>0</v>
      </c>
    </row>
    <row r="17" customFormat="false" ht="15" hidden="false" customHeight="false" outlineLevel="0" collapsed="false">
      <c r="A17" s="22" t="s">
        <v>68</v>
      </c>
      <c r="B17" s="23" t="n">
        <f aca="false">COUNTIFS(업무일지!$B$5:$B$1004,"&gt;="&amp;DATE($B$3,11,1),업무일지!$B$5:$B$1004,"&lt;"&amp;DATE($B$3,11+1,1),업무일지!$D$5:$D$1004,"출장")</f>
        <v>0</v>
      </c>
      <c r="C17" s="23" t="n">
        <f aca="false">COUNTIFS(업무일지!$B$5:$B$1004,"&gt;="&amp;DATE($B$3,11,1),업무일지!$B$5:$B$1004,"&lt;"&amp;DATE($B$3,11+1,1),업무일지!$D$5:$D$1004,"분석")</f>
        <v>0</v>
      </c>
      <c r="D17" s="23" t="n">
        <f aca="false">B17+C17</f>
        <v>0</v>
      </c>
      <c r="E17" s="24" t="n">
        <f aca="false">SUMIFS(업무일지!$P$5:$P$1004,업무일지!$B$5:$B$1004,"&gt;="&amp;DATE($B$3,11,1),업무일지!$B$5:$B$1004,"&lt;"&amp;DATE($B$3,11+1,1),업무일지!$D$5:$D$1004,"출장")</f>
        <v>0</v>
      </c>
      <c r="F17" s="23" t="n">
        <f aca="false">SUMIFS(업무일지!$K$5:$K$1004,업무일지!$B$5:$B$1004,"&gt;="&amp;DATE($B$3,11,1),업무일지!$B$5:$B$1004,"&lt;"&amp;DATE($B$3,11+1,1))</f>
        <v>0</v>
      </c>
      <c r="G17" s="24" t="n">
        <f aca="false">SUMIFS(업무일지!$R$5:$R$1004,업무일지!$B$5:$B$1004,"&gt;="&amp;DATE($B$3,11,1),업무일지!$B$5:$B$1004,"&lt;"&amp;DATE($B$3,11+1,1))</f>
        <v>0</v>
      </c>
      <c r="H17" s="23" t="n">
        <f aca="false">SUMIFS(업무일지!$N$5:$N$1004,업무일지!$B$5:$B$1004,"&gt;="&amp;DATE($B$3,11,1),업무일지!$B$5:$B$1004,"&lt;"&amp;DATE($B$3,11+1,1))</f>
        <v>0</v>
      </c>
      <c r="I17" s="23" t="n">
        <f aca="false">SUMIFS(업무일지!$T$5:$T$1004,업무일지!$B$5:$B$1004,"&gt;="&amp;DATE($B$3,11,1),업무일지!$B$5:$B$1004,"&lt;"&amp;DATE($B$3,11+1,1))</f>
        <v>0</v>
      </c>
      <c r="J17" s="24" t="n">
        <f aca="false">IFERROR(G17/D17,0)</f>
        <v>0</v>
      </c>
    </row>
    <row r="18" customFormat="false" ht="15" hidden="false" customHeight="false" outlineLevel="0" collapsed="false">
      <c r="A18" s="25" t="s">
        <v>69</v>
      </c>
      <c r="B18" s="26" t="n">
        <f aca="false">COUNTIFS(업무일지!$B$5:$B$1004,"&gt;="&amp;DATE($B$3,12,1),업무일지!$B$5:$B$1004,"&lt;"&amp;DATE($B$3,12+1,1),업무일지!$D$5:$D$1004,"출장")</f>
        <v>0</v>
      </c>
      <c r="C18" s="26" t="n">
        <f aca="false">COUNTIFS(업무일지!$B$5:$B$1004,"&gt;="&amp;DATE($B$3,12,1),업무일지!$B$5:$B$1004,"&lt;"&amp;DATE($B$3,12+1,1),업무일지!$D$5:$D$1004,"분석")</f>
        <v>0</v>
      </c>
      <c r="D18" s="26" t="n">
        <f aca="false">B18+C18</f>
        <v>0</v>
      </c>
      <c r="E18" s="27" t="n">
        <f aca="false">SUMIFS(업무일지!$P$5:$P$1004,업무일지!$B$5:$B$1004,"&gt;="&amp;DATE($B$3,12,1),업무일지!$B$5:$B$1004,"&lt;"&amp;DATE($B$3,12+1,1),업무일지!$D$5:$D$1004,"출장")</f>
        <v>0</v>
      </c>
      <c r="F18" s="26" t="n">
        <f aca="false">SUMIFS(업무일지!$K$5:$K$1004,업무일지!$B$5:$B$1004,"&gt;="&amp;DATE($B$3,12,1),업무일지!$B$5:$B$1004,"&lt;"&amp;DATE($B$3,12+1,1))</f>
        <v>0</v>
      </c>
      <c r="G18" s="27" t="n">
        <f aca="false">SUMIFS(업무일지!$R$5:$R$1004,업무일지!$B$5:$B$1004,"&gt;="&amp;DATE($B$3,12,1),업무일지!$B$5:$B$1004,"&lt;"&amp;DATE($B$3,12+1,1))</f>
        <v>0</v>
      </c>
      <c r="H18" s="26" t="n">
        <f aca="false">SUMIFS(업무일지!$N$5:$N$1004,업무일지!$B$5:$B$1004,"&gt;="&amp;DATE($B$3,12,1),업무일지!$B$5:$B$1004,"&lt;"&amp;DATE($B$3,12+1,1))</f>
        <v>0</v>
      </c>
      <c r="I18" s="26" t="n">
        <f aca="false">SUMIFS(업무일지!$T$5:$T$1004,업무일지!$B$5:$B$1004,"&gt;="&amp;DATE($B$3,12,1),업무일지!$B$5:$B$1004,"&lt;"&amp;DATE($B$3,12+1,1))</f>
        <v>0</v>
      </c>
      <c r="J18" s="27" t="n">
        <f aca="false">IFERROR(G18/D18,0)</f>
        <v>0</v>
      </c>
    </row>
    <row r="19" customFormat="false" ht="15" hidden="false" customHeight="false" outlineLevel="0" collapsed="false">
      <c r="A19" s="28" t="s">
        <v>70</v>
      </c>
      <c r="B19" s="29" t="n">
        <f aca="false">SUM(B7:B18)</f>
        <v>1</v>
      </c>
      <c r="C19" s="29" t="n">
        <f aca="false">SUM(C7:C18)</f>
        <v>2</v>
      </c>
      <c r="D19" s="29" t="n">
        <f aca="false">SUM(D7:D18)</f>
        <v>3</v>
      </c>
      <c r="E19" s="30" t="n">
        <f aca="false">SUM(E7:E18)</f>
        <v>2</v>
      </c>
      <c r="F19" s="29" t="n">
        <f aca="false">SUM(F7:F18)</f>
        <v>5</v>
      </c>
      <c r="G19" s="30" t="n">
        <f aca="false">SUM(G7:G18)</f>
        <v>89</v>
      </c>
      <c r="H19" s="29" t="n">
        <f aca="false">SUM(H7:H18)</f>
        <v>12</v>
      </c>
      <c r="I19" s="29" t="n">
        <f aca="false">SUM(I7:I18)</f>
        <v>552000</v>
      </c>
      <c r="J19" s="30" t="n">
        <f aca="false">IFERROR(G19/D19,0)</f>
        <v>29.6666666666667</v>
      </c>
    </row>
    <row r="22" customFormat="false" ht="17.15" hidden="false" customHeight="false" outlineLevel="0" collapsed="false">
      <c r="A22" s="21" t="s">
        <v>71</v>
      </c>
    </row>
    <row r="23" customFormat="false" ht="30" hidden="false" customHeight="true" outlineLevel="0" collapsed="false">
      <c r="A23" s="3" t="s">
        <v>5</v>
      </c>
      <c r="B23" s="3" t="s">
        <v>6</v>
      </c>
      <c r="C23" s="3" t="s">
        <v>72</v>
      </c>
      <c r="D23" s="3" t="s">
        <v>73</v>
      </c>
      <c r="E23" s="3" t="s">
        <v>56</v>
      </c>
      <c r="F23" s="3" t="s">
        <v>19</v>
      </c>
      <c r="G23" s="3" t="s">
        <v>15</v>
      </c>
      <c r="H23" s="3" t="s">
        <v>16</v>
      </c>
      <c r="I23" s="3" t="s">
        <v>21</v>
      </c>
      <c r="J23" s="3" t="s">
        <v>74</v>
      </c>
    </row>
    <row r="24" customFormat="false" ht="15" hidden="false" customHeight="false" outlineLevel="0" collapsed="false">
      <c r="A24" s="31" t="s">
        <v>23</v>
      </c>
      <c r="B24" s="32" t="s">
        <v>75</v>
      </c>
      <c r="C24" s="26" t="n">
        <f aca="false">COUNTIFS(업무일지!$B$5:$B$1004,"&gt;="&amp;DATE($B$3,1,1),업무일지!$B$5:$B$1004,"&lt;"&amp;DATE($B$3+1,1,1),업무일지!$E$5:$E$1004,$B24)</f>
        <v>1</v>
      </c>
      <c r="D24" s="33" t="n">
        <f aca="false">IFERROR(C24/$C$37,0)</f>
        <v>0.333333333333333</v>
      </c>
      <c r="E24" s="26" t="n">
        <f aca="false">SUMIFS(업무일지!$K$5:$K$1004,업무일지!$B$5:$B$1004,"&gt;="&amp;DATE($B$3,1,1),업무일지!$B$5:$B$1004,"&lt;"&amp;DATE($B$3+1,1,1),업무일지!$E$5:$E$1004,$B24)</f>
        <v>3</v>
      </c>
      <c r="F24" s="27" t="n">
        <f aca="false">SUMIFS(업무일지!$R$5:$R$1004,업무일지!$B$5:$B$1004,"&gt;="&amp;DATE($B$3,1,1),업무일지!$B$5:$B$1004,"&lt;"&amp;DATE($B$3+1,1,1),업무일지!$E$5:$E$1004,$B24)</f>
        <v>48</v>
      </c>
      <c r="G24" s="26" t="n">
        <f aca="false">SUMIFS(업무일지!$N$5:$N$1004,업무일지!$B$5:$B$1004,"&gt;="&amp;DATE($B$3,1,1),업무일지!$B$5:$B$1004,"&lt;"&amp;DATE($B$3+1,1,1),업무일지!$E$5:$E$1004,$B24)</f>
        <v>6</v>
      </c>
      <c r="H24" s="26" t="n">
        <f aca="false">SUMIFS(업무일지!$O$5:$O$1004,업무일지!$B$5:$B$1004,"&gt;="&amp;DATE($B$3,1,1),업무일지!$B$5:$B$1004,"&lt;"&amp;DATE($B$3+1,1,1),업무일지!$E$5:$E$1004,$B24)</f>
        <v>3200</v>
      </c>
      <c r="I24" s="26" t="n">
        <f aca="false">SUMIFS(업무일지!$T$5:$T$1004,업무일지!$B$5:$B$1004,"&gt;="&amp;DATE($B$3,1,1),업무일지!$B$5:$B$1004,"&lt;"&amp;DATE($B$3+1,1,1),업무일지!$E$5:$E$1004,$B24)</f>
        <v>552000</v>
      </c>
      <c r="J24" s="27" t="n">
        <f aca="false">IFERROR(SUMIFS(업무일지!$P$5:$P$1004,업무일지!$B$5:$B$1004,"&gt;="&amp;DATE($B$3,1,1),업무일지!$B$5:$B$1004,"&lt;"&amp;DATE($B$3+1,1,1),업무일지!$E$5:$E$1004,$B24)/C24,0)</f>
        <v>2</v>
      </c>
    </row>
    <row r="25" customFormat="false" ht="15" hidden="false" customHeight="false" outlineLevel="0" collapsed="false">
      <c r="A25" s="34" t="s">
        <v>23</v>
      </c>
      <c r="B25" s="35" t="s">
        <v>76</v>
      </c>
      <c r="C25" s="23" t="n">
        <f aca="false">COUNTIFS(업무일지!$B$5:$B$1004,"&gt;="&amp;DATE($B$3,1,1),업무일지!$B$5:$B$1004,"&lt;"&amp;DATE($B$3+1,1,1),업무일지!$E$5:$E$1004,$B25)</f>
        <v>0</v>
      </c>
      <c r="D25" s="36" t="n">
        <f aca="false">IFERROR(C25/$C$37,0)</f>
        <v>0</v>
      </c>
      <c r="E25" s="23" t="n">
        <f aca="false">SUMIFS(업무일지!$K$5:$K$1004,업무일지!$B$5:$B$1004,"&gt;="&amp;DATE($B$3,1,1),업무일지!$B$5:$B$1004,"&lt;"&amp;DATE($B$3+1,1,1),업무일지!$E$5:$E$1004,$B25)</f>
        <v>0</v>
      </c>
      <c r="F25" s="24" t="n">
        <f aca="false">SUMIFS(업무일지!$R$5:$R$1004,업무일지!$B$5:$B$1004,"&gt;="&amp;DATE($B$3,1,1),업무일지!$B$5:$B$1004,"&lt;"&amp;DATE($B$3+1,1,1),업무일지!$E$5:$E$1004,$B25)</f>
        <v>0</v>
      </c>
      <c r="G25" s="23" t="n">
        <f aca="false">SUMIFS(업무일지!$N$5:$N$1004,업무일지!$B$5:$B$1004,"&gt;="&amp;DATE($B$3,1,1),업무일지!$B$5:$B$1004,"&lt;"&amp;DATE($B$3+1,1,1),업무일지!$E$5:$E$1004,$B25)</f>
        <v>0</v>
      </c>
      <c r="H25" s="23" t="n">
        <f aca="false">SUMIFS(업무일지!$O$5:$O$1004,업무일지!$B$5:$B$1004,"&gt;="&amp;DATE($B$3,1,1),업무일지!$B$5:$B$1004,"&lt;"&amp;DATE($B$3+1,1,1),업무일지!$E$5:$E$1004,$B25)</f>
        <v>0</v>
      </c>
      <c r="I25" s="23" t="n">
        <f aca="false">SUMIFS(업무일지!$T$5:$T$1004,업무일지!$B$5:$B$1004,"&gt;="&amp;DATE($B$3,1,1),업무일지!$B$5:$B$1004,"&lt;"&amp;DATE($B$3+1,1,1),업무일지!$E$5:$E$1004,$B25)</f>
        <v>0</v>
      </c>
      <c r="J25" s="24" t="n">
        <f aca="false">IFERROR(SUMIFS(업무일지!$P$5:$P$1004,업무일지!$B$5:$B$1004,"&gt;="&amp;DATE($B$3,1,1),업무일지!$B$5:$B$1004,"&lt;"&amp;DATE($B$3+1,1,1),업무일지!$E$5:$E$1004,$B25)/C25,0)</f>
        <v>0</v>
      </c>
    </row>
    <row r="26" customFormat="false" ht="15" hidden="false" customHeight="false" outlineLevel="0" collapsed="false">
      <c r="A26" s="31" t="s">
        <v>23</v>
      </c>
      <c r="B26" s="32" t="s">
        <v>77</v>
      </c>
      <c r="C26" s="26" t="n">
        <f aca="false">COUNTIFS(업무일지!$B$5:$B$1004,"&gt;="&amp;DATE($B$3,1,1),업무일지!$B$5:$B$1004,"&lt;"&amp;DATE($B$3+1,1,1),업무일지!$E$5:$E$1004,$B26)</f>
        <v>0</v>
      </c>
      <c r="D26" s="33" t="n">
        <f aca="false">IFERROR(C26/$C$37,0)</f>
        <v>0</v>
      </c>
      <c r="E26" s="26" t="n">
        <f aca="false">SUMIFS(업무일지!$K$5:$K$1004,업무일지!$B$5:$B$1004,"&gt;="&amp;DATE($B$3,1,1),업무일지!$B$5:$B$1004,"&lt;"&amp;DATE($B$3+1,1,1),업무일지!$E$5:$E$1004,$B26)</f>
        <v>0</v>
      </c>
      <c r="F26" s="27" t="n">
        <f aca="false">SUMIFS(업무일지!$R$5:$R$1004,업무일지!$B$5:$B$1004,"&gt;="&amp;DATE($B$3,1,1),업무일지!$B$5:$B$1004,"&lt;"&amp;DATE($B$3+1,1,1),업무일지!$E$5:$E$1004,$B26)</f>
        <v>0</v>
      </c>
      <c r="G26" s="26" t="n">
        <f aca="false">SUMIFS(업무일지!$N$5:$N$1004,업무일지!$B$5:$B$1004,"&gt;="&amp;DATE($B$3,1,1),업무일지!$B$5:$B$1004,"&lt;"&amp;DATE($B$3+1,1,1),업무일지!$E$5:$E$1004,$B26)</f>
        <v>0</v>
      </c>
      <c r="H26" s="26" t="n">
        <f aca="false">SUMIFS(업무일지!$O$5:$O$1004,업무일지!$B$5:$B$1004,"&gt;="&amp;DATE($B$3,1,1),업무일지!$B$5:$B$1004,"&lt;"&amp;DATE($B$3+1,1,1),업무일지!$E$5:$E$1004,$B26)</f>
        <v>0</v>
      </c>
      <c r="I26" s="26" t="n">
        <f aca="false">SUMIFS(업무일지!$T$5:$T$1004,업무일지!$B$5:$B$1004,"&gt;="&amp;DATE($B$3,1,1),업무일지!$B$5:$B$1004,"&lt;"&amp;DATE($B$3+1,1,1),업무일지!$E$5:$E$1004,$B26)</f>
        <v>0</v>
      </c>
      <c r="J26" s="27" t="n">
        <f aca="false">IFERROR(SUMIFS(업무일지!$P$5:$P$1004,업무일지!$B$5:$B$1004,"&gt;="&amp;DATE($B$3,1,1),업무일지!$B$5:$B$1004,"&lt;"&amp;DATE($B$3+1,1,1),업무일지!$E$5:$E$1004,$B26)/C26,0)</f>
        <v>0</v>
      </c>
    </row>
    <row r="27" customFormat="false" ht="15" hidden="false" customHeight="false" outlineLevel="0" collapsed="false">
      <c r="A27" s="34" t="s">
        <v>23</v>
      </c>
      <c r="B27" s="35" t="s">
        <v>78</v>
      </c>
      <c r="C27" s="23" t="n">
        <f aca="false">COUNTIFS(업무일지!$B$5:$B$1004,"&gt;="&amp;DATE($B$3,1,1),업무일지!$B$5:$B$1004,"&lt;"&amp;DATE($B$3+1,1,1),업무일지!$E$5:$E$1004,$B27)</f>
        <v>0</v>
      </c>
      <c r="D27" s="36" t="n">
        <f aca="false">IFERROR(C27/$C$37,0)</f>
        <v>0</v>
      </c>
      <c r="E27" s="23" t="n">
        <f aca="false">SUMIFS(업무일지!$K$5:$K$1004,업무일지!$B$5:$B$1004,"&gt;="&amp;DATE($B$3,1,1),업무일지!$B$5:$B$1004,"&lt;"&amp;DATE($B$3+1,1,1),업무일지!$E$5:$E$1004,$B27)</f>
        <v>0</v>
      </c>
      <c r="F27" s="24" t="n">
        <f aca="false">SUMIFS(업무일지!$R$5:$R$1004,업무일지!$B$5:$B$1004,"&gt;="&amp;DATE($B$3,1,1),업무일지!$B$5:$B$1004,"&lt;"&amp;DATE($B$3+1,1,1),업무일지!$E$5:$E$1004,$B27)</f>
        <v>0</v>
      </c>
      <c r="G27" s="23" t="n">
        <f aca="false">SUMIFS(업무일지!$N$5:$N$1004,업무일지!$B$5:$B$1004,"&gt;="&amp;DATE($B$3,1,1),업무일지!$B$5:$B$1004,"&lt;"&amp;DATE($B$3+1,1,1),업무일지!$E$5:$E$1004,$B27)</f>
        <v>0</v>
      </c>
      <c r="H27" s="23" t="n">
        <f aca="false">SUMIFS(업무일지!$O$5:$O$1004,업무일지!$B$5:$B$1004,"&gt;="&amp;DATE($B$3,1,1),업무일지!$B$5:$B$1004,"&lt;"&amp;DATE($B$3+1,1,1),업무일지!$E$5:$E$1004,$B27)</f>
        <v>0</v>
      </c>
      <c r="I27" s="23" t="n">
        <f aca="false">SUMIFS(업무일지!$T$5:$T$1004,업무일지!$B$5:$B$1004,"&gt;="&amp;DATE($B$3,1,1),업무일지!$B$5:$B$1004,"&lt;"&amp;DATE($B$3+1,1,1),업무일지!$E$5:$E$1004,$B27)</f>
        <v>0</v>
      </c>
      <c r="J27" s="24" t="n">
        <f aca="false">IFERROR(SUMIFS(업무일지!$P$5:$P$1004,업무일지!$B$5:$B$1004,"&gt;="&amp;DATE($B$3,1,1),업무일지!$B$5:$B$1004,"&lt;"&amp;DATE($B$3+1,1,1),업무일지!$E$5:$E$1004,$B27)/C27,0)</f>
        <v>0</v>
      </c>
    </row>
    <row r="28" customFormat="false" ht="15" hidden="false" customHeight="false" outlineLevel="0" collapsed="false">
      <c r="A28" s="31" t="s">
        <v>23</v>
      </c>
      <c r="B28" s="32" t="s">
        <v>79</v>
      </c>
      <c r="C28" s="26" t="n">
        <f aca="false">COUNTIFS(업무일지!$B$5:$B$1004,"&gt;="&amp;DATE($B$3,1,1),업무일지!$B$5:$B$1004,"&lt;"&amp;DATE($B$3+1,1,1),업무일지!$E$5:$E$1004,$B28)</f>
        <v>0</v>
      </c>
      <c r="D28" s="33" t="n">
        <f aca="false">IFERROR(C28/$C$37,0)</f>
        <v>0</v>
      </c>
      <c r="E28" s="26" t="n">
        <f aca="false">SUMIFS(업무일지!$K$5:$K$1004,업무일지!$B$5:$B$1004,"&gt;="&amp;DATE($B$3,1,1),업무일지!$B$5:$B$1004,"&lt;"&amp;DATE($B$3+1,1,1),업무일지!$E$5:$E$1004,$B28)</f>
        <v>0</v>
      </c>
      <c r="F28" s="27" t="n">
        <f aca="false">SUMIFS(업무일지!$R$5:$R$1004,업무일지!$B$5:$B$1004,"&gt;="&amp;DATE($B$3,1,1),업무일지!$B$5:$B$1004,"&lt;"&amp;DATE($B$3+1,1,1),업무일지!$E$5:$E$1004,$B28)</f>
        <v>0</v>
      </c>
      <c r="G28" s="26" t="n">
        <f aca="false">SUMIFS(업무일지!$N$5:$N$1004,업무일지!$B$5:$B$1004,"&gt;="&amp;DATE($B$3,1,1),업무일지!$B$5:$B$1004,"&lt;"&amp;DATE($B$3+1,1,1),업무일지!$E$5:$E$1004,$B28)</f>
        <v>0</v>
      </c>
      <c r="H28" s="26" t="n">
        <f aca="false">SUMIFS(업무일지!$O$5:$O$1004,업무일지!$B$5:$B$1004,"&gt;="&amp;DATE($B$3,1,1),업무일지!$B$5:$B$1004,"&lt;"&amp;DATE($B$3+1,1,1),업무일지!$E$5:$E$1004,$B28)</f>
        <v>0</v>
      </c>
      <c r="I28" s="26" t="n">
        <f aca="false">SUMIFS(업무일지!$T$5:$T$1004,업무일지!$B$5:$B$1004,"&gt;="&amp;DATE($B$3,1,1),업무일지!$B$5:$B$1004,"&lt;"&amp;DATE($B$3+1,1,1),업무일지!$E$5:$E$1004,$B28)</f>
        <v>0</v>
      </c>
      <c r="J28" s="27" t="n">
        <f aca="false">IFERROR(SUMIFS(업무일지!$P$5:$P$1004,업무일지!$B$5:$B$1004,"&gt;="&amp;DATE($B$3,1,1),업무일지!$B$5:$B$1004,"&lt;"&amp;DATE($B$3+1,1,1),업무일지!$E$5:$E$1004,$B28)/C28,0)</f>
        <v>0</v>
      </c>
    </row>
    <row r="29" customFormat="false" ht="15" hidden="false" customHeight="false" outlineLevel="0" collapsed="false">
      <c r="A29" s="34" t="s">
        <v>23</v>
      </c>
      <c r="B29" s="35" t="s">
        <v>80</v>
      </c>
      <c r="C29" s="23" t="n">
        <f aca="false">COUNTIFS(업무일지!$B$5:$B$1004,"&gt;="&amp;DATE($B$3,1,1),업무일지!$B$5:$B$1004,"&lt;"&amp;DATE($B$3+1,1,1),업무일지!$E$5:$E$1004,$B29)</f>
        <v>0</v>
      </c>
      <c r="D29" s="36" t="n">
        <f aca="false">IFERROR(C29/$C$37,0)</f>
        <v>0</v>
      </c>
      <c r="E29" s="23" t="n">
        <f aca="false">SUMIFS(업무일지!$K$5:$K$1004,업무일지!$B$5:$B$1004,"&gt;="&amp;DATE($B$3,1,1),업무일지!$B$5:$B$1004,"&lt;"&amp;DATE($B$3+1,1,1),업무일지!$E$5:$E$1004,$B29)</f>
        <v>0</v>
      </c>
      <c r="F29" s="24" t="n">
        <f aca="false">SUMIFS(업무일지!$R$5:$R$1004,업무일지!$B$5:$B$1004,"&gt;="&amp;DATE($B$3,1,1),업무일지!$B$5:$B$1004,"&lt;"&amp;DATE($B$3+1,1,1),업무일지!$E$5:$E$1004,$B29)</f>
        <v>0</v>
      </c>
      <c r="G29" s="23" t="n">
        <f aca="false">SUMIFS(업무일지!$N$5:$N$1004,업무일지!$B$5:$B$1004,"&gt;="&amp;DATE($B$3,1,1),업무일지!$B$5:$B$1004,"&lt;"&amp;DATE($B$3+1,1,1),업무일지!$E$5:$E$1004,$B29)</f>
        <v>0</v>
      </c>
      <c r="H29" s="23" t="n">
        <f aca="false">SUMIFS(업무일지!$O$5:$O$1004,업무일지!$B$5:$B$1004,"&gt;="&amp;DATE($B$3,1,1),업무일지!$B$5:$B$1004,"&lt;"&amp;DATE($B$3+1,1,1),업무일지!$E$5:$E$1004,$B29)</f>
        <v>0</v>
      </c>
      <c r="I29" s="23" t="n">
        <f aca="false">SUMIFS(업무일지!$T$5:$T$1004,업무일지!$B$5:$B$1004,"&gt;="&amp;DATE($B$3,1,1),업무일지!$B$5:$B$1004,"&lt;"&amp;DATE($B$3+1,1,1),업무일지!$E$5:$E$1004,$B29)</f>
        <v>0</v>
      </c>
      <c r="J29" s="24" t="n">
        <f aca="false">IFERROR(SUMIFS(업무일지!$P$5:$P$1004,업무일지!$B$5:$B$1004,"&gt;="&amp;DATE($B$3,1,1),업무일지!$B$5:$B$1004,"&lt;"&amp;DATE($B$3+1,1,1),업무일지!$E$5:$E$1004,$B29)/C29,0)</f>
        <v>0</v>
      </c>
    </row>
    <row r="30" customFormat="false" ht="15" hidden="false" customHeight="false" outlineLevel="0" collapsed="false">
      <c r="A30" s="31" t="s">
        <v>34</v>
      </c>
      <c r="B30" s="32" t="s">
        <v>35</v>
      </c>
      <c r="C30" s="26" t="n">
        <f aca="false">COUNTIFS(업무일지!$B$5:$B$1004,"&gt;="&amp;DATE($B$3,1,1),업무일지!$B$5:$B$1004,"&lt;"&amp;DATE($B$3+1,1,1),업무일지!$E$5:$E$1004,$B30)</f>
        <v>1</v>
      </c>
      <c r="D30" s="33" t="n">
        <f aca="false">IFERROR(C30/$C$37,0)</f>
        <v>0.333333333333333</v>
      </c>
      <c r="E30" s="26" t="n">
        <f aca="false">SUMIFS(업무일지!$K$5:$K$1004,업무일지!$B$5:$B$1004,"&gt;="&amp;DATE($B$3,1,1),업무일지!$B$5:$B$1004,"&lt;"&amp;DATE($B$3+1,1,1),업무일지!$E$5:$E$1004,$B30)</f>
        <v>1</v>
      </c>
      <c r="F30" s="27" t="n">
        <f aca="false">SUMIFS(업무일지!$R$5:$R$1004,업무일지!$B$5:$B$1004,"&gt;="&amp;DATE($B$3,1,1),업무일지!$B$5:$B$1004,"&lt;"&amp;DATE($B$3+1,1,1),업무일지!$E$5:$E$1004,$B30)</f>
        <v>34</v>
      </c>
      <c r="G30" s="26" t="n">
        <f aca="false">SUMIFS(업무일지!$N$5:$N$1004,업무일지!$B$5:$B$1004,"&gt;="&amp;DATE($B$3,1,1),업무일지!$B$5:$B$1004,"&lt;"&amp;DATE($B$3+1,1,1),업무일지!$E$5:$E$1004,$B30)</f>
        <v>4</v>
      </c>
      <c r="H30" s="26" t="n">
        <f aca="false">SUMIFS(업무일지!$O$5:$O$1004,업무일지!$B$5:$B$1004,"&gt;="&amp;DATE($B$3,1,1),업무일지!$B$5:$B$1004,"&lt;"&amp;DATE($B$3+1,1,1),업무일지!$E$5:$E$1004,$B30)</f>
        <v>2400</v>
      </c>
      <c r="I30" s="26" t="n">
        <f aca="false">SUMIFS(업무일지!$T$5:$T$1004,업무일지!$B$5:$B$1004,"&gt;="&amp;DATE($B$3,1,1),업무일지!$B$5:$B$1004,"&lt;"&amp;DATE($B$3+1,1,1),업무일지!$E$5:$E$1004,$B30)</f>
        <v>0</v>
      </c>
      <c r="J30" s="27" t="n">
        <f aca="false">IFERROR(SUMIFS(업무일지!$P$5:$P$1004,업무일지!$B$5:$B$1004,"&gt;="&amp;DATE($B$3,1,1),업무일지!$B$5:$B$1004,"&lt;"&amp;DATE($B$3+1,1,1),업무일지!$E$5:$E$1004,$B30)/C30,0)</f>
        <v>5</v>
      </c>
    </row>
    <row r="31" customFormat="false" ht="15" hidden="false" customHeight="false" outlineLevel="0" collapsed="false">
      <c r="A31" s="34" t="s">
        <v>34</v>
      </c>
      <c r="B31" s="35" t="s">
        <v>39</v>
      </c>
      <c r="C31" s="23" t="n">
        <f aca="false">COUNTIFS(업무일지!$B$5:$B$1004,"&gt;="&amp;DATE($B$3,1,1),업무일지!$B$5:$B$1004,"&lt;"&amp;DATE($B$3+1,1,1),업무일지!$E$5:$E$1004,$B31)</f>
        <v>1</v>
      </c>
      <c r="D31" s="36" t="n">
        <f aca="false">IFERROR(C31/$C$37,0)</f>
        <v>0.333333333333333</v>
      </c>
      <c r="E31" s="23" t="n">
        <f aca="false">SUMIFS(업무일지!$K$5:$K$1004,업무일지!$B$5:$B$1004,"&gt;="&amp;DATE($B$3,1,1),업무일지!$B$5:$B$1004,"&lt;"&amp;DATE($B$3+1,1,1),업무일지!$E$5:$E$1004,$B31)</f>
        <v>1</v>
      </c>
      <c r="F31" s="24" t="n">
        <f aca="false">SUMIFS(업무일지!$R$5:$R$1004,업무일지!$B$5:$B$1004,"&gt;="&amp;DATE($B$3,1,1),업무일지!$B$5:$B$1004,"&lt;"&amp;DATE($B$3+1,1,1),업무일지!$E$5:$E$1004,$B31)</f>
        <v>7</v>
      </c>
      <c r="G31" s="23" t="n">
        <f aca="false">SUMIFS(업무일지!$N$5:$N$1004,업무일지!$B$5:$B$1004,"&gt;="&amp;DATE($B$3,1,1),업무일지!$B$5:$B$1004,"&lt;"&amp;DATE($B$3+1,1,1),업무일지!$E$5:$E$1004,$B31)</f>
        <v>2</v>
      </c>
      <c r="H31" s="23" t="n">
        <f aca="false">SUMIFS(업무일지!$O$5:$O$1004,업무일지!$B$5:$B$1004,"&gt;="&amp;DATE($B$3,1,1),업무일지!$B$5:$B$1004,"&lt;"&amp;DATE($B$3+1,1,1),업무일지!$E$5:$E$1004,$B31)</f>
        <v>480</v>
      </c>
      <c r="I31" s="23" t="n">
        <f aca="false">SUMIFS(업무일지!$T$5:$T$1004,업무일지!$B$5:$B$1004,"&gt;="&amp;DATE($B$3,1,1),업무일지!$B$5:$B$1004,"&lt;"&amp;DATE($B$3+1,1,1),업무일지!$E$5:$E$1004,$B31)</f>
        <v>0</v>
      </c>
      <c r="J31" s="24" t="n">
        <f aca="false">IFERROR(SUMIFS(업무일지!$P$5:$P$1004,업무일지!$B$5:$B$1004,"&gt;="&amp;DATE($B$3,1,1),업무일지!$B$5:$B$1004,"&lt;"&amp;DATE($B$3+1,1,1),업무일지!$E$5:$E$1004,$B31)/C31,0)</f>
        <v>1</v>
      </c>
    </row>
    <row r="32" customFormat="false" ht="15" hidden="false" customHeight="false" outlineLevel="0" collapsed="false">
      <c r="A32" s="31" t="s">
        <v>34</v>
      </c>
      <c r="B32" s="32" t="s">
        <v>81</v>
      </c>
      <c r="C32" s="26" t="n">
        <f aca="false">COUNTIFS(업무일지!$B$5:$B$1004,"&gt;="&amp;DATE($B$3,1,1),업무일지!$B$5:$B$1004,"&lt;"&amp;DATE($B$3+1,1,1),업무일지!$E$5:$E$1004,$B32)</f>
        <v>0</v>
      </c>
      <c r="D32" s="33" t="n">
        <f aca="false">IFERROR(C32/$C$37,0)</f>
        <v>0</v>
      </c>
      <c r="E32" s="26" t="n">
        <f aca="false">SUMIFS(업무일지!$K$5:$K$1004,업무일지!$B$5:$B$1004,"&gt;="&amp;DATE($B$3,1,1),업무일지!$B$5:$B$1004,"&lt;"&amp;DATE($B$3+1,1,1),업무일지!$E$5:$E$1004,$B32)</f>
        <v>0</v>
      </c>
      <c r="F32" s="27" t="n">
        <f aca="false">SUMIFS(업무일지!$R$5:$R$1004,업무일지!$B$5:$B$1004,"&gt;="&amp;DATE($B$3,1,1),업무일지!$B$5:$B$1004,"&lt;"&amp;DATE($B$3+1,1,1),업무일지!$E$5:$E$1004,$B32)</f>
        <v>0</v>
      </c>
      <c r="G32" s="26" t="n">
        <f aca="false">SUMIFS(업무일지!$N$5:$N$1004,업무일지!$B$5:$B$1004,"&gt;="&amp;DATE($B$3,1,1),업무일지!$B$5:$B$1004,"&lt;"&amp;DATE($B$3+1,1,1),업무일지!$E$5:$E$1004,$B32)</f>
        <v>0</v>
      </c>
      <c r="H32" s="26" t="n">
        <f aca="false">SUMIFS(업무일지!$O$5:$O$1004,업무일지!$B$5:$B$1004,"&gt;="&amp;DATE($B$3,1,1),업무일지!$B$5:$B$1004,"&lt;"&amp;DATE($B$3+1,1,1),업무일지!$E$5:$E$1004,$B32)</f>
        <v>0</v>
      </c>
      <c r="I32" s="26" t="n">
        <f aca="false">SUMIFS(업무일지!$T$5:$T$1004,업무일지!$B$5:$B$1004,"&gt;="&amp;DATE($B$3,1,1),업무일지!$B$5:$B$1004,"&lt;"&amp;DATE($B$3+1,1,1),업무일지!$E$5:$E$1004,$B32)</f>
        <v>0</v>
      </c>
      <c r="J32" s="27" t="n">
        <f aca="false">IFERROR(SUMIFS(업무일지!$P$5:$P$1004,업무일지!$B$5:$B$1004,"&gt;="&amp;DATE($B$3,1,1),업무일지!$B$5:$B$1004,"&lt;"&amp;DATE($B$3+1,1,1),업무일지!$E$5:$E$1004,$B32)/C32,0)</f>
        <v>0</v>
      </c>
    </row>
    <row r="33" customFormat="false" ht="15" hidden="false" customHeight="false" outlineLevel="0" collapsed="false">
      <c r="A33" s="34" t="s">
        <v>34</v>
      </c>
      <c r="B33" s="35" t="s">
        <v>82</v>
      </c>
      <c r="C33" s="23" t="n">
        <f aca="false">COUNTIFS(업무일지!$B$5:$B$1004,"&gt;="&amp;DATE($B$3,1,1),업무일지!$B$5:$B$1004,"&lt;"&amp;DATE($B$3+1,1,1),업무일지!$E$5:$E$1004,$B33)</f>
        <v>0</v>
      </c>
      <c r="D33" s="36" t="n">
        <f aca="false">IFERROR(C33/$C$37,0)</f>
        <v>0</v>
      </c>
      <c r="E33" s="23" t="n">
        <f aca="false">SUMIFS(업무일지!$K$5:$K$1004,업무일지!$B$5:$B$1004,"&gt;="&amp;DATE($B$3,1,1),업무일지!$B$5:$B$1004,"&lt;"&amp;DATE($B$3+1,1,1),업무일지!$E$5:$E$1004,$B33)</f>
        <v>0</v>
      </c>
      <c r="F33" s="24" t="n">
        <f aca="false">SUMIFS(업무일지!$R$5:$R$1004,업무일지!$B$5:$B$1004,"&gt;="&amp;DATE($B$3,1,1),업무일지!$B$5:$B$1004,"&lt;"&amp;DATE($B$3+1,1,1),업무일지!$E$5:$E$1004,$B33)</f>
        <v>0</v>
      </c>
      <c r="G33" s="23" t="n">
        <f aca="false">SUMIFS(업무일지!$N$5:$N$1004,업무일지!$B$5:$B$1004,"&gt;="&amp;DATE($B$3,1,1),업무일지!$B$5:$B$1004,"&lt;"&amp;DATE($B$3+1,1,1),업무일지!$E$5:$E$1004,$B33)</f>
        <v>0</v>
      </c>
      <c r="H33" s="23" t="n">
        <f aca="false">SUMIFS(업무일지!$O$5:$O$1004,업무일지!$B$5:$B$1004,"&gt;="&amp;DATE($B$3,1,1),업무일지!$B$5:$B$1004,"&lt;"&amp;DATE($B$3+1,1,1),업무일지!$E$5:$E$1004,$B33)</f>
        <v>0</v>
      </c>
      <c r="I33" s="23" t="n">
        <f aca="false">SUMIFS(업무일지!$T$5:$T$1004,업무일지!$B$5:$B$1004,"&gt;="&amp;DATE($B$3,1,1),업무일지!$B$5:$B$1004,"&lt;"&amp;DATE($B$3+1,1,1),업무일지!$E$5:$E$1004,$B33)</f>
        <v>0</v>
      </c>
      <c r="J33" s="24" t="n">
        <f aca="false">IFERROR(SUMIFS(업무일지!$P$5:$P$1004,업무일지!$B$5:$B$1004,"&gt;="&amp;DATE($B$3,1,1),업무일지!$B$5:$B$1004,"&lt;"&amp;DATE($B$3+1,1,1),업무일지!$E$5:$E$1004,$B33)/C33,0)</f>
        <v>0</v>
      </c>
    </row>
    <row r="34" customFormat="false" ht="15" hidden="false" customHeight="false" outlineLevel="0" collapsed="false">
      <c r="A34" s="31" t="s">
        <v>34</v>
      </c>
      <c r="B34" s="32" t="s">
        <v>83</v>
      </c>
      <c r="C34" s="26" t="n">
        <f aca="false">COUNTIFS(업무일지!$B$5:$B$1004,"&gt;="&amp;DATE($B$3,1,1),업무일지!$B$5:$B$1004,"&lt;"&amp;DATE($B$3+1,1,1),업무일지!$E$5:$E$1004,$B34)</f>
        <v>0</v>
      </c>
      <c r="D34" s="33" t="n">
        <f aca="false">IFERROR(C34/$C$37,0)</f>
        <v>0</v>
      </c>
      <c r="E34" s="26" t="n">
        <f aca="false">SUMIFS(업무일지!$K$5:$K$1004,업무일지!$B$5:$B$1004,"&gt;="&amp;DATE($B$3,1,1),업무일지!$B$5:$B$1004,"&lt;"&amp;DATE($B$3+1,1,1),업무일지!$E$5:$E$1004,$B34)</f>
        <v>0</v>
      </c>
      <c r="F34" s="27" t="n">
        <f aca="false">SUMIFS(업무일지!$R$5:$R$1004,업무일지!$B$5:$B$1004,"&gt;="&amp;DATE($B$3,1,1),업무일지!$B$5:$B$1004,"&lt;"&amp;DATE($B$3+1,1,1),업무일지!$E$5:$E$1004,$B34)</f>
        <v>0</v>
      </c>
      <c r="G34" s="26" t="n">
        <f aca="false">SUMIFS(업무일지!$N$5:$N$1004,업무일지!$B$5:$B$1004,"&gt;="&amp;DATE($B$3,1,1),업무일지!$B$5:$B$1004,"&lt;"&amp;DATE($B$3+1,1,1),업무일지!$E$5:$E$1004,$B34)</f>
        <v>0</v>
      </c>
      <c r="H34" s="26" t="n">
        <f aca="false">SUMIFS(업무일지!$O$5:$O$1004,업무일지!$B$5:$B$1004,"&gt;="&amp;DATE($B$3,1,1),업무일지!$B$5:$B$1004,"&lt;"&amp;DATE($B$3+1,1,1),업무일지!$E$5:$E$1004,$B34)</f>
        <v>0</v>
      </c>
      <c r="I34" s="26" t="n">
        <f aca="false">SUMIFS(업무일지!$T$5:$T$1004,업무일지!$B$5:$B$1004,"&gt;="&amp;DATE($B$3,1,1),업무일지!$B$5:$B$1004,"&lt;"&amp;DATE($B$3+1,1,1),업무일지!$E$5:$E$1004,$B34)</f>
        <v>0</v>
      </c>
      <c r="J34" s="27" t="n">
        <f aca="false">IFERROR(SUMIFS(업무일지!$P$5:$P$1004,업무일지!$B$5:$B$1004,"&gt;="&amp;DATE($B$3,1,1),업무일지!$B$5:$B$1004,"&lt;"&amp;DATE($B$3+1,1,1),업무일지!$E$5:$E$1004,$B34)/C34,0)</f>
        <v>0</v>
      </c>
    </row>
    <row r="35" customFormat="false" ht="15" hidden="false" customHeight="false" outlineLevel="0" collapsed="false">
      <c r="A35" s="34" t="s">
        <v>34</v>
      </c>
      <c r="B35" s="35" t="s">
        <v>84</v>
      </c>
      <c r="C35" s="23" t="n">
        <f aca="false">COUNTIFS(업무일지!$B$5:$B$1004,"&gt;="&amp;DATE($B$3,1,1),업무일지!$B$5:$B$1004,"&lt;"&amp;DATE($B$3+1,1,1),업무일지!$E$5:$E$1004,$B35)</f>
        <v>0</v>
      </c>
      <c r="D35" s="36" t="n">
        <f aca="false">IFERROR(C35/$C$37,0)</f>
        <v>0</v>
      </c>
      <c r="E35" s="23" t="n">
        <f aca="false">SUMIFS(업무일지!$K$5:$K$1004,업무일지!$B$5:$B$1004,"&gt;="&amp;DATE($B$3,1,1),업무일지!$B$5:$B$1004,"&lt;"&amp;DATE($B$3+1,1,1),업무일지!$E$5:$E$1004,$B35)</f>
        <v>0</v>
      </c>
      <c r="F35" s="24" t="n">
        <f aca="false">SUMIFS(업무일지!$R$5:$R$1004,업무일지!$B$5:$B$1004,"&gt;="&amp;DATE($B$3,1,1),업무일지!$B$5:$B$1004,"&lt;"&amp;DATE($B$3+1,1,1),업무일지!$E$5:$E$1004,$B35)</f>
        <v>0</v>
      </c>
      <c r="G35" s="23" t="n">
        <f aca="false">SUMIFS(업무일지!$N$5:$N$1004,업무일지!$B$5:$B$1004,"&gt;="&amp;DATE($B$3,1,1),업무일지!$B$5:$B$1004,"&lt;"&amp;DATE($B$3+1,1,1),업무일지!$E$5:$E$1004,$B35)</f>
        <v>0</v>
      </c>
      <c r="H35" s="23" t="n">
        <f aca="false">SUMIFS(업무일지!$O$5:$O$1004,업무일지!$B$5:$B$1004,"&gt;="&amp;DATE($B$3,1,1),업무일지!$B$5:$B$1004,"&lt;"&amp;DATE($B$3+1,1,1),업무일지!$E$5:$E$1004,$B35)</f>
        <v>0</v>
      </c>
      <c r="I35" s="23" t="n">
        <f aca="false">SUMIFS(업무일지!$T$5:$T$1004,업무일지!$B$5:$B$1004,"&gt;="&amp;DATE($B$3,1,1),업무일지!$B$5:$B$1004,"&lt;"&amp;DATE($B$3+1,1,1),업무일지!$E$5:$E$1004,$B35)</f>
        <v>0</v>
      </c>
      <c r="J35" s="24" t="n">
        <f aca="false">IFERROR(SUMIFS(업무일지!$P$5:$P$1004,업무일지!$B$5:$B$1004,"&gt;="&amp;DATE($B$3,1,1),업무일지!$B$5:$B$1004,"&lt;"&amp;DATE($B$3+1,1,1),업무일지!$E$5:$E$1004,$B35)/C35,0)</f>
        <v>0</v>
      </c>
    </row>
    <row r="36" customFormat="false" ht="15" hidden="false" customHeight="false" outlineLevel="0" collapsed="false">
      <c r="A36" s="31" t="s">
        <v>34</v>
      </c>
      <c r="B36" s="32" t="s">
        <v>85</v>
      </c>
      <c r="C36" s="26" t="n">
        <f aca="false">COUNTIFS(업무일지!$B$5:$B$1004,"&gt;="&amp;DATE($B$3,1,1),업무일지!$B$5:$B$1004,"&lt;"&amp;DATE($B$3+1,1,1),업무일지!$E$5:$E$1004,$B36)</f>
        <v>0</v>
      </c>
      <c r="D36" s="33" t="n">
        <f aca="false">IFERROR(C36/$C$37,0)</f>
        <v>0</v>
      </c>
      <c r="E36" s="26" t="n">
        <f aca="false">SUMIFS(업무일지!$K$5:$K$1004,업무일지!$B$5:$B$1004,"&gt;="&amp;DATE($B$3,1,1),업무일지!$B$5:$B$1004,"&lt;"&amp;DATE($B$3+1,1,1),업무일지!$E$5:$E$1004,$B36)</f>
        <v>0</v>
      </c>
      <c r="F36" s="27" t="n">
        <f aca="false">SUMIFS(업무일지!$R$5:$R$1004,업무일지!$B$5:$B$1004,"&gt;="&amp;DATE($B$3,1,1),업무일지!$B$5:$B$1004,"&lt;"&amp;DATE($B$3+1,1,1),업무일지!$E$5:$E$1004,$B36)</f>
        <v>0</v>
      </c>
      <c r="G36" s="26" t="n">
        <f aca="false">SUMIFS(업무일지!$N$5:$N$1004,업무일지!$B$5:$B$1004,"&gt;="&amp;DATE($B$3,1,1),업무일지!$B$5:$B$1004,"&lt;"&amp;DATE($B$3+1,1,1),업무일지!$E$5:$E$1004,$B36)</f>
        <v>0</v>
      </c>
      <c r="H36" s="26" t="n">
        <f aca="false">SUMIFS(업무일지!$O$5:$O$1004,업무일지!$B$5:$B$1004,"&gt;="&amp;DATE($B$3,1,1),업무일지!$B$5:$B$1004,"&lt;"&amp;DATE($B$3+1,1,1),업무일지!$E$5:$E$1004,$B36)</f>
        <v>0</v>
      </c>
      <c r="I36" s="26" t="n">
        <f aca="false">SUMIFS(업무일지!$T$5:$T$1004,업무일지!$B$5:$B$1004,"&gt;="&amp;DATE($B$3,1,1),업무일지!$B$5:$B$1004,"&lt;"&amp;DATE($B$3+1,1,1),업무일지!$E$5:$E$1004,$B36)</f>
        <v>0</v>
      </c>
      <c r="J36" s="27" t="n">
        <f aca="false">IFERROR(SUMIFS(업무일지!$P$5:$P$1004,업무일지!$B$5:$B$1004,"&gt;="&amp;DATE($B$3,1,1),업무일지!$B$5:$B$1004,"&lt;"&amp;DATE($B$3+1,1,1),업무일지!$E$5:$E$1004,$B36)/C36,0)</f>
        <v>0</v>
      </c>
    </row>
    <row r="37" customFormat="false" ht="15" hidden="false" customHeight="false" outlineLevel="0" collapsed="false">
      <c r="A37" s="28" t="s">
        <v>70</v>
      </c>
      <c r="B37" s="29"/>
      <c r="C37" s="29" t="n">
        <f aca="false">SUM(C24:C36)</f>
        <v>3</v>
      </c>
      <c r="D37" s="37" t="n">
        <f aca="false">IFERROR(C37/$C$37,0)</f>
        <v>1</v>
      </c>
      <c r="E37" s="29" t="n">
        <f aca="false">SUM(E24:E36)</f>
        <v>5</v>
      </c>
      <c r="F37" s="30" t="n">
        <f aca="false">SUM(F24:F36)</f>
        <v>89</v>
      </c>
      <c r="G37" s="29" t="n">
        <f aca="false">SUM(G24:G36)</f>
        <v>12</v>
      </c>
      <c r="H37" s="29" t="n">
        <f aca="false">SUM(H24:H36)</f>
        <v>6080</v>
      </c>
      <c r="I37" s="29" t="n">
        <f aca="false">SUM(I24:I36)</f>
        <v>552000</v>
      </c>
      <c r="J37" s="30"/>
    </row>
    <row r="40" customFormat="false" ht="17.15" hidden="false" customHeight="false" outlineLevel="0" collapsed="false">
      <c r="A40" s="21" t="s">
        <v>86</v>
      </c>
    </row>
    <row r="41" customFormat="false" ht="30" hidden="false" customHeight="true" outlineLevel="0" collapsed="false">
      <c r="A41" s="3" t="s">
        <v>13</v>
      </c>
      <c r="B41" s="3" t="s">
        <v>52</v>
      </c>
      <c r="C41" s="3" t="s">
        <v>53</v>
      </c>
      <c r="D41" s="3" t="s">
        <v>54</v>
      </c>
      <c r="E41" s="3" t="s">
        <v>55</v>
      </c>
      <c r="F41" s="3" t="s">
        <v>56</v>
      </c>
      <c r="G41" s="3" t="s">
        <v>19</v>
      </c>
      <c r="H41" s="3" t="s">
        <v>15</v>
      </c>
      <c r="I41" s="3" t="s">
        <v>21</v>
      </c>
      <c r="J41" s="3" t="s">
        <v>45</v>
      </c>
    </row>
    <row r="42" customFormat="false" ht="15" hidden="false" customHeight="false" outlineLevel="0" collapsed="false">
      <c r="A42" s="38" t="s">
        <v>87</v>
      </c>
      <c r="B42" s="26" t="n">
        <f aca="false">COUNTIFS(업무일지!$B$5:$B$1004,"&gt;="&amp;DATE($B$3,1,1),업무일지!$B$5:$B$1004,"&lt;"&amp;DATE($B$3+1,1,1),업무일지!$L$5:$L$1004,$A42,업무일지!$D$5:$D$1004,"출장")</f>
        <v>1</v>
      </c>
      <c r="C42" s="26" t="n">
        <f aca="false">COUNTIFS(업무일지!$B$5:$B$1004,"&gt;="&amp;DATE($B$3,1,1),업무일지!$B$5:$B$1004,"&lt;"&amp;DATE($B$3+1,1,1),업무일지!$L$5:$L$1004,$A42,업무일지!$D$5:$D$1004,"분석")</f>
        <v>1</v>
      </c>
      <c r="D42" s="26" t="n">
        <f aca="false">B42+C42</f>
        <v>2</v>
      </c>
      <c r="E42" s="27" t="n">
        <f aca="false">SUMIFS(업무일지!$P$5:$P$1004,업무일지!$B$5:$B$1004,"&gt;="&amp;DATE($B$3,1,1),업무일지!$B$5:$B$1004,"&lt;"&amp;DATE($B$3+1,1,1),업무일지!$L$5:$L$1004,$A42,업무일지!$D$5:$D$1004,"출장")</f>
        <v>2</v>
      </c>
      <c r="F42" s="26" t="n">
        <f aca="false">SUMIFS(업무일지!$K$5:$K$1004,업무일지!$B$5:$B$1004,"&gt;="&amp;DATE($B$3,1,1),업무일지!$B$5:$B$1004,"&lt;"&amp;DATE($B$3+1,1,1),업무일지!$L$5:$L$1004,$A42)</f>
        <v>4</v>
      </c>
      <c r="G42" s="27" t="n">
        <f aca="false">SUMIFS(업무일지!$R$5:$R$1004,업무일지!$B$5:$B$1004,"&gt;="&amp;DATE($B$3,1,1),업무일지!$B$5:$B$1004,"&lt;"&amp;DATE($B$3+1,1,1),업무일지!$L$5:$L$1004,$A42)</f>
        <v>82</v>
      </c>
      <c r="H42" s="26" t="n">
        <f aca="false">SUMIFS(업무일지!$N$5:$N$1004,업무일지!$B$5:$B$1004,"&gt;="&amp;DATE($B$3,1,1),업무일지!$B$5:$B$1004,"&lt;"&amp;DATE($B$3+1,1,1),업무일지!$L$5:$L$1004,$A42)</f>
        <v>10</v>
      </c>
      <c r="I42" s="26" t="n">
        <f aca="false">SUMIFS(업무일지!$T$5:$T$1004,업무일지!$B$5:$B$1004,"&gt;="&amp;DATE($B$3,1,1),업무일지!$B$5:$B$1004,"&lt;"&amp;DATE($B$3+1,1,1),업무일지!$L$5:$L$1004,$A42)</f>
        <v>552000</v>
      </c>
      <c r="J42" s="26" t="n">
        <f aca="false">COUNTIFS(업무일지!$B$5:$B$1004,"&gt;="&amp;DATE($B$3,1,1),업무일지!$B$5:$B$1004,"&lt;"&amp;DATE($B$3+1,1,1),업무일지!$L$5:$L$1004,$A42,업무일지!$S$5:$S$1004,"진행중")</f>
        <v>0</v>
      </c>
    </row>
    <row r="43" customFormat="false" ht="15" hidden="false" customHeight="false" outlineLevel="0" collapsed="false">
      <c r="A43" s="39" t="s">
        <v>88</v>
      </c>
      <c r="B43" s="23" t="n">
        <f aca="false">COUNTIFS(업무일지!$B$5:$B$1004,"&gt;="&amp;DATE($B$3,1,1),업무일지!$B$5:$B$1004,"&lt;"&amp;DATE($B$3+1,1,1),업무일지!$L$5:$L$1004,$A43,업무일지!$D$5:$D$1004,"출장")</f>
        <v>0</v>
      </c>
      <c r="C43" s="23" t="n">
        <f aca="false">COUNTIFS(업무일지!$B$5:$B$1004,"&gt;="&amp;DATE($B$3,1,1),업무일지!$B$5:$B$1004,"&lt;"&amp;DATE($B$3+1,1,1),업무일지!$L$5:$L$1004,$A43,업무일지!$D$5:$D$1004,"분석")</f>
        <v>1</v>
      </c>
      <c r="D43" s="23" t="n">
        <f aca="false">B43+C43</f>
        <v>1</v>
      </c>
      <c r="E43" s="24" t="n">
        <f aca="false">SUMIFS(업무일지!$P$5:$P$1004,업무일지!$B$5:$B$1004,"&gt;="&amp;DATE($B$3,1,1),업무일지!$B$5:$B$1004,"&lt;"&amp;DATE($B$3+1,1,1),업무일지!$L$5:$L$1004,$A43,업무일지!$D$5:$D$1004,"출장")</f>
        <v>0</v>
      </c>
      <c r="F43" s="23" t="n">
        <f aca="false">SUMIFS(업무일지!$K$5:$K$1004,업무일지!$B$5:$B$1004,"&gt;="&amp;DATE($B$3,1,1),업무일지!$B$5:$B$1004,"&lt;"&amp;DATE($B$3+1,1,1),업무일지!$L$5:$L$1004,$A43)</f>
        <v>1</v>
      </c>
      <c r="G43" s="24" t="n">
        <f aca="false">SUMIFS(업무일지!$R$5:$R$1004,업무일지!$B$5:$B$1004,"&gt;="&amp;DATE($B$3,1,1),업무일지!$B$5:$B$1004,"&lt;"&amp;DATE($B$3+1,1,1),업무일지!$L$5:$L$1004,$A43)</f>
        <v>7</v>
      </c>
      <c r="H43" s="23" t="n">
        <f aca="false">SUMIFS(업무일지!$N$5:$N$1004,업무일지!$B$5:$B$1004,"&gt;="&amp;DATE($B$3,1,1),업무일지!$B$5:$B$1004,"&lt;"&amp;DATE($B$3+1,1,1),업무일지!$L$5:$L$1004,$A43)</f>
        <v>2</v>
      </c>
      <c r="I43" s="23" t="n">
        <f aca="false">SUMIFS(업무일지!$T$5:$T$1004,업무일지!$B$5:$B$1004,"&gt;="&amp;DATE($B$3,1,1),업무일지!$B$5:$B$1004,"&lt;"&amp;DATE($B$3+1,1,1),업무일지!$L$5:$L$1004,$A43)</f>
        <v>0</v>
      </c>
      <c r="J43" s="23" t="n">
        <f aca="false">COUNTIFS(업무일지!$B$5:$B$1004,"&gt;="&amp;DATE($B$3,1,1),업무일지!$B$5:$B$1004,"&lt;"&amp;DATE($B$3+1,1,1),업무일지!$L$5:$L$1004,$A43,업무일지!$S$5:$S$1004,"진행중")</f>
        <v>1</v>
      </c>
    </row>
    <row r="44" customFormat="false" ht="15" hidden="false" customHeight="false" outlineLevel="0" collapsed="false">
      <c r="A44" s="38" t="s">
        <v>89</v>
      </c>
      <c r="B44" s="26" t="n">
        <f aca="false">COUNTIFS(업무일지!$B$5:$B$1004,"&gt;="&amp;DATE($B$3,1,1),업무일지!$B$5:$B$1004,"&lt;"&amp;DATE($B$3+1,1,1),업무일지!$L$5:$L$1004,$A44,업무일지!$D$5:$D$1004,"출장")</f>
        <v>0</v>
      </c>
      <c r="C44" s="26" t="n">
        <f aca="false">COUNTIFS(업무일지!$B$5:$B$1004,"&gt;="&amp;DATE($B$3,1,1),업무일지!$B$5:$B$1004,"&lt;"&amp;DATE($B$3+1,1,1),업무일지!$L$5:$L$1004,$A44,업무일지!$D$5:$D$1004,"분석")</f>
        <v>0</v>
      </c>
      <c r="D44" s="26" t="n">
        <f aca="false">B44+C44</f>
        <v>0</v>
      </c>
      <c r="E44" s="27" t="n">
        <f aca="false">SUMIFS(업무일지!$P$5:$P$1004,업무일지!$B$5:$B$1004,"&gt;="&amp;DATE($B$3,1,1),업무일지!$B$5:$B$1004,"&lt;"&amp;DATE($B$3+1,1,1),업무일지!$L$5:$L$1004,$A44,업무일지!$D$5:$D$1004,"출장")</f>
        <v>0</v>
      </c>
      <c r="F44" s="26" t="n">
        <f aca="false">SUMIFS(업무일지!$K$5:$K$1004,업무일지!$B$5:$B$1004,"&gt;="&amp;DATE($B$3,1,1),업무일지!$B$5:$B$1004,"&lt;"&amp;DATE($B$3+1,1,1),업무일지!$L$5:$L$1004,$A44)</f>
        <v>0</v>
      </c>
      <c r="G44" s="27" t="n">
        <f aca="false">SUMIFS(업무일지!$R$5:$R$1004,업무일지!$B$5:$B$1004,"&gt;="&amp;DATE($B$3,1,1),업무일지!$B$5:$B$1004,"&lt;"&amp;DATE($B$3+1,1,1),업무일지!$L$5:$L$1004,$A44)</f>
        <v>0</v>
      </c>
      <c r="H44" s="26" t="n">
        <f aca="false">SUMIFS(업무일지!$N$5:$N$1004,업무일지!$B$5:$B$1004,"&gt;="&amp;DATE($B$3,1,1),업무일지!$B$5:$B$1004,"&lt;"&amp;DATE($B$3+1,1,1),업무일지!$L$5:$L$1004,$A44)</f>
        <v>0</v>
      </c>
      <c r="I44" s="26" t="n">
        <f aca="false">SUMIFS(업무일지!$T$5:$T$1004,업무일지!$B$5:$B$1004,"&gt;="&amp;DATE($B$3,1,1),업무일지!$B$5:$B$1004,"&lt;"&amp;DATE($B$3+1,1,1),업무일지!$L$5:$L$1004,$A44)</f>
        <v>0</v>
      </c>
      <c r="J44" s="26" t="n">
        <f aca="false">COUNTIFS(업무일지!$B$5:$B$1004,"&gt;="&amp;DATE($B$3,1,1),업무일지!$B$5:$B$1004,"&lt;"&amp;DATE($B$3+1,1,1),업무일지!$L$5:$L$1004,$A44,업무일지!$S$5:$S$1004,"진행중")</f>
        <v>0</v>
      </c>
    </row>
    <row r="45" customFormat="false" ht="15" hidden="false" customHeight="false" outlineLevel="0" collapsed="false">
      <c r="A45" s="28" t="s">
        <v>70</v>
      </c>
      <c r="B45" s="29" t="n">
        <f aca="false">SUM(B42:B44)</f>
        <v>1</v>
      </c>
      <c r="C45" s="29" t="n">
        <f aca="false">SUM(C42:C44)</f>
        <v>2</v>
      </c>
      <c r="D45" s="29" t="n">
        <f aca="false">SUM(D42:D44)</f>
        <v>3</v>
      </c>
      <c r="E45" s="30" t="n">
        <f aca="false">SUM(E42:E44)</f>
        <v>2</v>
      </c>
      <c r="F45" s="29" t="n">
        <f aca="false">SUM(F42:F44)</f>
        <v>5</v>
      </c>
      <c r="G45" s="30" t="n">
        <f aca="false">SUM(G42:G44)</f>
        <v>89</v>
      </c>
      <c r="H45" s="29" t="n">
        <f aca="false">SUM(H42:H44)</f>
        <v>12</v>
      </c>
      <c r="I45" s="29" t="n">
        <f aca="false">SUM(I42:I44)</f>
        <v>552000</v>
      </c>
      <c r="J45" s="29" t="n">
        <f aca="false">SUM(J42:J44)</f>
        <v>1</v>
      </c>
    </row>
    <row r="48" customFormat="false" ht="17.15" hidden="false" customHeight="false" outlineLevel="0" collapsed="false">
      <c r="A48" s="21" t="s">
        <v>90</v>
      </c>
    </row>
    <row r="49" customFormat="false" ht="30" hidden="false" customHeight="true" outlineLevel="0" collapsed="false">
      <c r="A49" s="3" t="s">
        <v>20</v>
      </c>
      <c r="B49" s="3" t="s">
        <v>23</v>
      </c>
      <c r="C49" s="3" t="s">
        <v>34</v>
      </c>
      <c r="D49" s="3" t="s">
        <v>70</v>
      </c>
      <c r="F49" s="3" t="s">
        <v>9</v>
      </c>
      <c r="G49" s="3" t="s">
        <v>23</v>
      </c>
      <c r="H49" s="3" t="s">
        <v>34</v>
      </c>
      <c r="I49" s="3" t="s">
        <v>70</v>
      </c>
      <c r="J49" s="3" t="s">
        <v>19</v>
      </c>
    </row>
    <row r="50" customFormat="false" ht="15" hidden="false" customHeight="false" outlineLevel="0" collapsed="false">
      <c r="A50" s="38" t="s">
        <v>45</v>
      </c>
      <c r="B50" s="26" t="n">
        <f aca="false">COUNTIFS(업무일지!$B$5:$B$1004,"&gt;="&amp;DATE($B$3,1,1),업무일지!$B$5:$B$1004,"&lt;"&amp;DATE($B$3+1,1,1),업무일지!$S$5:$S$1004,$A50,업무일지!$D$5:$D$1004,"출장")</f>
        <v>0</v>
      </c>
      <c r="C50" s="26" t="n">
        <f aca="false">COUNTIFS(업무일지!$B$5:$B$1004,"&gt;="&amp;DATE($B$3,1,1),업무일지!$B$5:$B$1004,"&lt;"&amp;DATE($B$3+1,1,1),업무일지!$S$5:$S$1004,$A50,업무일지!$D$5:$D$1004,"분석")</f>
        <v>1</v>
      </c>
      <c r="D50" s="26" t="n">
        <f aca="false">B50+C50</f>
        <v>1</v>
      </c>
      <c r="F50" s="38" t="s">
        <v>27</v>
      </c>
      <c r="G50" s="26" t="n">
        <f aca="false">COUNTIFS(업무일지!$B$5:$B$1004,"&gt;="&amp;DATE($B$3,1,1),업무일지!$B$5:$B$1004,"&lt;"&amp;DATE($B$3+1,1,1),업무일지!$H$5:$H$1004,$F50,업무일지!$D$5:$D$1004,"출장")</f>
        <v>1</v>
      </c>
      <c r="H50" s="26" t="n">
        <f aca="false">COUNTIFS(업무일지!$B$5:$B$1004,"&gt;="&amp;DATE($B$3,1,1),업무일지!$B$5:$B$1004,"&lt;"&amp;DATE($B$3+1,1,1),업무일지!$H$5:$H$1004,$F50,업무일지!$D$5:$D$1004,"분석")</f>
        <v>1</v>
      </c>
      <c r="I50" s="26" t="n">
        <f aca="false">G50+H50</f>
        <v>2</v>
      </c>
      <c r="J50" s="27" t="n">
        <f aca="false">SUMIFS(업무일지!$R$5:$R$1004,업무일지!$B$5:$B$1004,"&gt;="&amp;DATE($B$3,1,1),업무일지!$B$5:$B$1004,"&lt;"&amp;DATE($B$3+1,1,1),업무일지!$H$5:$H$1004,$F50)</f>
        <v>82</v>
      </c>
    </row>
    <row r="51" customFormat="false" ht="15" hidden="false" customHeight="false" outlineLevel="0" collapsed="false">
      <c r="A51" s="39" t="s">
        <v>32</v>
      </c>
      <c r="B51" s="23" t="n">
        <f aca="false">COUNTIFS(업무일지!$B$5:$B$1004,"&gt;="&amp;DATE($B$3,1,1),업무일지!$B$5:$B$1004,"&lt;"&amp;DATE($B$3+1,1,1),업무일지!$S$5:$S$1004,$A51,업무일지!$D$5:$D$1004,"출장")</f>
        <v>1</v>
      </c>
      <c r="C51" s="23" t="n">
        <f aca="false">COUNTIFS(업무일지!$B$5:$B$1004,"&gt;="&amp;DATE($B$3,1,1),업무일지!$B$5:$B$1004,"&lt;"&amp;DATE($B$3+1,1,1),업무일지!$S$5:$S$1004,$A51,업무일지!$D$5:$D$1004,"분석")</f>
        <v>1</v>
      </c>
      <c r="D51" s="23" t="n">
        <f aca="false">B51+C51</f>
        <v>2</v>
      </c>
      <c r="F51" s="39" t="s">
        <v>42</v>
      </c>
      <c r="G51" s="23" t="n">
        <f aca="false">COUNTIFS(업무일지!$B$5:$B$1004,"&gt;="&amp;DATE($B$3,1,1),업무일지!$B$5:$B$1004,"&lt;"&amp;DATE($B$3+1,1,1),업무일지!$H$5:$H$1004,$F51,업무일지!$D$5:$D$1004,"출장")</f>
        <v>0</v>
      </c>
      <c r="H51" s="23" t="n">
        <f aca="false">COUNTIFS(업무일지!$B$5:$B$1004,"&gt;="&amp;DATE($B$3,1,1),업무일지!$B$5:$B$1004,"&lt;"&amp;DATE($B$3+1,1,1),업무일지!$H$5:$H$1004,$F51,업무일지!$D$5:$D$1004,"분석")</f>
        <v>1</v>
      </c>
      <c r="I51" s="23" t="n">
        <f aca="false">G51+H51</f>
        <v>1</v>
      </c>
      <c r="J51" s="24" t="n">
        <f aca="false">SUMIFS(업무일지!$R$5:$R$1004,업무일지!$B$5:$B$1004,"&gt;="&amp;DATE($B$3,1,1),업무일지!$B$5:$B$1004,"&lt;"&amp;DATE($B$3+1,1,1),업무일지!$H$5:$H$1004,$F51)</f>
        <v>7</v>
      </c>
    </row>
    <row r="52" customFormat="false" ht="15" hidden="false" customHeight="false" outlineLevel="0" collapsed="false">
      <c r="A52" s="38" t="s">
        <v>91</v>
      </c>
      <c r="B52" s="26" t="n">
        <f aca="false">COUNTIFS(업무일지!$B$5:$B$1004,"&gt;="&amp;DATE($B$3,1,1),업무일지!$B$5:$B$1004,"&lt;"&amp;DATE($B$3+1,1,1),업무일지!$S$5:$S$1004,$A52,업무일지!$D$5:$D$1004,"출장")</f>
        <v>0</v>
      </c>
      <c r="C52" s="26" t="n">
        <f aca="false">COUNTIFS(업무일지!$B$5:$B$1004,"&gt;="&amp;DATE($B$3,1,1),업무일지!$B$5:$B$1004,"&lt;"&amp;DATE($B$3+1,1,1),업무일지!$S$5:$S$1004,$A52,업무일지!$D$5:$D$1004,"분석")</f>
        <v>0</v>
      </c>
      <c r="D52" s="26" t="n">
        <f aca="false">B52+C52</f>
        <v>0</v>
      </c>
      <c r="F52" s="38" t="s">
        <v>92</v>
      </c>
      <c r="G52" s="26" t="n">
        <f aca="false">COUNTIFS(업무일지!$B$5:$B$1004,"&gt;="&amp;DATE($B$3,1,1),업무일지!$B$5:$B$1004,"&lt;"&amp;DATE($B$3+1,1,1),업무일지!$H$5:$H$1004,$F52,업무일지!$D$5:$D$1004,"출장")</f>
        <v>0</v>
      </c>
      <c r="H52" s="26" t="n">
        <f aca="false">COUNTIFS(업무일지!$B$5:$B$1004,"&gt;="&amp;DATE($B$3,1,1),업무일지!$B$5:$B$1004,"&lt;"&amp;DATE($B$3+1,1,1),업무일지!$H$5:$H$1004,$F52,업무일지!$D$5:$D$1004,"분석")</f>
        <v>0</v>
      </c>
      <c r="I52" s="26" t="n">
        <f aca="false">G52+H52</f>
        <v>0</v>
      </c>
      <c r="J52" s="27" t="n">
        <f aca="false">SUMIFS(업무일지!$R$5:$R$1004,업무일지!$B$5:$B$1004,"&gt;="&amp;DATE($B$3,1,1),업무일지!$B$5:$B$1004,"&lt;"&amp;DATE($B$3+1,1,1),업무일지!$H$5:$H$1004,$F52)</f>
        <v>0</v>
      </c>
    </row>
    <row r="53" customFormat="false" ht="15" hidden="false" customHeight="false" outlineLevel="0" collapsed="false">
      <c r="F53" s="39" t="s">
        <v>93</v>
      </c>
      <c r="G53" s="23" t="n">
        <f aca="false">COUNTIFS(업무일지!$B$5:$B$1004,"&gt;="&amp;DATE($B$3,1,1),업무일지!$B$5:$B$1004,"&lt;"&amp;DATE($B$3+1,1,1),업무일지!$H$5:$H$1004,$F53,업무일지!$D$5:$D$1004,"출장")</f>
        <v>0</v>
      </c>
      <c r="H53" s="23" t="n">
        <f aca="false">COUNTIFS(업무일지!$B$5:$B$1004,"&gt;="&amp;DATE($B$3,1,1),업무일지!$B$5:$B$1004,"&lt;"&amp;DATE($B$3+1,1,1),업무일지!$H$5:$H$1004,$F53,업무일지!$D$5:$D$1004,"분석")</f>
        <v>0</v>
      </c>
      <c r="I53" s="23" t="n">
        <f aca="false">G53+H53</f>
        <v>0</v>
      </c>
      <c r="J53" s="24" t="n">
        <f aca="false">SUMIFS(업무일지!$R$5:$R$1004,업무일지!$B$5:$B$1004,"&gt;="&amp;DATE($B$3,1,1),업무일지!$B$5:$B$1004,"&lt;"&amp;DATE($B$3+1,1,1),업무일지!$H$5:$H$1004,$F53)</f>
        <v>0</v>
      </c>
    </row>
    <row r="54" customFormat="false" ht="15" hidden="false" customHeight="false" outlineLevel="0" collapsed="false">
      <c r="F54" s="38" t="s">
        <v>94</v>
      </c>
      <c r="G54" s="26" t="n">
        <f aca="false">COUNTIFS(업무일지!$B$5:$B$1004,"&gt;="&amp;DATE($B$3,1,1),업무일지!$B$5:$B$1004,"&lt;"&amp;DATE($B$3+1,1,1),업무일지!$H$5:$H$1004,$F54,업무일지!$D$5:$D$1004,"출장")</f>
        <v>0</v>
      </c>
      <c r="H54" s="26" t="n">
        <f aca="false">COUNTIFS(업무일지!$B$5:$B$1004,"&gt;="&amp;DATE($B$3,1,1),업무일지!$B$5:$B$1004,"&lt;"&amp;DATE($B$3+1,1,1),업무일지!$H$5:$H$1004,$F54,업무일지!$D$5:$D$1004,"분석")</f>
        <v>0</v>
      </c>
      <c r="I54" s="26" t="n">
        <f aca="false">G54+H54</f>
        <v>0</v>
      </c>
      <c r="J54" s="27" t="n">
        <f aca="false">SUMIFS(업무일지!$R$5:$R$1004,업무일지!$B$5:$B$1004,"&gt;="&amp;DATE($B$3,1,1),업무일지!$B$5:$B$1004,"&lt;"&amp;DATE($B$3+1,1,1),업무일지!$H$5:$H$1004,$F54)</f>
        <v>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0"/>
    <col collapsed="false" customWidth="true" hidden="false" outlineLevel="0" max="4" min="3" style="0" width="16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5" min="11" style="0" width="13"/>
    <col collapsed="false" customWidth="true" hidden="false" outlineLevel="0" max="16" min="16" style="0" width="12"/>
    <col collapsed="false" customWidth="true" hidden="false" outlineLevel="0" max="17" min="17" style="0" width="11"/>
  </cols>
  <sheetData>
    <row r="1" customFormat="false" ht="30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A2" s="40" t="s">
        <v>96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</row>
    <row r="4" customFormat="false" ht="17.15" hidden="false" customHeight="false" outlineLevel="0" collapsed="false">
      <c r="A4" s="21" t="s">
        <v>97</v>
      </c>
    </row>
    <row r="5" customFormat="false" ht="30" hidden="false" customHeight="true" outlineLevel="0" collapsed="false">
      <c r="A5" s="3" t="s">
        <v>8</v>
      </c>
      <c r="B5" s="3" t="s">
        <v>7</v>
      </c>
      <c r="C5" s="3" t="s">
        <v>9</v>
      </c>
      <c r="D5" s="3" t="s">
        <v>10</v>
      </c>
      <c r="E5" s="3" t="s">
        <v>12</v>
      </c>
      <c r="F5" s="3" t="s">
        <v>52</v>
      </c>
      <c r="G5" s="3" t="s">
        <v>53</v>
      </c>
      <c r="H5" s="3" t="s">
        <v>54</v>
      </c>
      <c r="I5" s="3" t="s">
        <v>55</v>
      </c>
      <c r="J5" s="3" t="s">
        <v>19</v>
      </c>
      <c r="K5" s="3" t="s">
        <v>15</v>
      </c>
      <c r="L5" s="3" t="s">
        <v>16</v>
      </c>
      <c r="M5" s="3" t="s">
        <v>21</v>
      </c>
      <c r="N5" s="3" t="s">
        <v>98</v>
      </c>
      <c r="O5" s="3" t="s">
        <v>99</v>
      </c>
      <c r="P5" s="3" t="s">
        <v>100</v>
      </c>
      <c r="Q5" s="3" t="s">
        <v>20</v>
      </c>
    </row>
    <row r="6" customFormat="false" ht="15" hidden="false" customHeight="false" outlineLevel="0" collapsed="false">
      <c r="A6" s="41" t="s">
        <v>26</v>
      </c>
      <c r="B6" s="32" t="str">
        <f aca="false">IFERROR(INDEX(업무일지!$F$5:$F$1004,MATCH($A6,업무일지!$G$5:$G$1004,0)),"")</f>
        <v>○○ 기술유출 사건 압수수색</v>
      </c>
      <c r="C6" s="26" t="str">
        <f aca="false">IFERROR(INDEX(업무일지!$H$5:$H$1004,MATCH($A6,업무일지!$G$5:$G$1004,0)),"")</f>
        <v>본청 수사과</v>
      </c>
      <c r="D6" s="26" t="str">
        <f aca="false">IFERROR(INDEX(업무일지!$I$5:$I$1004,MATCH($A6,업무일지!$G$5:$G$1004,0)),"")</f>
        <v>김디지</v>
      </c>
      <c r="E6" s="26" t="n">
        <f aca="false">IF($A6="","",SUMPRODUCT((코드설정!$C$5:$C$24&lt;&gt;"")*((COUNTIFS(업무일지!$G$5:$G$1004,$A6,업무일지!$I$5:$I$1004,코드설정!$C$5:$C$24)+COUNTIFS(업무일지!$G$5:$G$1004,$A6,업무일지!$J$5:$J$1004,"*"&amp;코드설정!$C$5:$C$24&amp;"*"))&gt;0)))</f>
        <v>3</v>
      </c>
      <c r="F6" s="26" t="n">
        <f aca="false">IF($A6="","",COUNTIFS(업무일지!$G$5:$G$1004,$A6,업무일지!$D$5:$D$1004,"출장"))</f>
        <v>1</v>
      </c>
      <c r="G6" s="26" t="n">
        <f aca="false">IF($A6="","",COUNTIFS(업무일지!$G$5:$G$1004,$A6,업무일지!$D$5:$D$1004,"분석"))</f>
        <v>1</v>
      </c>
      <c r="H6" s="26" t="n">
        <f aca="false">IF($A6="","",F6+G6)</f>
        <v>2</v>
      </c>
      <c r="I6" s="27" t="n">
        <f aca="false">IF($A6="","",SUMIFS(업무일지!$P$5:$P$1004,업무일지!$G$5:$G$1004,$A6,업무일지!$D$5:$D$1004,"출장"))</f>
        <v>2</v>
      </c>
      <c r="J6" s="27" t="n">
        <f aca="false">IF($A6="","",SUMIFS(업무일지!$R$5:$R$1004,업무일지!$G$5:$G$1004,$A6))</f>
        <v>82</v>
      </c>
      <c r="K6" s="26" t="n">
        <f aca="false">IF($A6="","",SUMIFS(업무일지!$N$5:$N$1004,업무일지!$G$5:$G$1004,$A6))</f>
        <v>10</v>
      </c>
      <c r="L6" s="26" t="n">
        <f aca="false">IF($A6="","",SUMIFS(업무일지!$O$5:$O$1004,업무일지!$G$5:$G$1004,$A6))</f>
        <v>5600</v>
      </c>
      <c r="M6" s="26" t="n">
        <f aca="false">IF($A6="","",SUMIFS(업무일지!$T$5:$T$1004,업무일지!$G$5:$G$1004,$A6))</f>
        <v>552000</v>
      </c>
      <c r="N6" s="42" t="n">
        <f aca="false">IF($A6="","",IFERROR(_xlfn.MINIFS(업무일지!$B$5:$B$1004,업무일지!$G$5:$G$1004,$A6),""))</f>
        <v>46085</v>
      </c>
      <c r="O6" s="42" t="n">
        <f aca="false">IF($A6="","",IFERROR(_xlfn.MAXIFS(업무일지!$C$5:$C$1004,업무일지!$G$5:$G$1004,$A6),""))</f>
        <v>46094</v>
      </c>
      <c r="P6" s="26" t="n">
        <f aca="false">IF($A6="","",IF(OR(N6="",O6="",O6=0),"",O6-N6+1))</f>
        <v>10</v>
      </c>
      <c r="Q6" s="26" t="str">
        <f aca="false">IF($A6="","",IF(H6=0,"미기록",IF(COUNTIFS(업무일지!$G$5:$G$1004,$A6,업무일지!$S$5:$S$1004,"진행중")&gt;0,"진행중",IF(COUNTIFS(업무일지!$G$5:$G$1004,$A6,업무일지!$S$5:$S$1004,"보류")&gt;0,"보류","완료"))))</f>
        <v>완료</v>
      </c>
    </row>
    <row r="7" customFormat="false" ht="15" hidden="false" customHeight="false" outlineLevel="0" collapsed="false">
      <c r="A7" s="43" t="s">
        <v>41</v>
      </c>
      <c r="B7" s="35" t="str">
        <f aca="false">IFERROR(INDEX(업무일지!$F$5:$F$1004,MATCH($A7,업무일지!$G$5:$G$1004,0)),"")</f>
        <v>△△ 사건 휴대폰 추출·분석</v>
      </c>
      <c r="C7" s="23" t="str">
        <f aca="false">IFERROR(INDEX(업무일지!$H$5:$H$1004,MATCH($A7,업무일지!$G$5:$G$1004,0)),"")</f>
        <v>지방청 사이버수사대</v>
      </c>
      <c r="D7" s="23" t="str">
        <f aca="false">IFERROR(INDEX(업무일지!$I$5:$I$1004,MATCH($A7,업무일지!$G$5:$G$1004,0)),"")</f>
        <v>박증거</v>
      </c>
      <c r="E7" s="23" t="n">
        <f aca="false">IF($A7="","",SUMPRODUCT((코드설정!$C$5:$C$24&lt;&gt;"")*((COUNTIFS(업무일지!$G$5:$G$1004,$A7,업무일지!$I$5:$I$1004,코드설정!$C$5:$C$24)+COUNTIFS(업무일지!$G$5:$G$1004,$A7,업무일지!$J$5:$J$1004,"*"&amp;코드설정!$C$5:$C$24&amp;"*"))&gt;0)))</f>
        <v>1</v>
      </c>
      <c r="F7" s="23" t="n">
        <f aca="false">IF($A7="","",COUNTIFS(업무일지!$G$5:$G$1004,$A7,업무일지!$D$5:$D$1004,"출장"))</f>
        <v>0</v>
      </c>
      <c r="G7" s="23" t="n">
        <f aca="false">IF($A7="","",COUNTIFS(업무일지!$G$5:$G$1004,$A7,업무일지!$D$5:$D$1004,"분석"))</f>
        <v>1</v>
      </c>
      <c r="H7" s="23" t="n">
        <f aca="false">IF($A7="","",F7+G7)</f>
        <v>1</v>
      </c>
      <c r="I7" s="24" t="n">
        <f aca="false">IF($A7="","",SUMIFS(업무일지!$P$5:$P$1004,업무일지!$G$5:$G$1004,$A7,업무일지!$D$5:$D$1004,"출장"))</f>
        <v>0</v>
      </c>
      <c r="J7" s="24" t="n">
        <f aca="false">IF($A7="","",SUMIFS(업무일지!$R$5:$R$1004,업무일지!$G$5:$G$1004,$A7))</f>
        <v>7</v>
      </c>
      <c r="K7" s="23" t="n">
        <f aca="false">IF($A7="","",SUMIFS(업무일지!$N$5:$N$1004,업무일지!$G$5:$G$1004,$A7))</f>
        <v>2</v>
      </c>
      <c r="L7" s="23" t="n">
        <f aca="false">IF($A7="","",SUMIFS(업무일지!$O$5:$O$1004,업무일지!$G$5:$G$1004,$A7))</f>
        <v>480</v>
      </c>
      <c r="M7" s="23" t="n">
        <f aca="false">IF($A7="","",SUMIFS(업무일지!$T$5:$T$1004,업무일지!$G$5:$G$1004,$A7))</f>
        <v>0</v>
      </c>
      <c r="N7" s="44" t="n">
        <f aca="false">IF($A7="","",IFERROR(_xlfn.MINIFS(업무일지!$B$5:$B$1004,업무일지!$G$5:$G$1004,$A7),""))</f>
        <v>46098</v>
      </c>
      <c r="O7" s="44" t="n">
        <f aca="false">IF($A7="","",IFERROR(_xlfn.MAXIFS(업무일지!$C$5:$C$1004,업무일지!$G$5:$G$1004,$A7),""))</f>
        <v>46098</v>
      </c>
      <c r="P7" s="23" t="n">
        <f aca="false">IF($A7="","",IF(OR(N7="",O7="",O7=0),"",O7-N7+1))</f>
        <v>1</v>
      </c>
      <c r="Q7" s="23" t="str">
        <f aca="false">IF($A7="","",IF(H7=0,"미기록",IF(COUNTIFS(업무일지!$G$5:$G$1004,$A7,업무일지!$S$5:$S$1004,"진행중")&gt;0,"진행중",IF(COUNTIFS(업무일지!$G$5:$G$1004,$A7,업무일지!$S$5:$S$1004,"보류")&gt;0,"보류","완료"))))</f>
        <v>진행중</v>
      </c>
    </row>
    <row r="8" customFormat="false" ht="15" hidden="false" customHeight="false" outlineLevel="0" collapsed="false">
      <c r="A8" s="41"/>
      <c r="B8" s="32" t="str">
        <f aca="false">IFERROR(INDEX(업무일지!$F$5:$F$1004,MATCH($A8,업무일지!$G$5:$G$1004,0)),"")</f>
        <v/>
      </c>
      <c r="C8" s="26" t="str">
        <f aca="false">IFERROR(INDEX(업무일지!$H$5:$H$1004,MATCH($A8,업무일지!$G$5:$G$1004,0)),"")</f>
        <v/>
      </c>
      <c r="D8" s="26" t="str">
        <f aca="false">IFERROR(INDEX(업무일지!$I$5:$I$1004,MATCH($A8,업무일지!$G$5:$G$1004,0)),"")</f>
        <v/>
      </c>
      <c r="E8" s="26" t="str">
        <f aca="false">IF($A8="","",SUMPRODUCT((코드설정!$C$5:$C$24&lt;&gt;"")*((COUNTIFS(업무일지!$G$5:$G$1004,$A8,업무일지!$I$5:$I$1004,코드설정!$C$5:$C$24)+COUNTIFS(업무일지!$G$5:$G$1004,$A8,업무일지!$J$5:$J$1004,"*"&amp;코드설정!$C$5:$C$24&amp;"*"))&gt;0)))</f>
        <v/>
      </c>
      <c r="F8" s="26" t="str">
        <f aca="false">IF($A8="","",COUNTIFS(업무일지!$G$5:$G$1004,$A8,업무일지!$D$5:$D$1004,"출장"))</f>
        <v/>
      </c>
      <c r="G8" s="26" t="str">
        <f aca="false">IF($A8="","",COUNTIFS(업무일지!$G$5:$G$1004,$A8,업무일지!$D$5:$D$1004,"분석"))</f>
        <v/>
      </c>
      <c r="H8" s="26" t="str">
        <f aca="false">IF($A8="","",F8+G8)</f>
        <v/>
      </c>
      <c r="I8" s="27" t="str">
        <f aca="false">IF($A8="","",SUMIFS(업무일지!$P$5:$P$1004,업무일지!$G$5:$G$1004,$A8,업무일지!$D$5:$D$1004,"출장"))</f>
        <v/>
      </c>
      <c r="J8" s="27" t="str">
        <f aca="false">IF($A8="","",SUMIFS(업무일지!$R$5:$R$1004,업무일지!$G$5:$G$1004,$A8))</f>
        <v/>
      </c>
      <c r="K8" s="26" t="str">
        <f aca="false">IF($A8="","",SUMIFS(업무일지!$N$5:$N$1004,업무일지!$G$5:$G$1004,$A8))</f>
        <v/>
      </c>
      <c r="L8" s="26" t="str">
        <f aca="false">IF($A8="","",SUMIFS(업무일지!$O$5:$O$1004,업무일지!$G$5:$G$1004,$A8))</f>
        <v/>
      </c>
      <c r="M8" s="26" t="str">
        <f aca="false">IF($A8="","",SUMIFS(업무일지!$T$5:$T$1004,업무일지!$G$5:$G$1004,$A8))</f>
        <v/>
      </c>
      <c r="N8" s="42" t="str">
        <f aca="false">IF($A8="","",IFERROR(_xlfn.MINIFS(업무일지!$B$5:$B$1004,업무일지!$G$5:$G$1004,$A8),""))</f>
        <v/>
      </c>
      <c r="O8" s="42" t="str">
        <f aca="false">IF($A8="","",IFERROR(_xlfn.MAXIFS(업무일지!$C$5:$C$1004,업무일지!$G$5:$G$1004,$A8),""))</f>
        <v/>
      </c>
      <c r="P8" s="26" t="str">
        <f aca="false">IF($A8="","",IF(OR(N8="",O8="",O8=0),"",O8-N8+1))</f>
        <v/>
      </c>
      <c r="Q8" s="26" t="str">
        <f aca="false">IF($A8="","",IF(H8=0,"미기록",IF(COUNTIFS(업무일지!$G$5:$G$1004,$A8,업무일지!$S$5:$S$1004,"진행중")&gt;0,"진행중",IF(COUNTIFS(업무일지!$G$5:$G$1004,$A8,업무일지!$S$5:$S$1004,"보류")&gt;0,"보류","완료"))))</f>
        <v/>
      </c>
    </row>
    <row r="9" customFormat="false" ht="15" hidden="false" customHeight="false" outlineLevel="0" collapsed="false">
      <c r="A9" s="43"/>
      <c r="B9" s="35" t="str">
        <f aca="false">IFERROR(INDEX(업무일지!$F$5:$F$1004,MATCH($A9,업무일지!$G$5:$G$1004,0)),"")</f>
        <v/>
      </c>
      <c r="C9" s="23" t="str">
        <f aca="false">IFERROR(INDEX(업무일지!$H$5:$H$1004,MATCH($A9,업무일지!$G$5:$G$1004,0)),"")</f>
        <v/>
      </c>
      <c r="D9" s="23" t="str">
        <f aca="false">IFERROR(INDEX(업무일지!$I$5:$I$1004,MATCH($A9,업무일지!$G$5:$G$1004,0)),"")</f>
        <v/>
      </c>
      <c r="E9" s="23" t="str">
        <f aca="false">IF($A9="","",SUMPRODUCT((코드설정!$C$5:$C$24&lt;&gt;"")*((COUNTIFS(업무일지!$G$5:$G$1004,$A9,업무일지!$I$5:$I$1004,코드설정!$C$5:$C$24)+COUNTIFS(업무일지!$G$5:$G$1004,$A9,업무일지!$J$5:$J$1004,"*"&amp;코드설정!$C$5:$C$24&amp;"*"))&gt;0)))</f>
        <v/>
      </c>
      <c r="F9" s="23" t="str">
        <f aca="false">IF($A9="","",COUNTIFS(업무일지!$G$5:$G$1004,$A9,업무일지!$D$5:$D$1004,"출장"))</f>
        <v/>
      </c>
      <c r="G9" s="23" t="str">
        <f aca="false">IF($A9="","",COUNTIFS(업무일지!$G$5:$G$1004,$A9,업무일지!$D$5:$D$1004,"분석"))</f>
        <v/>
      </c>
      <c r="H9" s="23" t="str">
        <f aca="false">IF($A9="","",F9+G9)</f>
        <v/>
      </c>
      <c r="I9" s="24" t="str">
        <f aca="false">IF($A9="","",SUMIFS(업무일지!$P$5:$P$1004,업무일지!$G$5:$G$1004,$A9,업무일지!$D$5:$D$1004,"출장"))</f>
        <v/>
      </c>
      <c r="J9" s="24" t="str">
        <f aca="false">IF($A9="","",SUMIFS(업무일지!$R$5:$R$1004,업무일지!$G$5:$G$1004,$A9))</f>
        <v/>
      </c>
      <c r="K9" s="23" t="str">
        <f aca="false">IF($A9="","",SUMIFS(업무일지!$N$5:$N$1004,업무일지!$G$5:$G$1004,$A9))</f>
        <v/>
      </c>
      <c r="L9" s="23" t="str">
        <f aca="false">IF($A9="","",SUMIFS(업무일지!$O$5:$O$1004,업무일지!$G$5:$G$1004,$A9))</f>
        <v/>
      </c>
      <c r="M9" s="23" t="str">
        <f aca="false">IF($A9="","",SUMIFS(업무일지!$T$5:$T$1004,업무일지!$G$5:$G$1004,$A9))</f>
        <v/>
      </c>
      <c r="N9" s="44" t="str">
        <f aca="false">IF($A9="","",IFERROR(_xlfn.MINIFS(업무일지!$B$5:$B$1004,업무일지!$G$5:$G$1004,$A9),""))</f>
        <v/>
      </c>
      <c r="O9" s="44" t="str">
        <f aca="false">IF($A9="","",IFERROR(_xlfn.MAXIFS(업무일지!$C$5:$C$1004,업무일지!$G$5:$G$1004,$A9),""))</f>
        <v/>
      </c>
      <c r="P9" s="23" t="str">
        <f aca="false">IF($A9="","",IF(OR(N9="",O9="",O9=0),"",O9-N9+1))</f>
        <v/>
      </c>
      <c r="Q9" s="23" t="str">
        <f aca="false">IF($A9="","",IF(H9=0,"미기록",IF(COUNTIFS(업무일지!$G$5:$G$1004,$A9,업무일지!$S$5:$S$1004,"진행중")&gt;0,"진행중",IF(COUNTIFS(업무일지!$G$5:$G$1004,$A9,업무일지!$S$5:$S$1004,"보류")&gt;0,"보류","완료"))))</f>
        <v/>
      </c>
    </row>
    <row r="10" customFormat="false" ht="15" hidden="false" customHeight="false" outlineLevel="0" collapsed="false">
      <c r="A10" s="41"/>
      <c r="B10" s="32" t="str">
        <f aca="false">IFERROR(INDEX(업무일지!$F$5:$F$1004,MATCH($A10,업무일지!$G$5:$G$1004,0)),"")</f>
        <v/>
      </c>
      <c r="C10" s="26" t="str">
        <f aca="false">IFERROR(INDEX(업무일지!$H$5:$H$1004,MATCH($A10,업무일지!$G$5:$G$1004,0)),"")</f>
        <v/>
      </c>
      <c r="D10" s="26" t="str">
        <f aca="false">IFERROR(INDEX(업무일지!$I$5:$I$1004,MATCH($A10,업무일지!$G$5:$G$1004,0)),"")</f>
        <v/>
      </c>
      <c r="E10" s="26" t="str">
        <f aca="false">IF($A10="","",SUMPRODUCT((코드설정!$C$5:$C$24&lt;&gt;"")*((COUNTIFS(업무일지!$G$5:$G$1004,$A10,업무일지!$I$5:$I$1004,코드설정!$C$5:$C$24)+COUNTIFS(업무일지!$G$5:$G$1004,$A10,업무일지!$J$5:$J$1004,"*"&amp;코드설정!$C$5:$C$24&amp;"*"))&gt;0)))</f>
        <v/>
      </c>
      <c r="F10" s="26" t="str">
        <f aca="false">IF($A10="","",COUNTIFS(업무일지!$G$5:$G$1004,$A10,업무일지!$D$5:$D$1004,"출장"))</f>
        <v/>
      </c>
      <c r="G10" s="26" t="str">
        <f aca="false">IF($A10="","",COUNTIFS(업무일지!$G$5:$G$1004,$A10,업무일지!$D$5:$D$1004,"분석"))</f>
        <v/>
      </c>
      <c r="H10" s="26" t="str">
        <f aca="false">IF($A10="","",F10+G10)</f>
        <v/>
      </c>
      <c r="I10" s="27" t="str">
        <f aca="false">IF($A10="","",SUMIFS(업무일지!$P$5:$P$1004,업무일지!$G$5:$G$1004,$A10,업무일지!$D$5:$D$1004,"출장"))</f>
        <v/>
      </c>
      <c r="J10" s="27" t="str">
        <f aca="false">IF($A10="","",SUMIFS(업무일지!$R$5:$R$1004,업무일지!$G$5:$G$1004,$A10))</f>
        <v/>
      </c>
      <c r="K10" s="26" t="str">
        <f aca="false">IF($A10="","",SUMIFS(업무일지!$N$5:$N$1004,업무일지!$G$5:$G$1004,$A10))</f>
        <v/>
      </c>
      <c r="L10" s="26" t="str">
        <f aca="false">IF($A10="","",SUMIFS(업무일지!$O$5:$O$1004,업무일지!$G$5:$G$1004,$A10))</f>
        <v/>
      </c>
      <c r="M10" s="26" t="str">
        <f aca="false">IF($A10="","",SUMIFS(업무일지!$T$5:$T$1004,업무일지!$G$5:$G$1004,$A10))</f>
        <v/>
      </c>
      <c r="N10" s="42" t="str">
        <f aca="false">IF($A10="","",IFERROR(_xlfn.MINIFS(업무일지!$B$5:$B$1004,업무일지!$G$5:$G$1004,$A10),""))</f>
        <v/>
      </c>
      <c r="O10" s="42" t="str">
        <f aca="false">IF($A10="","",IFERROR(_xlfn.MAXIFS(업무일지!$C$5:$C$1004,업무일지!$G$5:$G$1004,$A10),""))</f>
        <v/>
      </c>
      <c r="P10" s="26" t="str">
        <f aca="false">IF($A10="","",IF(OR(N10="",O10="",O10=0),"",O10-N10+1))</f>
        <v/>
      </c>
      <c r="Q10" s="26" t="str">
        <f aca="false">IF($A10="","",IF(H10=0,"미기록",IF(COUNTIFS(업무일지!$G$5:$G$1004,$A10,업무일지!$S$5:$S$1004,"진행중")&gt;0,"진행중",IF(COUNTIFS(업무일지!$G$5:$G$1004,$A10,업무일지!$S$5:$S$1004,"보류")&gt;0,"보류","완료"))))</f>
        <v/>
      </c>
    </row>
    <row r="11" customFormat="false" ht="15" hidden="false" customHeight="false" outlineLevel="0" collapsed="false">
      <c r="A11" s="43"/>
      <c r="B11" s="35" t="str">
        <f aca="false">IFERROR(INDEX(업무일지!$F$5:$F$1004,MATCH($A11,업무일지!$G$5:$G$1004,0)),"")</f>
        <v/>
      </c>
      <c r="C11" s="23" t="str">
        <f aca="false">IFERROR(INDEX(업무일지!$H$5:$H$1004,MATCH($A11,업무일지!$G$5:$G$1004,0)),"")</f>
        <v/>
      </c>
      <c r="D11" s="23" t="str">
        <f aca="false">IFERROR(INDEX(업무일지!$I$5:$I$1004,MATCH($A11,업무일지!$G$5:$G$1004,0)),"")</f>
        <v/>
      </c>
      <c r="E11" s="23" t="str">
        <f aca="false">IF($A11="","",SUMPRODUCT((코드설정!$C$5:$C$24&lt;&gt;"")*((COUNTIFS(업무일지!$G$5:$G$1004,$A11,업무일지!$I$5:$I$1004,코드설정!$C$5:$C$24)+COUNTIFS(업무일지!$G$5:$G$1004,$A11,업무일지!$J$5:$J$1004,"*"&amp;코드설정!$C$5:$C$24&amp;"*"))&gt;0)))</f>
        <v/>
      </c>
      <c r="F11" s="23" t="str">
        <f aca="false">IF($A11="","",COUNTIFS(업무일지!$G$5:$G$1004,$A11,업무일지!$D$5:$D$1004,"출장"))</f>
        <v/>
      </c>
      <c r="G11" s="23" t="str">
        <f aca="false">IF($A11="","",COUNTIFS(업무일지!$G$5:$G$1004,$A11,업무일지!$D$5:$D$1004,"분석"))</f>
        <v/>
      </c>
      <c r="H11" s="23" t="str">
        <f aca="false">IF($A11="","",F11+G11)</f>
        <v/>
      </c>
      <c r="I11" s="24" t="str">
        <f aca="false">IF($A11="","",SUMIFS(업무일지!$P$5:$P$1004,업무일지!$G$5:$G$1004,$A11,업무일지!$D$5:$D$1004,"출장"))</f>
        <v/>
      </c>
      <c r="J11" s="24" t="str">
        <f aca="false">IF($A11="","",SUMIFS(업무일지!$R$5:$R$1004,업무일지!$G$5:$G$1004,$A11))</f>
        <v/>
      </c>
      <c r="K11" s="23" t="str">
        <f aca="false">IF($A11="","",SUMIFS(업무일지!$N$5:$N$1004,업무일지!$G$5:$G$1004,$A11))</f>
        <v/>
      </c>
      <c r="L11" s="23" t="str">
        <f aca="false">IF($A11="","",SUMIFS(업무일지!$O$5:$O$1004,업무일지!$G$5:$G$1004,$A11))</f>
        <v/>
      </c>
      <c r="M11" s="23" t="str">
        <f aca="false">IF($A11="","",SUMIFS(업무일지!$T$5:$T$1004,업무일지!$G$5:$G$1004,$A11))</f>
        <v/>
      </c>
      <c r="N11" s="44" t="str">
        <f aca="false">IF($A11="","",IFERROR(_xlfn.MINIFS(업무일지!$B$5:$B$1004,업무일지!$G$5:$G$1004,$A11),""))</f>
        <v/>
      </c>
      <c r="O11" s="44" t="str">
        <f aca="false">IF($A11="","",IFERROR(_xlfn.MAXIFS(업무일지!$C$5:$C$1004,업무일지!$G$5:$G$1004,$A11),""))</f>
        <v/>
      </c>
      <c r="P11" s="23" t="str">
        <f aca="false">IF($A11="","",IF(OR(N11="",O11="",O11=0),"",O11-N11+1))</f>
        <v/>
      </c>
      <c r="Q11" s="23" t="str">
        <f aca="false">IF($A11="","",IF(H11=0,"미기록",IF(COUNTIFS(업무일지!$G$5:$G$1004,$A11,업무일지!$S$5:$S$1004,"진행중")&gt;0,"진행중",IF(COUNTIFS(업무일지!$G$5:$G$1004,$A11,업무일지!$S$5:$S$1004,"보류")&gt;0,"보류","완료"))))</f>
        <v/>
      </c>
    </row>
    <row r="12" customFormat="false" ht="15" hidden="false" customHeight="false" outlineLevel="0" collapsed="false">
      <c r="A12" s="41"/>
      <c r="B12" s="32" t="str">
        <f aca="false">IFERROR(INDEX(업무일지!$F$5:$F$1004,MATCH($A12,업무일지!$G$5:$G$1004,0)),"")</f>
        <v/>
      </c>
      <c r="C12" s="26" t="str">
        <f aca="false">IFERROR(INDEX(업무일지!$H$5:$H$1004,MATCH($A12,업무일지!$G$5:$G$1004,0)),"")</f>
        <v/>
      </c>
      <c r="D12" s="26" t="str">
        <f aca="false">IFERROR(INDEX(업무일지!$I$5:$I$1004,MATCH($A12,업무일지!$G$5:$G$1004,0)),"")</f>
        <v/>
      </c>
      <c r="E12" s="26" t="str">
        <f aca="false">IF($A12="","",SUMPRODUCT((코드설정!$C$5:$C$24&lt;&gt;"")*((COUNTIFS(업무일지!$G$5:$G$1004,$A12,업무일지!$I$5:$I$1004,코드설정!$C$5:$C$24)+COUNTIFS(업무일지!$G$5:$G$1004,$A12,업무일지!$J$5:$J$1004,"*"&amp;코드설정!$C$5:$C$24&amp;"*"))&gt;0)))</f>
        <v/>
      </c>
      <c r="F12" s="26" t="str">
        <f aca="false">IF($A12="","",COUNTIFS(업무일지!$G$5:$G$1004,$A12,업무일지!$D$5:$D$1004,"출장"))</f>
        <v/>
      </c>
      <c r="G12" s="26" t="str">
        <f aca="false">IF($A12="","",COUNTIFS(업무일지!$G$5:$G$1004,$A12,업무일지!$D$5:$D$1004,"분석"))</f>
        <v/>
      </c>
      <c r="H12" s="26" t="str">
        <f aca="false">IF($A12="","",F12+G12)</f>
        <v/>
      </c>
      <c r="I12" s="27" t="str">
        <f aca="false">IF($A12="","",SUMIFS(업무일지!$P$5:$P$1004,업무일지!$G$5:$G$1004,$A12,업무일지!$D$5:$D$1004,"출장"))</f>
        <v/>
      </c>
      <c r="J12" s="27" t="str">
        <f aca="false">IF($A12="","",SUMIFS(업무일지!$R$5:$R$1004,업무일지!$G$5:$G$1004,$A12))</f>
        <v/>
      </c>
      <c r="K12" s="26" t="str">
        <f aca="false">IF($A12="","",SUMIFS(업무일지!$N$5:$N$1004,업무일지!$G$5:$G$1004,$A12))</f>
        <v/>
      </c>
      <c r="L12" s="26" t="str">
        <f aca="false">IF($A12="","",SUMIFS(업무일지!$O$5:$O$1004,업무일지!$G$5:$G$1004,$A12))</f>
        <v/>
      </c>
      <c r="M12" s="26" t="str">
        <f aca="false">IF($A12="","",SUMIFS(업무일지!$T$5:$T$1004,업무일지!$G$5:$G$1004,$A12))</f>
        <v/>
      </c>
      <c r="N12" s="42" t="str">
        <f aca="false">IF($A12="","",IFERROR(_xlfn.MINIFS(업무일지!$B$5:$B$1004,업무일지!$G$5:$G$1004,$A12),""))</f>
        <v/>
      </c>
      <c r="O12" s="42" t="str">
        <f aca="false">IF($A12="","",IFERROR(_xlfn.MAXIFS(업무일지!$C$5:$C$1004,업무일지!$G$5:$G$1004,$A12),""))</f>
        <v/>
      </c>
      <c r="P12" s="26" t="str">
        <f aca="false">IF($A12="","",IF(OR(N12="",O12="",O12=0),"",O12-N12+1))</f>
        <v/>
      </c>
      <c r="Q12" s="26" t="str">
        <f aca="false">IF($A12="","",IF(H12=0,"미기록",IF(COUNTIFS(업무일지!$G$5:$G$1004,$A12,업무일지!$S$5:$S$1004,"진행중")&gt;0,"진행중",IF(COUNTIFS(업무일지!$G$5:$G$1004,$A12,업무일지!$S$5:$S$1004,"보류")&gt;0,"보류","완료"))))</f>
        <v/>
      </c>
    </row>
    <row r="13" customFormat="false" ht="15" hidden="false" customHeight="false" outlineLevel="0" collapsed="false">
      <c r="A13" s="43"/>
      <c r="B13" s="35" t="str">
        <f aca="false">IFERROR(INDEX(업무일지!$F$5:$F$1004,MATCH($A13,업무일지!$G$5:$G$1004,0)),"")</f>
        <v/>
      </c>
      <c r="C13" s="23" t="str">
        <f aca="false">IFERROR(INDEX(업무일지!$H$5:$H$1004,MATCH($A13,업무일지!$G$5:$G$1004,0)),"")</f>
        <v/>
      </c>
      <c r="D13" s="23" t="str">
        <f aca="false">IFERROR(INDEX(업무일지!$I$5:$I$1004,MATCH($A13,업무일지!$G$5:$G$1004,0)),"")</f>
        <v/>
      </c>
      <c r="E13" s="23" t="str">
        <f aca="false">IF($A13="","",SUMPRODUCT((코드설정!$C$5:$C$24&lt;&gt;"")*((COUNTIFS(업무일지!$G$5:$G$1004,$A13,업무일지!$I$5:$I$1004,코드설정!$C$5:$C$24)+COUNTIFS(업무일지!$G$5:$G$1004,$A13,업무일지!$J$5:$J$1004,"*"&amp;코드설정!$C$5:$C$24&amp;"*"))&gt;0)))</f>
        <v/>
      </c>
      <c r="F13" s="23" t="str">
        <f aca="false">IF($A13="","",COUNTIFS(업무일지!$G$5:$G$1004,$A13,업무일지!$D$5:$D$1004,"출장"))</f>
        <v/>
      </c>
      <c r="G13" s="23" t="str">
        <f aca="false">IF($A13="","",COUNTIFS(업무일지!$G$5:$G$1004,$A13,업무일지!$D$5:$D$1004,"분석"))</f>
        <v/>
      </c>
      <c r="H13" s="23" t="str">
        <f aca="false">IF($A13="","",F13+G13)</f>
        <v/>
      </c>
      <c r="I13" s="24" t="str">
        <f aca="false">IF($A13="","",SUMIFS(업무일지!$P$5:$P$1004,업무일지!$G$5:$G$1004,$A13,업무일지!$D$5:$D$1004,"출장"))</f>
        <v/>
      </c>
      <c r="J13" s="24" t="str">
        <f aca="false">IF($A13="","",SUMIFS(업무일지!$R$5:$R$1004,업무일지!$G$5:$G$1004,$A13))</f>
        <v/>
      </c>
      <c r="K13" s="23" t="str">
        <f aca="false">IF($A13="","",SUMIFS(업무일지!$N$5:$N$1004,업무일지!$G$5:$G$1004,$A13))</f>
        <v/>
      </c>
      <c r="L13" s="23" t="str">
        <f aca="false">IF($A13="","",SUMIFS(업무일지!$O$5:$O$1004,업무일지!$G$5:$G$1004,$A13))</f>
        <v/>
      </c>
      <c r="M13" s="23" t="str">
        <f aca="false">IF($A13="","",SUMIFS(업무일지!$T$5:$T$1004,업무일지!$G$5:$G$1004,$A13))</f>
        <v/>
      </c>
      <c r="N13" s="44" t="str">
        <f aca="false">IF($A13="","",IFERROR(_xlfn.MINIFS(업무일지!$B$5:$B$1004,업무일지!$G$5:$G$1004,$A13),""))</f>
        <v/>
      </c>
      <c r="O13" s="44" t="str">
        <f aca="false">IF($A13="","",IFERROR(_xlfn.MAXIFS(업무일지!$C$5:$C$1004,업무일지!$G$5:$G$1004,$A13),""))</f>
        <v/>
      </c>
      <c r="P13" s="23" t="str">
        <f aca="false">IF($A13="","",IF(OR(N13="",O13="",O13=0),"",O13-N13+1))</f>
        <v/>
      </c>
      <c r="Q13" s="23" t="str">
        <f aca="false">IF($A13="","",IF(H13=0,"미기록",IF(COUNTIFS(업무일지!$G$5:$G$1004,$A13,업무일지!$S$5:$S$1004,"진행중")&gt;0,"진행중",IF(COUNTIFS(업무일지!$G$5:$G$1004,$A13,업무일지!$S$5:$S$1004,"보류")&gt;0,"보류","완료"))))</f>
        <v/>
      </c>
    </row>
    <row r="14" customFormat="false" ht="15" hidden="false" customHeight="false" outlineLevel="0" collapsed="false">
      <c r="A14" s="41"/>
      <c r="B14" s="32" t="str">
        <f aca="false">IFERROR(INDEX(업무일지!$F$5:$F$1004,MATCH($A14,업무일지!$G$5:$G$1004,0)),"")</f>
        <v/>
      </c>
      <c r="C14" s="26" t="str">
        <f aca="false">IFERROR(INDEX(업무일지!$H$5:$H$1004,MATCH($A14,업무일지!$G$5:$G$1004,0)),"")</f>
        <v/>
      </c>
      <c r="D14" s="26" t="str">
        <f aca="false">IFERROR(INDEX(업무일지!$I$5:$I$1004,MATCH($A14,업무일지!$G$5:$G$1004,0)),"")</f>
        <v/>
      </c>
      <c r="E14" s="26" t="str">
        <f aca="false">IF($A14="","",SUMPRODUCT((코드설정!$C$5:$C$24&lt;&gt;"")*((COUNTIFS(업무일지!$G$5:$G$1004,$A14,업무일지!$I$5:$I$1004,코드설정!$C$5:$C$24)+COUNTIFS(업무일지!$G$5:$G$1004,$A14,업무일지!$J$5:$J$1004,"*"&amp;코드설정!$C$5:$C$24&amp;"*"))&gt;0)))</f>
        <v/>
      </c>
      <c r="F14" s="26" t="str">
        <f aca="false">IF($A14="","",COUNTIFS(업무일지!$G$5:$G$1004,$A14,업무일지!$D$5:$D$1004,"출장"))</f>
        <v/>
      </c>
      <c r="G14" s="26" t="str">
        <f aca="false">IF($A14="","",COUNTIFS(업무일지!$G$5:$G$1004,$A14,업무일지!$D$5:$D$1004,"분석"))</f>
        <v/>
      </c>
      <c r="H14" s="26" t="str">
        <f aca="false">IF($A14="","",F14+G14)</f>
        <v/>
      </c>
      <c r="I14" s="27" t="str">
        <f aca="false">IF($A14="","",SUMIFS(업무일지!$P$5:$P$1004,업무일지!$G$5:$G$1004,$A14,업무일지!$D$5:$D$1004,"출장"))</f>
        <v/>
      </c>
      <c r="J14" s="27" t="str">
        <f aca="false">IF($A14="","",SUMIFS(업무일지!$R$5:$R$1004,업무일지!$G$5:$G$1004,$A14))</f>
        <v/>
      </c>
      <c r="K14" s="26" t="str">
        <f aca="false">IF($A14="","",SUMIFS(업무일지!$N$5:$N$1004,업무일지!$G$5:$G$1004,$A14))</f>
        <v/>
      </c>
      <c r="L14" s="26" t="str">
        <f aca="false">IF($A14="","",SUMIFS(업무일지!$O$5:$O$1004,업무일지!$G$5:$G$1004,$A14))</f>
        <v/>
      </c>
      <c r="M14" s="26" t="str">
        <f aca="false">IF($A14="","",SUMIFS(업무일지!$T$5:$T$1004,업무일지!$G$5:$G$1004,$A14))</f>
        <v/>
      </c>
      <c r="N14" s="42" t="str">
        <f aca="false">IF($A14="","",IFERROR(_xlfn.MINIFS(업무일지!$B$5:$B$1004,업무일지!$G$5:$G$1004,$A14),""))</f>
        <v/>
      </c>
      <c r="O14" s="42" t="str">
        <f aca="false">IF($A14="","",IFERROR(_xlfn.MAXIFS(업무일지!$C$5:$C$1004,업무일지!$G$5:$G$1004,$A14),""))</f>
        <v/>
      </c>
      <c r="P14" s="26" t="str">
        <f aca="false">IF($A14="","",IF(OR(N14="",O14="",O14=0),"",O14-N14+1))</f>
        <v/>
      </c>
      <c r="Q14" s="26" t="str">
        <f aca="false">IF($A14="","",IF(H14=0,"미기록",IF(COUNTIFS(업무일지!$G$5:$G$1004,$A14,업무일지!$S$5:$S$1004,"진행중")&gt;0,"진행중",IF(COUNTIFS(업무일지!$G$5:$G$1004,$A14,업무일지!$S$5:$S$1004,"보류")&gt;0,"보류","완료"))))</f>
        <v/>
      </c>
    </row>
    <row r="15" customFormat="false" ht="15" hidden="false" customHeight="false" outlineLevel="0" collapsed="false">
      <c r="A15" s="43"/>
      <c r="B15" s="35" t="str">
        <f aca="false">IFERROR(INDEX(업무일지!$F$5:$F$1004,MATCH($A15,업무일지!$G$5:$G$1004,0)),"")</f>
        <v/>
      </c>
      <c r="C15" s="23" t="str">
        <f aca="false">IFERROR(INDEX(업무일지!$H$5:$H$1004,MATCH($A15,업무일지!$G$5:$G$1004,0)),"")</f>
        <v/>
      </c>
      <c r="D15" s="23" t="str">
        <f aca="false">IFERROR(INDEX(업무일지!$I$5:$I$1004,MATCH($A15,업무일지!$G$5:$G$1004,0)),"")</f>
        <v/>
      </c>
      <c r="E15" s="23" t="str">
        <f aca="false">IF($A15="","",SUMPRODUCT((코드설정!$C$5:$C$24&lt;&gt;"")*((COUNTIFS(업무일지!$G$5:$G$1004,$A15,업무일지!$I$5:$I$1004,코드설정!$C$5:$C$24)+COUNTIFS(업무일지!$G$5:$G$1004,$A15,업무일지!$J$5:$J$1004,"*"&amp;코드설정!$C$5:$C$24&amp;"*"))&gt;0)))</f>
        <v/>
      </c>
      <c r="F15" s="23" t="str">
        <f aca="false">IF($A15="","",COUNTIFS(업무일지!$G$5:$G$1004,$A15,업무일지!$D$5:$D$1004,"출장"))</f>
        <v/>
      </c>
      <c r="G15" s="23" t="str">
        <f aca="false">IF($A15="","",COUNTIFS(업무일지!$G$5:$G$1004,$A15,업무일지!$D$5:$D$1004,"분석"))</f>
        <v/>
      </c>
      <c r="H15" s="23" t="str">
        <f aca="false">IF($A15="","",F15+G15)</f>
        <v/>
      </c>
      <c r="I15" s="24" t="str">
        <f aca="false">IF($A15="","",SUMIFS(업무일지!$P$5:$P$1004,업무일지!$G$5:$G$1004,$A15,업무일지!$D$5:$D$1004,"출장"))</f>
        <v/>
      </c>
      <c r="J15" s="24" t="str">
        <f aca="false">IF($A15="","",SUMIFS(업무일지!$R$5:$R$1004,업무일지!$G$5:$G$1004,$A15))</f>
        <v/>
      </c>
      <c r="K15" s="23" t="str">
        <f aca="false">IF($A15="","",SUMIFS(업무일지!$N$5:$N$1004,업무일지!$G$5:$G$1004,$A15))</f>
        <v/>
      </c>
      <c r="L15" s="23" t="str">
        <f aca="false">IF($A15="","",SUMIFS(업무일지!$O$5:$O$1004,업무일지!$G$5:$G$1004,$A15))</f>
        <v/>
      </c>
      <c r="M15" s="23" t="str">
        <f aca="false">IF($A15="","",SUMIFS(업무일지!$T$5:$T$1004,업무일지!$G$5:$G$1004,$A15))</f>
        <v/>
      </c>
      <c r="N15" s="44" t="str">
        <f aca="false">IF($A15="","",IFERROR(_xlfn.MINIFS(업무일지!$B$5:$B$1004,업무일지!$G$5:$G$1004,$A15),""))</f>
        <v/>
      </c>
      <c r="O15" s="44" t="str">
        <f aca="false">IF($A15="","",IFERROR(_xlfn.MAXIFS(업무일지!$C$5:$C$1004,업무일지!$G$5:$G$1004,$A15),""))</f>
        <v/>
      </c>
      <c r="P15" s="23" t="str">
        <f aca="false">IF($A15="","",IF(OR(N15="",O15="",O15=0),"",O15-N15+1))</f>
        <v/>
      </c>
      <c r="Q15" s="23" t="str">
        <f aca="false">IF($A15="","",IF(H15=0,"미기록",IF(COUNTIFS(업무일지!$G$5:$G$1004,$A15,업무일지!$S$5:$S$1004,"진행중")&gt;0,"진행중",IF(COUNTIFS(업무일지!$G$5:$G$1004,$A15,업무일지!$S$5:$S$1004,"보류")&gt;0,"보류","완료"))))</f>
        <v/>
      </c>
    </row>
    <row r="16" customFormat="false" ht="15" hidden="false" customHeight="false" outlineLevel="0" collapsed="false">
      <c r="A16" s="41"/>
      <c r="B16" s="32" t="str">
        <f aca="false">IFERROR(INDEX(업무일지!$F$5:$F$1004,MATCH($A16,업무일지!$G$5:$G$1004,0)),"")</f>
        <v/>
      </c>
      <c r="C16" s="26" t="str">
        <f aca="false">IFERROR(INDEX(업무일지!$H$5:$H$1004,MATCH($A16,업무일지!$G$5:$G$1004,0)),"")</f>
        <v/>
      </c>
      <c r="D16" s="26" t="str">
        <f aca="false">IFERROR(INDEX(업무일지!$I$5:$I$1004,MATCH($A16,업무일지!$G$5:$G$1004,0)),"")</f>
        <v/>
      </c>
      <c r="E16" s="26" t="str">
        <f aca="false">IF($A16="","",SUMPRODUCT((코드설정!$C$5:$C$24&lt;&gt;"")*((COUNTIFS(업무일지!$G$5:$G$1004,$A16,업무일지!$I$5:$I$1004,코드설정!$C$5:$C$24)+COUNTIFS(업무일지!$G$5:$G$1004,$A16,업무일지!$J$5:$J$1004,"*"&amp;코드설정!$C$5:$C$24&amp;"*"))&gt;0)))</f>
        <v/>
      </c>
      <c r="F16" s="26" t="str">
        <f aca="false">IF($A16="","",COUNTIFS(업무일지!$G$5:$G$1004,$A16,업무일지!$D$5:$D$1004,"출장"))</f>
        <v/>
      </c>
      <c r="G16" s="26" t="str">
        <f aca="false">IF($A16="","",COUNTIFS(업무일지!$G$5:$G$1004,$A16,업무일지!$D$5:$D$1004,"분석"))</f>
        <v/>
      </c>
      <c r="H16" s="26" t="str">
        <f aca="false">IF($A16="","",F16+G16)</f>
        <v/>
      </c>
      <c r="I16" s="27" t="str">
        <f aca="false">IF($A16="","",SUMIFS(업무일지!$P$5:$P$1004,업무일지!$G$5:$G$1004,$A16,업무일지!$D$5:$D$1004,"출장"))</f>
        <v/>
      </c>
      <c r="J16" s="27" t="str">
        <f aca="false">IF($A16="","",SUMIFS(업무일지!$R$5:$R$1004,업무일지!$G$5:$G$1004,$A16))</f>
        <v/>
      </c>
      <c r="K16" s="26" t="str">
        <f aca="false">IF($A16="","",SUMIFS(업무일지!$N$5:$N$1004,업무일지!$G$5:$G$1004,$A16))</f>
        <v/>
      </c>
      <c r="L16" s="26" t="str">
        <f aca="false">IF($A16="","",SUMIFS(업무일지!$O$5:$O$1004,업무일지!$G$5:$G$1004,$A16))</f>
        <v/>
      </c>
      <c r="M16" s="26" t="str">
        <f aca="false">IF($A16="","",SUMIFS(업무일지!$T$5:$T$1004,업무일지!$G$5:$G$1004,$A16))</f>
        <v/>
      </c>
      <c r="N16" s="42" t="str">
        <f aca="false">IF($A16="","",IFERROR(_xlfn.MINIFS(업무일지!$B$5:$B$1004,업무일지!$G$5:$G$1004,$A16),""))</f>
        <v/>
      </c>
      <c r="O16" s="42" t="str">
        <f aca="false">IF($A16="","",IFERROR(_xlfn.MAXIFS(업무일지!$C$5:$C$1004,업무일지!$G$5:$G$1004,$A16),""))</f>
        <v/>
      </c>
      <c r="P16" s="26" t="str">
        <f aca="false">IF($A16="","",IF(OR(N16="",O16="",O16=0),"",O16-N16+1))</f>
        <v/>
      </c>
      <c r="Q16" s="26" t="str">
        <f aca="false">IF($A16="","",IF(H16=0,"미기록",IF(COUNTIFS(업무일지!$G$5:$G$1004,$A16,업무일지!$S$5:$S$1004,"진행중")&gt;0,"진행중",IF(COUNTIFS(업무일지!$G$5:$G$1004,$A16,업무일지!$S$5:$S$1004,"보류")&gt;0,"보류","완료"))))</f>
        <v/>
      </c>
    </row>
    <row r="17" customFormat="false" ht="15" hidden="false" customHeight="false" outlineLevel="0" collapsed="false">
      <c r="A17" s="43"/>
      <c r="B17" s="35" t="str">
        <f aca="false">IFERROR(INDEX(업무일지!$F$5:$F$1004,MATCH($A17,업무일지!$G$5:$G$1004,0)),"")</f>
        <v/>
      </c>
      <c r="C17" s="23" t="str">
        <f aca="false">IFERROR(INDEX(업무일지!$H$5:$H$1004,MATCH($A17,업무일지!$G$5:$G$1004,0)),"")</f>
        <v/>
      </c>
      <c r="D17" s="23" t="str">
        <f aca="false">IFERROR(INDEX(업무일지!$I$5:$I$1004,MATCH($A17,업무일지!$G$5:$G$1004,0)),"")</f>
        <v/>
      </c>
      <c r="E17" s="23" t="str">
        <f aca="false">IF($A17="","",SUMPRODUCT((코드설정!$C$5:$C$24&lt;&gt;"")*((COUNTIFS(업무일지!$G$5:$G$1004,$A17,업무일지!$I$5:$I$1004,코드설정!$C$5:$C$24)+COUNTIFS(업무일지!$G$5:$G$1004,$A17,업무일지!$J$5:$J$1004,"*"&amp;코드설정!$C$5:$C$24&amp;"*"))&gt;0)))</f>
        <v/>
      </c>
      <c r="F17" s="23" t="str">
        <f aca="false">IF($A17="","",COUNTIFS(업무일지!$G$5:$G$1004,$A17,업무일지!$D$5:$D$1004,"출장"))</f>
        <v/>
      </c>
      <c r="G17" s="23" t="str">
        <f aca="false">IF($A17="","",COUNTIFS(업무일지!$G$5:$G$1004,$A17,업무일지!$D$5:$D$1004,"분석"))</f>
        <v/>
      </c>
      <c r="H17" s="23" t="str">
        <f aca="false">IF($A17="","",F17+G17)</f>
        <v/>
      </c>
      <c r="I17" s="24" t="str">
        <f aca="false">IF($A17="","",SUMIFS(업무일지!$P$5:$P$1004,업무일지!$G$5:$G$1004,$A17,업무일지!$D$5:$D$1004,"출장"))</f>
        <v/>
      </c>
      <c r="J17" s="24" t="str">
        <f aca="false">IF($A17="","",SUMIFS(업무일지!$R$5:$R$1004,업무일지!$G$5:$G$1004,$A17))</f>
        <v/>
      </c>
      <c r="K17" s="23" t="str">
        <f aca="false">IF($A17="","",SUMIFS(업무일지!$N$5:$N$1004,업무일지!$G$5:$G$1004,$A17))</f>
        <v/>
      </c>
      <c r="L17" s="23" t="str">
        <f aca="false">IF($A17="","",SUMIFS(업무일지!$O$5:$O$1004,업무일지!$G$5:$G$1004,$A17))</f>
        <v/>
      </c>
      <c r="M17" s="23" t="str">
        <f aca="false">IF($A17="","",SUMIFS(업무일지!$T$5:$T$1004,업무일지!$G$5:$G$1004,$A17))</f>
        <v/>
      </c>
      <c r="N17" s="44" t="str">
        <f aca="false">IF($A17="","",IFERROR(_xlfn.MINIFS(업무일지!$B$5:$B$1004,업무일지!$G$5:$G$1004,$A17),""))</f>
        <v/>
      </c>
      <c r="O17" s="44" t="str">
        <f aca="false">IF($A17="","",IFERROR(_xlfn.MAXIFS(업무일지!$C$5:$C$1004,업무일지!$G$5:$G$1004,$A17),""))</f>
        <v/>
      </c>
      <c r="P17" s="23" t="str">
        <f aca="false">IF($A17="","",IF(OR(N17="",O17="",O17=0),"",O17-N17+1))</f>
        <v/>
      </c>
      <c r="Q17" s="23" t="str">
        <f aca="false">IF($A17="","",IF(H17=0,"미기록",IF(COUNTIFS(업무일지!$G$5:$G$1004,$A17,업무일지!$S$5:$S$1004,"진행중")&gt;0,"진행중",IF(COUNTIFS(업무일지!$G$5:$G$1004,$A17,업무일지!$S$5:$S$1004,"보류")&gt;0,"보류","완료"))))</f>
        <v/>
      </c>
    </row>
    <row r="18" customFormat="false" ht="15" hidden="false" customHeight="false" outlineLevel="0" collapsed="false">
      <c r="A18" s="41"/>
      <c r="B18" s="32" t="str">
        <f aca="false">IFERROR(INDEX(업무일지!$F$5:$F$1004,MATCH($A18,업무일지!$G$5:$G$1004,0)),"")</f>
        <v/>
      </c>
      <c r="C18" s="26" t="str">
        <f aca="false">IFERROR(INDEX(업무일지!$H$5:$H$1004,MATCH($A18,업무일지!$G$5:$G$1004,0)),"")</f>
        <v/>
      </c>
      <c r="D18" s="26" t="str">
        <f aca="false">IFERROR(INDEX(업무일지!$I$5:$I$1004,MATCH($A18,업무일지!$G$5:$G$1004,0)),"")</f>
        <v/>
      </c>
      <c r="E18" s="26" t="str">
        <f aca="false">IF($A18="","",SUMPRODUCT((코드설정!$C$5:$C$24&lt;&gt;"")*((COUNTIFS(업무일지!$G$5:$G$1004,$A18,업무일지!$I$5:$I$1004,코드설정!$C$5:$C$24)+COUNTIFS(업무일지!$G$5:$G$1004,$A18,업무일지!$J$5:$J$1004,"*"&amp;코드설정!$C$5:$C$24&amp;"*"))&gt;0)))</f>
        <v/>
      </c>
      <c r="F18" s="26" t="str">
        <f aca="false">IF($A18="","",COUNTIFS(업무일지!$G$5:$G$1004,$A18,업무일지!$D$5:$D$1004,"출장"))</f>
        <v/>
      </c>
      <c r="G18" s="26" t="str">
        <f aca="false">IF($A18="","",COUNTIFS(업무일지!$G$5:$G$1004,$A18,업무일지!$D$5:$D$1004,"분석"))</f>
        <v/>
      </c>
      <c r="H18" s="26" t="str">
        <f aca="false">IF($A18="","",F18+G18)</f>
        <v/>
      </c>
      <c r="I18" s="27" t="str">
        <f aca="false">IF($A18="","",SUMIFS(업무일지!$P$5:$P$1004,업무일지!$G$5:$G$1004,$A18,업무일지!$D$5:$D$1004,"출장"))</f>
        <v/>
      </c>
      <c r="J18" s="27" t="str">
        <f aca="false">IF($A18="","",SUMIFS(업무일지!$R$5:$R$1004,업무일지!$G$5:$G$1004,$A18))</f>
        <v/>
      </c>
      <c r="K18" s="26" t="str">
        <f aca="false">IF($A18="","",SUMIFS(업무일지!$N$5:$N$1004,업무일지!$G$5:$G$1004,$A18))</f>
        <v/>
      </c>
      <c r="L18" s="26" t="str">
        <f aca="false">IF($A18="","",SUMIFS(업무일지!$O$5:$O$1004,업무일지!$G$5:$G$1004,$A18))</f>
        <v/>
      </c>
      <c r="M18" s="26" t="str">
        <f aca="false">IF($A18="","",SUMIFS(업무일지!$T$5:$T$1004,업무일지!$G$5:$G$1004,$A18))</f>
        <v/>
      </c>
      <c r="N18" s="42" t="str">
        <f aca="false">IF($A18="","",IFERROR(_xlfn.MINIFS(업무일지!$B$5:$B$1004,업무일지!$G$5:$G$1004,$A18),""))</f>
        <v/>
      </c>
      <c r="O18" s="42" t="str">
        <f aca="false">IF($A18="","",IFERROR(_xlfn.MAXIFS(업무일지!$C$5:$C$1004,업무일지!$G$5:$G$1004,$A18),""))</f>
        <v/>
      </c>
      <c r="P18" s="26" t="str">
        <f aca="false">IF($A18="","",IF(OR(N18="",O18="",O18=0),"",O18-N18+1))</f>
        <v/>
      </c>
      <c r="Q18" s="26" t="str">
        <f aca="false">IF($A18="","",IF(H18=0,"미기록",IF(COUNTIFS(업무일지!$G$5:$G$1004,$A18,업무일지!$S$5:$S$1004,"진행중")&gt;0,"진행중",IF(COUNTIFS(업무일지!$G$5:$G$1004,$A18,업무일지!$S$5:$S$1004,"보류")&gt;0,"보류","완료"))))</f>
        <v/>
      </c>
    </row>
    <row r="19" customFormat="false" ht="15" hidden="false" customHeight="false" outlineLevel="0" collapsed="false">
      <c r="A19" s="43"/>
      <c r="B19" s="35" t="str">
        <f aca="false">IFERROR(INDEX(업무일지!$F$5:$F$1004,MATCH($A19,업무일지!$G$5:$G$1004,0)),"")</f>
        <v/>
      </c>
      <c r="C19" s="23" t="str">
        <f aca="false">IFERROR(INDEX(업무일지!$H$5:$H$1004,MATCH($A19,업무일지!$G$5:$G$1004,0)),"")</f>
        <v/>
      </c>
      <c r="D19" s="23" t="str">
        <f aca="false">IFERROR(INDEX(업무일지!$I$5:$I$1004,MATCH($A19,업무일지!$G$5:$G$1004,0)),"")</f>
        <v/>
      </c>
      <c r="E19" s="23" t="str">
        <f aca="false">IF($A19="","",SUMPRODUCT((코드설정!$C$5:$C$24&lt;&gt;"")*((COUNTIFS(업무일지!$G$5:$G$1004,$A19,업무일지!$I$5:$I$1004,코드설정!$C$5:$C$24)+COUNTIFS(업무일지!$G$5:$G$1004,$A19,업무일지!$J$5:$J$1004,"*"&amp;코드설정!$C$5:$C$24&amp;"*"))&gt;0)))</f>
        <v/>
      </c>
      <c r="F19" s="23" t="str">
        <f aca="false">IF($A19="","",COUNTIFS(업무일지!$G$5:$G$1004,$A19,업무일지!$D$5:$D$1004,"출장"))</f>
        <v/>
      </c>
      <c r="G19" s="23" t="str">
        <f aca="false">IF($A19="","",COUNTIFS(업무일지!$G$5:$G$1004,$A19,업무일지!$D$5:$D$1004,"분석"))</f>
        <v/>
      </c>
      <c r="H19" s="23" t="str">
        <f aca="false">IF($A19="","",F19+G19)</f>
        <v/>
      </c>
      <c r="I19" s="24" t="str">
        <f aca="false">IF($A19="","",SUMIFS(업무일지!$P$5:$P$1004,업무일지!$G$5:$G$1004,$A19,업무일지!$D$5:$D$1004,"출장"))</f>
        <v/>
      </c>
      <c r="J19" s="24" t="str">
        <f aca="false">IF($A19="","",SUMIFS(업무일지!$R$5:$R$1004,업무일지!$G$5:$G$1004,$A19))</f>
        <v/>
      </c>
      <c r="K19" s="23" t="str">
        <f aca="false">IF($A19="","",SUMIFS(업무일지!$N$5:$N$1004,업무일지!$G$5:$G$1004,$A19))</f>
        <v/>
      </c>
      <c r="L19" s="23" t="str">
        <f aca="false">IF($A19="","",SUMIFS(업무일지!$O$5:$O$1004,업무일지!$G$5:$G$1004,$A19))</f>
        <v/>
      </c>
      <c r="M19" s="23" t="str">
        <f aca="false">IF($A19="","",SUMIFS(업무일지!$T$5:$T$1004,업무일지!$G$5:$G$1004,$A19))</f>
        <v/>
      </c>
      <c r="N19" s="44" t="str">
        <f aca="false">IF($A19="","",IFERROR(_xlfn.MINIFS(업무일지!$B$5:$B$1004,업무일지!$G$5:$G$1004,$A19),""))</f>
        <v/>
      </c>
      <c r="O19" s="44" t="str">
        <f aca="false">IF($A19="","",IFERROR(_xlfn.MAXIFS(업무일지!$C$5:$C$1004,업무일지!$G$5:$G$1004,$A19),""))</f>
        <v/>
      </c>
      <c r="P19" s="23" t="str">
        <f aca="false">IF($A19="","",IF(OR(N19="",O19="",O19=0),"",O19-N19+1))</f>
        <v/>
      </c>
      <c r="Q19" s="23" t="str">
        <f aca="false">IF($A19="","",IF(H19=0,"미기록",IF(COUNTIFS(업무일지!$G$5:$G$1004,$A19,업무일지!$S$5:$S$1004,"진행중")&gt;0,"진행중",IF(COUNTIFS(업무일지!$G$5:$G$1004,$A19,업무일지!$S$5:$S$1004,"보류")&gt;0,"보류","완료"))))</f>
        <v/>
      </c>
    </row>
    <row r="20" customFormat="false" ht="15" hidden="false" customHeight="false" outlineLevel="0" collapsed="false">
      <c r="A20" s="41"/>
      <c r="B20" s="32" t="str">
        <f aca="false">IFERROR(INDEX(업무일지!$F$5:$F$1004,MATCH($A20,업무일지!$G$5:$G$1004,0)),"")</f>
        <v/>
      </c>
      <c r="C20" s="26" t="str">
        <f aca="false">IFERROR(INDEX(업무일지!$H$5:$H$1004,MATCH($A20,업무일지!$G$5:$G$1004,0)),"")</f>
        <v/>
      </c>
      <c r="D20" s="26" t="str">
        <f aca="false">IFERROR(INDEX(업무일지!$I$5:$I$1004,MATCH($A20,업무일지!$G$5:$G$1004,0)),"")</f>
        <v/>
      </c>
      <c r="E20" s="26" t="str">
        <f aca="false">IF($A20="","",SUMPRODUCT((코드설정!$C$5:$C$24&lt;&gt;"")*((COUNTIFS(업무일지!$G$5:$G$1004,$A20,업무일지!$I$5:$I$1004,코드설정!$C$5:$C$24)+COUNTIFS(업무일지!$G$5:$G$1004,$A20,업무일지!$J$5:$J$1004,"*"&amp;코드설정!$C$5:$C$24&amp;"*"))&gt;0)))</f>
        <v/>
      </c>
      <c r="F20" s="26" t="str">
        <f aca="false">IF($A20="","",COUNTIFS(업무일지!$G$5:$G$1004,$A20,업무일지!$D$5:$D$1004,"출장"))</f>
        <v/>
      </c>
      <c r="G20" s="26" t="str">
        <f aca="false">IF($A20="","",COUNTIFS(업무일지!$G$5:$G$1004,$A20,업무일지!$D$5:$D$1004,"분석"))</f>
        <v/>
      </c>
      <c r="H20" s="26" t="str">
        <f aca="false">IF($A20="","",F20+G20)</f>
        <v/>
      </c>
      <c r="I20" s="27" t="str">
        <f aca="false">IF($A20="","",SUMIFS(업무일지!$P$5:$P$1004,업무일지!$G$5:$G$1004,$A20,업무일지!$D$5:$D$1004,"출장"))</f>
        <v/>
      </c>
      <c r="J20" s="27" t="str">
        <f aca="false">IF($A20="","",SUMIFS(업무일지!$R$5:$R$1004,업무일지!$G$5:$G$1004,$A20))</f>
        <v/>
      </c>
      <c r="K20" s="26" t="str">
        <f aca="false">IF($A20="","",SUMIFS(업무일지!$N$5:$N$1004,업무일지!$G$5:$G$1004,$A20))</f>
        <v/>
      </c>
      <c r="L20" s="26" t="str">
        <f aca="false">IF($A20="","",SUMIFS(업무일지!$O$5:$O$1004,업무일지!$G$5:$G$1004,$A20))</f>
        <v/>
      </c>
      <c r="M20" s="26" t="str">
        <f aca="false">IF($A20="","",SUMIFS(업무일지!$T$5:$T$1004,업무일지!$G$5:$G$1004,$A20))</f>
        <v/>
      </c>
      <c r="N20" s="42" t="str">
        <f aca="false">IF($A20="","",IFERROR(_xlfn.MINIFS(업무일지!$B$5:$B$1004,업무일지!$G$5:$G$1004,$A20),""))</f>
        <v/>
      </c>
      <c r="O20" s="42" t="str">
        <f aca="false">IF($A20="","",IFERROR(_xlfn.MAXIFS(업무일지!$C$5:$C$1004,업무일지!$G$5:$G$1004,$A20),""))</f>
        <v/>
      </c>
      <c r="P20" s="26" t="str">
        <f aca="false">IF($A20="","",IF(OR(N20="",O20="",O20=0),"",O20-N20+1))</f>
        <v/>
      </c>
      <c r="Q20" s="26" t="str">
        <f aca="false">IF($A20="","",IF(H20=0,"미기록",IF(COUNTIFS(업무일지!$G$5:$G$1004,$A20,업무일지!$S$5:$S$1004,"진행중")&gt;0,"진행중",IF(COUNTIFS(업무일지!$G$5:$G$1004,$A20,업무일지!$S$5:$S$1004,"보류")&gt;0,"보류","완료"))))</f>
        <v/>
      </c>
    </row>
    <row r="21" customFormat="false" ht="15" hidden="false" customHeight="false" outlineLevel="0" collapsed="false">
      <c r="A21" s="43"/>
      <c r="B21" s="35" t="str">
        <f aca="false">IFERROR(INDEX(업무일지!$F$5:$F$1004,MATCH($A21,업무일지!$G$5:$G$1004,0)),"")</f>
        <v/>
      </c>
      <c r="C21" s="23" t="str">
        <f aca="false">IFERROR(INDEX(업무일지!$H$5:$H$1004,MATCH($A21,업무일지!$G$5:$G$1004,0)),"")</f>
        <v/>
      </c>
      <c r="D21" s="23" t="str">
        <f aca="false">IFERROR(INDEX(업무일지!$I$5:$I$1004,MATCH($A21,업무일지!$G$5:$G$1004,0)),"")</f>
        <v/>
      </c>
      <c r="E21" s="23" t="str">
        <f aca="false">IF($A21="","",SUMPRODUCT((코드설정!$C$5:$C$24&lt;&gt;"")*((COUNTIFS(업무일지!$G$5:$G$1004,$A21,업무일지!$I$5:$I$1004,코드설정!$C$5:$C$24)+COUNTIFS(업무일지!$G$5:$G$1004,$A21,업무일지!$J$5:$J$1004,"*"&amp;코드설정!$C$5:$C$24&amp;"*"))&gt;0)))</f>
        <v/>
      </c>
      <c r="F21" s="23" t="str">
        <f aca="false">IF($A21="","",COUNTIFS(업무일지!$G$5:$G$1004,$A21,업무일지!$D$5:$D$1004,"출장"))</f>
        <v/>
      </c>
      <c r="G21" s="23" t="str">
        <f aca="false">IF($A21="","",COUNTIFS(업무일지!$G$5:$G$1004,$A21,업무일지!$D$5:$D$1004,"분석"))</f>
        <v/>
      </c>
      <c r="H21" s="23" t="str">
        <f aca="false">IF($A21="","",F21+G21)</f>
        <v/>
      </c>
      <c r="I21" s="24" t="str">
        <f aca="false">IF($A21="","",SUMIFS(업무일지!$P$5:$P$1004,업무일지!$G$5:$G$1004,$A21,업무일지!$D$5:$D$1004,"출장"))</f>
        <v/>
      </c>
      <c r="J21" s="24" t="str">
        <f aca="false">IF($A21="","",SUMIFS(업무일지!$R$5:$R$1004,업무일지!$G$5:$G$1004,$A21))</f>
        <v/>
      </c>
      <c r="K21" s="23" t="str">
        <f aca="false">IF($A21="","",SUMIFS(업무일지!$N$5:$N$1004,업무일지!$G$5:$G$1004,$A21))</f>
        <v/>
      </c>
      <c r="L21" s="23" t="str">
        <f aca="false">IF($A21="","",SUMIFS(업무일지!$O$5:$O$1004,업무일지!$G$5:$G$1004,$A21))</f>
        <v/>
      </c>
      <c r="M21" s="23" t="str">
        <f aca="false">IF($A21="","",SUMIFS(업무일지!$T$5:$T$1004,업무일지!$G$5:$G$1004,$A21))</f>
        <v/>
      </c>
      <c r="N21" s="44" t="str">
        <f aca="false">IF($A21="","",IFERROR(_xlfn.MINIFS(업무일지!$B$5:$B$1004,업무일지!$G$5:$G$1004,$A21),""))</f>
        <v/>
      </c>
      <c r="O21" s="44" t="str">
        <f aca="false">IF($A21="","",IFERROR(_xlfn.MAXIFS(업무일지!$C$5:$C$1004,업무일지!$G$5:$G$1004,$A21),""))</f>
        <v/>
      </c>
      <c r="P21" s="23" t="str">
        <f aca="false">IF($A21="","",IF(OR(N21="",O21="",O21=0),"",O21-N21+1))</f>
        <v/>
      </c>
      <c r="Q21" s="23" t="str">
        <f aca="false">IF($A21="","",IF(H21=0,"미기록",IF(COUNTIFS(업무일지!$G$5:$G$1004,$A21,업무일지!$S$5:$S$1004,"진행중")&gt;0,"진행중",IF(COUNTIFS(업무일지!$G$5:$G$1004,$A21,업무일지!$S$5:$S$1004,"보류")&gt;0,"보류","완료"))))</f>
        <v/>
      </c>
    </row>
    <row r="22" customFormat="false" ht="15" hidden="false" customHeight="false" outlineLevel="0" collapsed="false">
      <c r="A22" s="41"/>
      <c r="B22" s="32" t="str">
        <f aca="false">IFERROR(INDEX(업무일지!$F$5:$F$1004,MATCH($A22,업무일지!$G$5:$G$1004,0)),"")</f>
        <v/>
      </c>
      <c r="C22" s="26" t="str">
        <f aca="false">IFERROR(INDEX(업무일지!$H$5:$H$1004,MATCH($A22,업무일지!$G$5:$G$1004,0)),"")</f>
        <v/>
      </c>
      <c r="D22" s="26" t="str">
        <f aca="false">IFERROR(INDEX(업무일지!$I$5:$I$1004,MATCH($A22,업무일지!$G$5:$G$1004,0)),"")</f>
        <v/>
      </c>
      <c r="E22" s="26" t="str">
        <f aca="false">IF($A22="","",SUMPRODUCT((코드설정!$C$5:$C$24&lt;&gt;"")*((COUNTIFS(업무일지!$G$5:$G$1004,$A22,업무일지!$I$5:$I$1004,코드설정!$C$5:$C$24)+COUNTIFS(업무일지!$G$5:$G$1004,$A22,업무일지!$J$5:$J$1004,"*"&amp;코드설정!$C$5:$C$24&amp;"*"))&gt;0)))</f>
        <v/>
      </c>
      <c r="F22" s="26" t="str">
        <f aca="false">IF($A22="","",COUNTIFS(업무일지!$G$5:$G$1004,$A22,업무일지!$D$5:$D$1004,"출장"))</f>
        <v/>
      </c>
      <c r="G22" s="26" t="str">
        <f aca="false">IF($A22="","",COUNTIFS(업무일지!$G$5:$G$1004,$A22,업무일지!$D$5:$D$1004,"분석"))</f>
        <v/>
      </c>
      <c r="H22" s="26" t="str">
        <f aca="false">IF($A22="","",F22+G22)</f>
        <v/>
      </c>
      <c r="I22" s="27" t="str">
        <f aca="false">IF($A22="","",SUMIFS(업무일지!$P$5:$P$1004,업무일지!$G$5:$G$1004,$A22,업무일지!$D$5:$D$1004,"출장"))</f>
        <v/>
      </c>
      <c r="J22" s="27" t="str">
        <f aca="false">IF($A22="","",SUMIFS(업무일지!$R$5:$R$1004,업무일지!$G$5:$G$1004,$A22))</f>
        <v/>
      </c>
      <c r="K22" s="26" t="str">
        <f aca="false">IF($A22="","",SUMIFS(업무일지!$N$5:$N$1004,업무일지!$G$5:$G$1004,$A22))</f>
        <v/>
      </c>
      <c r="L22" s="26" t="str">
        <f aca="false">IF($A22="","",SUMIFS(업무일지!$O$5:$O$1004,업무일지!$G$5:$G$1004,$A22))</f>
        <v/>
      </c>
      <c r="M22" s="26" t="str">
        <f aca="false">IF($A22="","",SUMIFS(업무일지!$T$5:$T$1004,업무일지!$G$5:$G$1004,$A22))</f>
        <v/>
      </c>
      <c r="N22" s="42" t="str">
        <f aca="false">IF($A22="","",IFERROR(_xlfn.MINIFS(업무일지!$B$5:$B$1004,업무일지!$G$5:$G$1004,$A22),""))</f>
        <v/>
      </c>
      <c r="O22" s="42" t="str">
        <f aca="false">IF($A22="","",IFERROR(_xlfn.MAXIFS(업무일지!$C$5:$C$1004,업무일지!$G$5:$G$1004,$A22),""))</f>
        <v/>
      </c>
      <c r="P22" s="26" t="str">
        <f aca="false">IF($A22="","",IF(OR(N22="",O22="",O22=0),"",O22-N22+1))</f>
        <v/>
      </c>
      <c r="Q22" s="26" t="str">
        <f aca="false">IF($A22="","",IF(H22=0,"미기록",IF(COUNTIFS(업무일지!$G$5:$G$1004,$A22,업무일지!$S$5:$S$1004,"진행중")&gt;0,"진행중",IF(COUNTIFS(업무일지!$G$5:$G$1004,$A22,업무일지!$S$5:$S$1004,"보류")&gt;0,"보류","완료"))))</f>
        <v/>
      </c>
    </row>
    <row r="23" customFormat="false" ht="15" hidden="false" customHeight="false" outlineLevel="0" collapsed="false">
      <c r="A23" s="43"/>
      <c r="B23" s="35" t="str">
        <f aca="false">IFERROR(INDEX(업무일지!$F$5:$F$1004,MATCH($A23,업무일지!$G$5:$G$1004,0)),"")</f>
        <v/>
      </c>
      <c r="C23" s="23" t="str">
        <f aca="false">IFERROR(INDEX(업무일지!$H$5:$H$1004,MATCH($A23,업무일지!$G$5:$G$1004,0)),"")</f>
        <v/>
      </c>
      <c r="D23" s="23" t="str">
        <f aca="false">IFERROR(INDEX(업무일지!$I$5:$I$1004,MATCH($A23,업무일지!$G$5:$G$1004,0)),"")</f>
        <v/>
      </c>
      <c r="E23" s="23" t="str">
        <f aca="false">IF($A23="","",SUMPRODUCT((코드설정!$C$5:$C$24&lt;&gt;"")*((COUNTIFS(업무일지!$G$5:$G$1004,$A23,업무일지!$I$5:$I$1004,코드설정!$C$5:$C$24)+COUNTIFS(업무일지!$G$5:$G$1004,$A23,업무일지!$J$5:$J$1004,"*"&amp;코드설정!$C$5:$C$24&amp;"*"))&gt;0)))</f>
        <v/>
      </c>
      <c r="F23" s="23" t="str">
        <f aca="false">IF($A23="","",COUNTIFS(업무일지!$G$5:$G$1004,$A23,업무일지!$D$5:$D$1004,"출장"))</f>
        <v/>
      </c>
      <c r="G23" s="23" t="str">
        <f aca="false">IF($A23="","",COUNTIFS(업무일지!$G$5:$G$1004,$A23,업무일지!$D$5:$D$1004,"분석"))</f>
        <v/>
      </c>
      <c r="H23" s="23" t="str">
        <f aca="false">IF($A23="","",F23+G23)</f>
        <v/>
      </c>
      <c r="I23" s="24" t="str">
        <f aca="false">IF($A23="","",SUMIFS(업무일지!$P$5:$P$1004,업무일지!$G$5:$G$1004,$A23,업무일지!$D$5:$D$1004,"출장"))</f>
        <v/>
      </c>
      <c r="J23" s="24" t="str">
        <f aca="false">IF($A23="","",SUMIFS(업무일지!$R$5:$R$1004,업무일지!$G$5:$G$1004,$A23))</f>
        <v/>
      </c>
      <c r="K23" s="23" t="str">
        <f aca="false">IF($A23="","",SUMIFS(업무일지!$N$5:$N$1004,업무일지!$G$5:$G$1004,$A23))</f>
        <v/>
      </c>
      <c r="L23" s="23" t="str">
        <f aca="false">IF($A23="","",SUMIFS(업무일지!$O$5:$O$1004,업무일지!$G$5:$G$1004,$A23))</f>
        <v/>
      </c>
      <c r="M23" s="23" t="str">
        <f aca="false">IF($A23="","",SUMIFS(업무일지!$T$5:$T$1004,업무일지!$G$5:$G$1004,$A23))</f>
        <v/>
      </c>
      <c r="N23" s="44" t="str">
        <f aca="false">IF($A23="","",IFERROR(_xlfn.MINIFS(업무일지!$B$5:$B$1004,업무일지!$G$5:$G$1004,$A23),""))</f>
        <v/>
      </c>
      <c r="O23" s="44" t="str">
        <f aca="false">IF($A23="","",IFERROR(_xlfn.MAXIFS(업무일지!$C$5:$C$1004,업무일지!$G$5:$G$1004,$A23),""))</f>
        <v/>
      </c>
      <c r="P23" s="23" t="str">
        <f aca="false">IF($A23="","",IF(OR(N23="",O23="",O23=0),"",O23-N23+1))</f>
        <v/>
      </c>
      <c r="Q23" s="23" t="str">
        <f aca="false">IF($A23="","",IF(H23=0,"미기록",IF(COUNTIFS(업무일지!$G$5:$G$1004,$A23,업무일지!$S$5:$S$1004,"진행중")&gt;0,"진행중",IF(COUNTIFS(업무일지!$G$5:$G$1004,$A23,업무일지!$S$5:$S$1004,"보류")&gt;0,"보류","완료"))))</f>
        <v/>
      </c>
    </row>
    <row r="24" customFormat="false" ht="15" hidden="false" customHeight="false" outlineLevel="0" collapsed="false">
      <c r="A24" s="41"/>
      <c r="B24" s="32" t="str">
        <f aca="false">IFERROR(INDEX(업무일지!$F$5:$F$1004,MATCH($A24,업무일지!$G$5:$G$1004,0)),"")</f>
        <v/>
      </c>
      <c r="C24" s="26" t="str">
        <f aca="false">IFERROR(INDEX(업무일지!$H$5:$H$1004,MATCH($A24,업무일지!$G$5:$G$1004,0)),"")</f>
        <v/>
      </c>
      <c r="D24" s="26" t="str">
        <f aca="false">IFERROR(INDEX(업무일지!$I$5:$I$1004,MATCH($A24,업무일지!$G$5:$G$1004,0)),"")</f>
        <v/>
      </c>
      <c r="E24" s="26" t="str">
        <f aca="false">IF($A24="","",SUMPRODUCT((코드설정!$C$5:$C$24&lt;&gt;"")*((COUNTIFS(업무일지!$G$5:$G$1004,$A24,업무일지!$I$5:$I$1004,코드설정!$C$5:$C$24)+COUNTIFS(업무일지!$G$5:$G$1004,$A24,업무일지!$J$5:$J$1004,"*"&amp;코드설정!$C$5:$C$24&amp;"*"))&gt;0)))</f>
        <v/>
      </c>
      <c r="F24" s="26" t="str">
        <f aca="false">IF($A24="","",COUNTIFS(업무일지!$G$5:$G$1004,$A24,업무일지!$D$5:$D$1004,"출장"))</f>
        <v/>
      </c>
      <c r="G24" s="26" t="str">
        <f aca="false">IF($A24="","",COUNTIFS(업무일지!$G$5:$G$1004,$A24,업무일지!$D$5:$D$1004,"분석"))</f>
        <v/>
      </c>
      <c r="H24" s="26" t="str">
        <f aca="false">IF($A24="","",F24+G24)</f>
        <v/>
      </c>
      <c r="I24" s="27" t="str">
        <f aca="false">IF($A24="","",SUMIFS(업무일지!$P$5:$P$1004,업무일지!$G$5:$G$1004,$A24,업무일지!$D$5:$D$1004,"출장"))</f>
        <v/>
      </c>
      <c r="J24" s="27" t="str">
        <f aca="false">IF($A24="","",SUMIFS(업무일지!$R$5:$R$1004,업무일지!$G$5:$G$1004,$A24))</f>
        <v/>
      </c>
      <c r="K24" s="26" t="str">
        <f aca="false">IF($A24="","",SUMIFS(업무일지!$N$5:$N$1004,업무일지!$G$5:$G$1004,$A24))</f>
        <v/>
      </c>
      <c r="L24" s="26" t="str">
        <f aca="false">IF($A24="","",SUMIFS(업무일지!$O$5:$O$1004,업무일지!$G$5:$G$1004,$A24))</f>
        <v/>
      </c>
      <c r="M24" s="26" t="str">
        <f aca="false">IF($A24="","",SUMIFS(업무일지!$T$5:$T$1004,업무일지!$G$5:$G$1004,$A24))</f>
        <v/>
      </c>
      <c r="N24" s="42" t="str">
        <f aca="false">IF($A24="","",IFERROR(_xlfn.MINIFS(업무일지!$B$5:$B$1004,업무일지!$G$5:$G$1004,$A24),""))</f>
        <v/>
      </c>
      <c r="O24" s="42" t="str">
        <f aca="false">IF($A24="","",IFERROR(_xlfn.MAXIFS(업무일지!$C$5:$C$1004,업무일지!$G$5:$G$1004,$A24),""))</f>
        <v/>
      </c>
      <c r="P24" s="26" t="str">
        <f aca="false">IF($A24="","",IF(OR(N24="",O24="",O24=0),"",O24-N24+1))</f>
        <v/>
      </c>
      <c r="Q24" s="26" t="str">
        <f aca="false">IF($A24="","",IF(H24=0,"미기록",IF(COUNTIFS(업무일지!$G$5:$G$1004,$A24,업무일지!$S$5:$S$1004,"진행중")&gt;0,"진행중",IF(COUNTIFS(업무일지!$G$5:$G$1004,$A24,업무일지!$S$5:$S$1004,"보류")&gt;0,"보류","완료"))))</f>
        <v/>
      </c>
    </row>
    <row r="25" customFormat="false" ht="15" hidden="false" customHeight="false" outlineLevel="0" collapsed="false">
      <c r="A25" s="43"/>
      <c r="B25" s="35" t="str">
        <f aca="false">IFERROR(INDEX(업무일지!$F$5:$F$1004,MATCH($A25,업무일지!$G$5:$G$1004,0)),"")</f>
        <v/>
      </c>
      <c r="C25" s="23" t="str">
        <f aca="false">IFERROR(INDEX(업무일지!$H$5:$H$1004,MATCH($A25,업무일지!$G$5:$G$1004,0)),"")</f>
        <v/>
      </c>
      <c r="D25" s="23" t="str">
        <f aca="false">IFERROR(INDEX(업무일지!$I$5:$I$1004,MATCH($A25,업무일지!$G$5:$G$1004,0)),"")</f>
        <v/>
      </c>
      <c r="E25" s="23" t="str">
        <f aca="false">IF($A25="","",SUMPRODUCT((코드설정!$C$5:$C$24&lt;&gt;"")*((COUNTIFS(업무일지!$G$5:$G$1004,$A25,업무일지!$I$5:$I$1004,코드설정!$C$5:$C$24)+COUNTIFS(업무일지!$G$5:$G$1004,$A25,업무일지!$J$5:$J$1004,"*"&amp;코드설정!$C$5:$C$24&amp;"*"))&gt;0)))</f>
        <v/>
      </c>
      <c r="F25" s="23" t="str">
        <f aca="false">IF($A25="","",COUNTIFS(업무일지!$G$5:$G$1004,$A25,업무일지!$D$5:$D$1004,"출장"))</f>
        <v/>
      </c>
      <c r="G25" s="23" t="str">
        <f aca="false">IF($A25="","",COUNTIFS(업무일지!$G$5:$G$1004,$A25,업무일지!$D$5:$D$1004,"분석"))</f>
        <v/>
      </c>
      <c r="H25" s="23" t="str">
        <f aca="false">IF($A25="","",F25+G25)</f>
        <v/>
      </c>
      <c r="I25" s="24" t="str">
        <f aca="false">IF($A25="","",SUMIFS(업무일지!$P$5:$P$1004,업무일지!$G$5:$G$1004,$A25,업무일지!$D$5:$D$1004,"출장"))</f>
        <v/>
      </c>
      <c r="J25" s="24" t="str">
        <f aca="false">IF($A25="","",SUMIFS(업무일지!$R$5:$R$1004,업무일지!$G$5:$G$1004,$A25))</f>
        <v/>
      </c>
      <c r="K25" s="23" t="str">
        <f aca="false">IF($A25="","",SUMIFS(업무일지!$N$5:$N$1004,업무일지!$G$5:$G$1004,$A25))</f>
        <v/>
      </c>
      <c r="L25" s="23" t="str">
        <f aca="false">IF($A25="","",SUMIFS(업무일지!$O$5:$O$1004,업무일지!$G$5:$G$1004,$A25))</f>
        <v/>
      </c>
      <c r="M25" s="23" t="str">
        <f aca="false">IF($A25="","",SUMIFS(업무일지!$T$5:$T$1004,업무일지!$G$5:$G$1004,$A25))</f>
        <v/>
      </c>
      <c r="N25" s="44" t="str">
        <f aca="false">IF($A25="","",IFERROR(_xlfn.MINIFS(업무일지!$B$5:$B$1004,업무일지!$G$5:$G$1004,$A25),""))</f>
        <v/>
      </c>
      <c r="O25" s="44" t="str">
        <f aca="false">IF($A25="","",IFERROR(_xlfn.MAXIFS(업무일지!$C$5:$C$1004,업무일지!$G$5:$G$1004,$A25),""))</f>
        <v/>
      </c>
      <c r="P25" s="23" t="str">
        <f aca="false">IF($A25="","",IF(OR(N25="",O25="",O25=0),"",O25-N25+1))</f>
        <v/>
      </c>
      <c r="Q25" s="23" t="str">
        <f aca="false">IF($A25="","",IF(H25=0,"미기록",IF(COUNTIFS(업무일지!$G$5:$G$1004,$A25,업무일지!$S$5:$S$1004,"진행중")&gt;0,"진행중",IF(COUNTIFS(업무일지!$G$5:$G$1004,$A25,업무일지!$S$5:$S$1004,"보류")&gt;0,"보류","완료"))))</f>
        <v/>
      </c>
    </row>
    <row r="26" customFormat="false" ht="15" hidden="false" customHeight="false" outlineLevel="0" collapsed="false">
      <c r="A26" s="41"/>
      <c r="B26" s="32" t="str">
        <f aca="false">IFERROR(INDEX(업무일지!$F$5:$F$1004,MATCH($A26,업무일지!$G$5:$G$1004,0)),"")</f>
        <v/>
      </c>
      <c r="C26" s="26" t="str">
        <f aca="false">IFERROR(INDEX(업무일지!$H$5:$H$1004,MATCH($A26,업무일지!$G$5:$G$1004,0)),"")</f>
        <v/>
      </c>
      <c r="D26" s="26" t="str">
        <f aca="false">IFERROR(INDEX(업무일지!$I$5:$I$1004,MATCH($A26,업무일지!$G$5:$G$1004,0)),"")</f>
        <v/>
      </c>
      <c r="E26" s="26" t="str">
        <f aca="false">IF($A26="","",SUMPRODUCT((코드설정!$C$5:$C$24&lt;&gt;"")*((COUNTIFS(업무일지!$G$5:$G$1004,$A26,업무일지!$I$5:$I$1004,코드설정!$C$5:$C$24)+COUNTIFS(업무일지!$G$5:$G$1004,$A26,업무일지!$J$5:$J$1004,"*"&amp;코드설정!$C$5:$C$24&amp;"*"))&gt;0)))</f>
        <v/>
      </c>
      <c r="F26" s="26" t="str">
        <f aca="false">IF($A26="","",COUNTIFS(업무일지!$G$5:$G$1004,$A26,업무일지!$D$5:$D$1004,"출장"))</f>
        <v/>
      </c>
      <c r="G26" s="26" t="str">
        <f aca="false">IF($A26="","",COUNTIFS(업무일지!$G$5:$G$1004,$A26,업무일지!$D$5:$D$1004,"분석"))</f>
        <v/>
      </c>
      <c r="H26" s="26" t="str">
        <f aca="false">IF($A26="","",F26+G26)</f>
        <v/>
      </c>
      <c r="I26" s="27" t="str">
        <f aca="false">IF($A26="","",SUMIFS(업무일지!$P$5:$P$1004,업무일지!$G$5:$G$1004,$A26,업무일지!$D$5:$D$1004,"출장"))</f>
        <v/>
      </c>
      <c r="J26" s="27" t="str">
        <f aca="false">IF($A26="","",SUMIFS(업무일지!$R$5:$R$1004,업무일지!$G$5:$G$1004,$A26))</f>
        <v/>
      </c>
      <c r="K26" s="26" t="str">
        <f aca="false">IF($A26="","",SUMIFS(업무일지!$N$5:$N$1004,업무일지!$G$5:$G$1004,$A26))</f>
        <v/>
      </c>
      <c r="L26" s="26" t="str">
        <f aca="false">IF($A26="","",SUMIFS(업무일지!$O$5:$O$1004,업무일지!$G$5:$G$1004,$A26))</f>
        <v/>
      </c>
      <c r="M26" s="26" t="str">
        <f aca="false">IF($A26="","",SUMIFS(업무일지!$T$5:$T$1004,업무일지!$G$5:$G$1004,$A26))</f>
        <v/>
      </c>
      <c r="N26" s="42" t="str">
        <f aca="false">IF($A26="","",IFERROR(_xlfn.MINIFS(업무일지!$B$5:$B$1004,업무일지!$G$5:$G$1004,$A26),""))</f>
        <v/>
      </c>
      <c r="O26" s="42" t="str">
        <f aca="false">IF($A26="","",IFERROR(_xlfn.MAXIFS(업무일지!$C$5:$C$1004,업무일지!$G$5:$G$1004,$A26),""))</f>
        <v/>
      </c>
      <c r="P26" s="26" t="str">
        <f aca="false">IF($A26="","",IF(OR(N26="",O26="",O26=0),"",O26-N26+1))</f>
        <v/>
      </c>
      <c r="Q26" s="26" t="str">
        <f aca="false">IF($A26="","",IF(H26=0,"미기록",IF(COUNTIFS(업무일지!$G$5:$G$1004,$A26,업무일지!$S$5:$S$1004,"진행중")&gt;0,"진행중",IF(COUNTIFS(업무일지!$G$5:$G$1004,$A26,업무일지!$S$5:$S$1004,"보류")&gt;0,"보류","완료"))))</f>
        <v/>
      </c>
    </row>
    <row r="27" customFormat="false" ht="15" hidden="false" customHeight="false" outlineLevel="0" collapsed="false">
      <c r="A27" s="43"/>
      <c r="B27" s="35" t="str">
        <f aca="false">IFERROR(INDEX(업무일지!$F$5:$F$1004,MATCH($A27,업무일지!$G$5:$G$1004,0)),"")</f>
        <v/>
      </c>
      <c r="C27" s="23" t="str">
        <f aca="false">IFERROR(INDEX(업무일지!$H$5:$H$1004,MATCH($A27,업무일지!$G$5:$G$1004,0)),"")</f>
        <v/>
      </c>
      <c r="D27" s="23" t="str">
        <f aca="false">IFERROR(INDEX(업무일지!$I$5:$I$1004,MATCH($A27,업무일지!$G$5:$G$1004,0)),"")</f>
        <v/>
      </c>
      <c r="E27" s="23" t="str">
        <f aca="false">IF($A27="","",SUMPRODUCT((코드설정!$C$5:$C$24&lt;&gt;"")*((COUNTIFS(업무일지!$G$5:$G$1004,$A27,업무일지!$I$5:$I$1004,코드설정!$C$5:$C$24)+COUNTIFS(업무일지!$G$5:$G$1004,$A27,업무일지!$J$5:$J$1004,"*"&amp;코드설정!$C$5:$C$24&amp;"*"))&gt;0)))</f>
        <v/>
      </c>
      <c r="F27" s="23" t="str">
        <f aca="false">IF($A27="","",COUNTIFS(업무일지!$G$5:$G$1004,$A27,업무일지!$D$5:$D$1004,"출장"))</f>
        <v/>
      </c>
      <c r="G27" s="23" t="str">
        <f aca="false">IF($A27="","",COUNTIFS(업무일지!$G$5:$G$1004,$A27,업무일지!$D$5:$D$1004,"분석"))</f>
        <v/>
      </c>
      <c r="H27" s="23" t="str">
        <f aca="false">IF($A27="","",F27+G27)</f>
        <v/>
      </c>
      <c r="I27" s="24" t="str">
        <f aca="false">IF($A27="","",SUMIFS(업무일지!$P$5:$P$1004,업무일지!$G$5:$G$1004,$A27,업무일지!$D$5:$D$1004,"출장"))</f>
        <v/>
      </c>
      <c r="J27" s="24" t="str">
        <f aca="false">IF($A27="","",SUMIFS(업무일지!$R$5:$R$1004,업무일지!$G$5:$G$1004,$A27))</f>
        <v/>
      </c>
      <c r="K27" s="23" t="str">
        <f aca="false">IF($A27="","",SUMIFS(업무일지!$N$5:$N$1004,업무일지!$G$5:$G$1004,$A27))</f>
        <v/>
      </c>
      <c r="L27" s="23" t="str">
        <f aca="false">IF($A27="","",SUMIFS(업무일지!$O$5:$O$1004,업무일지!$G$5:$G$1004,$A27))</f>
        <v/>
      </c>
      <c r="M27" s="23" t="str">
        <f aca="false">IF($A27="","",SUMIFS(업무일지!$T$5:$T$1004,업무일지!$G$5:$G$1004,$A27))</f>
        <v/>
      </c>
      <c r="N27" s="44" t="str">
        <f aca="false">IF($A27="","",IFERROR(_xlfn.MINIFS(업무일지!$B$5:$B$1004,업무일지!$G$5:$G$1004,$A27),""))</f>
        <v/>
      </c>
      <c r="O27" s="44" t="str">
        <f aca="false">IF($A27="","",IFERROR(_xlfn.MAXIFS(업무일지!$C$5:$C$1004,업무일지!$G$5:$G$1004,$A27),""))</f>
        <v/>
      </c>
      <c r="P27" s="23" t="str">
        <f aca="false">IF($A27="","",IF(OR(N27="",O27="",O27=0),"",O27-N27+1))</f>
        <v/>
      </c>
      <c r="Q27" s="23" t="str">
        <f aca="false">IF($A27="","",IF(H27=0,"미기록",IF(COUNTIFS(업무일지!$G$5:$G$1004,$A27,업무일지!$S$5:$S$1004,"진행중")&gt;0,"진행중",IF(COUNTIFS(업무일지!$G$5:$G$1004,$A27,업무일지!$S$5:$S$1004,"보류")&gt;0,"보류","완료"))))</f>
        <v/>
      </c>
    </row>
    <row r="28" customFormat="false" ht="15" hidden="false" customHeight="false" outlineLevel="0" collapsed="false">
      <c r="A28" s="41"/>
      <c r="B28" s="32" t="str">
        <f aca="false">IFERROR(INDEX(업무일지!$F$5:$F$1004,MATCH($A28,업무일지!$G$5:$G$1004,0)),"")</f>
        <v/>
      </c>
      <c r="C28" s="26" t="str">
        <f aca="false">IFERROR(INDEX(업무일지!$H$5:$H$1004,MATCH($A28,업무일지!$G$5:$G$1004,0)),"")</f>
        <v/>
      </c>
      <c r="D28" s="26" t="str">
        <f aca="false">IFERROR(INDEX(업무일지!$I$5:$I$1004,MATCH($A28,업무일지!$G$5:$G$1004,0)),"")</f>
        <v/>
      </c>
      <c r="E28" s="26" t="str">
        <f aca="false">IF($A28="","",SUMPRODUCT((코드설정!$C$5:$C$24&lt;&gt;"")*((COUNTIFS(업무일지!$G$5:$G$1004,$A28,업무일지!$I$5:$I$1004,코드설정!$C$5:$C$24)+COUNTIFS(업무일지!$G$5:$G$1004,$A28,업무일지!$J$5:$J$1004,"*"&amp;코드설정!$C$5:$C$24&amp;"*"))&gt;0)))</f>
        <v/>
      </c>
      <c r="F28" s="26" t="str">
        <f aca="false">IF($A28="","",COUNTIFS(업무일지!$G$5:$G$1004,$A28,업무일지!$D$5:$D$1004,"출장"))</f>
        <v/>
      </c>
      <c r="G28" s="26" t="str">
        <f aca="false">IF($A28="","",COUNTIFS(업무일지!$G$5:$G$1004,$A28,업무일지!$D$5:$D$1004,"분석"))</f>
        <v/>
      </c>
      <c r="H28" s="26" t="str">
        <f aca="false">IF($A28="","",F28+G28)</f>
        <v/>
      </c>
      <c r="I28" s="27" t="str">
        <f aca="false">IF($A28="","",SUMIFS(업무일지!$P$5:$P$1004,업무일지!$G$5:$G$1004,$A28,업무일지!$D$5:$D$1004,"출장"))</f>
        <v/>
      </c>
      <c r="J28" s="27" t="str">
        <f aca="false">IF($A28="","",SUMIFS(업무일지!$R$5:$R$1004,업무일지!$G$5:$G$1004,$A28))</f>
        <v/>
      </c>
      <c r="K28" s="26" t="str">
        <f aca="false">IF($A28="","",SUMIFS(업무일지!$N$5:$N$1004,업무일지!$G$5:$G$1004,$A28))</f>
        <v/>
      </c>
      <c r="L28" s="26" t="str">
        <f aca="false">IF($A28="","",SUMIFS(업무일지!$O$5:$O$1004,업무일지!$G$5:$G$1004,$A28))</f>
        <v/>
      </c>
      <c r="M28" s="26" t="str">
        <f aca="false">IF($A28="","",SUMIFS(업무일지!$T$5:$T$1004,업무일지!$G$5:$G$1004,$A28))</f>
        <v/>
      </c>
      <c r="N28" s="42" t="str">
        <f aca="false">IF($A28="","",IFERROR(_xlfn.MINIFS(업무일지!$B$5:$B$1004,업무일지!$G$5:$G$1004,$A28),""))</f>
        <v/>
      </c>
      <c r="O28" s="42" t="str">
        <f aca="false">IF($A28="","",IFERROR(_xlfn.MAXIFS(업무일지!$C$5:$C$1004,업무일지!$G$5:$G$1004,$A28),""))</f>
        <v/>
      </c>
      <c r="P28" s="26" t="str">
        <f aca="false">IF($A28="","",IF(OR(N28="",O28="",O28=0),"",O28-N28+1))</f>
        <v/>
      </c>
      <c r="Q28" s="26" t="str">
        <f aca="false">IF($A28="","",IF(H28=0,"미기록",IF(COUNTIFS(업무일지!$G$5:$G$1004,$A28,업무일지!$S$5:$S$1004,"진행중")&gt;0,"진행중",IF(COUNTIFS(업무일지!$G$5:$G$1004,$A28,업무일지!$S$5:$S$1004,"보류")&gt;0,"보류","완료"))))</f>
        <v/>
      </c>
    </row>
    <row r="29" customFormat="false" ht="15" hidden="false" customHeight="false" outlineLevel="0" collapsed="false">
      <c r="A29" s="43"/>
      <c r="B29" s="35" t="str">
        <f aca="false">IFERROR(INDEX(업무일지!$F$5:$F$1004,MATCH($A29,업무일지!$G$5:$G$1004,0)),"")</f>
        <v/>
      </c>
      <c r="C29" s="23" t="str">
        <f aca="false">IFERROR(INDEX(업무일지!$H$5:$H$1004,MATCH($A29,업무일지!$G$5:$G$1004,0)),"")</f>
        <v/>
      </c>
      <c r="D29" s="23" t="str">
        <f aca="false">IFERROR(INDEX(업무일지!$I$5:$I$1004,MATCH($A29,업무일지!$G$5:$G$1004,0)),"")</f>
        <v/>
      </c>
      <c r="E29" s="23" t="str">
        <f aca="false">IF($A29="","",SUMPRODUCT((코드설정!$C$5:$C$24&lt;&gt;"")*((COUNTIFS(업무일지!$G$5:$G$1004,$A29,업무일지!$I$5:$I$1004,코드설정!$C$5:$C$24)+COUNTIFS(업무일지!$G$5:$G$1004,$A29,업무일지!$J$5:$J$1004,"*"&amp;코드설정!$C$5:$C$24&amp;"*"))&gt;0)))</f>
        <v/>
      </c>
      <c r="F29" s="23" t="str">
        <f aca="false">IF($A29="","",COUNTIFS(업무일지!$G$5:$G$1004,$A29,업무일지!$D$5:$D$1004,"출장"))</f>
        <v/>
      </c>
      <c r="G29" s="23" t="str">
        <f aca="false">IF($A29="","",COUNTIFS(업무일지!$G$5:$G$1004,$A29,업무일지!$D$5:$D$1004,"분석"))</f>
        <v/>
      </c>
      <c r="H29" s="23" t="str">
        <f aca="false">IF($A29="","",F29+G29)</f>
        <v/>
      </c>
      <c r="I29" s="24" t="str">
        <f aca="false">IF($A29="","",SUMIFS(업무일지!$P$5:$P$1004,업무일지!$G$5:$G$1004,$A29,업무일지!$D$5:$D$1004,"출장"))</f>
        <v/>
      </c>
      <c r="J29" s="24" t="str">
        <f aca="false">IF($A29="","",SUMIFS(업무일지!$R$5:$R$1004,업무일지!$G$5:$G$1004,$A29))</f>
        <v/>
      </c>
      <c r="K29" s="23" t="str">
        <f aca="false">IF($A29="","",SUMIFS(업무일지!$N$5:$N$1004,업무일지!$G$5:$G$1004,$A29))</f>
        <v/>
      </c>
      <c r="L29" s="23" t="str">
        <f aca="false">IF($A29="","",SUMIFS(업무일지!$O$5:$O$1004,업무일지!$G$5:$G$1004,$A29))</f>
        <v/>
      </c>
      <c r="M29" s="23" t="str">
        <f aca="false">IF($A29="","",SUMIFS(업무일지!$T$5:$T$1004,업무일지!$G$5:$G$1004,$A29))</f>
        <v/>
      </c>
      <c r="N29" s="44" t="str">
        <f aca="false">IF($A29="","",IFERROR(_xlfn.MINIFS(업무일지!$B$5:$B$1004,업무일지!$G$5:$G$1004,$A29),""))</f>
        <v/>
      </c>
      <c r="O29" s="44" t="str">
        <f aca="false">IF($A29="","",IFERROR(_xlfn.MAXIFS(업무일지!$C$5:$C$1004,업무일지!$G$5:$G$1004,$A29),""))</f>
        <v/>
      </c>
      <c r="P29" s="23" t="str">
        <f aca="false">IF($A29="","",IF(OR(N29="",O29="",O29=0),"",O29-N29+1))</f>
        <v/>
      </c>
      <c r="Q29" s="23" t="str">
        <f aca="false">IF($A29="","",IF(H29=0,"미기록",IF(COUNTIFS(업무일지!$G$5:$G$1004,$A29,업무일지!$S$5:$S$1004,"진행중")&gt;0,"진행중",IF(COUNTIFS(업무일지!$G$5:$G$1004,$A29,업무일지!$S$5:$S$1004,"보류")&gt;0,"보류","완료"))))</f>
        <v/>
      </c>
    </row>
    <row r="30" customFormat="false" ht="15" hidden="false" customHeight="false" outlineLevel="0" collapsed="false">
      <c r="A30" s="41"/>
      <c r="B30" s="32" t="str">
        <f aca="false">IFERROR(INDEX(업무일지!$F$5:$F$1004,MATCH($A30,업무일지!$G$5:$G$1004,0)),"")</f>
        <v/>
      </c>
      <c r="C30" s="26" t="str">
        <f aca="false">IFERROR(INDEX(업무일지!$H$5:$H$1004,MATCH($A30,업무일지!$G$5:$G$1004,0)),"")</f>
        <v/>
      </c>
      <c r="D30" s="26" t="str">
        <f aca="false">IFERROR(INDEX(업무일지!$I$5:$I$1004,MATCH($A30,업무일지!$G$5:$G$1004,0)),"")</f>
        <v/>
      </c>
      <c r="E30" s="26" t="str">
        <f aca="false">IF($A30="","",SUMPRODUCT((코드설정!$C$5:$C$24&lt;&gt;"")*((COUNTIFS(업무일지!$G$5:$G$1004,$A30,업무일지!$I$5:$I$1004,코드설정!$C$5:$C$24)+COUNTIFS(업무일지!$G$5:$G$1004,$A30,업무일지!$J$5:$J$1004,"*"&amp;코드설정!$C$5:$C$24&amp;"*"))&gt;0)))</f>
        <v/>
      </c>
      <c r="F30" s="26" t="str">
        <f aca="false">IF($A30="","",COUNTIFS(업무일지!$G$5:$G$1004,$A30,업무일지!$D$5:$D$1004,"출장"))</f>
        <v/>
      </c>
      <c r="G30" s="26" t="str">
        <f aca="false">IF($A30="","",COUNTIFS(업무일지!$G$5:$G$1004,$A30,업무일지!$D$5:$D$1004,"분석"))</f>
        <v/>
      </c>
      <c r="H30" s="26" t="str">
        <f aca="false">IF($A30="","",F30+G30)</f>
        <v/>
      </c>
      <c r="I30" s="27" t="str">
        <f aca="false">IF($A30="","",SUMIFS(업무일지!$P$5:$P$1004,업무일지!$G$5:$G$1004,$A30,업무일지!$D$5:$D$1004,"출장"))</f>
        <v/>
      </c>
      <c r="J30" s="27" t="str">
        <f aca="false">IF($A30="","",SUMIFS(업무일지!$R$5:$R$1004,업무일지!$G$5:$G$1004,$A30))</f>
        <v/>
      </c>
      <c r="K30" s="26" t="str">
        <f aca="false">IF($A30="","",SUMIFS(업무일지!$N$5:$N$1004,업무일지!$G$5:$G$1004,$A30))</f>
        <v/>
      </c>
      <c r="L30" s="26" t="str">
        <f aca="false">IF($A30="","",SUMIFS(업무일지!$O$5:$O$1004,업무일지!$G$5:$G$1004,$A30))</f>
        <v/>
      </c>
      <c r="M30" s="26" t="str">
        <f aca="false">IF($A30="","",SUMIFS(업무일지!$T$5:$T$1004,업무일지!$G$5:$G$1004,$A30))</f>
        <v/>
      </c>
      <c r="N30" s="42" t="str">
        <f aca="false">IF($A30="","",IFERROR(_xlfn.MINIFS(업무일지!$B$5:$B$1004,업무일지!$G$5:$G$1004,$A30),""))</f>
        <v/>
      </c>
      <c r="O30" s="42" t="str">
        <f aca="false">IF($A30="","",IFERROR(_xlfn.MAXIFS(업무일지!$C$5:$C$1004,업무일지!$G$5:$G$1004,$A30),""))</f>
        <v/>
      </c>
      <c r="P30" s="26" t="str">
        <f aca="false">IF($A30="","",IF(OR(N30="",O30="",O30=0),"",O30-N30+1))</f>
        <v/>
      </c>
      <c r="Q30" s="26" t="str">
        <f aca="false">IF($A30="","",IF(H30=0,"미기록",IF(COUNTIFS(업무일지!$G$5:$G$1004,$A30,업무일지!$S$5:$S$1004,"진행중")&gt;0,"진행중",IF(COUNTIFS(업무일지!$G$5:$G$1004,$A30,업무일지!$S$5:$S$1004,"보류")&gt;0,"보류","완료"))))</f>
        <v/>
      </c>
    </row>
    <row r="31" customFormat="false" ht="15" hidden="false" customHeight="false" outlineLevel="0" collapsed="false">
      <c r="A31" s="43"/>
      <c r="B31" s="35" t="str">
        <f aca="false">IFERROR(INDEX(업무일지!$F$5:$F$1004,MATCH($A31,업무일지!$G$5:$G$1004,0)),"")</f>
        <v/>
      </c>
      <c r="C31" s="23" t="str">
        <f aca="false">IFERROR(INDEX(업무일지!$H$5:$H$1004,MATCH($A31,업무일지!$G$5:$G$1004,0)),"")</f>
        <v/>
      </c>
      <c r="D31" s="23" t="str">
        <f aca="false">IFERROR(INDEX(업무일지!$I$5:$I$1004,MATCH($A31,업무일지!$G$5:$G$1004,0)),"")</f>
        <v/>
      </c>
      <c r="E31" s="23" t="str">
        <f aca="false">IF($A31="","",SUMPRODUCT((코드설정!$C$5:$C$24&lt;&gt;"")*((COUNTIFS(업무일지!$G$5:$G$1004,$A31,업무일지!$I$5:$I$1004,코드설정!$C$5:$C$24)+COUNTIFS(업무일지!$G$5:$G$1004,$A31,업무일지!$J$5:$J$1004,"*"&amp;코드설정!$C$5:$C$24&amp;"*"))&gt;0)))</f>
        <v/>
      </c>
      <c r="F31" s="23" t="str">
        <f aca="false">IF($A31="","",COUNTIFS(업무일지!$G$5:$G$1004,$A31,업무일지!$D$5:$D$1004,"출장"))</f>
        <v/>
      </c>
      <c r="G31" s="23" t="str">
        <f aca="false">IF($A31="","",COUNTIFS(업무일지!$G$5:$G$1004,$A31,업무일지!$D$5:$D$1004,"분석"))</f>
        <v/>
      </c>
      <c r="H31" s="23" t="str">
        <f aca="false">IF($A31="","",F31+G31)</f>
        <v/>
      </c>
      <c r="I31" s="24" t="str">
        <f aca="false">IF($A31="","",SUMIFS(업무일지!$P$5:$P$1004,업무일지!$G$5:$G$1004,$A31,업무일지!$D$5:$D$1004,"출장"))</f>
        <v/>
      </c>
      <c r="J31" s="24" t="str">
        <f aca="false">IF($A31="","",SUMIFS(업무일지!$R$5:$R$1004,업무일지!$G$5:$G$1004,$A31))</f>
        <v/>
      </c>
      <c r="K31" s="23" t="str">
        <f aca="false">IF($A31="","",SUMIFS(업무일지!$N$5:$N$1004,업무일지!$G$5:$G$1004,$A31))</f>
        <v/>
      </c>
      <c r="L31" s="23" t="str">
        <f aca="false">IF($A31="","",SUMIFS(업무일지!$O$5:$O$1004,업무일지!$G$5:$G$1004,$A31))</f>
        <v/>
      </c>
      <c r="M31" s="23" t="str">
        <f aca="false">IF($A31="","",SUMIFS(업무일지!$T$5:$T$1004,업무일지!$G$5:$G$1004,$A31))</f>
        <v/>
      </c>
      <c r="N31" s="44" t="str">
        <f aca="false">IF($A31="","",IFERROR(_xlfn.MINIFS(업무일지!$B$5:$B$1004,업무일지!$G$5:$G$1004,$A31),""))</f>
        <v/>
      </c>
      <c r="O31" s="44" t="str">
        <f aca="false">IF($A31="","",IFERROR(_xlfn.MAXIFS(업무일지!$C$5:$C$1004,업무일지!$G$5:$G$1004,$A31),""))</f>
        <v/>
      </c>
      <c r="P31" s="23" t="str">
        <f aca="false">IF($A31="","",IF(OR(N31="",O31="",O31=0),"",O31-N31+1))</f>
        <v/>
      </c>
      <c r="Q31" s="23" t="str">
        <f aca="false">IF($A31="","",IF(H31=0,"미기록",IF(COUNTIFS(업무일지!$G$5:$G$1004,$A31,업무일지!$S$5:$S$1004,"진행중")&gt;0,"진행중",IF(COUNTIFS(업무일지!$G$5:$G$1004,$A31,업무일지!$S$5:$S$1004,"보류")&gt;0,"보류","완료"))))</f>
        <v/>
      </c>
    </row>
    <row r="32" customFormat="false" ht="15" hidden="false" customHeight="false" outlineLevel="0" collapsed="false">
      <c r="A32" s="41"/>
      <c r="B32" s="32" t="str">
        <f aca="false">IFERROR(INDEX(업무일지!$F$5:$F$1004,MATCH($A32,업무일지!$G$5:$G$1004,0)),"")</f>
        <v/>
      </c>
      <c r="C32" s="26" t="str">
        <f aca="false">IFERROR(INDEX(업무일지!$H$5:$H$1004,MATCH($A32,업무일지!$G$5:$G$1004,0)),"")</f>
        <v/>
      </c>
      <c r="D32" s="26" t="str">
        <f aca="false">IFERROR(INDEX(업무일지!$I$5:$I$1004,MATCH($A32,업무일지!$G$5:$G$1004,0)),"")</f>
        <v/>
      </c>
      <c r="E32" s="26" t="str">
        <f aca="false">IF($A32="","",SUMPRODUCT((코드설정!$C$5:$C$24&lt;&gt;"")*((COUNTIFS(업무일지!$G$5:$G$1004,$A32,업무일지!$I$5:$I$1004,코드설정!$C$5:$C$24)+COUNTIFS(업무일지!$G$5:$G$1004,$A32,업무일지!$J$5:$J$1004,"*"&amp;코드설정!$C$5:$C$24&amp;"*"))&gt;0)))</f>
        <v/>
      </c>
      <c r="F32" s="26" t="str">
        <f aca="false">IF($A32="","",COUNTIFS(업무일지!$G$5:$G$1004,$A32,업무일지!$D$5:$D$1004,"출장"))</f>
        <v/>
      </c>
      <c r="G32" s="26" t="str">
        <f aca="false">IF($A32="","",COUNTIFS(업무일지!$G$5:$G$1004,$A32,업무일지!$D$5:$D$1004,"분석"))</f>
        <v/>
      </c>
      <c r="H32" s="26" t="str">
        <f aca="false">IF($A32="","",F32+G32)</f>
        <v/>
      </c>
      <c r="I32" s="27" t="str">
        <f aca="false">IF($A32="","",SUMIFS(업무일지!$P$5:$P$1004,업무일지!$G$5:$G$1004,$A32,업무일지!$D$5:$D$1004,"출장"))</f>
        <v/>
      </c>
      <c r="J32" s="27" t="str">
        <f aca="false">IF($A32="","",SUMIFS(업무일지!$R$5:$R$1004,업무일지!$G$5:$G$1004,$A32))</f>
        <v/>
      </c>
      <c r="K32" s="26" t="str">
        <f aca="false">IF($A32="","",SUMIFS(업무일지!$N$5:$N$1004,업무일지!$G$5:$G$1004,$A32))</f>
        <v/>
      </c>
      <c r="L32" s="26" t="str">
        <f aca="false">IF($A32="","",SUMIFS(업무일지!$O$5:$O$1004,업무일지!$G$5:$G$1004,$A32))</f>
        <v/>
      </c>
      <c r="M32" s="26" t="str">
        <f aca="false">IF($A32="","",SUMIFS(업무일지!$T$5:$T$1004,업무일지!$G$5:$G$1004,$A32))</f>
        <v/>
      </c>
      <c r="N32" s="42" t="str">
        <f aca="false">IF($A32="","",IFERROR(_xlfn.MINIFS(업무일지!$B$5:$B$1004,업무일지!$G$5:$G$1004,$A32),""))</f>
        <v/>
      </c>
      <c r="O32" s="42" t="str">
        <f aca="false">IF($A32="","",IFERROR(_xlfn.MAXIFS(업무일지!$C$5:$C$1004,업무일지!$G$5:$G$1004,$A32),""))</f>
        <v/>
      </c>
      <c r="P32" s="26" t="str">
        <f aca="false">IF($A32="","",IF(OR(N32="",O32="",O32=0),"",O32-N32+1))</f>
        <v/>
      </c>
      <c r="Q32" s="26" t="str">
        <f aca="false">IF($A32="","",IF(H32=0,"미기록",IF(COUNTIFS(업무일지!$G$5:$G$1004,$A32,업무일지!$S$5:$S$1004,"진행중")&gt;0,"진행중",IF(COUNTIFS(업무일지!$G$5:$G$1004,$A32,업무일지!$S$5:$S$1004,"보류")&gt;0,"보류","완료"))))</f>
        <v/>
      </c>
    </row>
    <row r="33" customFormat="false" ht="15" hidden="false" customHeight="false" outlineLevel="0" collapsed="false">
      <c r="A33" s="43"/>
      <c r="B33" s="35" t="str">
        <f aca="false">IFERROR(INDEX(업무일지!$F$5:$F$1004,MATCH($A33,업무일지!$G$5:$G$1004,0)),"")</f>
        <v/>
      </c>
      <c r="C33" s="23" t="str">
        <f aca="false">IFERROR(INDEX(업무일지!$H$5:$H$1004,MATCH($A33,업무일지!$G$5:$G$1004,0)),"")</f>
        <v/>
      </c>
      <c r="D33" s="23" t="str">
        <f aca="false">IFERROR(INDEX(업무일지!$I$5:$I$1004,MATCH($A33,업무일지!$G$5:$G$1004,0)),"")</f>
        <v/>
      </c>
      <c r="E33" s="23" t="str">
        <f aca="false">IF($A33="","",SUMPRODUCT((코드설정!$C$5:$C$24&lt;&gt;"")*((COUNTIFS(업무일지!$G$5:$G$1004,$A33,업무일지!$I$5:$I$1004,코드설정!$C$5:$C$24)+COUNTIFS(업무일지!$G$5:$G$1004,$A33,업무일지!$J$5:$J$1004,"*"&amp;코드설정!$C$5:$C$24&amp;"*"))&gt;0)))</f>
        <v/>
      </c>
      <c r="F33" s="23" t="str">
        <f aca="false">IF($A33="","",COUNTIFS(업무일지!$G$5:$G$1004,$A33,업무일지!$D$5:$D$1004,"출장"))</f>
        <v/>
      </c>
      <c r="G33" s="23" t="str">
        <f aca="false">IF($A33="","",COUNTIFS(업무일지!$G$5:$G$1004,$A33,업무일지!$D$5:$D$1004,"분석"))</f>
        <v/>
      </c>
      <c r="H33" s="23" t="str">
        <f aca="false">IF($A33="","",F33+G33)</f>
        <v/>
      </c>
      <c r="I33" s="24" t="str">
        <f aca="false">IF($A33="","",SUMIFS(업무일지!$P$5:$P$1004,업무일지!$G$5:$G$1004,$A33,업무일지!$D$5:$D$1004,"출장"))</f>
        <v/>
      </c>
      <c r="J33" s="24" t="str">
        <f aca="false">IF($A33="","",SUMIFS(업무일지!$R$5:$R$1004,업무일지!$G$5:$G$1004,$A33))</f>
        <v/>
      </c>
      <c r="K33" s="23" t="str">
        <f aca="false">IF($A33="","",SUMIFS(업무일지!$N$5:$N$1004,업무일지!$G$5:$G$1004,$A33))</f>
        <v/>
      </c>
      <c r="L33" s="23" t="str">
        <f aca="false">IF($A33="","",SUMIFS(업무일지!$O$5:$O$1004,업무일지!$G$5:$G$1004,$A33))</f>
        <v/>
      </c>
      <c r="M33" s="23" t="str">
        <f aca="false">IF($A33="","",SUMIFS(업무일지!$T$5:$T$1004,업무일지!$G$5:$G$1004,$A33))</f>
        <v/>
      </c>
      <c r="N33" s="44" t="str">
        <f aca="false">IF($A33="","",IFERROR(_xlfn.MINIFS(업무일지!$B$5:$B$1004,업무일지!$G$5:$G$1004,$A33),""))</f>
        <v/>
      </c>
      <c r="O33" s="44" t="str">
        <f aca="false">IF($A33="","",IFERROR(_xlfn.MAXIFS(업무일지!$C$5:$C$1004,업무일지!$G$5:$G$1004,$A33),""))</f>
        <v/>
      </c>
      <c r="P33" s="23" t="str">
        <f aca="false">IF($A33="","",IF(OR(N33="",O33="",O33=0),"",O33-N33+1))</f>
        <v/>
      </c>
      <c r="Q33" s="23" t="str">
        <f aca="false">IF($A33="","",IF(H33=0,"미기록",IF(COUNTIFS(업무일지!$G$5:$G$1004,$A33,업무일지!$S$5:$S$1004,"진행중")&gt;0,"진행중",IF(COUNTIFS(업무일지!$G$5:$G$1004,$A33,업무일지!$S$5:$S$1004,"보류")&gt;0,"보류","완료"))))</f>
        <v/>
      </c>
    </row>
    <row r="34" customFormat="false" ht="15" hidden="false" customHeight="false" outlineLevel="0" collapsed="false">
      <c r="A34" s="41"/>
      <c r="B34" s="32" t="str">
        <f aca="false">IFERROR(INDEX(업무일지!$F$5:$F$1004,MATCH($A34,업무일지!$G$5:$G$1004,0)),"")</f>
        <v/>
      </c>
      <c r="C34" s="26" t="str">
        <f aca="false">IFERROR(INDEX(업무일지!$H$5:$H$1004,MATCH($A34,업무일지!$G$5:$G$1004,0)),"")</f>
        <v/>
      </c>
      <c r="D34" s="26" t="str">
        <f aca="false">IFERROR(INDEX(업무일지!$I$5:$I$1004,MATCH($A34,업무일지!$G$5:$G$1004,0)),"")</f>
        <v/>
      </c>
      <c r="E34" s="26" t="str">
        <f aca="false">IF($A34="","",SUMPRODUCT((코드설정!$C$5:$C$24&lt;&gt;"")*((COUNTIFS(업무일지!$G$5:$G$1004,$A34,업무일지!$I$5:$I$1004,코드설정!$C$5:$C$24)+COUNTIFS(업무일지!$G$5:$G$1004,$A34,업무일지!$J$5:$J$1004,"*"&amp;코드설정!$C$5:$C$24&amp;"*"))&gt;0)))</f>
        <v/>
      </c>
      <c r="F34" s="26" t="str">
        <f aca="false">IF($A34="","",COUNTIFS(업무일지!$G$5:$G$1004,$A34,업무일지!$D$5:$D$1004,"출장"))</f>
        <v/>
      </c>
      <c r="G34" s="26" t="str">
        <f aca="false">IF($A34="","",COUNTIFS(업무일지!$G$5:$G$1004,$A34,업무일지!$D$5:$D$1004,"분석"))</f>
        <v/>
      </c>
      <c r="H34" s="26" t="str">
        <f aca="false">IF($A34="","",F34+G34)</f>
        <v/>
      </c>
      <c r="I34" s="27" t="str">
        <f aca="false">IF($A34="","",SUMIFS(업무일지!$P$5:$P$1004,업무일지!$G$5:$G$1004,$A34,업무일지!$D$5:$D$1004,"출장"))</f>
        <v/>
      </c>
      <c r="J34" s="27" t="str">
        <f aca="false">IF($A34="","",SUMIFS(업무일지!$R$5:$R$1004,업무일지!$G$5:$G$1004,$A34))</f>
        <v/>
      </c>
      <c r="K34" s="26" t="str">
        <f aca="false">IF($A34="","",SUMIFS(업무일지!$N$5:$N$1004,업무일지!$G$5:$G$1004,$A34))</f>
        <v/>
      </c>
      <c r="L34" s="26" t="str">
        <f aca="false">IF($A34="","",SUMIFS(업무일지!$O$5:$O$1004,업무일지!$G$5:$G$1004,$A34))</f>
        <v/>
      </c>
      <c r="M34" s="26" t="str">
        <f aca="false">IF($A34="","",SUMIFS(업무일지!$T$5:$T$1004,업무일지!$G$5:$G$1004,$A34))</f>
        <v/>
      </c>
      <c r="N34" s="42" t="str">
        <f aca="false">IF($A34="","",IFERROR(_xlfn.MINIFS(업무일지!$B$5:$B$1004,업무일지!$G$5:$G$1004,$A34),""))</f>
        <v/>
      </c>
      <c r="O34" s="42" t="str">
        <f aca="false">IF($A34="","",IFERROR(_xlfn.MAXIFS(업무일지!$C$5:$C$1004,업무일지!$G$5:$G$1004,$A34),""))</f>
        <v/>
      </c>
      <c r="P34" s="26" t="str">
        <f aca="false">IF($A34="","",IF(OR(N34="",O34="",O34=0),"",O34-N34+1))</f>
        <v/>
      </c>
      <c r="Q34" s="26" t="str">
        <f aca="false">IF($A34="","",IF(H34=0,"미기록",IF(COUNTIFS(업무일지!$G$5:$G$1004,$A34,업무일지!$S$5:$S$1004,"진행중")&gt;0,"진행중",IF(COUNTIFS(업무일지!$G$5:$G$1004,$A34,업무일지!$S$5:$S$1004,"보류")&gt;0,"보류","완료"))))</f>
        <v/>
      </c>
    </row>
    <row r="35" customFormat="false" ht="15" hidden="false" customHeight="false" outlineLevel="0" collapsed="false">
      <c r="A35" s="43"/>
      <c r="B35" s="35" t="str">
        <f aca="false">IFERROR(INDEX(업무일지!$F$5:$F$1004,MATCH($A35,업무일지!$G$5:$G$1004,0)),"")</f>
        <v/>
      </c>
      <c r="C35" s="23" t="str">
        <f aca="false">IFERROR(INDEX(업무일지!$H$5:$H$1004,MATCH($A35,업무일지!$G$5:$G$1004,0)),"")</f>
        <v/>
      </c>
      <c r="D35" s="23" t="str">
        <f aca="false">IFERROR(INDEX(업무일지!$I$5:$I$1004,MATCH($A35,업무일지!$G$5:$G$1004,0)),"")</f>
        <v/>
      </c>
      <c r="E35" s="23" t="str">
        <f aca="false">IF($A35="","",SUMPRODUCT((코드설정!$C$5:$C$24&lt;&gt;"")*((COUNTIFS(업무일지!$G$5:$G$1004,$A35,업무일지!$I$5:$I$1004,코드설정!$C$5:$C$24)+COUNTIFS(업무일지!$G$5:$G$1004,$A35,업무일지!$J$5:$J$1004,"*"&amp;코드설정!$C$5:$C$24&amp;"*"))&gt;0)))</f>
        <v/>
      </c>
      <c r="F35" s="23" t="str">
        <f aca="false">IF($A35="","",COUNTIFS(업무일지!$G$5:$G$1004,$A35,업무일지!$D$5:$D$1004,"출장"))</f>
        <v/>
      </c>
      <c r="G35" s="23" t="str">
        <f aca="false">IF($A35="","",COUNTIFS(업무일지!$G$5:$G$1004,$A35,업무일지!$D$5:$D$1004,"분석"))</f>
        <v/>
      </c>
      <c r="H35" s="23" t="str">
        <f aca="false">IF($A35="","",F35+G35)</f>
        <v/>
      </c>
      <c r="I35" s="24" t="str">
        <f aca="false">IF($A35="","",SUMIFS(업무일지!$P$5:$P$1004,업무일지!$G$5:$G$1004,$A35,업무일지!$D$5:$D$1004,"출장"))</f>
        <v/>
      </c>
      <c r="J35" s="24" t="str">
        <f aca="false">IF($A35="","",SUMIFS(업무일지!$R$5:$R$1004,업무일지!$G$5:$G$1004,$A35))</f>
        <v/>
      </c>
      <c r="K35" s="23" t="str">
        <f aca="false">IF($A35="","",SUMIFS(업무일지!$N$5:$N$1004,업무일지!$G$5:$G$1004,$A35))</f>
        <v/>
      </c>
      <c r="L35" s="23" t="str">
        <f aca="false">IF($A35="","",SUMIFS(업무일지!$O$5:$O$1004,업무일지!$G$5:$G$1004,$A35))</f>
        <v/>
      </c>
      <c r="M35" s="23" t="str">
        <f aca="false">IF($A35="","",SUMIFS(업무일지!$T$5:$T$1004,업무일지!$G$5:$G$1004,$A35))</f>
        <v/>
      </c>
      <c r="N35" s="44" t="str">
        <f aca="false">IF($A35="","",IFERROR(_xlfn.MINIFS(업무일지!$B$5:$B$1004,업무일지!$G$5:$G$1004,$A35),""))</f>
        <v/>
      </c>
      <c r="O35" s="44" t="str">
        <f aca="false">IF($A35="","",IFERROR(_xlfn.MAXIFS(업무일지!$C$5:$C$1004,업무일지!$G$5:$G$1004,$A35),""))</f>
        <v/>
      </c>
      <c r="P35" s="23" t="str">
        <f aca="false">IF($A35="","",IF(OR(N35="",O35="",O35=0),"",O35-N35+1))</f>
        <v/>
      </c>
      <c r="Q35" s="23" t="str">
        <f aca="false">IF($A35="","",IF(H35=0,"미기록",IF(COUNTIFS(업무일지!$G$5:$G$1004,$A35,업무일지!$S$5:$S$1004,"진행중")&gt;0,"진행중",IF(COUNTIFS(업무일지!$G$5:$G$1004,$A35,업무일지!$S$5:$S$1004,"보류")&gt;0,"보류","완료"))))</f>
        <v/>
      </c>
    </row>
    <row r="36" customFormat="false" ht="15" hidden="false" customHeight="false" outlineLevel="0" collapsed="false">
      <c r="A36" s="41"/>
      <c r="B36" s="32" t="str">
        <f aca="false">IFERROR(INDEX(업무일지!$F$5:$F$1004,MATCH($A36,업무일지!$G$5:$G$1004,0)),"")</f>
        <v/>
      </c>
      <c r="C36" s="26" t="str">
        <f aca="false">IFERROR(INDEX(업무일지!$H$5:$H$1004,MATCH($A36,업무일지!$G$5:$G$1004,0)),"")</f>
        <v/>
      </c>
      <c r="D36" s="26" t="str">
        <f aca="false">IFERROR(INDEX(업무일지!$I$5:$I$1004,MATCH($A36,업무일지!$G$5:$G$1004,0)),"")</f>
        <v/>
      </c>
      <c r="E36" s="26" t="str">
        <f aca="false">IF($A36="","",SUMPRODUCT((코드설정!$C$5:$C$24&lt;&gt;"")*((COUNTIFS(업무일지!$G$5:$G$1004,$A36,업무일지!$I$5:$I$1004,코드설정!$C$5:$C$24)+COUNTIFS(업무일지!$G$5:$G$1004,$A36,업무일지!$J$5:$J$1004,"*"&amp;코드설정!$C$5:$C$24&amp;"*"))&gt;0)))</f>
        <v/>
      </c>
      <c r="F36" s="26" t="str">
        <f aca="false">IF($A36="","",COUNTIFS(업무일지!$G$5:$G$1004,$A36,업무일지!$D$5:$D$1004,"출장"))</f>
        <v/>
      </c>
      <c r="G36" s="26" t="str">
        <f aca="false">IF($A36="","",COUNTIFS(업무일지!$G$5:$G$1004,$A36,업무일지!$D$5:$D$1004,"분석"))</f>
        <v/>
      </c>
      <c r="H36" s="26" t="str">
        <f aca="false">IF($A36="","",F36+G36)</f>
        <v/>
      </c>
      <c r="I36" s="27" t="str">
        <f aca="false">IF($A36="","",SUMIFS(업무일지!$P$5:$P$1004,업무일지!$G$5:$G$1004,$A36,업무일지!$D$5:$D$1004,"출장"))</f>
        <v/>
      </c>
      <c r="J36" s="27" t="str">
        <f aca="false">IF($A36="","",SUMIFS(업무일지!$R$5:$R$1004,업무일지!$G$5:$G$1004,$A36))</f>
        <v/>
      </c>
      <c r="K36" s="26" t="str">
        <f aca="false">IF($A36="","",SUMIFS(업무일지!$N$5:$N$1004,업무일지!$G$5:$G$1004,$A36))</f>
        <v/>
      </c>
      <c r="L36" s="26" t="str">
        <f aca="false">IF($A36="","",SUMIFS(업무일지!$O$5:$O$1004,업무일지!$G$5:$G$1004,$A36))</f>
        <v/>
      </c>
      <c r="M36" s="26" t="str">
        <f aca="false">IF($A36="","",SUMIFS(업무일지!$T$5:$T$1004,업무일지!$G$5:$G$1004,$A36))</f>
        <v/>
      </c>
      <c r="N36" s="42" t="str">
        <f aca="false">IF($A36="","",IFERROR(_xlfn.MINIFS(업무일지!$B$5:$B$1004,업무일지!$G$5:$G$1004,$A36),""))</f>
        <v/>
      </c>
      <c r="O36" s="42" t="str">
        <f aca="false">IF($A36="","",IFERROR(_xlfn.MAXIFS(업무일지!$C$5:$C$1004,업무일지!$G$5:$G$1004,$A36),""))</f>
        <v/>
      </c>
      <c r="P36" s="26" t="str">
        <f aca="false">IF($A36="","",IF(OR(N36="",O36="",O36=0),"",O36-N36+1))</f>
        <v/>
      </c>
      <c r="Q36" s="26" t="str">
        <f aca="false">IF($A36="","",IF(H36=0,"미기록",IF(COUNTIFS(업무일지!$G$5:$G$1004,$A36,업무일지!$S$5:$S$1004,"진행중")&gt;0,"진행중",IF(COUNTIFS(업무일지!$G$5:$G$1004,$A36,업무일지!$S$5:$S$1004,"보류")&gt;0,"보류","완료"))))</f>
        <v/>
      </c>
    </row>
    <row r="37" customFormat="false" ht="15" hidden="false" customHeight="false" outlineLevel="0" collapsed="false">
      <c r="A37" s="43"/>
      <c r="B37" s="35" t="str">
        <f aca="false">IFERROR(INDEX(업무일지!$F$5:$F$1004,MATCH($A37,업무일지!$G$5:$G$1004,0)),"")</f>
        <v/>
      </c>
      <c r="C37" s="23" t="str">
        <f aca="false">IFERROR(INDEX(업무일지!$H$5:$H$1004,MATCH($A37,업무일지!$G$5:$G$1004,0)),"")</f>
        <v/>
      </c>
      <c r="D37" s="23" t="str">
        <f aca="false">IFERROR(INDEX(업무일지!$I$5:$I$1004,MATCH($A37,업무일지!$G$5:$G$1004,0)),"")</f>
        <v/>
      </c>
      <c r="E37" s="23" t="str">
        <f aca="false">IF($A37="","",SUMPRODUCT((코드설정!$C$5:$C$24&lt;&gt;"")*((COUNTIFS(업무일지!$G$5:$G$1004,$A37,업무일지!$I$5:$I$1004,코드설정!$C$5:$C$24)+COUNTIFS(업무일지!$G$5:$G$1004,$A37,업무일지!$J$5:$J$1004,"*"&amp;코드설정!$C$5:$C$24&amp;"*"))&gt;0)))</f>
        <v/>
      </c>
      <c r="F37" s="23" t="str">
        <f aca="false">IF($A37="","",COUNTIFS(업무일지!$G$5:$G$1004,$A37,업무일지!$D$5:$D$1004,"출장"))</f>
        <v/>
      </c>
      <c r="G37" s="23" t="str">
        <f aca="false">IF($A37="","",COUNTIFS(업무일지!$G$5:$G$1004,$A37,업무일지!$D$5:$D$1004,"분석"))</f>
        <v/>
      </c>
      <c r="H37" s="23" t="str">
        <f aca="false">IF($A37="","",F37+G37)</f>
        <v/>
      </c>
      <c r="I37" s="24" t="str">
        <f aca="false">IF($A37="","",SUMIFS(업무일지!$P$5:$P$1004,업무일지!$G$5:$G$1004,$A37,업무일지!$D$5:$D$1004,"출장"))</f>
        <v/>
      </c>
      <c r="J37" s="24" t="str">
        <f aca="false">IF($A37="","",SUMIFS(업무일지!$R$5:$R$1004,업무일지!$G$5:$G$1004,$A37))</f>
        <v/>
      </c>
      <c r="K37" s="23" t="str">
        <f aca="false">IF($A37="","",SUMIFS(업무일지!$N$5:$N$1004,업무일지!$G$5:$G$1004,$A37))</f>
        <v/>
      </c>
      <c r="L37" s="23" t="str">
        <f aca="false">IF($A37="","",SUMIFS(업무일지!$O$5:$O$1004,업무일지!$G$5:$G$1004,$A37))</f>
        <v/>
      </c>
      <c r="M37" s="23" t="str">
        <f aca="false">IF($A37="","",SUMIFS(업무일지!$T$5:$T$1004,업무일지!$G$5:$G$1004,$A37))</f>
        <v/>
      </c>
      <c r="N37" s="44" t="str">
        <f aca="false">IF($A37="","",IFERROR(_xlfn.MINIFS(업무일지!$B$5:$B$1004,업무일지!$G$5:$G$1004,$A37),""))</f>
        <v/>
      </c>
      <c r="O37" s="44" t="str">
        <f aca="false">IF($A37="","",IFERROR(_xlfn.MAXIFS(업무일지!$C$5:$C$1004,업무일지!$G$5:$G$1004,$A37),""))</f>
        <v/>
      </c>
      <c r="P37" s="23" t="str">
        <f aca="false">IF($A37="","",IF(OR(N37="",O37="",O37=0),"",O37-N37+1))</f>
        <v/>
      </c>
      <c r="Q37" s="23" t="str">
        <f aca="false">IF($A37="","",IF(H37=0,"미기록",IF(COUNTIFS(업무일지!$G$5:$G$1004,$A37,업무일지!$S$5:$S$1004,"진행중")&gt;0,"진행중",IF(COUNTIFS(업무일지!$G$5:$G$1004,$A37,업무일지!$S$5:$S$1004,"보류")&gt;0,"보류","완료"))))</f>
        <v/>
      </c>
    </row>
    <row r="38" customFormat="false" ht="15" hidden="false" customHeight="false" outlineLevel="0" collapsed="false">
      <c r="A38" s="41"/>
      <c r="B38" s="32" t="str">
        <f aca="false">IFERROR(INDEX(업무일지!$F$5:$F$1004,MATCH($A38,업무일지!$G$5:$G$1004,0)),"")</f>
        <v/>
      </c>
      <c r="C38" s="26" t="str">
        <f aca="false">IFERROR(INDEX(업무일지!$H$5:$H$1004,MATCH($A38,업무일지!$G$5:$G$1004,0)),"")</f>
        <v/>
      </c>
      <c r="D38" s="26" t="str">
        <f aca="false">IFERROR(INDEX(업무일지!$I$5:$I$1004,MATCH($A38,업무일지!$G$5:$G$1004,0)),"")</f>
        <v/>
      </c>
      <c r="E38" s="26" t="str">
        <f aca="false">IF($A38="","",SUMPRODUCT((코드설정!$C$5:$C$24&lt;&gt;"")*((COUNTIFS(업무일지!$G$5:$G$1004,$A38,업무일지!$I$5:$I$1004,코드설정!$C$5:$C$24)+COUNTIFS(업무일지!$G$5:$G$1004,$A38,업무일지!$J$5:$J$1004,"*"&amp;코드설정!$C$5:$C$24&amp;"*"))&gt;0)))</f>
        <v/>
      </c>
      <c r="F38" s="26" t="str">
        <f aca="false">IF($A38="","",COUNTIFS(업무일지!$G$5:$G$1004,$A38,업무일지!$D$5:$D$1004,"출장"))</f>
        <v/>
      </c>
      <c r="G38" s="26" t="str">
        <f aca="false">IF($A38="","",COUNTIFS(업무일지!$G$5:$G$1004,$A38,업무일지!$D$5:$D$1004,"분석"))</f>
        <v/>
      </c>
      <c r="H38" s="26" t="str">
        <f aca="false">IF($A38="","",F38+G38)</f>
        <v/>
      </c>
      <c r="I38" s="27" t="str">
        <f aca="false">IF($A38="","",SUMIFS(업무일지!$P$5:$P$1004,업무일지!$G$5:$G$1004,$A38,업무일지!$D$5:$D$1004,"출장"))</f>
        <v/>
      </c>
      <c r="J38" s="27" t="str">
        <f aca="false">IF($A38="","",SUMIFS(업무일지!$R$5:$R$1004,업무일지!$G$5:$G$1004,$A38))</f>
        <v/>
      </c>
      <c r="K38" s="26" t="str">
        <f aca="false">IF($A38="","",SUMIFS(업무일지!$N$5:$N$1004,업무일지!$G$5:$G$1004,$A38))</f>
        <v/>
      </c>
      <c r="L38" s="26" t="str">
        <f aca="false">IF($A38="","",SUMIFS(업무일지!$O$5:$O$1004,업무일지!$G$5:$G$1004,$A38))</f>
        <v/>
      </c>
      <c r="M38" s="26" t="str">
        <f aca="false">IF($A38="","",SUMIFS(업무일지!$T$5:$T$1004,업무일지!$G$5:$G$1004,$A38))</f>
        <v/>
      </c>
      <c r="N38" s="42" t="str">
        <f aca="false">IF($A38="","",IFERROR(_xlfn.MINIFS(업무일지!$B$5:$B$1004,업무일지!$G$5:$G$1004,$A38),""))</f>
        <v/>
      </c>
      <c r="O38" s="42" t="str">
        <f aca="false">IF($A38="","",IFERROR(_xlfn.MAXIFS(업무일지!$C$5:$C$1004,업무일지!$G$5:$G$1004,$A38),""))</f>
        <v/>
      </c>
      <c r="P38" s="26" t="str">
        <f aca="false">IF($A38="","",IF(OR(N38="",O38="",O38=0),"",O38-N38+1))</f>
        <v/>
      </c>
      <c r="Q38" s="26" t="str">
        <f aca="false">IF($A38="","",IF(H38=0,"미기록",IF(COUNTIFS(업무일지!$G$5:$G$1004,$A38,업무일지!$S$5:$S$1004,"진행중")&gt;0,"진행중",IF(COUNTIFS(업무일지!$G$5:$G$1004,$A38,업무일지!$S$5:$S$1004,"보류")&gt;0,"보류","완료"))))</f>
        <v/>
      </c>
    </row>
    <row r="39" customFormat="false" ht="15" hidden="false" customHeight="false" outlineLevel="0" collapsed="false">
      <c r="A39" s="43"/>
      <c r="B39" s="35" t="str">
        <f aca="false">IFERROR(INDEX(업무일지!$F$5:$F$1004,MATCH($A39,업무일지!$G$5:$G$1004,0)),"")</f>
        <v/>
      </c>
      <c r="C39" s="23" t="str">
        <f aca="false">IFERROR(INDEX(업무일지!$H$5:$H$1004,MATCH($A39,업무일지!$G$5:$G$1004,0)),"")</f>
        <v/>
      </c>
      <c r="D39" s="23" t="str">
        <f aca="false">IFERROR(INDEX(업무일지!$I$5:$I$1004,MATCH($A39,업무일지!$G$5:$G$1004,0)),"")</f>
        <v/>
      </c>
      <c r="E39" s="23" t="str">
        <f aca="false">IF($A39="","",SUMPRODUCT((코드설정!$C$5:$C$24&lt;&gt;"")*((COUNTIFS(업무일지!$G$5:$G$1004,$A39,업무일지!$I$5:$I$1004,코드설정!$C$5:$C$24)+COUNTIFS(업무일지!$G$5:$G$1004,$A39,업무일지!$J$5:$J$1004,"*"&amp;코드설정!$C$5:$C$24&amp;"*"))&gt;0)))</f>
        <v/>
      </c>
      <c r="F39" s="23" t="str">
        <f aca="false">IF($A39="","",COUNTIFS(업무일지!$G$5:$G$1004,$A39,업무일지!$D$5:$D$1004,"출장"))</f>
        <v/>
      </c>
      <c r="G39" s="23" t="str">
        <f aca="false">IF($A39="","",COUNTIFS(업무일지!$G$5:$G$1004,$A39,업무일지!$D$5:$D$1004,"분석"))</f>
        <v/>
      </c>
      <c r="H39" s="23" t="str">
        <f aca="false">IF($A39="","",F39+G39)</f>
        <v/>
      </c>
      <c r="I39" s="24" t="str">
        <f aca="false">IF($A39="","",SUMIFS(업무일지!$P$5:$P$1004,업무일지!$G$5:$G$1004,$A39,업무일지!$D$5:$D$1004,"출장"))</f>
        <v/>
      </c>
      <c r="J39" s="24" t="str">
        <f aca="false">IF($A39="","",SUMIFS(업무일지!$R$5:$R$1004,업무일지!$G$5:$G$1004,$A39))</f>
        <v/>
      </c>
      <c r="K39" s="23" t="str">
        <f aca="false">IF($A39="","",SUMIFS(업무일지!$N$5:$N$1004,업무일지!$G$5:$G$1004,$A39))</f>
        <v/>
      </c>
      <c r="L39" s="23" t="str">
        <f aca="false">IF($A39="","",SUMIFS(업무일지!$O$5:$O$1004,업무일지!$G$5:$G$1004,$A39))</f>
        <v/>
      </c>
      <c r="M39" s="23" t="str">
        <f aca="false">IF($A39="","",SUMIFS(업무일지!$T$5:$T$1004,업무일지!$G$5:$G$1004,$A39))</f>
        <v/>
      </c>
      <c r="N39" s="44" t="str">
        <f aca="false">IF($A39="","",IFERROR(_xlfn.MINIFS(업무일지!$B$5:$B$1004,업무일지!$G$5:$G$1004,$A39),""))</f>
        <v/>
      </c>
      <c r="O39" s="44" t="str">
        <f aca="false">IF($A39="","",IFERROR(_xlfn.MAXIFS(업무일지!$C$5:$C$1004,업무일지!$G$5:$G$1004,$A39),""))</f>
        <v/>
      </c>
      <c r="P39" s="23" t="str">
        <f aca="false">IF($A39="","",IF(OR(N39="",O39="",O39=0),"",O39-N39+1))</f>
        <v/>
      </c>
      <c r="Q39" s="23" t="str">
        <f aca="false">IF($A39="","",IF(H39=0,"미기록",IF(COUNTIFS(업무일지!$G$5:$G$1004,$A39,업무일지!$S$5:$S$1004,"진행중")&gt;0,"진행중",IF(COUNTIFS(업무일지!$G$5:$G$1004,$A39,업무일지!$S$5:$S$1004,"보류")&gt;0,"보류","완료"))))</f>
        <v/>
      </c>
    </row>
    <row r="40" customFormat="false" ht="15" hidden="false" customHeight="false" outlineLevel="0" collapsed="false">
      <c r="A40" s="41"/>
      <c r="B40" s="32" t="str">
        <f aca="false">IFERROR(INDEX(업무일지!$F$5:$F$1004,MATCH($A40,업무일지!$G$5:$G$1004,0)),"")</f>
        <v/>
      </c>
      <c r="C40" s="26" t="str">
        <f aca="false">IFERROR(INDEX(업무일지!$H$5:$H$1004,MATCH($A40,업무일지!$G$5:$G$1004,0)),"")</f>
        <v/>
      </c>
      <c r="D40" s="26" t="str">
        <f aca="false">IFERROR(INDEX(업무일지!$I$5:$I$1004,MATCH($A40,업무일지!$G$5:$G$1004,0)),"")</f>
        <v/>
      </c>
      <c r="E40" s="26" t="str">
        <f aca="false">IF($A40="","",SUMPRODUCT((코드설정!$C$5:$C$24&lt;&gt;"")*((COUNTIFS(업무일지!$G$5:$G$1004,$A40,업무일지!$I$5:$I$1004,코드설정!$C$5:$C$24)+COUNTIFS(업무일지!$G$5:$G$1004,$A40,업무일지!$J$5:$J$1004,"*"&amp;코드설정!$C$5:$C$24&amp;"*"))&gt;0)))</f>
        <v/>
      </c>
      <c r="F40" s="26" t="str">
        <f aca="false">IF($A40="","",COUNTIFS(업무일지!$G$5:$G$1004,$A40,업무일지!$D$5:$D$1004,"출장"))</f>
        <v/>
      </c>
      <c r="G40" s="26" t="str">
        <f aca="false">IF($A40="","",COUNTIFS(업무일지!$G$5:$G$1004,$A40,업무일지!$D$5:$D$1004,"분석"))</f>
        <v/>
      </c>
      <c r="H40" s="26" t="str">
        <f aca="false">IF($A40="","",F40+G40)</f>
        <v/>
      </c>
      <c r="I40" s="27" t="str">
        <f aca="false">IF($A40="","",SUMIFS(업무일지!$P$5:$P$1004,업무일지!$G$5:$G$1004,$A40,업무일지!$D$5:$D$1004,"출장"))</f>
        <v/>
      </c>
      <c r="J40" s="27" t="str">
        <f aca="false">IF($A40="","",SUMIFS(업무일지!$R$5:$R$1004,업무일지!$G$5:$G$1004,$A40))</f>
        <v/>
      </c>
      <c r="K40" s="26" t="str">
        <f aca="false">IF($A40="","",SUMIFS(업무일지!$N$5:$N$1004,업무일지!$G$5:$G$1004,$A40))</f>
        <v/>
      </c>
      <c r="L40" s="26" t="str">
        <f aca="false">IF($A40="","",SUMIFS(업무일지!$O$5:$O$1004,업무일지!$G$5:$G$1004,$A40))</f>
        <v/>
      </c>
      <c r="M40" s="26" t="str">
        <f aca="false">IF($A40="","",SUMIFS(업무일지!$T$5:$T$1004,업무일지!$G$5:$G$1004,$A40))</f>
        <v/>
      </c>
      <c r="N40" s="42" t="str">
        <f aca="false">IF($A40="","",IFERROR(_xlfn.MINIFS(업무일지!$B$5:$B$1004,업무일지!$G$5:$G$1004,$A40),""))</f>
        <v/>
      </c>
      <c r="O40" s="42" t="str">
        <f aca="false">IF($A40="","",IFERROR(_xlfn.MAXIFS(업무일지!$C$5:$C$1004,업무일지!$G$5:$G$1004,$A40),""))</f>
        <v/>
      </c>
      <c r="P40" s="26" t="str">
        <f aca="false">IF($A40="","",IF(OR(N40="",O40="",O40=0),"",O40-N40+1))</f>
        <v/>
      </c>
      <c r="Q40" s="26" t="str">
        <f aca="false">IF($A40="","",IF(H40=0,"미기록",IF(COUNTIFS(업무일지!$G$5:$G$1004,$A40,업무일지!$S$5:$S$1004,"진행중")&gt;0,"진행중",IF(COUNTIFS(업무일지!$G$5:$G$1004,$A40,업무일지!$S$5:$S$1004,"보류")&gt;0,"보류","완료"))))</f>
        <v/>
      </c>
    </row>
    <row r="41" customFormat="false" ht="15" hidden="false" customHeight="false" outlineLevel="0" collapsed="false">
      <c r="A41" s="43"/>
      <c r="B41" s="35" t="str">
        <f aca="false">IFERROR(INDEX(업무일지!$F$5:$F$1004,MATCH($A41,업무일지!$G$5:$G$1004,0)),"")</f>
        <v/>
      </c>
      <c r="C41" s="23" t="str">
        <f aca="false">IFERROR(INDEX(업무일지!$H$5:$H$1004,MATCH($A41,업무일지!$G$5:$G$1004,0)),"")</f>
        <v/>
      </c>
      <c r="D41" s="23" t="str">
        <f aca="false">IFERROR(INDEX(업무일지!$I$5:$I$1004,MATCH($A41,업무일지!$G$5:$G$1004,0)),"")</f>
        <v/>
      </c>
      <c r="E41" s="23" t="str">
        <f aca="false">IF($A41="","",SUMPRODUCT((코드설정!$C$5:$C$24&lt;&gt;"")*((COUNTIFS(업무일지!$G$5:$G$1004,$A41,업무일지!$I$5:$I$1004,코드설정!$C$5:$C$24)+COUNTIFS(업무일지!$G$5:$G$1004,$A41,업무일지!$J$5:$J$1004,"*"&amp;코드설정!$C$5:$C$24&amp;"*"))&gt;0)))</f>
        <v/>
      </c>
      <c r="F41" s="23" t="str">
        <f aca="false">IF($A41="","",COUNTIFS(업무일지!$G$5:$G$1004,$A41,업무일지!$D$5:$D$1004,"출장"))</f>
        <v/>
      </c>
      <c r="G41" s="23" t="str">
        <f aca="false">IF($A41="","",COUNTIFS(업무일지!$G$5:$G$1004,$A41,업무일지!$D$5:$D$1004,"분석"))</f>
        <v/>
      </c>
      <c r="H41" s="23" t="str">
        <f aca="false">IF($A41="","",F41+G41)</f>
        <v/>
      </c>
      <c r="I41" s="24" t="str">
        <f aca="false">IF($A41="","",SUMIFS(업무일지!$P$5:$P$1004,업무일지!$G$5:$G$1004,$A41,업무일지!$D$5:$D$1004,"출장"))</f>
        <v/>
      </c>
      <c r="J41" s="24" t="str">
        <f aca="false">IF($A41="","",SUMIFS(업무일지!$R$5:$R$1004,업무일지!$G$5:$G$1004,$A41))</f>
        <v/>
      </c>
      <c r="K41" s="23" t="str">
        <f aca="false">IF($A41="","",SUMIFS(업무일지!$N$5:$N$1004,업무일지!$G$5:$G$1004,$A41))</f>
        <v/>
      </c>
      <c r="L41" s="23" t="str">
        <f aca="false">IF($A41="","",SUMIFS(업무일지!$O$5:$O$1004,업무일지!$G$5:$G$1004,$A41))</f>
        <v/>
      </c>
      <c r="M41" s="23" t="str">
        <f aca="false">IF($A41="","",SUMIFS(업무일지!$T$5:$T$1004,업무일지!$G$5:$G$1004,$A41))</f>
        <v/>
      </c>
      <c r="N41" s="44" t="str">
        <f aca="false">IF($A41="","",IFERROR(_xlfn.MINIFS(업무일지!$B$5:$B$1004,업무일지!$G$5:$G$1004,$A41),""))</f>
        <v/>
      </c>
      <c r="O41" s="44" t="str">
        <f aca="false">IF($A41="","",IFERROR(_xlfn.MAXIFS(업무일지!$C$5:$C$1004,업무일지!$G$5:$G$1004,$A41),""))</f>
        <v/>
      </c>
      <c r="P41" s="23" t="str">
        <f aca="false">IF($A41="","",IF(OR(N41="",O41="",O41=0),"",O41-N41+1))</f>
        <v/>
      </c>
      <c r="Q41" s="23" t="str">
        <f aca="false">IF($A41="","",IF(H41=0,"미기록",IF(COUNTIFS(업무일지!$G$5:$G$1004,$A41,업무일지!$S$5:$S$1004,"진행중")&gt;0,"진행중",IF(COUNTIFS(업무일지!$G$5:$G$1004,$A41,업무일지!$S$5:$S$1004,"보류")&gt;0,"보류","완료"))))</f>
        <v/>
      </c>
    </row>
    <row r="42" customFormat="false" ht="15" hidden="false" customHeight="false" outlineLevel="0" collapsed="false">
      <c r="A42" s="41"/>
      <c r="B42" s="32" t="str">
        <f aca="false">IFERROR(INDEX(업무일지!$F$5:$F$1004,MATCH($A42,업무일지!$G$5:$G$1004,0)),"")</f>
        <v/>
      </c>
      <c r="C42" s="26" t="str">
        <f aca="false">IFERROR(INDEX(업무일지!$H$5:$H$1004,MATCH($A42,업무일지!$G$5:$G$1004,0)),"")</f>
        <v/>
      </c>
      <c r="D42" s="26" t="str">
        <f aca="false">IFERROR(INDEX(업무일지!$I$5:$I$1004,MATCH($A42,업무일지!$G$5:$G$1004,0)),"")</f>
        <v/>
      </c>
      <c r="E42" s="26" t="str">
        <f aca="false">IF($A42="","",SUMPRODUCT((코드설정!$C$5:$C$24&lt;&gt;"")*((COUNTIFS(업무일지!$G$5:$G$1004,$A42,업무일지!$I$5:$I$1004,코드설정!$C$5:$C$24)+COUNTIFS(업무일지!$G$5:$G$1004,$A42,업무일지!$J$5:$J$1004,"*"&amp;코드설정!$C$5:$C$24&amp;"*"))&gt;0)))</f>
        <v/>
      </c>
      <c r="F42" s="26" t="str">
        <f aca="false">IF($A42="","",COUNTIFS(업무일지!$G$5:$G$1004,$A42,업무일지!$D$5:$D$1004,"출장"))</f>
        <v/>
      </c>
      <c r="G42" s="26" t="str">
        <f aca="false">IF($A42="","",COUNTIFS(업무일지!$G$5:$G$1004,$A42,업무일지!$D$5:$D$1004,"분석"))</f>
        <v/>
      </c>
      <c r="H42" s="26" t="str">
        <f aca="false">IF($A42="","",F42+G42)</f>
        <v/>
      </c>
      <c r="I42" s="27" t="str">
        <f aca="false">IF($A42="","",SUMIFS(업무일지!$P$5:$P$1004,업무일지!$G$5:$G$1004,$A42,업무일지!$D$5:$D$1004,"출장"))</f>
        <v/>
      </c>
      <c r="J42" s="27" t="str">
        <f aca="false">IF($A42="","",SUMIFS(업무일지!$R$5:$R$1004,업무일지!$G$5:$G$1004,$A42))</f>
        <v/>
      </c>
      <c r="K42" s="26" t="str">
        <f aca="false">IF($A42="","",SUMIFS(업무일지!$N$5:$N$1004,업무일지!$G$5:$G$1004,$A42))</f>
        <v/>
      </c>
      <c r="L42" s="26" t="str">
        <f aca="false">IF($A42="","",SUMIFS(업무일지!$O$5:$O$1004,업무일지!$G$5:$G$1004,$A42))</f>
        <v/>
      </c>
      <c r="M42" s="26" t="str">
        <f aca="false">IF($A42="","",SUMIFS(업무일지!$T$5:$T$1004,업무일지!$G$5:$G$1004,$A42))</f>
        <v/>
      </c>
      <c r="N42" s="42" t="str">
        <f aca="false">IF($A42="","",IFERROR(_xlfn.MINIFS(업무일지!$B$5:$B$1004,업무일지!$G$5:$G$1004,$A42),""))</f>
        <v/>
      </c>
      <c r="O42" s="42" t="str">
        <f aca="false">IF($A42="","",IFERROR(_xlfn.MAXIFS(업무일지!$C$5:$C$1004,업무일지!$G$5:$G$1004,$A42),""))</f>
        <v/>
      </c>
      <c r="P42" s="26" t="str">
        <f aca="false">IF($A42="","",IF(OR(N42="",O42="",O42=0),"",O42-N42+1))</f>
        <v/>
      </c>
      <c r="Q42" s="26" t="str">
        <f aca="false">IF($A42="","",IF(H42=0,"미기록",IF(COUNTIFS(업무일지!$G$5:$G$1004,$A42,업무일지!$S$5:$S$1004,"진행중")&gt;0,"진행중",IF(COUNTIFS(업무일지!$G$5:$G$1004,$A42,업무일지!$S$5:$S$1004,"보류")&gt;0,"보류","완료"))))</f>
        <v/>
      </c>
    </row>
    <row r="43" customFormat="false" ht="15" hidden="false" customHeight="false" outlineLevel="0" collapsed="false">
      <c r="A43" s="43"/>
      <c r="B43" s="35" t="str">
        <f aca="false">IFERROR(INDEX(업무일지!$F$5:$F$1004,MATCH($A43,업무일지!$G$5:$G$1004,0)),"")</f>
        <v/>
      </c>
      <c r="C43" s="23" t="str">
        <f aca="false">IFERROR(INDEX(업무일지!$H$5:$H$1004,MATCH($A43,업무일지!$G$5:$G$1004,0)),"")</f>
        <v/>
      </c>
      <c r="D43" s="23" t="str">
        <f aca="false">IFERROR(INDEX(업무일지!$I$5:$I$1004,MATCH($A43,업무일지!$G$5:$G$1004,0)),"")</f>
        <v/>
      </c>
      <c r="E43" s="23" t="str">
        <f aca="false">IF($A43="","",SUMPRODUCT((코드설정!$C$5:$C$24&lt;&gt;"")*((COUNTIFS(업무일지!$G$5:$G$1004,$A43,업무일지!$I$5:$I$1004,코드설정!$C$5:$C$24)+COUNTIFS(업무일지!$G$5:$G$1004,$A43,업무일지!$J$5:$J$1004,"*"&amp;코드설정!$C$5:$C$24&amp;"*"))&gt;0)))</f>
        <v/>
      </c>
      <c r="F43" s="23" t="str">
        <f aca="false">IF($A43="","",COUNTIFS(업무일지!$G$5:$G$1004,$A43,업무일지!$D$5:$D$1004,"출장"))</f>
        <v/>
      </c>
      <c r="G43" s="23" t="str">
        <f aca="false">IF($A43="","",COUNTIFS(업무일지!$G$5:$G$1004,$A43,업무일지!$D$5:$D$1004,"분석"))</f>
        <v/>
      </c>
      <c r="H43" s="23" t="str">
        <f aca="false">IF($A43="","",F43+G43)</f>
        <v/>
      </c>
      <c r="I43" s="24" t="str">
        <f aca="false">IF($A43="","",SUMIFS(업무일지!$P$5:$P$1004,업무일지!$G$5:$G$1004,$A43,업무일지!$D$5:$D$1004,"출장"))</f>
        <v/>
      </c>
      <c r="J43" s="24" t="str">
        <f aca="false">IF($A43="","",SUMIFS(업무일지!$R$5:$R$1004,업무일지!$G$5:$G$1004,$A43))</f>
        <v/>
      </c>
      <c r="K43" s="23" t="str">
        <f aca="false">IF($A43="","",SUMIFS(업무일지!$N$5:$N$1004,업무일지!$G$5:$G$1004,$A43))</f>
        <v/>
      </c>
      <c r="L43" s="23" t="str">
        <f aca="false">IF($A43="","",SUMIFS(업무일지!$O$5:$O$1004,업무일지!$G$5:$G$1004,$A43))</f>
        <v/>
      </c>
      <c r="M43" s="23" t="str">
        <f aca="false">IF($A43="","",SUMIFS(업무일지!$T$5:$T$1004,업무일지!$G$5:$G$1004,$A43))</f>
        <v/>
      </c>
      <c r="N43" s="44" t="str">
        <f aca="false">IF($A43="","",IFERROR(_xlfn.MINIFS(업무일지!$B$5:$B$1004,업무일지!$G$5:$G$1004,$A43),""))</f>
        <v/>
      </c>
      <c r="O43" s="44" t="str">
        <f aca="false">IF($A43="","",IFERROR(_xlfn.MAXIFS(업무일지!$C$5:$C$1004,업무일지!$G$5:$G$1004,$A43),""))</f>
        <v/>
      </c>
      <c r="P43" s="23" t="str">
        <f aca="false">IF($A43="","",IF(OR(N43="",O43="",O43=0),"",O43-N43+1))</f>
        <v/>
      </c>
      <c r="Q43" s="23" t="str">
        <f aca="false">IF($A43="","",IF(H43=0,"미기록",IF(COUNTIFS(업무일지!$G$5:$G$1004,$A43,업무일지!$S$5:$S$1004,"진행중")&gt;0,"진행중",IF(COUNTIFS(업무일지!$G$5:$G$1004,$A43,업무일지!$S$5:$S$1004,"보류")&gt;0,"보류","완료"))))</f>
        <v/>
      </c>
    </row>
    <row r="44" customFormat="false" ht="15" hidden="false" customHeight="false" outlineLevel="0" collapsed="false">
      <c r="A44" s="41"/>
      <c r="B44" s="32" t="str">
        <f aca="false">IFERROR(INDEX(업무일지!$F$5:$F$1004,MATCH($A44,업무일지!$G$5:$G$1004,0)),"")</f>
        <v/>
      </c>
      <c r="C44" s="26" t="str">
        <f aca="false">IFERROR(INDEX(업무일지!$H$5:$H$1004,MATCH($A44,업무일지!$G$5:$G$1004,0)),"")</f>
        <v/>
      </c>
      <c r="D44" s="26" t="str">
        <f aca="false">IFERROR(INDEX(업무일지!$I$5:$I$1004,MATCH($A44,업무일지!$G$5:$G$1004,0)),"")</f>
        <v/>
      </c>
      <c r="E44" s="26" t="str">
        <f aca="false">IF($A44="","",SUMPRODUCT((코드설정!$C$5:$C$24&lt;&gt;"")*((COUNTIFS(업무일지!$G$5:$G$1004,$A44,업무일지!$I$5:$I$1004,코드설정!$C$5:$C$24)+COUNTIFS(업무일지!$G$5:$G$1004,$A44,업무일지!$J$5:$J$1004,"*"&amp;코드설정!$C$5:$C$24&amp;"*"))&gt;0)))</f>
        <v/>
      </c>
      <c r="F44" s="26" t="str">
        <f aca="false">IF($A44="","",COUNTIFS(업무일지!$G$5:$G$1004,$A44,업무일지!$D$5:$D$1004,"출장"))</f>
        <v/>
      </c>
      <c r="G44" s="26" t="str">
        <f aca="false">IF($A44="","",COUNTIFS(업무일지!$G$5:$G$1004,$A44,업무일지!$D$5:$D$1004,"분석"))</f>
        <v/>
      </c>
      <c r="H44" s="26" t="str">
        <f aca="false">IF($A44="","",F44+G44)</f>
        <v/>
      </c>
      <c r="I44" s="27" t="str">
        <f aca="false">IF($A44="","",SUMIFS(업무일지!$P$5:$P$1004,업무일지!$G$5:$G$1004,$A44,업무일지!$D$5:$D$1004,"출장"))</f>
        <v/>
      </c>
      <c r="J44" s="27" t="str">
        <f aca="false">IF($A44="","",SUMIFS(업무일지!$R$5:$R$1004,업무일지!$G$5:$G$1004,$A44))</f>
        <v/>
      </c>
      <c r="K44" s="26" t="str">
        <f aca="false">IF($A44="","",SUMIFS(업무일지!$N$5:$N$1004,업무일지!$G$5:$G$1004,$A44))</f>
        <v/>
      </c>
      <c r="L44" s="26" t="str">
        <f aca="false">IF($A44="","",SUMIFS(업무일지!$O$5:$O$1004,업무일지!$G$5:$G$1004,$A44))</f>
        <v/>
      </c>
      <c r="M44" s="26" t="str">
        <f aca="false">IF($A44="","",SUMIFS(업무일지!$T$5:$T$1004,업무일지!$G$5:$G$1004,$A44))</f>
        <v/>
      </c>
      <c r="N44" s="42" t="str">
        <f aca="false">IF($A44="","",IFERROR(_xlfn.MINIFS(업무일지!$B$5:$B$1004,업무일지!$G$5:$G$1004,$A44),""))</f>
        <v/>
      </c>
      <c r="O44" s="42" t="str">
        <f aca="false">IF($A44="","",IFERROR(_xlfn.MAXIFS(업무일지!$C$5:$C$1004,업무일지!$G$5:$G$1004,$A44),""))</f>
        <v/>
      </c>
      <c r="P44" s="26" t="str">
        <f aca="false">IF($A44="","",IF(OR(N44="",O44="",O44=0),"",O44-N44+1))</f>
        <v/>
      </c>
      <c r="Q44" s="26" t="str">
        <f aca="false">IF($A44="","",IF(H44=0,"미기록",IF(COUNTIFS(업무일지!$G$5:$G$1004,$A44,업무일지!$S$5:$S$1004,"진행중")&gt;0,"진행중",IF(COUNTIFS(업무일지!$G$5:$G$1004,$A44,업무일지!$S$5:$S$1004,"보류")&gt;0,"보류","완료"))))</f>
        <v/>
      </c>
    </row>
    <row r="45" customFormat="false" ht="15" hidden="false" customHeight="false" outlineLevel="0" collapsed="false">
      <c r="A45" s="43"/>
      <c r="B45" s="35" t="str">
        <f aca="false">IFERROR(INDEX(업무일지!$F$5:$F$1004,MATCH($A45,업무일지!$G$5:$G$1004,0)),"")</f>
        <v/>
      </c>
      <c r="C45" s="23" t="str">
        <f aca="false">IFERROR(INDEX(업무일지!$H$5:$H$1004,MATCH($A45,업무일지!$G$5:$G$1004,0)),"")</f>
        <v/>
      </c>
      <c r="D45" s="23" t="str">
        <f aca="false">IFERROR(INDEX(업무일지!$I$5:$I$1004,MATCH($A45,업무일지!$G$5:$G$1004,0)),"")</f>
        <v/>
      </c>
      <c r="E45" s="23" t="str">
        <f aca="false">IF($A45="","",SUMPRODUCT((코드설정!$C$5:$C$24&lt;&gt;"")*((COUNTIFS(업무일지!$G$5:$G$1004,$A45,업무일지!$I$5:$I$1004,코드설정!$C$5:$C$24)+COUNTIFS(업무일지!$G$5:$G$1004,$A45,업무일지!$J$5:$J$1004,"*"&amp;코드설정!$C$5:$C$24&amp;"*"))&gt;0)))</f>
        <v/>
      </c>
      <c r="F45" s="23" t="str">
        <f aca="false">IF($A45="","",COUNTIFS(업무일지!$G$5:$G$1004,$A45,업무일지!$D$5:$D$1004,"출장"))</f>
        <v/>
      </c>
      <c r="G45" s="23" t="str">
        <f aca="false">IF($A45="","",COUNTIFS(업무일지!$G$5:$G$1004,$A45,업무일지!$D$5:$D$1004,"분석"))</f>
        <v/>
      </c>
      <c r="H45" s="23" t="str">
        <f aca="false">IF($A45="","",F45+G45)</f>
        <v/>
      </c>
      <c r="I45" s="24" t="str">
        <f aca="false">IF($A45="","",SUMIFS(업무일지!$P$5:$P$1004,업무일지!$G$5:$G$1004,$A45,업무일지!$D$5:$D$1004,"출장"))</f>
        <v/>
      </c>
      <c r="J45" s="24" t="str">
        <f aca="false">IF($A45="","",SUMIFS(업무일지!$R$5:$R$1004,업무일지!$G$5:$G$1004,$A45))</f>
        <v/>
      </c>
      <c r="K45" s="23" t="str">
        <f aca="false">IF($A45="","",SUMIFS(업무일지!$N$5:$N$1004,업무일지!$G$5:$G$1004,$A45))</f>
        <v/>
      </c>
      <c r="L45" s="23" t="str">
        <f aca="false">IF($A45="","",SUMIFS(업무일지!$O$5:$O$1004,업무일지!$G$5:$G$1004,$A45))</f>
        <v/>
      </c>
      <c r="M45" s="23" t="str">
        <f aca="false">IF($A45="","",SUMIFS(업무일지!$T$5:$T$1004,업무일지!$G$5:$G$1004,$A45))</f>
        <v/>
      </c>
      <c r="N45" s="44" t="str">
        <f aca="false">IF($A45="","",IFERROR(_xlfn.MINIFS(업무일지!$B$5:$B$1004,업무일지!$G$5:$G$1004,$A45),""))</f>
        <v/>
      </c>
      <c r="O45" s="44" t="str">
        <f aca="false">IF($A45="","",IFERROR(_xlfn.MAXIFS(업무일지!$C$5:$C$1004,업무일지!$G$5:$G$1004,$A45),""))</f>
        <v/>
      </c>
      <c r="P45" s="23" t="str">
        <f aca="false">IF($A45="","",IF(OR(N45="",O45="",O45=0),"",O45-N45+1))</f>
        <v/>
      </c>
      <c r="Q45" s="23" t="str">
        <f aca="false">IF($A45="","",IF(H45=0,"미기록",IF(COUNTIFS(업무일지!$G$5:$G$1004,$A45,업무일지!$S$5:$S$1004,"진행중")&gt;0,"진행중",IF(COUNTIFS(업무일지!$G$5:$G$1004,$A45,업무일지!$S$5:$S$1004,"보류")&gt;0,"보류","완료"))))</f>
        <v/>
      </c>
    </row>
    <row r="46" customFormat="false" ht="15" hidden="false" customHeight="false" outlineLevel="0" collapsed="false">
      <c r="A46" s="41"/>
      <c r="B46" s="32" t="str">
        <f aca="false">IFERROR(INDEX(업무일지!$F$5:$F$1004,MATCH($A46,업무일지!$G$5:$G$1004,0)),"")</f>
        <v/>
      </c>
      <c r="C46" s="26" t="str">
        <f aca="false">IFERROR(INDEX(업무일지!$H$5:$H$1004,MATCH($A46,업무일지!$G$5:$G$1004,0)),"")</f>
        <v/>
      </c>
      <c r="D46" s="26" t="str">
        <f aca="false">IFERROR(INDEX(업무일지!$I$5:$I$1004,MATCH($A46,업무일지!$G$5:$G$1004,0)),"")</f>
        <v/>
      </c>
      <c r="E46" s="26" t="str">
        <f aca="false">IF($A46="","",SUMPRODUCT((코드설정!$C$5:$C$24&lt;&gt;"")*((COUNTIFS(업무일지!$G$5:$G$1004,$A46,업무일지!$I$5:$I$1004,코드설정!$C$5:$C$24)+COUNTIFS(업무일지!$G$5:$G$1004,$A46,업무일지!$J$5:$J$1004,"*"&amp;코드설정!$C$5:$C$24&amp;"*"))&gt;0)))</f>
        <v/>
      </c>
      <c r="F46" s="26" t="str">
        <f aca="false">IF($A46="","",COUNTIFS(업무일지!$G$5:$G$1004,$A46,업무일지!$D$5:$D$1004,"출장"))</f>
        <v/>
      </c>
      <c r="G46" s="26" t="str">
        <f aca="false">IF($A46="","",COUNTIFS(업무일지!$G$5:$G$1004,$A46,업무일지!$D$5:$D$1004,"분석"))</f>
        <v/>
      </c>
      <c r="H46" s="26" t="str">
        <f aca="false">IF($A46="","",F46+G46)</f>
        <v/>
      </c>
      <c r="I46" s="27" t="str">
        <f aca="false">IF($A46="","",SUMIFS(업무일지!$P$5:$P$1004,업무일지!$G$5:$G$1004,$A46,업무일지!$D$5:$D$1004,"출장"))</f>
        <v/>
      </c>
      <c r="J46" s="27" t="str">
        <f aca="false">IF($A46="","",SUMIFS(업무일지!$R$5:$R$1004,업무일지!$G$5:$G$1004,$A46))</f>
        <v/>
      </c>
      <c r="K46" s="26" t="str">
        <f aca="false">IF($A46="","",SUMIFS(업무일지!$N$5:$N$1004,업무일지!$G$5:$G$1004,$A46))</f>
        <v/>
      </c>
      <c r="L46" s="26" t="str">
        <f aca="false">IF($A46="","",SUMIFS(업무일지!$O$5:$O$1004,업무일지!$G$5:$G$1004,$A46))</f>
        <v/>
      </c>
      <c r="M46" s="26" t="str">
        <f aca="false">IF($A46="","",SUMIFS(업무일지!$T$5:$T$1004,업무일지!$G$5:$G$1004,$A46))</f>
        <v/>
      </c>
      <c r="N46" s="42" t="str">
        <f aca="false">IF($A46="","",IFERROR(_xlfn.MINIFS(업무일지!$B$5:$B$1004,업무일지!$G$5:$G$1004,$A46),""))</f>
        <v/>
      </c>
      <c r="O46" s="42" t="str">
        <f aca="false">IF($A46="","",IFERROR(_xlfn.MAXIFS(업무일지!$C$5:$C$1004,업무일지!$G$5:$G$1004,$A46),""))</f>
        <v/>
      </c>
      <c r="P46" s="26" t="str">
        <f aca="false">IF($A46="","",IF(OR(N46="",O46="",O46=0),"",O46-N46+1))</f>
        <v/>
      </c>
      <c r="Q46" s="26" t="str">
        <f aca="false">IF($A46="","",IF(H46=0,"미기록",IF(COUNTIFS(업무일지!$G$5:$G$1004,$A46,업무일지!$S$5:$S$1004,"진행중")&gt;0,"진행중",IF(COUNTIFS(업무일지!$G$5:$G$1004,$A46,업무일지!$S$5:$S$1004,"보류")&gt;0,"보류","완료"))))</f>
        <v/>
      </c>
    </row>
    <row r="47" customFormat="false" ht="15" hidden="false" customHeight="false" outlineLevel="0" collapsed="false">
      <c r="A47" s="43"/>
      <c r="B47" s="35" t="str">
        <f aca="false">IFERROR(INDEX(업무일지!$F$5:$F$1004,MATCH($A47,업무일지!$G$5:$G$1004,0)),"")</f>
        <v/>
      </c>
      <c r="C47" s="23" t="str">
        <f aca="false">IFERROR(INDEX(업무일지!$H$5:$H$1004,MATCH($A47,업무일지!$G$5:$G$1004,0)),"")</f>
        <v/>
      </c>
      <c r="D47" s="23" t="str">
        <f aca="false">IFERROR(INDEX(업무일지!$I$5:$I$1004,MATCH($A47,업무일지!$G$5:$G$1004,0)),"")</f>
        <v/>
      </c>
      <c r="E47" s="23" t="str">
        <f aca="false">IF($A47="","",SUMPRODUCT((코드설정!$C$5:$C$24&lt;&gt;"")*((COUNTIFS(업무일지!$G$5:$G$1004,$A47,업무일지!$I$5:$I$1004,코드설정!$C$5:$C$24)+COUNTIFS(업무일지!$G$5:$G$1004,$A47,업무일지!$J$5:$J$1004,"*"&amp;코드설정!$C$5:$C$24&amp;"*"))&gt;0)))</f>
        <v/>
      </c>
      <c r="F47" s="23" t="str">
        <f aca="false">IF($A47="","",COUNTIFS(업무일지!$G$5:$G$1004,$A47,업무일지!$D$5:$D$1004,"출장"))</f>
        <v/>
      </c>
      <c r="G47" s="23" t="str">
        <f aca="false">IF($A47="","",COUNTIFS(업무일지!$G$5:$G$1004,$A47,업무일지!$D$5:$D$1004,"분석"))</f>
        <v/>
      </c>
      <c r="H47" s="23" t="str">
        <f aca="false">IF($A47="","",F47+G47)</f>
        <v/>
      </c>
      <c r="I47" s="24" t="str">
        <f aca="false">IF($A47="","",SUMIFS(업무일지!$P$5:$P$1004,업무일지!$G$5:$G$1004,$A47,업무일지!$D$5:$D$1004,"출장"))</f>
        <v/>
      </c>
      <c r="J47" s="24" t="str">
        <f aca="false">IF($A47="","",SUMIFS(업무일지!$R$5:$R$1004,업무일지!$G$5:$G$1004,$A47))</f>
        <v/>
      </c>
      <c r="K47" s="23" t="str">
        <f aca="false">IF($A47="","",SUMIFS(업무일지!$N$5:$N$1004,업무일지!$G$5:$G$1004,$A47))</f>
        <v/>
      </c>
      <c r="L47" s="23" t="str">
        <f aca="false">IF($A47="","",SUMIFS(업무일지!$O$5:$O$1004,업무일지!$G$5:$G$1004,$A47))</f>
        <v/>
      </c>
      <c r="M47" s="23" t="str">
        <f aca="false">IF($A47="","",SUMIFS(업무일지!$T$5:$T$1004,업무일지!$G$5:$G$1004,$A47))</f>
        <v/>
      </c>
      <c r="N47" s="44" t="str">
        <f aca="false">IF($A47="","",IFERROR(_xlfn.MINIFS(업무일지!$B$5:$B$1004,업무일지!$G$5:$G$1004,$A47),""))</f>
        <v/>
      </c>
      <c r="O47" s="44" t="str">
        <f aca="false">IF($A47="","",IFERROR(_xlfn.MAXIFS(업무일지!$C$5:$C$1004,업무일지!$G$5:$G$1004,$A47),""))</f>
        <v/>
      </c>
      <c r="P47" s="23" t="str">
        <f aca="false">IF($A47="","",IF(OR(N47="",O47="",O47=0),"",O47-N47+1))</f>
        <v/>
      </c>
      <c r="Q47" s="23" t="str">
        <f aca="false">IF($A47="","",IF(H47=0,"미기록",IF(COUNTIFS(업무일지!$G$5:$G$1004,$A47,업무일지!$S$5:$S$1004,"진행중")&gt;0,"진행중",IF(COUNTIFS(업무일지!$G$5:$G$1004,$A47,업무일지!$S$5:$S$1004,"보류")&gt;0,"보류","완료"))))</f>
        <v/>
      </c>
    </row>
    <row r="48" customFormat="false" ht="15" hidden="false" customHeight="false" outlineLevel="0" collapsed="false">
      <c r="A48" s="41"/>
      <c r="B48" s="32" t="str">
        <f aca="false">IFERROR(INDEX(업무일지!$F$5:$F$1004,MATCH($A48,업무일지!$G$5:$G$1004,0)),"")</f>
        <v/>
      </c>
      <c r="C48" s="26" t="str">
        <f aca="false">IFERROR(INDEX(업무일지!$H$5:$H$1004,MATCH($A48,업무일지!$G$5:$G$1004,0)),"")</f>
        <v/>
      </c>
      <c r="D48" s="26" t="str">
        <f aca="false">IFERROR(INDEX(업무일지!$I$5:$I$1004,MATCH($A48,업무일지!$G$5:$G$1004,0)),"")</f>
        <v/>
      </c>
      <c r="E48" s="26" t="str">
        <f aca="false">IF($A48="","",SUMPRODUCT((코드설정!$C$5:$C$24&lt;&gt;"")*((COUNTIFS(업무일지!$G$5:$G$1004,$A48,업무일지!$I$5:$I$1004,코드설정!$C$5:$C$24)+COUNTIFS(업무일지!$G$5:$G$1004,$A48,업무일지!$J$5:$J$1004,"*"&amp;코드설정!$C$5:$C$24&amp;"*"))&gt;0)))</f>
        <v/>
      </c>
      <c r="F48" s="26" t="str">
        <f aca="false">IF($A48="","",COUNTIFS(업무일지!$G$5:$G$1004,$A48,업무일지!$D$5:$D$1004,"출장"))</f>
        <v/>
      </c>
      <c r="G48" s="26" t="str">
        <f aca="false">IF($A48="","",COUNTIFS(업무일지!$G$5:$G$1004,$A48,업무일지!$D$5:$D$1004,"분석"))</f>
        <v/>
      </c>
      <c r="H48" s="26" t="str">
        <f aca="false">IF($A48="","",F48+G48)</f>
        <v/>
      </c>
      <c r="I48" s="27" t="str">
        <f aca="false">IF($A48="","",SUMIFS(업무일지!$P$5:$P$1004,업무일지!$G$5:$G$1004,$A48,업무일지!$D$5:$D$1004,"출장"))</f>
        <v/>
      </c>
      <c r="J48" s="27" t="str">
        <f aca="false">IF($A48="","",SUMIFS(업무일지!$R$5:$R$1004,업무일지!$G$5:$G$1004,$A48))</f>
        <v/>
      </c>
      <c r="K48" s="26" t="str">
        <f aca="false">IF($A48="","",SUMIFS(업무일지!$N$5:$N$1004,업무일지!$G$5:$G$1004,$A48))</f>
        <v/>
      </c>
      <c r="L48" s="26" t="str">
        <f aca="false">IF($A48="","",SUMIFS(업무일지!$O$5:$O$1004,업무일지!$G$5:$G$1004,$A48))</f>
        <v/>
      </c>
      <c r="M48" s="26" t="str">
        <f aca="false">IF($A48="","",SUMIFS(업무일지!$T$5:$T$1004,업무일지!$G$5:$G$1004,$A48))</f>
        <v/>
      </c>
      <c r="N48" s="42" t="str">
        <f aca="false">IF($A48="","",IFERROR(_xlfn.MINIFS(업무일지!$B$5:$B$1004,업무일지!$G$5:$G$1004,$A48),""))</f>
        <v/>
      </c>
      <c r="O48" s="42" t="str">
        <f aca="false">IF($A48="","",IFERROR(_xlfn.MAXIFS(업무일지!$C$5:$C$1004,업무일지!$G$5:$G$1004,$A48),""))</f>
        <v/>
      </c>
      <c r="P48" s="26" t="str">
        <f aca="false">IF($A48="","",IF(OR(N48="",O48="",O48=0),"",O48-N48+1))</f>
        <v/>
      </c>
      <c r="Q48" s="26" t="str">
        <f aca="false">IF($A48="","",IF(H48=0,"미기록",IF(COUNTIFS(업무일지!$G$5:$G$1004,$A48,업무일지!$S$5:$S$1004,"진행중")&gt;0,"진행중",IF(COUNTIFS(업무일지!$G$5:$G$1004,$A48,업무일지!$S$5:$S$1004,"보류")&gt;0,"보류","완료"))))</f>
        <v/>
      </c>
    </row>
    <row r="49" customFormat="false" ht="15" hidden="false" customHeight="false" outlineLevel="0" collapsed="false">
      <c r="A49" s="43"/>
      <c r="B49" s="35" t="str">
        <f aca="false">IFERROR(INDEX(업무일지!$F$5:$F$1004,MATCH($A49,업무일지!$G$5:$G$1004,0)),"")</f>
        <v/>
      </c>
      <c r="C49" s="23" t="str">
        <f aca="false">IFERROR(INDEX(업무일지!$H$5:$H$1004,MATCH($A49,업무일지!$G$5:$G$1004,0)),"")</f>
        <v/>
      </c>
      <c r="D49" s="23" t="str">
        <f aca="false">IFERROR(INDEX(업무일지!$I$5:$I$1004,MATCH($A49,업무일지!$G$5:$G$1004,0)),"")</f>
        <v/>
      </c>
      <c r="E49" s="23" t="str">
        <f aca="false">IF($A49="","",SUMPRODUCT((코드설정!$C$5:$C$24&lt;&gt;"")*((COUNTIFS(업무일지!$G$5:$G$1004,$A49,업무일지!$I$5:$I$1004,코드설정!$C$5:$C$24)+COUNTIFS(업무일지!$G$5:$G$1004,$A49,업무일지!$J$5:$J$1004,"*"&amp;코드설정!$C$5:$C$24&amp;"*"))&gt;0)))</f>
        <v/>
      </c>
      <c r="F49" s="23" t="str">
        <f aca="false">IF($A49="","",COUNTIFS(업무일지!$G$5:$G$1004,$A49,업무일지!$D$5:$D$1004,"출장"))</f>
        <v/>
      </c>
      <c r="G49" s="23" t="str">
        <f aca="false">IF($A49="","",COUNTIFS(업무일지!$G$5:$G$1004,$A49,업무일지!$D$5:$D$1004,"분석"))</f>
        <v/>
      </c>
      <c r="H49" s="23" t="str">
        <f aca="false">IF($A49="","",F49+G49)</f>
        <v/>
      </c>
      <c r="I49" s="24" t="str">
        <f aca="false">IF($A49="","",SUMIFS(업무일지!$P$5:$P$1004,업무일지!$G$5:$G$1004,$A49,업무일지!$D$5:$D$1004,"출장"))</f>
        <v/>
      </c>
      <c r="J49" s="24" t="str">
        <f aca="false">IF($A49="","",SUMIFS(업무일지!$R$5:$R$1004,업무일지!$G$5:$G$1004,$A49))</f>
        <v/>
      </c>
      <c r="K49" s="23" t="str">
        <f aca="false">IF($A49="","",SUMIFS(업무일지!$N$5:$N$1004,업무일지!$G$5:$G$1004,$A49))</f>
        <v/>
      </c>
      <c r="L49" s="23" t="str">
        <f aca="false">IF($A49="","",SUMIFS(업무일지!$O$5:$O$1004,업무일지!$G$5:$G$1004,$A49))</f>
        <v/>
      </c>
      <c r="M49" s="23" t="str">
        <f aca="false">IF($A49="","",SUMIFS(업무일지!$T$5:$T$1004,업무일지!$G$5:$G$1004,$A49))</f>
        <v/>
      </c>
      <c r="N49" s="44" t="str">
        <f aca="false">IF($A49="","",IFERROR(_xlfn.MINIFS(업무일지!$B$5:$B$1004,업무일지!$G$5:$G$1004,$A49),""))</f>
        <v/>
      </c>
      <c r="O49" s="44" t="str">
        <f aca="false">IF($A49="","",IFERROR(_xlfn.MAXIFS(업무일지!$C$5:$C$1004,업무일지!$G$5:$G$1004,$A49),""))</f>
        <v/>
      </c>
      <c r="P49" s="23" t="str">
        <f aca="false">IF($A49="","",IF(OR(N49="",O49="",O49=0),"",O49-N49+1))</f>
        <v/>
      </c>
      <c r="Q49" s="23" t="str">
        <f aca="false">IF($A49="","",IF(H49=0,"미기록",IF(COUNTIFS(업무일지!$G$5:$G$1004,$A49,업무일지!$S$5:$S$1004,"진행중")&gt;0,"진행중",IF(COUNTIFS(업무일지!$G$5:$G$1004,$A49,업무일지!$S$5:$S$1004,"보류")&gt;0,"보류","완료"))))</f>
        <v/>
      </c>
    </row>
    <row r="50" customFormat="false" ht="15" hidden="false" customHeight="false" outlineLevel="0" collapsed="false">
      <c r="A50" s="41"/>
      <c r="B50" s="32" t="str">
        <f aca="false">IFERROR(INDEX(업무일지!$F$5:$F$1004,MATCH($A50,업무일지!$G$5:$G$1004,0)),"")</f>
        <v/>
      </c>
      <c r="C50" s="26" t="str">
        <f aca="false">IFERROR(INDEX(업무일지!$H$5:$H$1004,MATCH($A50,업무일지!$G$5:$G$1004,0)),"")</f>
        <v/>
      </c>
      <c r="D50" s="26" t="str">
        <f aca="false">IFERROR(INDEX(업무일지!$I$5:$I$1004,MATCH($A50,업무일지!$G$5:$G$1004,0)),"")</f>
        <v/>
      </c>
      <c r="E50" s="26" t="str">
        <f aca="false">IF($A50="","",SUMPRODUCT((코드설정!$C$5:$C$24&lt;&gt;"")*((COUNTIFS(업무일지!$G$5:$G$1004,$A50,업무일지!$I$5:$I$1004,코드설정!$C$5:$C$24)+COUNTIFS(업무일지!$G$5:$G$1004,$A50,업무일지!$J$5:$J$1004,"*"&amp;코드설정!$C$5:$C$24&amp;"*"))&gt;0)))</f>
        <v/>
      </c>
      <c r="F50" s="26" t="str">
        <f aca="false">IF($A50="","",COUNTIFS(업무일지!$G$5:$G$1004,$A50,업무일지!$D$5:$D$1004,"출장"))</f>
        <v/>
      </c>
      <c r="G50" s="26" t="str">
        <f aca="false">IF($A50="","",COUNTIFS(업무일지!$G$5:$G$1004,$A50,업무일지!$D$5:$D$1004,"분석"))</f>
        <v/>
      </c>
      <c r="H50" s="26" t="str">
        <f aca="false">IF($A50="","",F50+G50)</f>
        <v/>
      </c>
      <c r="I50" s="27" t="str">
        <f aca="false">IF($A50="","",SUMIFS(업무일지!$P$5:$P$1004,업무일지!$G$5:$G$1004,$A50,업무일지!$D$5:$D$1004,"출장"))</f>
        <v/>
      </c>
      <c r="J50" s="27" t="str">
        <f aca="false">IF($A50="","",SUMIFS(업무일지!$R$5:$R$1004,업무일지!$G$5:$G$1004,$A50))</f>
        <v/>
      </c>
      <c r="K50" s="26" t="str">
        <f aca="false">IF($A50="","",SUMIFS(업무일지!$N$5:$N$1004,업무일지!$G$5:$G$1004,$A50))</f>
        <v/>
      </c>
      <c r="L50" s="26" t="str">
        <f aca="false">IF($A50="","",SUMIFS(업무일지!$O$5:$O$1004,업무일지!$G$5:$G$1004,$A50))</f>
        <v/>
      </c>
      <c r="M50" s="26" t="str">
        <f aca="false">IF($A50="","",SUMIFS(업무일지!$T$5:$T$1004,업무일지!$G$5:$G$1004,$A50))</f>
        <v/>
      </c>
      <c r="N50" s="42" t="str">
        <f aca="false">IF($A50="","",IFERROR(_xlfn.MINIFS(업무일지!$B$5:$B$1004,업무일지!$G$5:$G$1004,$A50),""))</f>
        <v/>
      </c>
      <c r="O50" s="42" t="str">
        <f aca="false">IF($A50="","",IFERROR(_xlfn.MAXIFS(업무일지!$C$5:$C$1004,업무일지!$G$5:$G$1004,$A50),""))</f>
        <v/>
      </c>
      <c r="P50" s="26" t="str">
        <f aca="false">IF($A50="","",IF(OR(N50="",O50="",O50=0),"",O50-N50+1))</f>
        <v/>
      </c>
      <c r="Q50" s="26" t="str">
        <f aca="false">IF($A50="","",IF(H50=0,"미기록",IF(COUNTIFS(업무일지!$G$5:$G$1004,$A50,업무일지!$S$5:$S$1004,"진행중")&gt;0,"진행중",IF(COUNTIFS(업무일지!$G$5:$G$1004,$A50,업무일지!$S$5:$S$1004,"보류")&gt;0,"보류","완료"))))</f>
        <v/>
      </c>
    </row>
    <row r="51" customFormat="false" ht="15" hidden="false" customHeight="false" outlineLevel="0" collapsed="false">
      <c r="A51" s="43"/>
      <c r="B51" s="35" t="str">
        <f aca="false">IFERROR(INDEX(업무일지!$F$5:$F$1004,MATCH($A51,업무일지!$G$5:$G$1004,0)),"")</f>
        <v/>
      </c>
      <c r="C51" s="23" t="str">
        <f aca="false">IFERROR(INDEX(업무일지!$H$5:$H$1004,MATCH($A51,업무일지!$G$5:$G$1004,0)),"")</f>
        <v/>
      </c>
      <c r="D51" s="23" t="str">
        <f aca="false">IFERROR(INDEX(업무일지!$I$5:$I$1004,MATCH($A51,업무일지!$G$5:$G$1004,0)),"")</f>
        <v/>
      </c>
      <c r="E51" s="23" t="str">
        <f aca="false">IF($A51="","",SUMPRODUCT((코드설정!$C$5:$C$24&lt;&gt;"")*((COUNTIFS(업무일지!$G$5:$G$1004,$A51,업무일지!$I$5:$I$1004,코드설정!$C$5:$C$24)+COUNTIFS(업무일지!$G$5:$G$1004,$A51,업무일지!$J$5:$J$1004,"*"&amp;코드설정!$C$5:$C$24&amp;"*"))&gt;0)))</f>
        <v/>
      </c>
      <c r="F51" s="23" t="str">
        <f aca="false">IF($A51="","",COUNTIFS(업무일지!$G$5:$G$1004,$A51,업무일지!$D$5:$D$1004,"출장"))</f>
        <v/>
      </c>
      <c r="G51" s="23" t="str">
        <f aca="false">IF($A51="","",COUNTIFS(업무일지!$G$5:$G$1004,$A51,업무일지!$D$5:$D$1004,"분석"))</f>
        <v/>
      </c>
      <c r="H51" s="23" t="str">
        <f aca="false">IF($A51="","",F51+G51)</f>
        <v/>
      </c>
      <c r="I51" s="24" t="str">
        <f aca="false">IF($A51="","",SUMIFS(업무일지!$P$5:$P$1004,업무일지!$G$5:$G$1004,$A51,업무일지!$D$5:$D$1004,"출장"))</f>
        <v/>
      </c>
      <c r="J51" s="24" t="str">
        <f aca="false">IF($A51="","",SUMIFS(업무일지!$R$5:$R$1004,업무일지!$G$5:$G$1004,$A51))</f>
        <v/>
      </c>
      <c r="K51" s="23" t="str">
        <f aca="false">IF($A51="","",SUMIFS(업무일지!$N$5:$N$1004,업무일지!$G$5:$G$1004,$A51))</f>
        <v/>
      </c>
      <c r="L51" s="23" t="str">
        <f aca="false">IF($A51="","",SUMIFS(업무일지!$O$5:$O$1004,업무일지!$G$5:$G$1004,$A51))</f>
        <v/>
      </c>
      <c r="M51" s="23" t="str">
        <f aca="false">IF($A51="","",SUMIFS(업무일지!$T$5:$T$1004,업무일지!$G$5:$G$1004,$A51))</f>
        <v/>
      </c>
      <c r="N51" s="44" t="str">
        <f aca="false">IF($A51="","",IFERROR(_xlfn.MINIFS(업무일지!$B$5:$B$1004,업무일지!$G$5:$G$1004,$A51),""))</f>
        <v/>
      </c>
      <c r="O51" s="44" t="str">
        <f aca="false">IF($A51="","",IFERROR(_xlfn.MAXIFS(업무일지!$C$5:$C$1004,업무일지!$G$5:$G$1004,$A51),""))</f>
        <v/>
      </c>
      <c r="P51" s="23" t="str">
        <f aca="false">IF($A51="","",IF(OR(N51="",O51="",O51=0),"",O51-N51+1))</f>
        <v/>
      </c>
      <c r="Q51" s="23" t="str">
        <f aca="false">IF($A51="","",IF(H51=0,"미기록",IF(COUNTIFS(업무일지!$G$5:$G$1004,$A51,업무일지!$S$5:$S$1004,"진행중")&gt;0,"진행중",IF(COUNTIFS(업무일지!$G$5:$G$1004,$A51,업무일지!$S$5:$S$1004,"보류")&gt;0,"보류","완료"))))</f>
        <v/>
      </c>
    </row>
    <row r="52" customFormat="false" ht="15" hidden="false" customHeight="false" outlineLevel="0" collapsed="false">
      <c r="A52" s="41"/>
      <c r="B52" s="32" t="str">
        <f aca="false">IFERROR(INDEX(업무일지!$F$5:$F$1004,MATCH($A52,업무일지!$G$5:$G$1004,0)),"")</f>
        <v/>
      </c>
      <c r="C52" s="26" t="str">
        <f aca="false">IFERROR(INDEX(업무일지!$H$5:$H$1004,MATCH($A52,업무일지!$G$5:$G$1004,0)),"")</f>
        <v/>
      </c>
      <c r="D52" s="26" t="str">
        <f aca="false">IFERROR(INDEX(업무일지!$I$5:$I$1004,MATCH($A52,업무일지!$G$5:$G$1004,0)),"")</f>
        <v/>
      </c>
      <c r="E52" s="26" t="str">
        <f aca="false">IF($A52="","",SUMPRODUCT((코드설정!$C$5:$C$24&lt;&gt;"")*((COUNTIFS(업무일지!$G$5:$G$1004,$A52,업무일지!$I$5:$I$1004,코드설정!$C$5:$C$24)+COUNTIFS(업무일지!$G$5:$G$1004,$A52,업무일지!$J$5:$J$1004,"*"&amp;코드설정!$C$5:$C$24&amp;"*"))&gt;0)))</f>
        <v/>
      </c>
      <c r="F52" s="26" t="str">
        <f aca="false">IF($A52="","",COUNTIFS(업무일지!$G$5:$G$1004,$A52,업무일지!$D$5:$D$1004,"출장"))</f>
        <v/>
      </c>
      <c r="G52" s="26" t="str">
        <f aca="false">IF($A52="","",COUNTIFS(업무일지!$G$5:$G$1004,$A52,업무일지!$D$5:$D$1004,"분석"))</f>
        <v/>
      </c>
      <c r="H52" s="26" t="str">
        <f aca="false">IF($A52="","",F52+G52)</f>
        <v/>
      </c>
      <c r="I52" s="27" t="str">
        <f aca="false">IF($A52="","",SUMIFS(업무일지!$P$5:$P$1004,업무일지!$G$5:$G$1004,$A52,업무일지!$D$5:$D$1004,"출장"))</f>
        <v/>
      </c>
      <c r="J52" s="27" t="str">
        <f aca="false">IF($A52="","",SUMIFS(업무일지!$R$5:$R$1004,업무일지!$G$5:$G$1004,$A52))</f>
        <v/>
      </c>
      <c r="K52" s="26" t="str">
        <f aca="false">IF($A52="","",SUMIFS(업무일지!$N$5:$N$1004,업무일지!$G$5:$G$1004,$A52))</f>
        <v/>
      </c>
      <c r="L52" s="26" t="str">
        <f aca="false">IF($A52="","",SUMIFS(업무일지!$O$5:$O$1004,업무일지!$G$5:$G$1004,$A52))</f>
        <v/>
      </c>
      <c r="M52" s="26" t="str">
        <f aca="false">IF($A52="","",SUMIFS(업무일지!$T$5:$T$1004,업무일지!$G$5:$G$1004,$A52))</f>
        <v/>
      </c>
      <c r="N52" s="42" t="str">
        <f aca="false">IF($A52="","",IFERROR(_xlfn.MINIFS(업무일지!$B$5:$B$1004,업무일지!$G$5:$G$1004,$A52),""))</f>
        <v/>
      </c>
      <c r="O52" s="42" t="str">
        <f aca="false">IF($A52="","",IFERROR(_xlfn.MAXIFS(업무일지!$C$5:$C$1004,업무일지!$G$5:$G$1004,$A52),""))</f>
        <v/>
      </c>
      <c r="P52" s="26" t="str">
        <f aca="false">IF($A52="","",IF(OR(N52="",O52="",O52=0),"",O52-N52+1))</f>
        <v/>
      </c>
      <c r="Q52" s="26" t="str">
        <f aca="false">IF($A52="","",IF(H52=0,"미기록",IF(COUNTIFS(업무일지!$G$5:$G$1004,$A52,업무일지!$S$5:$S$1004,"진행중")&gt;0,"진행중",IF(COUNTIFS(업무일지!$G$5:$G$1004,$A52,업무일지!$S$5:$S$1004,"보류")&gt;0,"보류","완료"))))</f>
        <v/>
      </c>
    </row>
    <row r="53" customFormat="false" ht="15" hidden="false" customHeight="false" outlineLevel="0" collapsed="false">
      <c r="A53" s="43"/>
      <c r="B53" s="35" t="str">
        <f aca="false">IFERROR(INDEX(업무일지!$F$5:$F$1004,MATCH($A53,업무일지!$G$5:$G$1004,0)),"")</f>
        <v/>
      </c>
      <c r="C53" s="23" t="str">
        <f aca="false">IFERROR(INDEX(업무일지!$H$5:$H$1004,MATCH($A53,업무일지!$G$5:$G$1004,0)),"")</f>
        <v/>
      </c>
      <c r="D53" s="23" t="str">
        <f aca="false">IFERROR(INDEX(업무일지!$I$5:$I$1004,MATCH($A53,업무일지!$G$5:$G$1004,0)),"")</f>
        <v/>
      </c>
      <c r="E53" s="23" t="str">
        <f aca="false">IF($A53="","",SUMPRODUCT((코드설정!$C$5:$C$24&lt;&gt;"")*((COUNTIFS(업무일지!$G$5:$G$1004,$A53,업무일지!$I$5:$I$1004,코드설정!$C$5:$C$24)+COUNTIFS(업무일지!$G$5:$G$1004,$A53,업무일지!$J$5:$J$1004,"*"&amp;코드설정!$C$5:$C$24&amp;"*"))&gt;0)))</f>
        <v/>
      </c>
      <c r="F53" s="23" t="str">
        <f aca="false">IF($A53="","",COUNTIFS(업무일지!$G$5:$G$1004,$A53,업무일지!$D$5:$D$1004,"출장"))</f>
        <v/>
      </c>
      <c r="G53" s="23" t="str">
        <f aca="false">IF($A53="","",COUNTIFS(업무일지!$G$5:$G$1004,$A53,업무일지!$D$5:$D$1004,"분석"))</f>
        <v/>
      </c>
      <c r="H53" s="23" t="str">
        <f aca="false">IF($A53="","",F53+G53)</f>
        <v/>
      </c>
      <c r="I53" s="24" t="str">
        <f aca="false">IF($A53="","",SUMIFS(업무일지!$P$5:$P$1004,업무일지!$G$5:$G$1004,$A53,업무일지!$D$5:$D$1004,"출장"))</f>
        <v/>
      </c>
      <c r="J53" s="24" t="str">
        <f aca="false">IF($A53="","",SUMIFS(업무일지!$R$5:$R$1004,업무일지!$G$5:$G$1004,$A53))</f>
        <v/>
      </c>
      <c r="K53" s="23" t="str">
        <f aca="false">IF($A53="","",SUMIFS(업무일지!$N$5:$N$1004,업무일지!$G$5:$G$1004,$A53))</f>
        <v/>
      </c>
      <c r="L53" s="23" t="str">
        <f aca="false">IF($A53="","",SUMIFS(업무일지!$O$5:$O$1004,업무일지!$G$5:$G$1004,$A53))</f>
        <v/>
      </c>
      <c r="M53" s="23" t="str">
        <f aca="false">IF($A53="","",SUMIFS(업무일지!$T$5:$T$1004,업무일지!$G$5:$G$1004,$A53))</f>
        <v/>
      </c>
      <c r="N53" s="44" t="str">
        <f aca="false">IF($A53="","",IFERROR(_xlfn.MINIFS(업무일지!$B$5:$B$1004,업무일지!$G$5:$G$1004,$A53),""))</f>
        <v/>
      </c>
      <c r="O53" s="44" t="str">
        <f aca="false">IF($A53="","",IFERROR(_xlfn.MAXIFS(업무일지!$C$5:$C$1004,업무일지!$G$5:$G$1004,$A53),""))</f>
        <v/>
      </c>
      <c r="P53" s="23" t="str">
        <f aca="false">IF($A53="","",IF(OR(N53="",O53="",O53=0),"",O53-N53+1))</f>
        <v/>
      </c>
      <c r="Q53" s="23" t="str">
        <f aca="false">IF($A53="","",IF(H53=0,"미기록",IF(COUNTIFS(업무일지!$G$5:$G$1004,$A53,업무일지!$S$5:$S$1004,"진행중")&gt;0,"진행중",IF(COUNTIFS(업무일지!$G$5:$G$1004,$A53,업무일지!$S$5:$S$1004,"보류")&gt;0,"보류","완료"))))</f>
        <v/>
      </c>
    </row>
    <row r="54" customFormat="false" ht="15" hidden="false" customHeight="false" outlineLevel="0" collapsed="false">
      <c r="A54" s="41"/>
      <c r="B54" s="32" t="str">
        <f aca="false">IFERROR(INDEX(업무일지!$F$5:$F$1004,MATCH($A54,업무일지!$G$5:$G$1004,0)),"")</f>
        <v/>
      </c>
      <c r="C54" s="26" t="str">
        <f aca="false">IFERROR(INDEX(업무일지!$H$5:$H$1004,MATCH($A54,업무일지!$G$5:$G$1004,0)),"")</f>
        <v/>
      </c>
      <c r="D54" s="26" t="str">
        <f aca="false">IFERROR(INDEX(업무일지!$I$5:$I$1004,MATCH($A54,업무일지!$G$5:$G$1004,0)),"")</f>
        <v/>
      </c>
      <c r="E54" s="26" t="str">
        <f aca="false">IF($A54="","",SUMPRODUCT((코드설정!$C$5:$C$24&lt;&gt;"")*((COUNTIFS(업무일지!$G$5:$G$1004,$A54,업무일지!$I$5:$I$1004,코드설정!$C$5:$C$24)+COUNTIFS(업무일지!$G$5:$G$1004,$A54,업무일지!$J$5:$J$1004,"*"&amp;코드설정!$C$5:$C$24&amp;"*"))&gt;0)))</f>
        <v/>
      </c>
      <c r="F54" s="26" t="str">
        <f aca="false">IF($A54="","",COUNTIFS(업무일지!$G$5:$G$1004,$A54,업무일지!$D$5:$D$1004,"출장"))</f>
        <v/>
      </c>
      <c r="G54" s="26" t="str">
        <f aca="false">IF($A54="","",COUNTIFS(업무일지!$G$5:$G$1004,$A54,업무일지!$D$5:$D$1004,"분석"))</f>
        <v/>
      </c>
      <c r="H54" s="26" t="str">
        <f aca="false">IF($A54="","",F54+G54)</f>
        <v/>
      </c>
      <c r="I54" s="27" t="str">
        <f aca="false">IF($A54="","",SUMIFS(업무일지!$P$5:$P$1004,업무일지!$G$5:$G$1004,$A54,업무일지!$D$5:$D$1004,"출장"))</f>
        <v/>
      </c>
      <c r="J54" s="27" t="str">
        <f aca="false">IF($A54="","",SUMIFS(업무일지!$R$5:$R$1004,업무일지!$G$5:$G$1004,$A54))</f>
        <v/>
      </c>
      <c r="K54" s="26" t="str">
        <f aca="false">IF($A54="","",SUMIFS(업무일지!$N$5:$N$1004,업무일지!$G$5:$G$1004,$A54))</f>
        <v/>
      </c>
      <c r="L54" s="26" t="str">
        <f aca="false">IF($A54="","",SUMIFS(업무일지!$O$5:$O$1004,업무일지!$G$5:$G$1004,$A54))</f>
        <v/>
      </c>
      <c r="M54" s="26" t="str">
        <f aca="false">IF($A54="","",SUMIFS(업무일지!$T$5:$T$1004,업무일지!$G$5:$G$1004,$A54))</f>
        <v/>
      </c>
      <c r="N54" s="42" t="str">
        <f aca="false">IF($A54="","",IFERROR(_xlfn.MINIFS(업무일지!$B$5:$B$1004,업무일지!$G$5:$G$1004,$A54),""))</f>
        <v/>
      </c>
      <c r="O54" s="42" t="str">
        <f aca="false">IF($A54="","",IFERROR(_xlfn.MAXIFS(업무일지!$C$5:$C$1004,업무일지!$G$5:$G$1004,$A54),""))</f>
        <v/>
      </c>
      <c r="P54" s="26" t="str">
        <f aca="false">IF($A54="","",IF(OR(N54="",O54="",O54=0),"",O54-N54+1))</f>
        <v/>
      </c>
      <c r="Q54" s="26" t="str">
        <f aca="false">IF($A54="","",IF(H54=0,"미기록",IF(COUNTIFS(업무일지!$G$5:$G$1004,$A54,업무일지!$S$5:$S$1004,"진행중")&gt;0,"진행중",IF(COUNTIFS(업무일지!$G$5:$G$1004,$A54,업무일지!$S$5:$S$1004,"보류")&gt;0,"보류","완료"))))</f>
        <v/>
      </c>
    </row>
    <row r="55" customFormat="false" ht="15" hidden="false" customHeight="false" outlineLevel="0" collapsed="false">
      <c r="A55" s="43"/>
      <c r="B55" s="35" t="str">
        <f aca="false">IFERROR(INDEX(업무일지!$F$5:$F$1004,MATCH($A55,업무일지!$G$5:$G$1004,0)),"")</f>
        <v/>
      </c>
      <c r="C55" s="23" t="str">
        <f aca="false">IFERROR(INDEX(업무일지!$H$5:$H$1004,MATCH($A55,업무일지!$G$5:$G$1004,0)),"")</f>
        <v/>
      </c>
      <c r="D55" s="23" t="str">
        <f aca="false">IFERROR(INDEX(업무일지!$I$5:$I$1004,MATCH($A55,업무일지!$G$5:$G$1004,0)),"")</f>
        <v/>
      </c>
      <c r="E55" s="23" t="str">
        <f aca="false">IF($A55="","",SUMPRODUCT((코드설정!$C$5:$C$24&lt;&gt;"")*((COUNTIFS(업무일지!$G$5:$G$1004,$A55,업무일지!$I$5:$I$1004,코드설정!$C$5:$C$24)+COUNTIFS(업무일지!$G$5:$G$1004,$A55,업무일지!$J$5:$J$1004,"*"&amp;코드설정!$C$5:$C$24&amp;"*"))&gt;0)))</f>
        <v/>
      </c>
      <c r="F55" s="23" t="str">
        <f aca="false">IF($A55="","",COUNTIFS(업무일지!$G$5:$G$1004,$A55,업무일지!$D$5:$D$1004,"출장"))</f>
        <v/>
      </c>
      <c r="G55" s="23" t="str">
        <f aca="false">IF($A55="","",COUNTIFS(업무일지!$G$5:$G$1004,$A55,업무일지!$D$5:$D$1004,"분석"))</f>
        <v/>
      </c>
      <c r="H55" s="23" t="str">
        <f aca="false">IF($A55="","",F55+G55)</f>
        <v/>
      </c>
      <c r="I55" s="24" t="str">
        <f aca="false">IF($A55="","",SUMIFS(업무일지!$P$5:$P$1004,업무일지!$G$5:$G$1004,$A55,업무일지!$D$5:$D$1004,"출장"))</f>
        <v/>
      </c>
      <c r="J55" s="24" t="str">
        <f aca="false">IF($A55="","",SUMIFS(업무일지!$R$5:$R$1004,업무일지!$G$5:$G$1004,$A55))</f>
        <v/>
      </c>
      <c r="K55" s="23" t="str">
        <f aca="false">IF($A55="","",SUMIFS(업무일지!$N$5:$N$1004,업무일지!$G$5:$G$1004,$A55))</f>
        <v/>
      </c>
      <c r="L55" s="23" t="str">
        <f aca="false">IF($A55="","",SUMIFS(업무일지!$O$5:$O$1004,업무일지!$G$5:$G$1004,$A55))</f>
        <v/>
      </c>
      <c r="M55" s="23" t="str">
        <f aca="false">IF($A55="","",SUMIFS(업무일지!$T$5:$T$1004,업무일지!$G$5:$G$1004,$A55))</f>
        <v/>
      </c>
      <c r="N55" s="44" t="str">
        <f aca="false">IF($A55="","",IFERROR(_xlfn.MINIFS(업무일지!$B$5:$B$1004,업무일지!$G$5:$G$1004,$A55),""))</f>
        <v/>
      </c>
      <c r="O55" s="44" t="str">
        <f aca="false">IF($A55="","",IFERROR(_xlfn.MAXIFS(업무일지!$C$5:$C$1004,업무일지!$G$5:$G$1004,$A55),""))</f>
        <v/>
      </c>
      <c r="P55" s="23" t="str">
        <f aca="false">IF($A55="","",IF(OR(N55="",O55="",O55=0),"",O55-N55+1))</f>
        <v/>
      </c>
      <c r="Q55" s="23" t="str">
        <f aca="false">IF($A55="","",IF(H55=0,"미기록",IF(COUNTIFS(업무일지!$G$5:$G$1004,$A55,업무일지!$S$5:$S$1004,"진행중")&gt;0,"진행중",IF(COUNTIFS(업무일지!$G$5:$G$1004,$A55,업무일지!$S$5:$S$1004,"보류")&gt;0,"보류","완료"))))</f>
        <v/>
      </c>
    </row>
    <row r="56" customFormat="false" ht="15" hidden="false" customHeight="false" outlineLevel="0" collapsed="false">
      <c r="A56" s="41"/>
      <c r="B56" s="32" t="str">
        <f aca="false">IFERROR(INDEX(업무일지!$F$5:$F$1004,MATCH($A56,업무일지!$G$5:$G$1004,0)),"")</f>
        <v/>
      </c>
      <c r="C56" s="26" t="str">
        <f aca="false">IFERROR(INDEX(업무일지!$H$5:$H$1004,MATCH($A56,업무일지!$G$5:$G$1004,0)),"")</f>
        <v/>
      </c>
      <c r="D56" s="26" t="str">
        <f aca="false">IFERROR(INDEX(업무일지!$I$5:$I$1004,MATCH($A56,업무일지!$G$5:$G$1004,0)),"")</f>
        <v/>
      </c>
      <c r="E56" s="26" t="str">
        <f aca="false">IF($A56="","",SUMPRODUCT((코드설정!$C$5:$C$24&lt;&gt;"")*((COUNTIFS(업무일지!$G$5:$G$1004,$A56,업무일지!$I$5:$I$1004,코드설정!$C$5:$C$24)+COUNTIFS(업무일지!$G$5:$G$1004,$A56,업무일지!$J$5:$J$1004,"*"&amp;코드설정!$C$5:$C$24&amp;"*"))&gt;0)))</f>
        <v/>
      </c>
      <c r="F56" s="26" t="str">
        <f aca="false">IF($A56="","",COUNTIFS(업무일지!$G$5:$G$1004,$A56,업무일지!$D$5:$D$1004,"출장"))</f>
        <v/>
      </c>
      <c r="G56" s="26" t="str">
        <f aca="false">IF($A56="","",COUNTIFS(업무일지!$G$5:$G$1004,$A56,업무일지!$D$5:$D$1004,"분석"))</f>
        <v/>
      </c>
      <c r="H56" s="26" t="str">
        <f aca="false">IF($A56="","",F56+G56)</f>
        <v/>
      </c>
      <c r="I56" s="27" t="str">
        <f aca="false">IF($A56="","",SUMIFS(업무일지!$P$5:$P$1004,업무일지!$G$5:$G$1004,$A56,업무일지!$D$5:$D$1004,"출장"))</f>
        <v/>
      </c>
      <c r="J56" s="27" t="str">
        <f aca="false">IF($A56="","",SUMIFS(업무일지!$R$5:$R$1004,업무일지!$G$5:$G$1004,$A56))</f>
        <v/>
      </c>
      <c r="K56" s="26" t="str">
        <f aca="false">IF($A56="","",SUMIFS(업무일지!$N$5:$N$1004,업무일지!$G$5:$G$1004,$A56))</f>
        <v/>
      </c>
      <c r="L56" s="26" t="str">
        <f aca="false">IF($A56="","",SUMIFS(업무일지!$O$5:$O$1004,업무일지!$G$5:$G$1004,$A56))</f>
        <v/>
      </c>
      <c r="M56" s="26" t="str">
        <f aca="false">IF($A56="","",SUMIFS(업무일지!$T$5:$T$1004,업무일지!$G$5:$G$1004,$A56))</f>
        <v/>
      </c>
      <c r="N56" s="42" t="str">
        <f aca="false">IF($A56="","",IFERROR(_xlfn.MINIFS(업무일지!$B$5:$B$1004,업무일지!$G$5:$G$1004,$A56),""))</f>
        <v/>
      </c>
      <c r="O56" s="42" t="str">
        <f aca="false">IF($A56="","",IFERROR(_xlfn.MAXIFS(업무일지!$C$5:$C$1004,업무일지!$G$5:$G$1004,$A56),""))</f>
        <v/>
      </c>
      <c r="P56" s="26" t="str">
        <f aca="false">IF($A56="","",IF(OR(N56="",O56="",O56=0),"",O56-N56+1))</f>
        <v/>
      </c>
      <c r="Q56" s="26" t="str">
        <f aca="false">IF($A56="","",IF(H56=0,"미기록",IF(COUNTIFS(업무일지!$G$5:$G$1004,$A56,업무일지!$S$5:$S$1004,"진행중")&gt;0,"진행중",IF(COUNTIFS(업무일지!$G$5:$G$1004,$A56,업무일지!$S$5:$S$1004,"보류")&gt;0,"보류","완료"))))</f>
        <v/>
      </c>
    </row>
    <row r="57" customFormat="false" ht="15" hidden="false" customHeight="false" outlineLevel="0" collapsed="false">
      <c r="A57" s="43"/>
      <c r="B57" s="35" t="str">
        <f aca="false">IFERROR(INDEX(업무일지!$F$5:$F$1004,MATCH($A57,업무일지!$G$5:$G$1004,0)),"")</f>
        <v/>
      </c>
      <c r="C57" s="23" t="str">
        <f aca="false">IFERROR(INDEX(업무일지!$H$5:$H$1004,MATCH($A57,업무일지!$G$5:$G$1004,0)),"")</f>
        <v/>
      </c>
      <c r="D57" s="23" t="str">
        <f aca="false">IFERROR(INDEX(업무일지!$I$5:$I$1004,MATCH($A57,업무일지!$G$5:$G$1004,0)),"")</f>
        <v/>
      </c>
      <c r="E57" s="23" t="str">
        <f aca="false">IF($A57="","",SUMPRODUCT((코드설정!$C$5:$C$24&lt;&gt;"")*((COUNTIFS(업무일지!$G$5:$G$1004,$A57,업무일지!$I$5:$I$1004,코드설정!$C$5:$C$24)+COUNTIFS(업무일지!$G$5:$G$1004,$A57,업무일지!$J$5:$J$1004,"*"&amp;코드설정!$C$5:$C$24&amp;"*"))&gt;0)))</f>
        <v/>
      </c>
      <c r="F57" s="23" t="str">
        <f aca="false">IF($A57="","",COUNTIFS(업무일지!$G$5:$G$1004,$A57,업무일지!$D$5:$D$1004,"출장"))</f>
        <v/>
      </c>
      <c r="G57" s="23" t="str">
        <f aca="false">IF($A57="","",COUNTIFS(업무일지!$G$5:$G$1004,$A57,업무일지!$D$5:$D$1004,"분석"))</f>
        <v/>
      </c>
      <c r="H57" s="23" t="str">
        <f aca="false">IF($A57="","",F57+G57)</f>
        <v/>
      </c>
      <c r="I57" s="24" t="str">
        <f aca="false">IF($A57="","",SUMIFS(업무일지!$P$5:$P$1004,업무일지!$G$5:$G$1004,$A57,업무일지!$D$5:$D$1004,"출장"))</f>
        <v/>
      </c>
      <c r="J57" s="24" t="str">
        <f aca="false">IF($A57="","",SUMIFS(업무일지!$R$5:$R$1004,업무일지!$G$5:$G$1004,$A57))</f>
        <v/>
      </c>
      <c r="K57" s="23" t="str">
        <f aca="false">IF($A57="","",SUMIFS(업무일지!$N$5:$N$1004,업무일지!$G$5:$G$1004,$A57))</f>
        <v/>
      </c>
      <c r="L57" s="23" t="str">
        <f aca="false">IF($A57="","",SUMIFS(업무일지!$O$5:$O$1004,업무일지!$G$5:$G$1004,$A57))</f>
        <v/>
      </c>
      <c r="M57" s="23" t="str">
        <f aca="false">IF($A57="","",SUMIFS(업무일지!$T$5:$T$1004,업무일지!$G$5:$G$1004,$A57))</f>
        <v/>
      </c>
      <c r="N57" s="44" t="str">
        <f aca="false">IF($A57="","",IFERROR(_xlfn.MINIFS(업무일지!$B$5:$B$1004,업무일지!$G$5:$G$1004,$A57),""))</f>
        <v/>
      </c>
      <c r="O57" s="44" t="str">
        <f aca="false">IF($A57="","",IFERROR(_xlfn.MAXIFS(업무일지!$C$5:$C$1004,업무일지!$G$5:$G$1004,$A57),""))</f>
        <v/>
      </c>
      <c r="P57" s="23" t="str">
        <f aca="false">IF($A57="","",IF(OR(N57="",O57="",O57=0),"",O57-N57+1))</f>
        <v/>
      </c>
      <c r="Q57" s="23" t="str">
        <f aca="false">IF($A57="","",IF(H57=0,"미기록",IF(COUNTIFS(업무일지!$G$5:$G$1004,$A57,업무일지!$S$5:$S$1004,"진행중")&gt;0,"진행중",IF(COUNTIFS(업무일지!$G$5:$G$1004,$A57,업무일지!$S$5:$S$1004,"보류")&gt;0,"보류","완료"))))</f>
        <v/>
      </c>
    </row>
    <row r="58" customFormat="false" ht="15" hidden="false" customHeight="false" outlineLevel="0" collapsed="false">
      <c r="A58" s="41"/>
      <c r="B58" s="32" t="str">
        <f aca="false">IFERROR(INDEX(업무일지!$F$5:$F$1004,MATCH($A58,업무일지!$G$5:$G$1004,0)),"")</f>
        <v/>
      </c>
      <c r="C58" s="26" t="str">
        <f aca="false">IFERROR(INDEX(업무일지!$H$5:$H$1004,MATCH($A58,업무일지!$G$5:$G$1004,0)),"")</f>
        <v/>
      </c>
      <c r="D58" s="26" t="str">
        <f aca="false">IFERROR(INDEX(업무일지!$I$5:$I$1004,MATCH($A58,업무일지!$G$5:$G$1004,0)),"")</f>
        <v/>
      </c>
      <c r="E58" s="26" t="str">
        <f aca="false">IF($A58="","",SUMPRODUCT((코드설정!$C$5:$C$24&lt;&gt;"")*((COUNTIFS(업무일지!$G$5:$G$1004,$A58,업무일지!$I$5:$I$1004,코드설정!$C$5:$C$24)+COUNTIFS(업무일지!$G$5:$G$1004,$A58,업무일지!$J$5:$J$1004,"*"&amp;코드설정!$C$5:$C$24&amp;"*"))&gt;0)))</f>
        <v/>
      </c>
      <c r="F58" s="26" t="str">
        <f aca="false">IF($A58="","",COUNTIFS(업무일지!$G$5:$G$1004,$A58,업무일지!$D$5:$D$1004,"출장"))</f>
        <v/>
      </c>
      <c r="G58" s="26" t="str">
        <f aca="false">IF($A58="","",COUNTIFS(업무일지!$G$5:$G$1004,$A58,업무일지!$D$5:$D$1004,"분석"))</f>
        <v/>
      </c>
      <c r="H58" s="26" t="str">
        <f aca="false">IF($A58="","",F58+G58)</f>
        <v/>
      </c>
      <c r="I58" s="27" t="str">
        <f aca="false">IF($A58="","",SUMIFS(업무일지!$P$5:$P$1004,업무일지!$G$5:$G$1004,$A58,업무일지!$D$5:$D$1004,"출장"))</f>
        <v/>
      </c>
      <c r="J58" s="27" t="str">
        <f aca="false">IF($A58="","",SUMIFS(업무일지!$R$5:$R$1004,업무일지!$G$5:$G$1004,$A58))</f>
        <v/>
      </c>
      <c r="K58" s="26" t="str">
        <f aca="false">IF($A58="","",SUMIFS(업무일지!$N$5:$N$1004,업무일지!$G$5:$G$1004,$A58))</f>
        <v/>
      </c>
      <c r="L58" s="26" t="str">
        <f aca="false">IF($A58="","",SUMIFS(업무일지!$O$5:$O$1004,업무일지!$G$5:$G$1004,$A58))</f>
        <v/>
      </c>
      <c r="M58" s="26" t="str">
        <f aca="false">IF($A58="","",SUMIFS(업무일지!$T$5:$T$1004,업무일지!$G$5:$G$1004,$A58))</f>
        <v/>
      </c>
      <c r="N58" s="42" t="str">
        <f aca="false">IF($A58="","",IFERROR(_xlfn.MINIFS(업무일지!$B$5:$B$1004,업무일지!$G$5:$G$1004,$A58),""))</f>
        <v/>
      </c>
      <c r="O58" s="42" t="str">
        <f aca="false">IF($A58="","",IFERROR(_xlfn.MAXIFS(업무일지!$C$5:$C$1004,업무일지!$G$5:$G$1004,$A58),""))</f>
        <v/>
      </c>
      <c r="P58" s="26" t="str">
        <f aca="false">IF($A58="","",IF(OR(N58="",O58="",O58=0),"",O58-N58+1))</f>
        <v/>
      </c>
      <c r="Q58" s="26" t="str">
        <f aca="false">IF($A58="","",IF(H58=0,"미기록",IF(COUNTIFS(업무일지!$G$5:$G$1004,$A58,업무일지!$S$5:$S$1004,"진행중")&gt;0,"진행중",IF(COUNTIFS(업무일지!$G$5:$G$1004,$A58,업무일지!$S$5:$S$1004,"보류")&gt;0,"보류","완료"))))</f>
        <v/>
      </c>
    </row>
    <row r="59" customFormat="false" ht="15" hidden="false" customHeight="false" outlineLevel="0" collapsed="false">
      <c r="A59" s="43"/>
      <c r="B59" s="35" t="str">
        <f aca="false">IFERROR(INDEX(업무일지!$F$5:$F$1004,MATCH($A59,업무일지!$G$5:$G$1004,0)),"")</f>
        <v/>
      </c>
      <c r="C59" s="23" t="str">
        <f aca="false">IFERROR(INDEX(업무일지!$H$5:$H$1004,MATCH($A59,업무일지!$G$5:$G$1004,0)),"")</f>
        <v/>
      </c>
      <c r="D59" s="23" t="str">
        <f aca="false">IFERROR(INDEX(업무일지!$I$5:$I$1004,MATCH($A59,업무일지!$G$5:$G$1004,0)),"")</f>
        <v/>
      </c>
      <c r="E59" s="23" t="str">
        <f aca="false">IF($A59="","",SUMPRODUCT((코드설정!$C$5:$C$24&lt;&gt;"")*((COUNTIFS(업무일지!$G$5:$G$1004,$A59,업무일지!$I$5:$I$1004,코드설정!$C$5:$C$24)+COUNTIFS(업무일지!$G$5:$G$1004,$A59,업무일지!$J$5:$J$1004,"*"&amp;코드설정!$C$5:$C$24&amp;"*"))&gt;0)))</f>
        <v/>
      </c>
      <c r="F59" s="23" t="str">
        <f aca="false">IF($A59="","",COUNTIFS(업무일지!$G$5:$G$1004,$A59,업무일지!$D$5:$D$1004,"출장"))</f>
        <v/>
      </c>
      <c r="G59" s="23" t="str">
        <f aca="false">IF($A59="","",COUNTIFS(업무일지!$G$5:$G$1004,$A59,업무일지!$D$5:$D$1004,"분석"))</f>
        <v/>
      </c>
      <c r="H59" s="23" t="str">
        <f aca="false">IF($A59="","",F59+G59)</f>
        <v/>
      </c>
      <c r="I59" s="24" t="str">
        <f aca="false">IF($A59="","",SUMIFS(업무일지!$P$5:$P$1004,업무일지!$G$5:$G$1004,$A59,업무일지!$D$5:$D$1004,"출장"))</f>
        <v/>
      </c>
      <c r="J59" s="24" t="str">
        <f aca="false">IF($A59="","",SUMIFS(업무일지!$R$5:$R$1004,업무일지!$G$5:$G$1004,$A59))</f>
        <v/>
      </c>
      <c r="K59" s="23" t="str">
        <f aca="false">IF($A59="","",SUMIFS(업무일지!$N$5:$N$1004,업무일지!$G$5:$G$1004,$A59))</f>
        <v/>
      </c>
      <c r="L59" s="23" t="str">
        <f aca="false">IF($A59="","",SUMIFS(업무일지!$O$5:$O$1004,업무일지!$G$5:$G$1004,$A59))</f>
        <v/>
      </c>
      <c r="M59" s="23" t="str">
        <f aca="false">IF($A59="","",SUMIFS(업무일지!$T$5:$T$1004,업무일지!$G$5:$G$1004,$A59))</f>
        <v/>
      </c>
      <c r="N59" s="44" t="str">
        <f aca="false">IF($A59="","",IFERROR(_xlfn.MINIFS(업무일지!$B$5:$B$1004,업무일지!$G$5:$G$1004,$A59),""))</f>
        <v/>
      </c>
      <c r="O59" s="44" t="str">
        <f aca="false">IF($A59="","",IFERROR(_xlfn.MAXIFS(업무일지!$C$5:$C$1004,업무일지!$G$5:$G$1004,$A59),""))</f>
        <v/>
      </c>
      <c r="P59" s="23" t="str">
        <f aca="false">IF($A59="","",IF(OR(N59="",O59="",O59=0),"",O59-N59+1))</f>
        <v/>
      </c>
      <c r="Q59" s="23" t="str">
        <f aca="false">IF($A59="","",IF(H59=0,"미기록",IF(COUNTIFS(업무일지!$G$5:$G$1004,$A59,업무일지!$S$5:$S$1004,"진행중")&gt;0,"진행중",IF(COUNTIFS(업무일지!$G$5:$G$1004,$A59,업무일지!$S$5:$S$1004,"보류")&gt;0,"보류","완료"))))</f>
        <v/>
      </c>
    </row>
    <row r="60" customFormat="false" ht="15" hidden="false" customHeight="false" outlineLevel="0" collapsed="false">
      <c r="A60" s="41"/>
      <c r="B60" s="32" t="str">
        <f aca="false">IFERROR(INDEX(업무일지!$F$5:$F$1004,MATCH($A60,업무일지!$G$5:$G$1004,0)),"")</f>
        <v/>
      </c>
      <c r="C60" s="26" t="str">
        <f aca="false">IFERROR(INDEX(업무일지!$H$5:$H$1004,MATCH($A60,업무일지!$G$5:$G$1004,0)),"")</f>
        <v/>
      </c>
      <c r="D60" s="26" t="str">
        <f aca="false">IFERROR(INDEX(업무일지!$I$5:$I$1004,MATCH($A60,업무일지!$G$5:$G$1004,0)),"")</f>
        <v/>
      </c>
      <c r="E60" s="26" t="str">
        <f aca="false">IF($A60="","",SUMPRODUCT((코드설정!$C$5:$C$24&lt;&gt;"")*((COUNTIFS(업무일지!$G$5:$G$1004,$A60,업무일지!$I$5:$I$1004,코드설정!$C$5:$C$24)+COUNTIFS(업무일지!$G$5:$G$1004,$A60,업무일지!$J$5:$J$1004,"*"&amp;코드설정!$C$5:$C$24&amp;"*"))&gt;0)))</f>
        <v/>
      </c>
      <c r="F60" s="26" t="str">
        <f aca="false">IF($A60="","",COUNTIFS(업무일지!$G$5:$G$1004,$A60,업무일지!$D$5:$D$1004,"출장"))</f>
        <v/>
      </c>
      <c r="G60" s="26" t="str">
        <f aca="false">IF($A60="","",COUNTIFS(업무일지!$G$5:$G$1004,$A60,업무일지!$D$5:$D$1004,"분석"))</f>
        <v/>
      </c>
      <c r="H60" s="26" t="str">
        <f aca="false">IF($A60="","",F60+G60)</f>
        <v/>
      </c>
      <c r="I60" s="27" t="str">
        <f aca="false">IF($A60="","",SUMIFS(업무일지!$P$5:$P$1004,업무일지!$G$5:$G$1004,$A60,업무일지!$D$5:$D$1004,"출장"))</f>
        <v/>
      </c>
      <c r="J60" s="27" t="str">
        <f aca="false">IF($A60="","",SUMIFS(업무일지!$R$5:$R$1004,업무일지!$G$5:$G$1004,$A60))</f>
        <v/>
      </c>
      <c r="K60" s="26" t="str">
        <f aca="false">IF($A60="","",SUMIFS(업무일지!$N$5:$N$1004,업무일지!$G$5:$G$1004,$A60))</f>
        <v/>
      </c>
      <c r="L60" s="26" t="str">
        <f aca="false">IF($A60="","",SUMIFS(업무일지!$O$5:$O$1004,업무일지!$G$5:$G$1004,$A60))</f>
        <v/>
      </c>
      <c r="M60" s="26" t="str">
        <f aca="false">IF($A60="","",SUMIFS(업무일지!$T$5:$T$1004,업무일지!$G$5:$G$1004,$A60))</f>
        <v/>
      </c>
      <c r="N60" s="42" t="str">
        <f aca="false">IF($A60="","",IFERROR(_xlfn.MINIFS(업무일지!$B$5:$B$1004,업무일지!$G$5:$G$1004,$A60),""))</f>
        <v/>
      </c>
      <c r="O60" s="42" t="str">
        <f aca="false">IF($A60="","",IFERROR(_xlfn.MAXIFS(업무일지!$C$5:$C$1004,업무일지!$G$5:$G$1004,$A60),""))</f>
        <v/>
      </c>
      <c r="P60" s="26" t="str">
        <f aca="false">IF($A60="","",IF(OR(N60="",O60="",O60=0),"",O60-N60+1))</f>
        <v/>
      </c>
      <c r="Q60" s="26" t="str">
        <f aca="false">IF($A60="","",IF(H60=0,"미기록",IF(COUNTIFS(업무일지!$G$5:$G$1004,$A60,업무일지!$S$5:$S$1004,"진행중")&gt;0,"진행중",IF(COUNTIFS(업무일지!$G$5:$G$1004,$A60,업무일지!$S$5:$S$1004,"보류")&gt;0,"보류","완료"))))</f>
        <v/>
      </c>
    </row>
    <row r="61" customFormat="false" ht="15" hidden="false" customHeight="false" outlineLevel="0" collapsed="false">
      <c r="A61" s="43"/>
      <c r="B61" s="35" t="str">
        <f aca="false">IFERROR(INDEX(업무일지!$F$5:$F$1004,MATCH($A61,업무일지!$G$5:$G$1004,0)),"")</f>
        <v/>
      </c>
      <c r="C61" s="23" t="str">
        <f aca="false">IFERROR(INDEX(업무일지!$H$5:$H$1004,MATCH($A61,업무일지!$G$5:$G$1004,0)),"")</f>
        <v/>
      </c>
      <c r="D61" s="23" t="str">
        <f aca="false">IFERROR(INDEX(업무일지!$I$5:$I$1004,MATCH($A61,업무일지!$G$5:$G$1004,0)),"")</f>
        <v/>
      </c>
      <c r="E61" s="23" t="str">
        <f aca="false">IF($A61="","",SUMPRODUCT((코드설정!$C$5:$C$24&lt;&gt;"")*((COUNTIFS(업무일지!$G$5:$G$1004,$A61,업무일지!$I$5:$I$1004,코드설정!$C$5:$C$24)+COUNTIFS(업무일지!$G$5:$G$1004,$A61,업무일지!$J$5:$J$1004,"*"&amp;코드설정!$C$5:$C$24&amp;"*"))&gt;0)))</f>
        <v/>
      </c>
      <c r="F61" s="23" t="str">
        <f aca="false">IF($A61="","",COUNTIFS(업무일지!$G$5:$G$1004,$A61,업무일지!$D$5:$D$1004,"출장"))</f>
        <v/>
      </c>
      <c r="G61" s="23" t="str">
        <f aca="false">IF($A61="","",COUNTIFS(업무일지!$G$5:$G$1004,$A61,업무일지!$D$5:$D$1004,"분석"))</f>
        <v/>
      </c>
      <c r="H61" s="23" t="str">
        <f aca="false">IF($A61="","",F61+G61)</f>
        <v/>
      </c>
      <c r="I61" s="24" t="str">
        <f aca="false">IF($A61="","",SUMIFS(업무일지!$P$5:$P$1004,업무일지!$G$5:$G$1004,$A61,업무일지!$D$5:$D$1004,"출장"))</f>
        <v/>
      </c>
      <c r="J61" s="24" t="str">
        <f aca="false">IF($A61="","",SUMIFS(업무일지!$R$5:$R$1004,업무일지!$G$5:$G$1004,$A61))</f>
        <v/>
      </c>
      <c r="K61" s="23" t="str">
        <f aca="false">IF($A61="","",SUMIFS(업무일지!$N$5:$N$1004,업무일지!$G$5:$G$1004,$A61))</f>
        <v/>
      </c>
      <c r="L61" s="23" t="str">
        <f aca="false">IF($A61="","",SUMIFS(업무일지!$O$5:$O$1004,업무일지!$G$5:$G$1004,$A61))</f>
        <v/>
      </c>
      <c r="M61" s="23" t="str">
        <f aca="false">IF($A61="","",SUMIFS(업무일지!$T$5:$T$1004,업무일지!$G$5:$G$1004,$A61))</f>
        <v/>
      </c>
      <c r="N61" s="44" t="str">
        <f aca="false">IF($A61="","",IFERROR(_xlfn.MINIFS(업무일지!$B$5:$B$1004,업무일지!$G$5:$G$1004,$A61),""))</f>
        <v/>
      </c>
      <c r="O61" s="44" t="str">
        <f aca="false">IF($A61="","",IFERROR(_xlfn.MAXIFS(업무일지!$C$5:$C$1004,업무일지!$G$5:$G$1004,$A61),""))</f>
        <v/>
      </c>
      <c r="P61" s="23" t="str">
        <f aca="false">IF($A61="","",IF(OR(N61="",O61="",O61=0),"",O61-N61+1))</f>
        <v/>
      </c>
      <c r="Q61" s="23" t="str">
        <f aca="false">IF($A61="","",IF(H61=0,"미기록",IF(COUNTIFS(업무일지!$G$5:$G$1004,$A61,업무일지!$S$5:$S$1004,"진행중")&gt;0,"진행중",IF(COUNTIFS(업무일지!$G$5:$G$1004,$A61,업무일지!$S$5:$S$1004,"보류")&gt;0,"보류","완료"))))</f>
        <v/>
      </c>
    </row>
    <row r="62" customFormat="false" ht="15" hidden="false" customHeight="false" outlineLevel="0" collapsed="false">
      <c r="A62" s="41"/>
      <c r="B62" s="32" t="str">
        <f aca="false">IFERROR(INDEX(업무일지!$F$5:$F$1004,MATCH($A62,업무일지!$G$5:$G$1004,0)),"")</f>
        <v/>
      </c>
      <c r="C62" s="26" t="str">
        <f aca="false">IFERROR(INDEX(업무일지!$H$5:$H$1004,MATCH($A62,업무일지!$G$5:$G$1004,0)),"")</f>
        <v/>
      </c>
      <c r="D62" s="26" t="str">
        <f aca="false">IFERROR(INDEX(업무일지!$I$5:$I$1004,MATCH($A62,업무일지!$G$5:$G$1004,0)),"")</f>
        <v/>
      </c>
      <c r="E62" s="26" t="str">
        <f aca="false">IF($A62="","",SUMPRODUCT((코드설정!$C$5:$C$24&lt;&gt;"")*((COUNTIFS(업무일지!$G$5:$G$1004,$A62,업무일지!$I$5:$I$1004,코드설정!$C$5:$C$24)+COUNTIFS(업무일지!$G$5:$G$1004,$A62,업무일지!$J$5:$J$1004,"*"&amp;코드설정!$C$5:$C$24&amp;"*"))&gt;0)))</f>
        <v/>
      </c>
      <c r="F62" s="26" t="str">
        <f aca="false">IF($A62="","",COUNTIFS(업무일지!$G$5:$G$1004,$A62,업무일지!$D$5:$D$1004,"출장"))</f>
        <v/>
      </c>
      <c r="G62" s="26" t="str">
        <f aca="false">IF($A62="","",COUNTIFS(업무일지!$G$5:$G$1004,$A62,업무일지!$D$5:$D$1004,"분석"))</f>
        <v/>
      </c>
      <c r="H62" s="26" t="str">
        <f aca="false">IF($A62="","",F62+G62)</f>
        <v/>
      </c>
      <c r="I62" s="27" t="str">
        <f aca="false">IF($A62="","",SUMIFS(업무일지!$P$5:$P$1004,업무일지!$G$5:$G$1004,$A62,업무일지!$D$5:$D$1004,"출장"))</f>
        <v/>
      </c>
      <c r="J62" s="27" t="str">
        <f aca="false">IF($A62="","",SUMIFS(업무일지!$R$5:$R$1004,업무일지!$G$5:$G$1004,$A62))</f>
        <v/>
      </c>
      <c r="K62" s="26" t="str">
        <f aca="false">IF($A62="","",SUMIFS(업무일지!$N$5:$N$1004,업무일지!$G$5:$G$1004,$A62))</f>
        <v/>
      </c>
      <c r="L62" s="26" t="str">
        <f aca="false">IF($A62="","",SUMIFS(업무일지!$O$5:$O$1004,업무일지!$G$5:$G$1004,$A62))</f>
        <v/>
      </c>
      <c r="M62" s="26" t="str">
        <f aca="false">IF($A62="","",SUMIFS(업무일지!$T$5:$T$1004,업무일지!$G$5:$G$1004,$A62))</f>
        <v/>
      </c>
      <c r="N62" s="42" t="str">
        <f aca="false">IF($A62="","",IFERROR(_xlfn.MINIFS(업무일지!$B$5:$B$1004,업무일지!$G$5:$G$1004,$A62),""))</f>
        <v/>
      </c>
      <c r="O62" s="42" t="str">
        <f aca="false">IF($A62="","",IFERROR(_xlfn.MAXIFS(업무일지!$C$5:$C$1004,업무일지!$G$5:$G$1004,$A62),""))</f>
        <v/>
      </c>
      <c r="P62" s="26" t="str">
        <f aca="false">IF($A62="","",IF(OR(N62="",O62="",O62=0),"",O62-N62+1))</f>
        <v/>
      </c>
      <c r="Q62" s="26" t="str">
        <f aca="false">IF($A62="","",IF(H62=0,"미기록",IF(COUNTIFS(업무일지!$G$5:$G$1004,$A62,업무일지!$S$5:$S$1004,"진행중")&gt;0,"진행중",IF(COUNTIFS(업무일지!$G$5:$G$1004,$A62,업무일지!$S$5:$S$1004,"보류")&gt;0,"보류","완료"))))</f>
        <v/>
      </c>
    </row>
    <row r="63" customFormat="false" ht="15" hidden="false" customHeight="false" outlineLevel="0" collapsed="false">
      <c r="A63" s="43"/>
      <c r="B63" s="35" t="str">
        <f aca="false">IFERROR(INDEX(업무일지!$F$5:$F$1004,MATCH($A63,업무일지!$G$5:$G$1004,0)),"")</f>
        <v/>
      </c>
      <c r="C63" s="23" t="str">
        <f aca="false">IFERROR(INDEX(업무일지!$H$5:$H$1004,MATCH($A63,업무일지!$G$5:$G$1004,0)),"")</f>
        <v/>
      </c>
      <c r="D63" s="23" t="str">
        <f aca="false">IFERROR(INDEX(업무일지!$I$5:$I$1004,MATCH($A63,업무일지!$G$5:$G$1004,0)),"")</f>
        <v/>
      </c>
      <c r="E63" s="23" t="str">
        <f aca="false">IF($A63="","",SUMPRODUCT((코드설정!$C$5:$C$24&lt;&gt;"")*((COUNTIFS(업무일지!$G$5:$G$1004,$A63,업무일지!$I$5:$I$1004,코드설정!$C$5:$C$24)+COUNTIFS(업무일지!$G$5:$G$1004,$A63,업무일지!$J$5:$J$1004,"*"&amp;코드설정!$C$5:$C$24&amp;"*"))&gt;0)))</f>
        <v/>
      </c>
      <c r="F63" s="23" t="str">
        <f aca="false">IF($A63="","",COUNTIFS(업무일지!$G$5:$G$1004,$A63,업무일지!$D$5:$D$1004,"출장"))</f>
        <v/>
      </c>
      <c r="G63" s="23" t="str">
        <f aca="false">IF($A63="","",COUNTIFS(업무일지!$G$5:$G$1004,$A63,업무일지!$D$5:$D$1004,"분석"))</f>
        <v/>
      </c>
      <c r="H63" s="23" t="str">
        <f aca="false">IF($A63="","",F63+G63)</f>
        <v/>
      </c>
      <c r="I63" s="24" t="str">
        <f aca="false">IF($A63="","",SUMIFS(업무일지!$P$5:$P$1004,업무일지!$G$5:$G$1004,$A63,업무일지!$D$5:$D$1004,"출장"))</f>
        <v/>
      </c>
      <c r="J63" s="24" t="str">
        <f aca="false">IF($A63="","",SUMIFS(업무일지!$R$5:$R$1004,업무일지!$G$5:$G$1004,$A63))</f>
        <v/>
      </c>
      <c r="K63" s="23" t="str">
        <f aca="false">IF($A63="","",SUMIFS(업무일지!$N$5:$N$1004,업무일지!$G$5:$G$1004,$A63))</f>
        <v/>
      </c>
      <c r="L63" s="23" t="str">
        <f aca="false">IF($A63="","",SUMIFS(업무일지!$O$5:$O$1004,업무일지!$G$5:$G$1004,$A63))</f>
        <v/>
      </c>
      <c r="M63" s="23" t="str">
        <f aca="false">IF($A63="","",SUMIFS(업무일지!$T$5:$T$1004,업무일지!$G$5:$G$1004,$A63))</f>
        <v/>
      </c>
      <c r="N63" s="44" t="str">
        <f aca="false">IF($A63="","",IFERROR(_xlfn.MINIFS(업무일지!$B$5:$B$1004,업무일지!$G$5:$G$1004,$A63),""))</f>
        <v/>
      </c>
      <c r="O63" s="44" t="str">
        <f aca="false">IF($A63="","",IFERROR(_xlfn.MAXIFS(업무일지!$C$5:$C$1004,업무일지!$G$5:$G$1004,$A63),""))</f>
        <v/>
      </c>
      <c r="P63" s="23" t="str">
        <f aca="false">IF($A63="","",IF(OR(N63="",O63="",O63=0),"",O63-N63+1))</f>
        <v/>
      </c>
      <c r="Q63" s="23" t="str">
        <f aca="false">IF($A63="","",IF(H63=0,"미기록",IF(COUNTIFS(업무일지!$G$5:$G$1004,$A63,업무일지!$S$5:$S$1004,"진행중")&gt;0,"진행중",IF(COUNTIFS(업무일지!$G$5:$G$1004,$A63,업무일지!$S$5:$S$1004,"보류")&gt;0,"보류","완료"))))</f>
        <v/>
      </c>
    </row>
    <row r="64" customFormat="false" ht="15" hidden="false" customHeight="false" outlineLevel="0" collapsed="false">
      <c r="A64" s="41"/>
      <c r="B64" s="32" t="str">
        <f aca="false">IFERROR(INDEX(업무일지!$F$5:$F$1004,MATCH($A64,업무일지!$G$5:$G$1004,0)),"")</f>
        <v/>
      </c>
      <c r="C64" s="26" t="str">
        <f aca="false">IFERROR(INDEX(업무일지!$H$5:$H$1004,MATCH($A64,업무일지!$G$5:$G$1004,0)),"")</f>
        <v/>
      </c>
      <c r="D64" s="26" t="str">
        <f aca="false">IFERROR(INDEX(업무일지!$I$5:$I$1004,MATCH($A64,업무일지!$G$5:$G$1004,0)),"")</f>
        <v/>
      </c>
      <c r="E64" s="26" t="str">
        <f aca="false">IF($A64="","",SUMPRODUCT((코드설정!$C$5:$C$24&lt;&gt;"")*((COUNTIFS(업무일지!$G$5:$G$1004,$A64,업무일지!$I$5:$I$1004,코드설정!$C$5:$C$24)+COUNTIFS(업무일지!$G$5:$G$1004,$A64,업무일지!$J$5:$J$1004,"*"&amp;코드설정!$C$5:$C$24&amp;"*"))&gt;0)))</f>
        <v/>
      </c>
      <c r="F64" s="26" t="str">
        <f aca="false">IF($A64="","",COUNTIFS(업무일지!$G$5:$G$1004,$A64,업무일지!$D$5:$D$1004,"출장"))</f>
        <v/>
      </c>
      <c r="G64" s="26" t="str">
        <f aca="false">IF($A64="","",COUNTIFS(업무일지!$G$5:$G$1004,$A64,업무일지!$D$5:$D$1004,"분석"))</f>
        <v/>
      </c>
      <c r="H64" s="26" t="str">
        <f aca="false">IF($A64="","",F64+G64)</f>
        <v/>
      </c>
      <c r="I64" s="27" t="str">
        <f aca="false">IF($A64="","",SUMIFS(업무일지!$P$5:$P$1004,업무일지!$G$5:$G$1004,$A64,업무일지!$D$5:$D$1004,"출장"))</f>
        <v/>
      </c>
      <c r="J64" s="27" t="str">
        <f aca="false">IF($A64="","",SUMIFS(업무일지!$R$5:$R$1004,업무일지!$G$5:$G$1004,$A64))</f>
        <v/>
      </c>
      <c r="K64" s="26" t="str">
        <f aca="false">IF($A64="","",SUMIFS(업무일지!$N$5:$N$1004,업무일지!$G$5:$G$1004,$A64))</f>
        <v/>
      </c>
      <c r="L64" s="26" t="str">
        <f aca="false">IF($A64="","",SUMIFS(업무일지!$O$5:$O$1004,업무일지!$G$5:$G$1004,$A64))</f>
        <v/>
      </c>
      <c r="M64" s="26" t="str">
        <f aca="false">IF($A64="","",SUMIFS(업무일지!$T$5:$T$1004,업무일지!$G$5:$G$1004,$A64))</f>
        <v/>
      </c>
      <c r="N64" s="42" t="str">
        <f aca="false">IF($A64="","",IFERROR(_xlfn.MINIFS(업무일지!$B$5:$B$1004,업무일지!$G$5:$G$1004,$A64),""))</f>
        <v/>
      </c>
      <c r="O64" s="42" t="str">
        <f aca="false">IF($A64="","",IFERROR(_xlfn.MAXIFS(업무일지!$C$5:$C$1004,업무일지!$G$5:$G$1004,$A64),""))</f>
        <v/>
      </c>
      <c r="P64" s="26" t="str">
        <f aca="false">IF($A64="","",IF(OR(N64="",O64="",O64=0),"",O64-N64+1))</f>
        <v/>
      </c>
      <c r="Q64" s="26" t="str">
        <f aca="false">IF($A64="","",IF(H64=0,"미기록",IF(COUNTIFS(업무일지!$G$5:$G$1004,$A64,업무일지!$S$5:$S$1004,"진행중")&gt;0,"진행중",IF(COUNTIFS(업무일지!$G$5:$G$1004,$A64,업무일지!$S$5:$S$1004,"보류")&gt;0,"보류","완료"))))</f>
        <v/>
      </c>
    </row>
    <row r="65" customFormat="false" ht="15" hidden="false" customHeight="false" outlineLevel="0" collapsed="false">
      <c r="A65" s="43"/>
      <c r="B65" s="35" t="str">
        <f aca="false">IFERROR(INDEX(업무일지!$F$5:$F$1004,MATCH($A65,업무일지!$G$5:$G$1004,0)),"")</f>
        <v/>
      </c>
      <c r="C65" s="23" t="str">
        <f aca="false">IFERROR(INDEX(업무일지!$H$5:$H$1004,MATCH($A65,업무일지!$G$5:$G$1004,0)),"")</f>
        <v/>
      </c>
      <c r="D65" s="23" t="str">
        <f aca="false">IFERROR(INDEX(업무일지!$I$5:$I$1004,MATCH($A65,업무일지!$G$5:$G$1004,0)),"")</f>
        <v/>
      </c>
      <c r="E65" s="23" t="str">
        <f aca="false">IF($A65="","",SUMPRODUCT((코드설정!$C$5:$C$24&lt;&gt;"")*((COUNTIFS(업무일지!$G$5:$G$1004,$A65,업무일지!$I$5:$I$1004,코드설정!$C$5:$C$24)+COUNTIFS(업무일지!$G$5:$G$1004,$A65,업무일지!$J$5:$J$1004,"*"&amp;코드설정!$C$5:$C$24&amp;"*"))&gt;0)))</f>
        <v/>
      </c>
      <c r="F65" s="23" t="str">
        <f aca="false">IF($A65="","",COUNTIFS(업무일지!$G$5:$G$1004,$A65,업무일지!$D$5:$D$1004,"출장"))</f>
        <v/>
      </c>
      <c r="G65" s="23" t="str">
        <f aca="false">IF($A65="","",COUNTIFS(업무일지!$G$5:$G$1004,$A65,업무일지!$D$5:$D$1004,"분석"))</f>
        <v/>
      </c>
      <c r="H65" s="23" t="str">
        <f aca="false">IF($A65="","",F65+G65)</f>
        <v/>
      </c>
      <c r="I65" s="24" t="str">
        <f aca="false">IF($A65="","",SUMIFS(업무일지!$P$5:$P$1004,업무일지!$G$5:$G$1004,$A65,업무일지!$D$5:$D$1004,"출장"))</f>
        <v/>
      </c>
      <c r="J65" s="24" t="str">
        <f aca="false">IF($A65="","",SUMIFS(업무일지!$R$5:$R$1004,업무일지!$G$5:$G$1004,$A65))</f>
        <v/>
      </c>
      <c r="K65" s="23" t="str">
        <f aca="false">IF($A65="","",SUMIFS(업무일지!$N$5:$N$1004,업무일지!$G$5:$G$1004,$A65))</f>
        <v/>
      </c>
      <c r="L65" s="23" t="str">
        <f aca="false">IF($A65="","",SUMIFS(업무일지!$O$5:$O$1004,업무일지!$G$5:$G$1004,$A65))</f>
        <v/>
      </c>
      <c r="M65" s="23" t="str">
        <f aca="false">IF($A65="","",SUMIFS(업무일지!$T$5:$T$1004,업무일지!$G$5:$G$1004,$A65))</f>
        <v/>
      </c>
      <c r="N65" s="44" t="str">
        <f aca="false">IF($A65="","",IFERROR(_xlfn.MINIFS(업무일지!$B$5:$B$1004,업무일지!$G$5:$G$1004,$A65),""))</f>
        <v/>
      </c>
      <c r="O65" s="44" t="str">
        <f aca="false">IF($A65="","",IFERROR(_xlfn.MAXIFS(업무일지!$C$5:$C$1004,업무일지!$G$5:$G$1004,$A65),""))</f>
        <v/>
      </c>
      <c r="P65" s="23" t="str">
        <f aca="false">IF($A65="","",IF(OR(N65="",O65="",O65=0),"",O65-N65+1))</f>
        <v/>
      </c>
      <c r="Q65" s="23" t="str">
        <f aca="false">IF($A65="","",IF(H65=0,"미기록",IF(COUNTIFS(업무일지!$G$5:$G$1004,$A65,업무일지!$S$5:$S$1004,"진행중")&gt;0,"진행중",IF(COUNTIFS(업무일지!$G$5:$G$1004,$A65,업무일지!$S$5:$S$1004,"보류")&gt;0,"보류","완료"))))</f>
        <v/>
      </c>
    </row>
    <row r="66" customFormat="false" ht="15" hidden="false" customHeight="false" outlineLevel="0" collapsed="false">
      <c r="A66" s="45" t="s">
        <v>70</v>
      </c>
      <c r="B66" s="46"/>
      <c r="C66" s="29"/>
      <c r="D66" s="29"/>
      <c r="E66" s="29" t="str">
        <f aca="false">COUNTA(A6:A65)&amp;" 건 사건"</f>
        <v>2 건 사건</v>
      </c>
      <c r="F66" s="29" t="n">
        <f aca="false">SUM(F6:F65)</f>
        <v>1</v>
      </c>
      <c r="G66" s="29" t="n">
        <f aca="false">SUM(G6:G65)</f>
        <v>2</v>
      </c>
      <c r="H66" s="29" t="n">
        <f aca="false">SUM(H6:H65)</f>
        <v>3</v>
      </c>
      <c r="I66" s="30" t="n">
        <f aca="false">SUM(I6:I65)</f>
        <v>2</v>
      </c>
      <c r="J66" s="30" t="n">
        <f aca="false">SUM(J6:J65)</f>
        <v>89</v>
      </c>
      <c r="K66" s="29" t="n">
        <f aca="false">SUM(K6:K65)</f>
        <v>12</v>
      </c>
      <c r="L66" s="29" t="n">
        <f aca="false">SUM(L6:L65)</f>
        <v>6080</v>
      </c>
      <c r="M66" s="29" t="n">
        <f aca="false">SUM(M6:M65)</f>
        <v>552000</v>
      </c>
      <c r="N66" s="47"/>
      <c r="O66" s="47"/>
      <c r="P66" s="29"/>
      <c r="Q66" s="29"/>
    </row>
    <row r="69" customFormat="false" ht="17.15" hidden="false" customHeight="false" outlineLevel="0" collapsed="false">
      <c r="A69" s="21" t="s">
        <v>101</v>
      </c>
      <c r="C69" s="19" t="s">
        <v>102</v>
      </c>
      <c r="D69" s="48" t="s">
        <v>103</v>
      </c>
      <c r="F69" s="49" t="str">
        <f aca="false">IFERROR(INDEX(B6:B65,MATCH($D$69,A6:A65,0)),"")</f>
        <v>○○ 기술유출 사건 압수수색</v>
      </c>
    </row>
    <row r="70" customFormat="false" ht="30" hidden="false" customHeight="true" outlineLevel="0" collapsed="false">
      <c r="A70" s="3" t="s">
        <v>104</v>
      </c>
      <c r="B70" s="3" t="s">
        <v>105</v>
      </c>
      <c r="C70" s="3" t="s">
        <v>106</v>
      </c>
      <c r="D70" s="3" t="s">
        <v>107</v>
      </c>
      <c r="E70" s="3" t="s">
        <v>108</v>
      </c>
      <c r="G70" s="3" t="s">
        <v>6</v>
      </c>
      <c r="H70" s="3" t="s">
        <v>72</v>
      </c>
      <c r="I70" s="3" t="s">
        <v>19</v>
      </c>
    </row>
    <row r="71" customFormat="false" ht="15" hidden="false" customHeight="false" outlineLevel="0" collapsed="false">
      <c r="A71" s="22" t="str">
        <f aca="false">IF(코드설정!$C5="","",코드설정!$C5)</f>
        <v>김디지</v>
      </c>
      <c r="B71" s="23" t="n">
        <f aca="false">IF($A71="","",COUNTIFS(업무일지!$G$5:$G$1004,$D$69,업무일지!$I$5:$I$1004,$A71))</f>
        <v>2</v>
      </c>
      <c r="C71" s="23" t="n">
        <f aca="false">IF($A71="","",COUNTIFS(업무일지!$G$5:$G$1004,$D$69,업무일지!$J$5:$J$1004,"*"&amp;$A71&amp;"*"))</f>
        <v>0</v>
      </c>
      <c r="D71" s="23" t="n">
        <f aca="false">IF($A71="","",B71+C71)</f>
        <v>2</v>
      </c>
      <c r="E71" s="24" t="n">
        <f aca="false">IF($A71="","",SUMIFS(업무일지!$Q$5:$Q$1004,업무일지!$G$5:$G$1004,$D$69,업무일지!$I$5:$I$1004,$A71)+SUMIFS(업무일지!$Q$5:$Q$1004,업무일지!$G$5:$G$1004,$D$69,업무일지!$J$5:$J$1004,"*"&amp;$A71&amp;"*"))</f>
        <v>50</v>
      </c>
      <c r="G71" s="39" t="s">
        <v>75</v>
      </c>
      <c r="H71" s="23" t="n">
        <f aca="false">COUNTIFS(업무일지!$G$5:$G$1004,$D$69,업무일지!$E$5:$E$1004,$G71)</f>
        <v>1</v>
      </c>
      <c r="I71" s="24" t="n">
        <f aca="false">SUMIFS(업무일지!$R$5:$R$1004,업무일지!$G$5:$G$1004,$D$69,업무일지!$E$5:$E$1004,$G71)</f>
        <v>48</v>
      </c>
    </row>
    <row r="72" customFormat="false" ht="15" hidden="false" customHeight="false" outlineLevel="0" collapsed="false">
      <c r="A72" s="25" t="str">
        <f aca="false">IF(코드설정!$C6="","",코드설정!$C6)</f>
        <v>이수사</v>
      </c>
      <c r="B72" s="26" t="n">
        <f aca="false">IF($A72="","",COUNTIFS(업무일지!$G$5:$G$1004,$D$69,업무일지!$I$5:$I$1004,$A72))</f>
        <v>0</v>
      </c>
      <c r="C72" s="26" t="n">
        <f aca="false">IF($A72="","",COUNTIFS(업무일지!$G$5:$G$1004,$D$69,업무일지!$J$5:$J$1004,"*"&amp;$A72&amp;"*"))</f>
        <v>1</v>
      </c>
      <c r="D72" s="26" t="n">
        <f aca="false">IF($A72="","",B72+C72)</f>
        <v>1</v>
      </c>
      <c r="E72" s="27" t="n">
        <f aca="false">IF($A72="","",SUMIFS(업무일지!$Q$5:$Q$1004,업무일지!$G$5:$G$1004,$D$69,업무일지!$I$5:$I$1004,$A72)+SUMIFS(업무일지!$Q$5:$Q$1004,업무일지!$G$5:$G$1004,$D$69,업무일지!$J$5:$J$1004,"*"&amp;$A72&amp;"*"))</f>
        <v>16</v>
      </c>
      <c r="G72" s="38" t="s">
        <v>76</v>
      </c>
      <c r="H72" s="26" t="n">
        <f aca="false">COUNTIFS(업무일지!$G$5:$G$1004,$D$69,업무일지!$E$5:$E$1004,$G72)</f>
        <v>0</v>
      </c>
      <c r="I72" s="27" t="n">
        <f aca="false">SUMIFS(업무일지!$R$5:$R$1004,업무일지!$G$5:$G$1004,$D$69,업무일지!$E$5:$E$1004,$G72)</f>
        <v>0</v>
      </c>
    </row>
    <row r="73" customFormat="false" ht="15" hidden="false" customHeight="false" outlineLevel="0" collapsed="false">
      <c r="A73" s="22" t="str">
        <f aca="false">IF(코드설정!$C7="","",코드설정!$C7)</f>
        <v>박증거</v>
      </c>
      <c r="B73" s="23" t="n">
        <f aca="false">IF($A73="","",COUNTIFS(업무일지!$G$5:$G$1004,$D$69,업무일지!$I$5:$I$1004,$A73))</f>
        <v>0</v>
      </c>
      <c r="C73" s="23" t="n">
        <f aca="false">IF($A73="","",COUNTIFS(업무일지!$G$5:$G$1004,$D$69,업무일지!$J$5:$J$1004,"*"&amp;$A73&amp;"*"))</f>
        <v>1</v>
      </c>
      <c r="D73" s="23" t="n">
        <f aca="false">IF($A73="","",B73+C73)</f>
        <v>1</v>
      </c>
      <c r="E73" s="24" t="n">
        <f aca="false">IF($A73="","",SUMIFS(업무일지!$Q$5:$Q$1004,업무일지!$G$5:$G$1004,$D$69,업무일지!$I$5:$I$1004,$A73)+SUMIFS(업무일지!$Q$5:$Q$1004,업무일지!$G$5:$G$1004,$D$69,업무일지!$J$5:$J$1004,"*"&amp;$A73&amp;"*"))</f>
        <v>16</v>
      </c>
      <c r="G73" s="39" t="s">
        <v>77</v>
      </c>
      <c r="H73" s="23" t="n">
        <f aca="false">COUNTIFS(업무일지!$G$5:$G$1004,$D$69,업무일지!$E$5:$E$1004,$G73)</f>
        <v>0</v>
      </c>
      <c r="I73" s="24" t="n">
        <f aca="false">SUMIFS(업무일지!$R$5:$R$1004,업무일지!$G$5:$G$1004,$D$69,업무일지!$E$5:$E$1004,$G73)</f>
        <v>0</v>
      </c>
    </row>
    <row r="74" customFormat="false" ht="15" hidden="false" customHeight="false" outlineLevel="0" collapsed="false">
      <c r="A74" s="25" t="str">
        <f aca="false">IF(코드설정!$C8="","",코드설정!$C8)</f>
        <v>최분석</v>
      </c>
      <c r="B74" s="26" t="n">
        <f aca="false">IF($A74="","",COUNTIFS(업무일지!$G$5:$G$1004,$D$69,업무일지!$I$5:$I$1004,$A74))</f>
        <v>0</v>
      </c>
      <c r="C74" s="26" t="n">
        <f aca="false">IF($A74="","",COUNTIFS(업무일지!$G$5:$G$1004,$D$69,업무일지!$J$5:$J$1004,"*"&amp;$A74&amp;"*"))</f>
        <v>0</v>
      </c>
      <c r="D74" s="26" t="n">
        <f aca="false">IF($A74="","",B74+C74)</f>
        <v>0</v>
      </c>
      <c r="E74" s="27" t="n">
        <f aca="false">IF($A74="","",SUMIFS(업무일지!$Q$5:$Q$1004,업무일지!$G$5:$G$1004,$D$69,업무일지!$I$5:$I$1004,$A74)+SUMIFS(업무일지!$Q$5:$Q$1004,업무일지!$G$5:$G$1004,$D$69,업무일지!$J$5:$J$1004,"*"&amp;$A74&amp;"*"))</f>
        <v>0</v>
      </c>
      <c r="G74" s="38" t="s">
        <v>78</v>
      </c>
      <c r="H74" s="26" t="n">
        <f aca="false">COUNTIFS(업무일지!$G$5:$G$1004,$D$69,업무일지!$E$5:$E$1004,$G74)</f>
        <v>0</v>
      </c>
      <c r="I74" s="27" t="n">
        <f aca="false">SUMIFS(업무일지!$R$5:$R$1004,업무일지!$G$5:$G$1004,$D$69,업무일지!$E$5:$E$1004,$G74)</f>
        <v>0</v>
      </c>
    </row>
    <row r="75" customFormat="false" ht="15" hidden="false" customHeight="false" outlineLevel="0" collapsed="false">
      <c r="A75" s="22" t="str">
        <f aca="false">IF(코드설정!$C9="","",코드설정!$C9)</f>
        <v>정현장</v>
      </c>
      <c r="B75" s="23" t="n">
        <f aca="false">IF($A75="","",COUNTIFS(업무일지!$G$5:$G$1004,$D$69,업무일지!$I$5:$I$1004,$A75))</f>
        <v>0</v>
      </c>
      <c r="C75" s="23" t="n">
        <f aca="false">IF($A75="","",COUNTIFS(업무일지!$G$5:$G$1004,$D$69,업무일지!$J$5:$J$1004,"*"&amp;$A75&amp;"*"))</f>
        <v>0</v>
      </c>
      <c r="D75" s="23" t="n">
        <f aca="false">IF($A75="","",B75+C75)</f>
        <v>0</v>
      </c>
      <c r="E75" s="24" t="n">
        <f aca="false">IF($A75="","",SUMIFS(업무일지!$Q$5:$Q$1004,업무일지!$G$5:$G$1004,$D$69,업무일지!$I$5:$I$1004,$A75)+SUMIFS(업무일지!$Q$5:$Q$1004,업무일지!$G$5:$G$1004,$D$69,업무일지!$J$5:$J$1004,"*"&amp;$A75&amp;"*"))</f>
        <v>0</v>
      </c>
      <c r="G75" s="39" t="s">
        <v>79</v>
      </c>
      <c r="H75" s="23" t="n">
        <f aca="false">COUNTIFS(업무일지!$G$5:$G$1004,$D$69,업무일지!$E$5:$E$1004,$G75)</f>
        <v>0</v>
      </c>
      <c r="I75" s="24" t="n">
        <f aca="false">SUMIFS(업무일지!$R$5:$R$1004,업무일지!$G$5:$G$1004,$D$69,업무일지!$E$5:$E$1004,$G75)</f>
        <v>0</v>
      </c>
    </row>
    <row r="76" customFormat="false" ht="15" hidden="false" customHeight="false" outlineLevel="0" collapsed="false">
      <c r="A76" s="25" t="str">
        <f aca="false">IF(코드설정!$C10="","",코드설정!$C10)</f>
        <v/>
      </c>
      <c r="B76" s="26" t="str">
        <f aca="false">IF($A76="","",COUNTIFS(업무일지!$G$5:$G$1004,$D$69,업무일지!$I$5:$I$1004,$A76))</f>
        <v/>
      </c>
      <c r="C76" s="26" t="str">
        <f aca="false">IF($A76="","",COUNTIFS(업무일지!$G$5:$G$1004,$D$69,업무일지!$J$5:$J$1004,"*"&amp;$A76&amp;"*"))</f>
        <v/>
      </c>
      <c r="D76" s="26" t="str">
        <f aca="false">IF($A76="","",B76+C76)</f>
        <v/>
      </c>
      <c r="E76" s="27" t="str">
        <f aca="false">IF($A76="","",SUMIFS(업무일지!$Q$5:$Q$1004,업무일지!$G$5:$G$1004,$D$69,업무일지!$I$5:$I$1004,$A76)+SUMIFS(업무일지!$Q$5:$Q$1004,업무일지!$G$5:$G$1004,$D$69,업무일지!$J$5:$J$1004,"*"&amp;$A76&amp;"*"))</f>
        <v/>
      </c>
      <c r="G76" s="38" t="s">
        <v>80</v>
      </c>
      <c r="H76" s="26" t="n">
        <f aca="false">COUNTIFS(업무일지!$G$5:$G$1004,$D$69,업무일지!$E$5:$E$1004,$G76)</f>
        <v>0</v>
      </c>
      <c r="I76" s="27" t="n">
        <f aca="false">SUMIFS(업무일지!$R$5:$R$1004,업무일지!$G$5:$G$1004,$D$69,업무일지!$E$5:$E$1004,$G76)</f>
        <v>0</v>
      </c>
    </row>
    <row r="77" customFormat="false" ht="15" hidden="false" customHeight="false" outlineLevel="0" collapsed="false">
      <c r="A77" s="22" t="str">
        <f aca="false">IF(코드설정!$C11="","",코드설정!$C11)</f>
        <v/>
      </c>
      <c r="B77" s="23" t="str">
        <f aca="false">IF($A77="","",COUNTIFS(업무일지!$G$5:$G$1004,$D$69,업무일지!$I$5:$I$1004,$A77))</f>
        <v/>
      </c>
      <c r="C77" s="23" t="str">
        <f aca="false">IF($A77="","",COUNTIFS(업무일지!$G$5:$G$1004,$D$69,업무일지!$J$5:$J$1004,"*"&amp;$A77&amp;"*"))</f>
        <v/>
      </c>
      <c r="D77" s="23" t="str">
        <f aca="false">IF($A77="","",B77+C77)</f>
        <v/>
      </c>
      <c r="E77" s="24" t="str">
        <f aca="false">IF($A77="","",SUMIFS(업무일지!$Q$5:$Q$1004,업무일지!$G$5:$G$1004,$D$69,업무일지!$I$5:$I$1004,$A77)+SUMIFS(업무일지!$Q$5:$Q$1004,업무일지!$G$5:$G$1004,$D$69,업무일지!$J$5:$J$1004,"*"&amp;$A77&amp;"*"))</f>
        <v/>
      </c>
      <c r="G77" s="39" t="s">
        <v>35</v>
      </c>
      <c r="H77" s="23" t="n">
        <f aca="false">COUNTIFS(업무일지!$G$5:$G$1004,$D$69,업무일지!$E$5:$E$1004,$G77)</f>
        <v>1</v>
      </c>
      <c r="I77" s="24" t="n">
        <f aca="false">SUMIFS(업무일지!$R$5:$R$1004,업무일지!$G$5:$G$1004,$D$69,업무일지!$E$5:$E$1004,$G77)</f>
        <v>34</v>
      </c>
    </row>
    <row r="78" customFormat="false" ht="15" hidden="false" customHeight="false" outlineLevel="0" collapsed="false">
      <c r="A78" s="25" t="str">
        <f aca="false">IF(코드설정!$C12="","",코드설정!$C12)</f>
        <v/>
      </c>
      <c r="B78" s="26" t="str">
        <f aca="false">IF($A78="","",COUNTIFS(업무일지!$G$5:$G$1004,$D$69,업무일지!$I$5:$I$1004,$A78))</f>
        <v/>
      </c>
      <c r="C78" s="26" t="str">
        <f aca="false">IF($A78="","",COUNTIFS(업무일지!$G$5:$G$1004,$D$69,업무일지!$J$5:$J$1004,"*"&amp;$A78&amp;"*"))</f>
        <v/>
      </c>
      <c r="D78" s="26" t="str">
        <f aca="false">IF($A78="","",B78+C78)</f>
        <v/>
      </c>
      <c r="E78" s="27" t="str">
        <f aca="false">IF($A78="","",SUMIFS(업무일지!$Q$5:$Q$1004,업무일지!$G$5:$G$1004,$D$69,업무일지!$I$5:$I$1004,$A78)+SUMIFS(업무일지!$Q$5:$Q$1004,업무일지!$G$5:$G$1004,$D$69,업무일지!$J$5:$J$1004,"*"&amp;$A78&amp;"*"))</f>
        <v/>
      </c>
      <c r="G78" s="38" t="s">
        <v>39</v>
      </c>
      <c r="H78" s="26" t="n">
        <f aca="false">COUNTIFS(업무일지!$G$5:$G$1004,$D$69,업무일지!$E$5:$E$1004,$G78)</f>
        <v>0</v>
      </c>
      <c r="I78" s="27" t="n">
        <f aca="false">SUMIFS(업무일지!$R$5:$R$1004,업무일지!$G$5:$G$1004,$D$69,업무일지!$E$5:$E$1004,$G78)</f>
        <v>0</v>
      </c>
    </row>
    <row r="79" customFormat="false" ht="15" hidden="false" customHeight="false" outlineLevel="0" collapsed="false">
      <c r="A79" s="22" t="str">
        <f aca="false">IF(코드설정!$C13="","",코드설정!$C13)</f>
        <v/>
      </c>
      <c r="B79" s="23" t="str">
        <f aca="false">IF($A79="","",COUNTIFS(업무일지!$G$5:$G$1004,$D$69,업무일지!$I$5:$I$1004,$A79))</f>
        <v/>
      </c>
      <c r="C79" s="23" t="str">
        <f aca="false">IF($A79="","",COUNTIFS(업무일지!$G$5:$G$1004,$D$69,업무일지!$J$5:$J$1004,"*"&amp;$A79&amp;"*"))</f>
        <v/>
      </c>
      <c r="D79" s="23" t="str">
        <f aca="false">IF($A79="","",B79+C79)</f>
        <v/>
      </c>
      <c r="E79" s="24" t="str">
        <f aca="false">IF($A79="","",SUMIFS(업무일지!$Q$5:$Q$1004,업무일지!$G$5:$G$1004,$D$69,업무일지!$I$5:$I$1004,$A79)+SUMIFS(업무일지!$Q$5:$Q$1004,업무일지!$G$5:$G$1004,$D$69,업무일지!$J$5:$J$1004,"*"&amp;$A79&amp;"*"))</f>
        <v/>
      </c>
      <c r="G79" s="39" t="s">
        <v>81</v>
      </c>
      <c r="H79" s="23" t="n">
        <f aca="false">COUNTIFS(업무일지!$G$5:$G$1004,$D$69,업무일지!$E$5:$E$1004,$G79)</f>
        <v>0</v>
      </c>
      <c r="I79" s="24" t="n">
        <f aca="false">SUMIFS(업무일지!$R$5:$R$1004,업무일지!$G$5:$G$1004,$D$69,업무일지!$E$5:$E$1004,$G79)</f>
        <v>0</v>
      </c>
    </row>
    <row r="80" customFormat="false" ht="15" hidden="false" customHeight="false" outlineLevel="0" collapsed="false">
      <c r="A80" s="25" t="str">
        <f aca="false">IF(코드설정!$C14="","",코드설정!$C14)</f>
        <v/>
      </c>
      <c r="B80" s="26" t="str">
        <f aca="false">IF($A80="","",COUNTIFS(업무일지!$G$5:$G$1004,$D$69,업무일지!$I$5:$I$1004,$A80))</f>
        <v/>
      </c>
      <c r="C80" s="26" t="str">
        <f aca="false">IF($A80="","",COUNTIFS(업무일지!$G$5:$G$1004,$D$69,업무일지!$J$5:$J$1004,"*"&amp;$A80&amp;"*"))</f>
        <v/>
      </c>
      <c r="D80" s="26" t="str">
        <f aca="false">IF($A80="","",B80+C80)</f>
        <v/>
      </c>
      <c r="E80" s="27" t="str">
        <f aca="false">IF($A80="","",SUMIFS(업무일지!$Q$5:$Q$1004,업무일지!$G$5:$G$1004,$D$69,업무일지!$I$5:$I$1004,$A80)+SUMIFS(업무일지!$Q$5:$Q$1004,업무일지!$G$5:$G$1004,$D$69,업무일지!$J$5:$J$1004,"*"&amp;$A80&amp;"*"))</f>
        <v/>
      </c>
      <c r="G80" s="38" t="s">
        <v>82</v>
      </c>
      <c r="H80" s="26" t="n">
        <f aca="false">COUNTIFS(업무일지!$G$5:$G$1004,$D$69,업무일지!$E$5:$E$1004,$G80)</f>
        <v>0</v>
      </c>
      <c r="I80" s="27" t="n">
        <f aca="false">SUMIFS(업무일지!$R$5:$R$1004,업무일지!$G$5:$G$1004,$D$69,업무일지!$E$5:$E$1004,$G80)</f>
        <v>0</v>
      </c>
    </row>
    <row r="81" customFormat="false" ht="15" hidden="false" customHeight="false" outlineLevel="0" collapsed="false">
      <c r="A81" s="22" t="str">
        <f aca="false">IF(코드설정!$C15="","",코드설정!$C15)</f>
        <v/>
      </c>
      <c r="B81" s="23" t="str">
        <f aca="false">IF($A81="","",COUNTIFS(업무일지!$G$5:$G$1004,$D$69,업무일지!$I$5:$I$1004,$A81))</f>
        <v/>
      </c>
      <c r="C81" s="23" t="str">
        <f aca="false">IF($A81="","",COUNTIFS(업무일지!$G$5:$G$1004,$D$69,업무일지!$J$5:$J$1004,"*"&amp;$A81&amp;"*"))</f>
        <v/>
      </c>
      <c r="D81" s="23" t="str">
        <f aca="false">IF($A81="","",B81+C81)</f>
        <v/>
      </c>
      <c r="E81" s="24" t="str">
        <f aca="false">IF($A81="","",SUMIFS(업무일지!$Q$5:$Q$1004,업무일지!$G$5:$G$1004,$D$69,업무일지!$I$5:$I$1004,$A81)+SUMIFS(업무일지!$Q$5:$Q$1004,업무일지!$G$5:$G$1004,$D$69,업무일지!$J$5:$J$1004,"*"&amp;$A81&amp;"*"))</f>
        <v/>
      </c>
      <c r="G81" s="39" t="s">
        <v>83</v>
      </c>
      <c r="H81" s="23" t="n">
        <f aca="false">COUNTIFS(업무일지!$G$5:$G$1004,$D$69,업무일지!$E$5:$E$1004,$G81)</f>
        <v>0</v>
      </c>
      <c r="I81" s="24" t="n">
        <f aca="false">SUMIFS(업무일지!$R$5:$R$1004,업무일지!$G$5:$G$1004,$D$69,업무일지!$E$5:$E$1004,$G81)</f>
        <v>0</v>
      </c>
    </row>
    <row r="82" customFormat="false" ht="15" hidden="false" customHeight="false" outlineLevel="0" collapsed="false">
      <c r="A82" s="25" t="str">
        <f aca="false">IF(코드설정!$C16="","",코드설정!$C16)</f>
        <v/>
      </c>
      <c r="B82" s="26" t="str">
        <f aca="false">IF($A82="","",COUNTIFS(업무일지!$G$5:$G$1004,$D$69,업무일지!$I$5:$I$1004,$A82))</f>
        <v/>
      </c>
      <c r="C82" s="26" t="str">
        <f aca="false">IF($A82="","",COUNTIFS(업무일지!$G$5:$G$1004,$D$69,업무일지!$J$5:$J$1004,"*"&amp;$A82&amp;"*"))</f>
        <v/>
      </c>
      <c r="D82" s="26" t="str">
        <f aca="false">IF($A82="","",B82+C82)</f>
        <v/>
      </c>
      <c r="E82" s="27" t="str">
        <f aca="false">IF($A82="","",SUMIFS(업무일지!$Q$5:$Q$1004,업무일지!$G$5:$G$1004,$D$69,업무일지!$I$5:$I$1004,$A82)+SUMIFS(업무일지!$Q$5:$Q$1004,업무일지!$G$5:$G$1004,$D$69,업무일지!$J$5:$J$1004,"*"&amp;$A82&amp;"*"))</f>
        <v/>
      </c>
      <c r="G82" s="38" t="s">
        <v>84</v>
      </c>
      <c r="H82" s="26" t="n">
        <f aca="false">COUNTIFS(업무일지!$G$5:$G$1004,$D$69,업무일지!$E$5:$E$1004,$G82)</f>
        <v>0</v>
      </c>
      <c r="I82" s="27" t="n">
        <f aca="false">SUMIFS(업무일지!$R$5:$R$1004,업무일지!$G$5:$G$1004,$D$69,업무일지!$E$5:$E$1004,$G82)</f>
        <v>0</v>
      </c>
    </row>
    <row r="83" customFormat="false" ht="15" hidden="false" customHeight="false" outlineLevel="0" collapsed="false">
      <c r="A83" s="22" t="str">
        <f aca="false">IF(코드설정!$C17="","",코드설정!$C17)</f>
        <v/>
      </c>
      <c r="B83" s="23" t="str">
        <f aca="false">IF($A83="","",COUNTIFS(업무일지!$G$5:$G$1004,$D$69,업무일지!$I$5:$I$1004,$A83))</f>
        <v/>
      </c>
      <c r="C83" s="23" t="str">
        <f aca="false">IF($A83="","",COUNTIFS(업무일지!$G$5:$G$1004,$D$69,업무일지!$J$5:$J$1004,"*"&amp;$A83&amp;"*"))</f>
        <v/>
      </c>
      <c r="D83" s="23" t="str">
        <f aca="false">IF($A83="","",B83+C83)</f>
        <v/>
      </c>
      <c r="E83" s="24" t="str">
        <f aca="false">IF($A83="","",SUMIFS(업무일지!$Q$5:$Q$1004,업무일지!$G$5:$G$1004,$D$69,업무일지!$I$5:$I$1004,$A83)+SUMIFS(업무일지!$Q$5:$Q$1004,업무일지!$G$5:$G$1004,$D$69,업무일지!$J$5:$J$1004,"*"&amp;$A83&amp;"*"))</f>
        <v/>
      </c>
      <c r="G83" s="39" t="s">
        <v>85</v>
      </c>
      <c r="H83" s="23" t="n">
        <f aca="false">COUNTIFS(업무일지!$G$5:$G$1004,$D$69,업무일지!$E$5:$E$1004,$G83)</f>
        <v>0</v>
      </c>
      <c r="I83" s="24" t="n">
        <f aca="false">SUMIFS(업무일지!$R$5:$R$1004,업무일지!$G$5:$G$1004,$D$69,업무일지!$E$5:$E$1004,$G83)</f>
        <v>0</v>
      </c>
    </row>
    <row r="84" customFormat="false" ht="15" hidden="false" customHeight="false" outlineLevel="0" collapsed="false">
      <c r="A84" s="25" t="str">
        <f aca="false">IF(코드설정!$C18="","",코드설정!$C18)</f>
        <v/>
      </c>
      <c r="B84" s="26" t="str">
        <f aca="false">IF($A84="","",COUNTIFS(업무일지!$G$5:$G$1004,$D$69,업무일지!$I$5:$I$1004,$A84))</f>
        <v/>
      </c>
      <c r="C84" s="26" t="str">
        <f aca="false">IF($A84="","",COUNTIFS(업무일지!$G$5:$G$1004,$D$69,업무일지!$J$5:$J$1004,"*"&amp;$A84&amp;"*"))</f>
        <v/>
      </c>
      <c r="D84" s="26" t="str">
        <f aca="false">IF($A84="","",B84+C84)</f>
        <v/>
      </c>
      <c r="E84" s="27" t="str">
        <f aca="false">IF($A84="","",SUMIFS(업무일지!$Q$5:$Q$1004,업무일지!$G$5:$G$1004,$D$69,업무일지!$I$5:$I$1004,$A84)+SUMIFS(업무일지!$Q$5:$Q$1004,업무일지!$G$5:$G$1004,$D$69,업무일지!$J$5:$J$1004,"*"&amp;$A84&amp;"*"))</f>
        <v/>
      </c>
    </row>
    <row r="85" customFormat="false" ht="15" hidden="false" customHeight="false" outlineLevel="0" collapsed="false">
      <c r="A85" s="22" t="str">
        <f aca="false">IF(코드설정!$C19="","",코드설정!$C19)</f>
        <v/>
      </c>
      <c r="B85" s="23" t="str">
        <f aca="false">IF($A85="","",COUNTIFS(업무일지!$G$5:$G$1004,$D$69,업무일지!$I$5:$I$1004,$A85))</f>
        <v/>
      </c>
      <c r="C85" s="23" t="str">
        <f aca="false">IF($A85="","",COUNTIFS(업무일지!$G$5:$G$1004,$D$69,업무일지!$J$5:$J$1004,"*"&amp;$A85&amp;"*"))</f>
        <v/>
      </c>
      <c r="D85" s="23" t="str">
        <f aca="false">IF($A85="","",B85+C85)</f>
        <v/>
      </c>
      <c r="E85" s="24" t="str">
        <f aca="false">IF($A85="","",SUMIFS(업무일지!$Q$5:$Q$1004,업무일지!$G$5:$G$1004,$D$69,업무일지!$I$5:$I$1004,$A85)+SUMIFS(업무일지!$Q$5:$Q$1004,업무일지!$G$5:$G$1004,$D$69,업무일지!$J$5:$J$1004,"*"&amp;$A85&amp;"*"))</f>
        <v/>
      </c>
    </row>
    <row r="86" customFormat="false" ht="15" hidden="false" customHeight="false" outlineLevel="0" collapsed="false">
      <c r="A86" s="25" t="str">
        <f aca="false">IF(코드설정!$C20="","",코드설정!$C20)</f>
        <v/>
      </c>
      <c r="B86" s="26" t="str">
        <f aca="false">IF($A86="","",COUNTIFS(업무일지!$G$5:$G$1004,$D$69,업무일지!$I$5:$I$1004,$A86))</f>
        <v/>
      </c>
      <c r="C86" s="26" t="str">
        <f aca="false">IF($A86="","",COUNTIFS(업무일지!$G$5:$G$1004,$D$69,업무일지!$J$5:$J$1004,"*"&amp;$A86&amp;"*"))</f>
        <v/>
      </c>
      <c r="D86" s="26" t="str">
        <f aca="false">IF($A86="","",B86+C86)</f>
        <v/>
      </c>
      <c r="E86" s="27" t="str">
        <f aca="false">IF($A86="","",SUMIFS(업무일지!$Q$5:$Q$1004,업무일지!$G$5:$G$1004,$D$69,업무일지!$I$5:$I$1004,$A86)+SUMIFS(업무일지!$Q$5:$Q$1004,업무일지!$G$5:$G$1004,$D$69,업무일지!$J$5:$J$1004,"*"&amp;$A86&amp;"*"))</f>
        <v/>
      </c>
    </row>
    <row r="87" customFormat="false" ht="15" hidden="false" customHeight="false" outlineLevel="0" collapsed="false">
      <c r="A87" s="22" t="str">
        <f aca="false">IF(코드설정!$C21="","",코드설정!$C21)</f>
        <v/>
      </c>
      <c r="B87" s="23" t="str">
        <f aca="false">IF($A87="","",COUNTIFS(업무일지!$G$5:$G$1004,$D$69,업무일지!$I$5:$I$1004,$A87))</f>
        <v/>
      </c>
      <c r="C87" s="23" t="str">
        <f aca="false">IF($A87="","",COUNTIFS(업무일지!$G$5:$G$1004,$D$69,업무일지!$J$5:$J$1004,"*"&amp;$A87&amp;"*"))</f>
        <v/>
      </c>
      <c r="D87" s="23" t="str">
        <f aca="false">IF($A87="","",B87+C87)</f>
        <v/>
      </c>
      <c r="E87" s="24" t="str">
        <f aca="false">IF($A87="","",SUMIFS(업무일지!$Q$5:$Q$1004,업무일지!$G$5:$G$1004,$D$69,업무일지!$I$5:$I$1004,$A87)+SUMIFS(업무일지!$Q$5:$Q$1004,업무일지!$G$5:$G$1004,$D$69,업무일지!$J$5:$J$1004,"*"&amp;$A87&amp;"*"))</f>
        <v/>
      </c>
    </row>
    <row r="88" customFormat="false" ht="15" hidden="false" customHeight="false" outlineLevel="0" collapsed="false">
      <c r="A88" s="25" t="str">
        <f aca="false">IF(코드설정!$C22="","",코드설정!$C22)</f>
        <v/>
      </c>
      <c r="B88" s="26" t="str">
        <f aca="false">IF($A88="","",COUNTIFS(업무일지!$G$5:$G$1004,$D$69,업무일지!$I$5:$I$1004,$A88))</f>
        <v/>
      </c>
      <c r="C88" s="26" t="str">
        <f aca="false">IF($A88="","",COUNTIFS(업무일지!$G$5:$G$1004,$D$69,업무일지!$J$5:$J$1004,"*"&amp;$A88&amp;"*"))</f>
        <v/>
      </c>
      <c r="D88" s="26" t="str">
        <f aca="false">IF($A88="","",B88+C88)</f>
        <v/>
      </c>
      <c r="E88" s="27" t="str">
        <f aca="false">IF($A88="","",SUMIFS(업무일지!$Q$5:$Q$1004,업무일지!$G$5:$G$1004,$D$69,업무일지!$I$5:$I$1004,$A88)+SUMIFS(업무일지!$Q$5:$Q$1004,업무일지!$G$5:$G$1004,$D$69,업무일지!$J$5:$J$1004,"*"&amp;$A88&amp;"*"))</f>
        <v/>
      </c>
    </row>
    <row r="89" customFormat="false" ht="15" hidden="false" customHeight="false" outlineLevel="0" collapsed="false">
      <c r="A89" s="22" t="str">
        <f aca="false">IF(코드설정!$C23="","",코드설정!$C23)</f>
        <v/>
      </c>
      <c r="B89" s="23" t="str">
        <f aca="false">IF($A89="","",COUNTIFS(업무일지!$G$5:$G$1004,$D$69,업무일지!$I$5:$I$1004,$A89))</f>
        <v/>
      </c>
      <c r="C89" s="23" t="str">
        <f aca="false">IF($A89="","",COUNTIFS(업무일지!$G$5:$G$1004,$D$69,업무일지!$J$5:$J$1004,"*"&amp;$A89&amp;"*"))</f>
        <v/>
      </c>
      <c r="D89" s="23" t="str">
        <f aca="false">IF($A89="","",B89+C89)</f>
        <v/>
      </c>
      <c r="E89" s="24" t="str">
        <f aca="false">IF($A89="","",SUMIFS(업무일지!$Q$5:$Q$1004,업무일지!$G$5:$G$1004,$D$69,업무일지!$I$5:$I$1004,$A89)+SUMIFS(업무일지!$Q$5:$Q$1004,업무일지!$G$5:$G$1004,$D$69,업무일지!$J$5:$J$1004,"*"&amp;$A89&amp;"*"))</f>
        <v/>
      </c>
    </row>
    <row r="90" customFormat="false" ht="15" hidden="false" customHeight="false" outlineLevel="0" collapsed="false">
      <c r="A90" s="25" t="str">
        <f aca="false">IF(코드설정!$C24="","",코드설정!$C24)</f>
        <v/>
      </c>
      <c r="B90" s="26" t="str">
        <f aca="false">IF($A90="","",COUNTIFS(업무일지!$G$5:$G$1004,$D$69,업무일지!$I$5:$I$1004,$A90))</f>
        <v/>
      </c>
      <c r="C90" s="26" t="str">
        <f aca="false">IF($A90="","",COUNTIFS(업무일지!$G$5:$G$1004,$D$69,업무일지!$J$5:$J$1004,"*"&amp;$A90&amp;"*"))</f>
        <v/>
      </c>
      <c r="D90" s="26" t="str">
        <f aca="false">IF($A90="","",B90+C90)</f>
        <v/>
      </c>
      <c r="E90" s="27" t="str">
        <f aca="false">IF($A90="","",SUMIFS(업무일지!$Q$5:$Q$1004,업무일지!$G$5:$G$1004,$D$69,업무일지!$I$5:$I$1004,$A90)+SUMIFS(업무일지!$Q$5:$Q$1004,업무일지!$G$5:$G$1004,$D$69,업무일지!$J$5:$J$1004,"*"&amp;$A90&amp;"*"))</f>
        <v/>
      </c>
    </row>
  </sheetData>
  <mergeCells count="2">
    <mergeCell ref="A1:Q1"/>
    <mergeCell ref="A2:Q2"/>
  </mergeCells>
  <dataValidations count="1">
    <dataValidation allowBlank="true" errorStyle="stop" operator="between" showDropDown="false" showErrorMessage="false" showInputMessage="false" sqref="D69" type="list">
      <formula1>'사건별 현황'!$A$6:$A$65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3"/>
    <col collapsed="false" customWidth="true" hidden="false" outlineLevel="0" max="8" min="8" style="0" width="15"/>
    <col collapsed="false" customWidth="true" hidden="false" outlineLevel="0" max="10" min="9" style="0" width="13"/>
    <col collapsed="false" customWidth="true" hidden="false" outlineLevel="0" max="11" min="11" style="0" width="11"/>
    <col collapsed="false" customWidth="true" hidden="false" outlineLevel="0" max="14" min="12" style="0" width="10"/>
  </cols>
  <sheetData>
    <row r="1" customFormat="false" ht="30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A2" s="2" t="s">
        <v>110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19" t="s">
        <v>49</v>
      </c>
      <c r="B3" s="20" t="n">
        <f aca="false">'부서 전체현황'!$B$3</f>
        <v>2026</v>
      </c>
      <c r="C3" s="50" t="s">
        <v>111</v>
      </c>
    </row>
    <row r="5" customFormat="false" ht="17.15" hidden="false" customHeight="false" outlineLevel="0" collapsed="false">
      <c r="A5" s="21" t="s">
        <v>112</v>
      </c>
    </row>
    <row r="6" customFormat="false" ht="30" hidden="false" customHeight="true" outlineLevel="0" collapsed="false">
      <c r="A6" s="3" t="s">
        <v>104</v>
      </c>
      <c r="B6" s="3" t="s">
        <v>13</v>
      </c>
      <c r="C6" s="3" t="s">
        <v>113</v>
      </c>
      <c r="D6" s="3" t="s">
        <v>114</v>
      </c>
      <c r="E6" s="3" t="s">
        <v>34</v>
      </c>
      <c r="F6" s="3" t="s">
        <v>115</v>
      </c>
      <c r="G6" s="3" t="s">
        <v>55</v>
      </c>
      <c r="H6" s="3" t="s">
        <v>108</v>
      </c>
      <c r="I6" s="3" t="s">
        <v>15</v>
      </c>
      <c r="J6" s="3" t="s">
        <v>21</v>
      </c>
      <c r="K6" s="3" t="s">
        <v>116</v>
      </c>
    </row>
    <row r="7" customFormat="false" ht="15" hidden="false" customHeight="false" outlineLevel="0" collapsed="false">
      <c r="A7" s="22" t="str">
        <f aca="false">IF(코드설정!$C5="","",코드설정!$C5)</f>
        <v>김디지</v>
      </c>
      <c r="B7" s="23" t="str">
        <f aca="false">IF($A7="","",코드설정!$D5)</f>
        <v>포렌식1팀</v>
      </c>
      <c r="C7" s="23" t="n">
        <f aca="false">IF($A7="","",COUNTIFS(업무일지!$B$5:$B$1004,"&gt;="&amp;DATE($B$3,1,1),업무일지!$B$5:$B$1004,"&lt;"&amp;DATE($B$3+1,1,1),업무일지!$I$5:$I$1004,$A7,업무일지!$D$5:$D$1004,"출장"))</f>
        <v>1</v>
      </c>
      <c r="D7" s="23" t="n">
        <f aca="false">IF($A7="","",COUNTIFS(업무일지!$B$5:$B$1004,"&gt;="&amp;DATE($B$3,1,1),업무일지!$B$5:$B$1004,"&lt;"&amp;DATE($B$3+1,1,1),업무일지!$J$5:$J$1004,"*"&amp;$A7&amp;"*",업무일지!$D$5:$D$1004,"출장"))</f>
        <v>0</v>
      </c>
      <c r="E7" s="23" t="n">
        <f aca="false">IF($A7="","",COUNTIFS(업무일지!$B$5:$B$1004,"&gt;="&amp;DATE($B$3,1,1),업무일지!$B$5:$B$1004,"&lt;"&amp;DATE($B$3+1,1,1),업무일지!$I$5:$I$1004,$A7,업무일지!$D$5:$D$1004,"분석"))</f>
        <v>1</v>
      </c>
      <c r="F7" s="23" t="n">
        <f aca="false">IF($A7="","",C7+D7+E7)</f>
        <v>2</v>
      </c>
      <c r="G7" s="24" t="n">
        <f aca="false">IF($A7="","",SUMIFS(업무일지!$P$5:$P$1004,업무일지!$B$5:$B$1004,"&gt;="&amp;DATE($B$3,1,1),업무일지!$B$5:$B$1004,"&lt;"&amp;DATE($B$3+1,1,1),업무일지!$I$5:$I$1004,$A7,업무일지!$D$5:$D$1004,"출장")+SUMIFS(업무일지!$P$5:$P$1004,업무일지!$B$5:$B$1004,"&gt;="&amp;DATE($B$3,1,1),업무일지!$B$5:$B$1004,"&lt;"&amp;DATE($B$3+1,1,1),업무일지!$J$5:$J$1004,"*"&amp;$A7&amp;"*",업무일지!$D$5:$D$1004,"출장"))</f>
        <v>2</v>
      </c>
      <c r="H7" s="24" t="n">
        <f aca="false">IF($A7="","",SUMIFS(업무일지!$Q$5:$Q$1004,업무일지!$B$5:$B$1004,"&gt;="&amp;DATE($B$3,1,1),업무일지!$B$5:$B$1004,"&lt;"&amp;DATE($B$3+1,1,1),업무일지!$I$5:$I$1004,$A7)+SUMIFS(업무일지!$Q$5:$Q$1004,업무일지!$B$5:$B$1004,"&gt;="&amp;DATE($B$3,1,1),업무일지!$B$5:$B$1004,"&lt;"&amp;DATE($B$3+1,1,1),업무일지!$J$5:$J$1004,"*"&amp;$A7&amp;"*"))</f>
        <v>50</v>
      </c>
      <c r="I7" s="23" t="n">
        <f aca="false">IF($A7="","",SUMIFS(업무일지!$N$5:$N$1004,업무일지!$B$5:$B$1004,"&gt;="&amp;DATE($B$3,1,1),업무일지!$B$5:$B$1004,"&lt;"&amp;DATE($B$3+1,1,1),업무일지!$I$5:$I$1004,$A7))</f>
        <v>10</v>
      </c>
      <c r="J7" s="23" t="n">
        <f aca="false">IF($A7="","",SUMIFS(업무일지!$T$5:$T$1004,업무일지!$B$5:$B$1004,"&gt;="&amp;DATE($B$3,1,1),업무일지!$B$5:$B$1004,"&lt;"&amp;DATE($B$3+1,1,1),업무일지!$I$5:$I$1004,$A7))</f>
        <v>552000</v>
      </c>
      <c r="K7" s="23" t="n">
        <f aca="false">IF($A7="","",COUNTIFS(업무일지!$B$5:$B$1004,"&gt;="&amp;DATE($B$3,1,1),업무일지!$B$5:$B$1004,"&lt;"&amp;DATE($B$3+1,1,1),업무일지!$I$5:$I$1004,$A7,업무일지!$S$5:$S$1004,"진행중"))</f>
        <v>0</v>
      </c>
    </row>
    <row r="8" customFormat="false" ht="15" hidden="false" customHeight="false" outlineLevel="0" collapsed="false">
      <c r="A8" s="25" t="str">
        <f aca="false">IF(코드설정!$C6="","",코드설정!$C6)</f>
        <v>이수사</v>
      </c>
      <c r="B8" s="26" t="str">
        <f aca="false">IF($A8="","",코드설정!$D6)</f>
        <v>포렌식1팀</v>
      </c>
      <c r="C8" s="26" t="n">
        <f aca="false">IF($A8="","",COUNTIFS(업무일지!$B$5:$B$1004,"&gt;="&amp;DATE($B$3,1,1),업무일지!$B$5:$B$1004,"&lt;"&amp;DATE($B$3+1,1,1),업무일지!$I$5:$I$1004,$A8,업무일지!$D$5:$D$1004,"출장"))</f>
        <v>0</v>
      </c>
      <c r="D8" s="26" t="n">
        <f aca="false">IF($A8="","",COUNTIFS(업무일지!$B$5:$B$1004,"&gt;="&amp;DATE($B$3,1,1),업무일지!$B$5:$B$1004,"&lt;"&amp;DATE($B$3+1,1,1),업무일지!$J$5:$J$1004,"*"&amp;$A8&amp;"*",업무일지!$D$5:$D$1004,"출장"))</f>
        <v>1</v>
      </c>
      <c r="E8" s="26" t="n">
        <f aca="false">IF($A8="","",COUNTIFS(업무일지!$B$5:$B$1004,"&gt;="&amp;DATE($B$3,1,1),업무일지!$B$5:$B$1004,"&lt;"&amp;DATE($B$3+1,1,1),업무일지!$I$5:$I$1004,$A8,업무일지!$D$5:$D$1004,"분석"))</f>
        <v>0</v>
      </c>
      <c r="F8" s="26" t="n">
        <f aca="false">IF($A8="","",C8+D8+E8)</f>
        <v>1</v>
      </c>
      <c r="G8" s="27" t="n">
        <f aca="false">IF($A8="","",SUMIFS(업무일지!$P$5:$P$1004,업무일지!$B$5:$B$1004,"&gt;="&amp;DATE($B$3,1,1),업무일지!$B$5:$B$1004,"&lt;"&amp;DATE($B$3+1,1,1),업무일지!$I$5:$I$1004,$A8,업무일지!$D$5:$D$1004,"출장")+SUMIFS(업무일지!$P$5:$P$1004,업무일지!$B$5:$B$1004,"&gt;="&amp;DATE($B$3,1,1),업무일지!$B$5:$B$1004,"&lt;"&amp;DATE($B$3+1,1,1),업무일지!$J$5:$J$1004,"*"&amp;$A8&amp;"*",업무일지!$D$5:$D$1004,"출장"))</f>
        <v>2</v>
      </c>
      <c r="H8" s="27" t="n">
        <f aca="false">IF($A8="","",SUMIFS(업무일지!$Q$5:$Q$1004,업무일지!$B$5:$B$1004,"&gt;="&amp;DATE($B$3,1,1),업무일지!$B$5:$B$1004,"&lt;"&amp;DATE($B$3+1,1,1),업무일지!$I$5:$I$1004,$A8)+SUMIFS(업무일지!$Q$5:$Q$1004,업무일지!$B$5:$B$1004,"&gt;="&amp;DATE($B$3,1,1),업무일지!$B$5:$B$1004,"&lt;"&amp;DATE($B$3+1,1,1),업무일지!$J$5:$J$1004,"*"&amp;$A8&amp;"*"))</f>
        <v>16</v>
      </c>
      <c r="I8" s="26" t="n">
        <f aca="false">IF($A8="","",SUMIFS(업무일지!$N$5:$N$1004,업무일지!$B$5:$B$1004,"&gt;="&amp;DATE($B$3,1,1),업무일지!$B$5:$B$1004,"&lt;"&amp;DATE($B$3+1,1,1),업무일지!$I$5:$I$1004,$A8))</f>
        <v>0</v>
      </c>
      <c r="J8" s="26" t="n">
        <f aca="false">IF($A8="","",SUMIFS(업무일지!$T$5:$T$1004,업무일지!$B$5:$B$1004,"&gt;="&amp;DATE($B$3,1,1),업무일지!$B$5:$B$1004,"&lt;"&amp;DATE($B$3+1,1,1),업무일지!$I$5:$I$1004,$A8))</f>
        <v>0</v>
      </c>
      <c r="K8" s="26" t="n">
        <f aca="false">IF($A8="","",COUNTIFS(업무일지!$B$5:$B$1004,"&gt;="&amp;DATE($B$3,1,1),업무일지!$B$5:$B$1004,"&lt;"&amp;DATE($B$3+1,1,1),업무일지!$I$5:$I$1004,$A8,업무일지!$S$5:$S$1004,"진행중"))</f>
        <v>0</v>
      </c>
    </row>
    <row r="9" customFormat="false" ht="15" hidden="false" customHeight="false" outlineLevel="0" collapsed="false">
      <c r="A9" s="22" t="str">
        <f aca="false">IF(코드설정!$C7="","",코드설정!$C7)</f>
        <v>박증거</v>
      </c>
      <c r="B9" s="23" t="str">
        <f aca="false">IF($A9="","",코드설정!$D7)</f>
        <v>포렌식2팀</v>
      </c>
      <c r="C9" s="23" t="n">
        <f aca="false">IF($A9="","",COUNTIFS(업무일지!$B$5:$B$1004,"&gt;="&amp;DATE($B$3,1,1),업무일지!$B$5:$B$1004,"&lt;"&amp;DATE($B$3+1,1,1),업무일지!$I$5:$I$1004,$A9,업무일지!$D$5:$D$1004,"출장"))</f>
        <v>0</v>
      </c>
      <c r="D9" s="23" t="n">
        <f aca="false">IF($A9="","",COUNTIFS(업무일지!$B$5:$B$1004,"&gt;="&amp;DATE($B$3,1,1),업무일지!$B$5:$B$1004,"&lt;"&amp;DATE($B$3+1,1,1),업무일지!$J$5:$J$1004,"*"&amp;$A9&amp;"*",업무일지!$D$5:$D$1004,"출장"))</f>
        <v>1</v>
      </c>
      <c r="E9" s="23" t="n">
        <f aca="false">IF($A9="","",COUNTIFS(업무일지!$B$5:$B$1004,"&gt;="&amp;DATE($B$3,1,1),업무일지!$B$5:$B$1004,"&lt;"&amp;DATE($B$3+1,1,1),업무일지!$I$5:$I$1004,$A9,업무일지!$D$5:$D$1004,"분석"))</f>
        <v>1</v>
      </c>
      <c r="F9" s="23" t="n">
        <f aca="false">IF($A9="","",C9+D9+E9)</f>
        <v>2</v>
      </c>
      <c r="G9" s="24" t="n">
        <f aca="false">IF($A9="","",SUMIFS(업무일지!$P$5:$P$1004,업무일지!$B$5:$B$1004,"&gt;="&amp;DATE($B$3,1,1),업무일지!$B$5:$B$1004,"&lt;"&amp;DATE($B$3+1,1,1),업무일지!$I$5:$I$1004,$A9,업무일지!$D$5:$D$1004,"출장")+SUMIFS(업무일지!$P$5:$P$1004,업무일지!$B$5:$B$1004,"&gt;="&amp;DATE($B$3,1,1),업무일지!$B$5:$B$1004,"&lt;"&amp;DATE($B$3+1,1,1),업무일지!$J$5:$J$1004,"*"&amp;$A9&amp;"*",업무일지!$D$5:$D$1004,"출장"))</f>
        <v>2</v>
      </c>
      <c r="H9" s="24" t="n">
        <f aca="false">IF($A9="","",SUMIFS(업무일지!$Q$5:$Q$1004,업무일지!$B$5:$B$1004,"&gt;="&amp;DATE($B$3,1,1),업무일지!$B$5:$B$1004,"&lt;"&amp;DATE($B$3+1,1,1),업무일지!$I$5:$I$1004,$A9)+SUMIFS(업무일지!$Q$5:$Q$1004,업무일지!$B$5:$B$1004,"&gt;="&amp;DATE($B$3,1,1),업무일지!$B$5:$B$1004,"&lt;"&amp;DATE($B$3+1,1,1),업무일지!$J$5:$J$1004,"*"&amp;$A9&amp;"*"))</f>
        <v>23</v>
      </c>
      <c r="I9" s="23" t="n">
        <f aca="false">IF($A9="","",SUMIFS(업무일지!$N$5:$N$1004,업무일지!$B$5:$B$1004,"&gt;="&amp;DATE($B$3,1,1),업무일지!$B$5:$B$1004,"&lt;"&amp;DATE($B$3+1,1,1),업무일지!$I$5:$I$1004,$A9))</f>
        <v>2</v>
      </c>
      <c r="J9" s="23" t="n">
        <f aca="false">IF($A9="","",SUMIFS(업무일지!$T$5:$T$1004,업무일지!$B$5:$B$1004,"&gt;="&amp;DATE($B$3,1,1),업무일지!$B$5:$B$1004,"&lt;"&amp;DATE($B$3+1,1,1),업무일지!$I$5:$I$1004,$A9))</f>
        <v>0</v>
      </c>
      <c r="K9" s="23" t="n">
        <f aca="false">IF($A9="","",COUNTIFS(업무일지!$B$5:$B$1004,"&gt;="&amp;DATE($B$3,1,1),업무일지!$B$5:$B$1004,"&lt;"&amp;DATE($B$3+1,1,1),업무일지!$I$5:$I$1004,$A9,업무일지!$S$5:$S$1004,"진행중"))</f>
        <v>1</v>
      </c>
    </row>
    <row r="10" customFormat="false" ht="15" hidden="false" customHeight="false" outlineLevel="0" collapsed="false">
      <c r="A10" s="25" t="str">
        <f aca="false">IF(코드설정!$C8="","",코드설정!$C8)</f>
        <v>최분석</v>
      </c>
      <c r="B10" s="26" t="str">
        <f aca="false">IF($A10="","",코드설정!$D8)</f>
        <v>포렌식2팀</v>
      </c>
      <c r="C10" s="26" t="n">
        <f aca="false">IF($A10="","",COUNTIFS(업무일지!$B$5:$B$1004,"&gt;="&amp;DATE($B$3,1,1),업무일지!$B$5:$B$1004,"&lt;"&amp;DATE($B$3+1,1,1),업무일지!$I$5:$I$1004,$A10,업무일지!$D$5:$D$1004,"출장"))</f>
        <v>0</v>
      </c>
      <c r="D10" s="26" t="n">
        <f aca="false">IF($A10="","",COUNTIFS(업무일지!$B$5:$B$1004,"&gt;="&amp;DATE($B$3,1,1),업무일지!$B$5:$B$1004,"&lt;"&amp;DATE($B$3+1,1,1),업무일지!$J$5:$J$1004,"*"&amp;$A10&amp;"*",업무일지!$D$5:$D$1004,"출장"))</f>
        <v>0</v>
      </c>
      <c r="E10" s="26" t="n">
        <f aca="false">IF($A10="","",COUNTIFS(업무일지!$B$5:$B$1004,"&gt;="&amp;DATE($B$3,1,1),업무일지!$B$5:$B$1004,"&lt;"&amp;DATE($B$3+1,1,1),업무일지!$I$5:$I$1004,$A10,업무일지!$D$5:$D$1004,"분석"))</f>
        <v>0</v>
      </c>
      <c r="F10" s="26" t="n">
        <f aca="false">IF($A10="","",C10+D10+E10)</f>
        <v>0</v>
      </c>
      <c r="G10" s="27" t="n">
        <f aca="false">IF($A10="","",SUMIFS(업무일지!$P$5:$P$1004,업무일지!$B$5:$B$1004,"&gt;="&amp;DATE($B$3,1,1),업무일지!$B$5:$B$1004,"&lt;"&amp;DATE($B$3+1,1,1),업무일지!$I$5:$I$1004,$A10,업무일지!$D$5:$D$1004,"출장")+SUMIFS(업무일지!$P$5:$P$1004,업무일지!$B$5:$B$1004,"&gt;="&amp;DATE($B$3,1,1),업무일지!$B$5:$B$1004,"&lt;"&amp;DATE($B$3+1,1,1),업무일지!$J$5:$J$1004,"*"&amp;$A10&amp;"*",업무일지!$D$5:$D$1004,"출장"))</f>
        <v>0</v>
      </c>
      <c r="H10" s="27" t="n">
        <f aca="false">IF($A10="","",SUMIFS(업무일지!$Q$5:$Q$1004,업무일지!$B$5:$B$1004,"&gt;="&amp;DATE($B$3,1,1),업무일지!$B$5:$B$1004,"&lt;"&amp;DATE($B$3+1,1,1),업무일지!$I$5:$I$1004,$A10)+SUMIFS(업무일지!$Q$5:$Q$1004,업무일지!$B$5:$B$1004,"&gt;="&amp;DATE($B$3,1,1),업무일지!$B$5:$B$1004,"&lt;"&amp;DATE($B$3+1,1,1),업무일지!$J$5:$J$1004,"*"&amp;$A10&amp;"*"))</f>
        <v>0</v>
      </c>
      <c r="I10" s="26" t="n">
        <f aca="false">IF($A10="","",SUMIFS(업무일지!$N$5:$N$1004,업무일지!$B$5:$B$1004,"&gt;="&amp;DATE($B$3,1,1),업무일지!$B$5:$B$1004,"&lt;"&amp;DATE($B$3+1,1,1),업무일지!$I$5:$I$1004,$A10))</f>
        <v>0</v>
      </c>
      <c r="J10" s="26" t="n">
        <f aca="false">IF($A10="","",SUMIFS(업무일지!$T$5:$T$1004,업무일지!$B$5:$B$1004,"&gt;="&amp;DATE($B$3,1,1),업무일지!$B$5:$B$1004,"&lt;"&amp;DATE($B$3+1,1,1),업무일지!$I$5:$I$1004,$A10))</f>
        <v>0</v>
      </c>
      <c r="K10" s="26" t="n">
        <f aca="false">IF($A10="","",COUNTIFS(업무일지!$B$5:$B$1004,"&gt;="&amp;DATE($B$3,1,1),업무일지!$B$5:$B$1004,"&lt;"&amp;DATE($B$3+1,1,1),업무일지!$I$5:$I$1004,$A10,업무일지!$S$5:$S$1004,"진행중"))</f>
        <v>0</v>
      </c>
    </row>
    <row r="11" customFormat="false" ht="15" hidden="false" customHeight="false" outlineLevel="0" collapsed="false">
      <c r="A11" s="22" t="str">
        <f aca="false">IF(코드설정!$C9="","",코드설정!$C9)</f>
        <v>정현장</v>
      </c>
      <c r="B11" s="23" t="str">
        <f aca="false">IF($A11="","",코드설정!$D9)</f>
        <v>침해대응팀</v>
      </c>
      <c r="C11" s="23" t="n">
        <f aca="false">IF($A11="","",COUNTIFS(업무일지!$B$5:$B$1004,"&gt;="&amp;DATE($B$3,1,1),업무일지!$B$5:$B$1004,"&lt;"&amp;DATE($B$3+1,1,1),업무일지!$I$5:$I$1004,$A11,업무일지!$D$5:$D$1004,"출장"))</f>
        <v>0</v>
      </c>
      <c r="D11" s="23" t="n">
        <f aca="false">IF($A11="","",COUNTIFS(업무일지!$B$5:$B$1004,"&gt;="&amp;DATE($B$3,1,1),업무일지!$B$5:$B$1004,"&lt;"&amp;DATE($B$3+1,1,1),업무일지!$J$5:$J$1004,"*"&amp;$A11&amp;"*",업무일지!$D$5:$D$1004,"출장"))</f>
        <v>0</v>
      </c>
      <c r="E11" s="23" t="n">
        <f aca="false">IF($A11="","",COUNTIFS(업무일지!$B$5:$B$1004,"&gt;="&amp;DATE($B$3,1,1),업무일지!$B$5:$B$1004,"&lt;"&amp;DATE($B$3+1,1,1),업무일지!$I$5:$I$1004,$A11,업무일지!$D$5:$D$1004,"분석"))</f>
        <v>0</v>
      </c>
      <c r="F11" s="23" t="n">
        <f aca="false">IF($A11="","",C11+D11+E11)</f>
        <v>0</v>
      </c>
      <c r="G11" s="24" t="n">
        <f aca="false">IF($A11="","",SUMIFS(업무일지!$P$5:$P$1004,업무일지!$B$5:$B$1004,"&gt;="&amp;DATE($B$3,1,1),업무일지!$B$5:$B$1004,"&lt;"&amp;DATE($B$3+1,1,1),업무일지!$I$5:$I$1004,$A11,업무일지!$D$5:$D$1004,"출장")+SUMIFS(업무일지!$P$5:$P$1004,업무일지!$B$5:$B$1004,"&gt;="&amp;DATE($B$3,1,1),업무일지!$B$5:$B$1004,"&lt;"&amp;DATE($B$3+1,1,1),업무일지!$J$5:$J$1004,"*"&amp;$A11&amp;"*",업무일지!$D$5:$D$1004,"출장"))</f>
        <v>0</v>
      </c>
      <c r="H11" s="24" t="n">
        <f aca="false">IF($A11="","",SUMIFS(업무일지!$Q$5:$Q$1004,업무일지!$B$5:$B$1004,"&gt;="&amp;DATE($B$3,1,1),업무일지!$B$5:$B$1004,"&lt;"&amp;DATE($B$3+1,1,1),업무일지!$I$5:$I$1004,$A11)+SUMIFS(업무일지!$Q$5:$Q$1004,업무일지!$B$5:$B$1004,"&gt;="&amp;DATE($B$3,1,1),업무일지!$B$5:$B$1004,"&lt;"&amp;DATE($B$3+1,1,1),업무일지!$J$5:$J$1004,"*"&amp;$A11&amp;"*"))</f>
        <v>0</v>
      </c>
      <c r="I11" s="23" t="n">
        <f aca="false">IF($A11="","",SUMIFS(업무일지!$N$5:$N$1004,업무일지!$B$5:$B$1004,"&gt;="&amp;DATE($B$3,1,1),업무일지!$B$5:$B$1004,"&lt;"&amp;DATE($B$3+1,1,1),업무일지!$I$5:$I$1004,$A11))</f>
        <v>0</v>
      </c>
      <c r="J11" s="23" t="n">
        <f aca="false">IF($A11="","",SUMIFS(업무일지!$T$5:$T$1004,업무일지!$B$5:$B$1004,"&gt;="&amp;DATE($B$3,1,1),업무일지!$B$5:$B$1004,"&lt;"&amp;DATE($B$3+1,1,1),업무일지!$I$5:$I$1004,$A11))</f>
        <v>0</v>
      </c>
      <c r="K11" s="23" t="n">
        <f aca="false">IF($A11="","",COUNTIFS(업무일지!$B$5:$B$1004,"&gt;="&amp;DATE($B$3,1,1),업무일지!$B$5:$B$1004,"&lt;"&amp;DATE($B$3+1,1,1),업무일지!$I$5:$I$1004,$A11,업무일지!$S$5:$S$1004,"진행중"))</f>
        <v>0</v>
      </c>
    </row>
    <row r="12" customFormat="false" ht="15" hidden="false" customHeight="false" outlineLevel="0" collapsed="false">
      <c r="A12" s="25" t="str">
        <f aca="false">IF(코드설정!$C10="","",코드설정!$C10)</f>
        <v/>
      </c>
      <c r="B12" s="26" t="str">
        <f aca="false">IF($A12="","",코드설정!$D10)</f>
        <v/>
      </c>
      <c r="C12" s="26" t="str">
        <f aca="false">IF($A12="","",COUNTIFS(업무일지!$B$5:$B$1004,"&gt;="&amp;DATE($B$3,1,1),업무일지!$B$5:$B$1004,"&lt;"&amp;DATE($B$3+1,1,1),업무일지!$I$5:$I$1004,$A12,업무일지!$D$5:$D$1004,"출장"))</f>
        <v/>
      </c>
      <c r="D12" s="26" t="str">
        <f aca="false">IF($A12="","",COUNTIFS(업무일지!$B$5:$B$1004,"&gt;="&amp;DATE($B$3,1,1),업무일지!$B$5:$B$1004,"&lt;"&amp;DATE($B$3+1,1,1),업무일지!$J$5:$J$1004,"*"&amp;$A12&amp;"*",업무일지!$D$5:$D$1004,"출장"))</f>
        <v/>
      </c>
      <c r="E12" s="26" t="str">
        <f aca="false">IF($A12="","",COUNTIFS(업무일지!$B$5:$B$1004,"&gt;="&amp;DATE($B$3,1,1),업무일지!$B$5:$B$1004,"&lt;"&amp;DATE($B$3+1,1,1),업무일지!$I$5:$I$1004,$A12,업무일지!$D$5:$D$1004,"분석"))</f>
        <v/>
      </c>
      <c r="F12" s="26" t="str">
        <f aca="false">IF($A12="","",C12+D12+E12)</f>
        <v/>
      </c>
      <c r="G12" s="27" t="str">
        <f aca="false">IF($A12="","",SUMIFS(업무일지!$P$5:$P$1004,업무일지!$B$5:$B$1004,"&gt;="&amp;DATE($B$3,1,1),업무일지!$B$5:$B$1004,"&lt;"&amp;DATE($B$3+1,1,1),업무일지!$I$5:$I$1004,$A12,업무일지!$D$5:$D$1004,"출장")+SUMIFS(업무일지!$P$5:$P$1004,업무일지!$B$5:$B$1004,"&gt;="&amp;DATE($B$3,1,1),업무일지!$B$5:$B$1004,"&lt;"&amp;DATE($B$3+1,1,1),업무일지!$J$5:$J$1004,"*"&amp;$A12&amp;"*",업무일지!$D$5:$D$1004,"출장"))</f>
        <v/>
      </c>
      <c r="H12" s="27" t="str">
        <f aca="false">IF($A12="","",SUMIFS(업무일지!$Q$5:$Q$1004,업무일지!$B$5:$B$1004,"&gt;="&amp;DATE($B$3,1,1),업무일지!$B$5:$B$1004,"&lt;"&amp;DATE($B$3+1,1,1),업무일지!$I$5:$I$1004,$A12)+SUMIFS(업무일지!$Q$5:$Q$1004,업무일지!$B$5:$B$1004,"&gt;="&amp;DATE($B$3,1,1),업무일지!$B$5:$B$1004,"&lt;"&amp;DATE($B$3+1,1,1),업무일지!$J$5:$J$1004,"*"&amp;$A12&amp;"*"))</f>
        <v/>
      </c>
      <c r="I12" s="26" t="str">
        <f aca="false">IF($A12="","",SUMIFS(업무일지!$N$5:$N$1004,업무일지!$B$5:$B$1004,"&gt;="&amp;DATE($B$3,1,1),업무일지!$B$5:$B$1004,"&lt;"&amp;DATE($B$3+1,1,1),업무일지!$I$5:$I$1004,$A12))</f>
        <v/>
      </c>
      <c r="J12" s="26" t="str">
        <f aca="false">IF($A12="","",SUMIFS(업무일지!$T$5:$T$1004,업무일지!$B$5:$B$1004,"&gt;="&amp;DATE($B$3,1,1),업무일지!$B$5:$B$1004,"&lt;"&amp;DATE($B$3+1,1,1),업무일지!$I$5:$I$1004,$A12))</f>
        <v/>
      </c>
      <c r="K12" s="26" t="str">
        <f aca="false">IF($A12="","",COUNTIFS(업무일지!$B$5:$B$1004,"&gt;="&amp;DATE($B$3,1,1),업무일지!$B$5:$B$1004,"&lt;"&amp;DATE($B$3+1,1,1),업무일지!$I$5:$I$1004,$A12,업무일지!$S$5:$S$1004,"진행중"))</f>
        <v/>
      </c>
    </row>
    <row r="13" customFormat="false" ht="15" hidden="false" customHeight="false" outlineLevel="0" collapsed="false">
      <c r="A13" s="22" t="str">
        <f aca="false">IF(코드설정!$C11="","",코드설정!$C11)</f>
        <v/>
      </c>
      <c r="B13" s="23" t="str">
        <f aca="false">IF($A13="","",코드설정!$D11)</f>
        <v/>
      </c>
      <c r="C13" s="23" t="str">
        <f aca="false">IF($A13="","",COUNTIFS(업무일지!$B$5:$B$1004,"&gt;="&amp;DATE($B$3,1,1),업무일지!$B$5:$B$1004,"&lt;"&amp;DATE($B$3+1,1,1),업무일지!$I$5:$I$1004,$A13,업무일지!$D$5:$D$1004,"출장"))</f>
        <v/>
      </c>
      <c r="D13" s="23" t="str">
        <f aca="false">IF($A13="","",COUNTIFS(업무일지!$B$5:$B$1004,"&gt;="&amp;DATE($B$3,1,1),업무일지!$B$5:$B$1004,"&lt;"&amp;DATE($B$3+1,1,1),업무일지!$J$5:$J$1004,"*"&amp;$A13&amp;"*",업무일지!$D$5:$D$1004,"출장"))</f>
        <v/>
      </c>
      <c r="E13" s="23" t="str">
        <f aca="false">IF($A13="","",COUNTIFS(업무일지!$B$5:$B$1004,"&gt;="&amp;DATE($B$3,1,1),업무일지!$B$5:$B$1004,"&lt;"&amp;DATE($B$3+1,1,1),업무일지!$I$5:$I$1004,$A13,업무일지!$D$5:$D$1004,"분석"))</f>
        <v/>
      </c>
      <c r="F13" s="23" t="str">
        <f aca="false">IF($A13="","",C13+D13+E13)</f>
        <v/>
      </c>
      <c r="G13" s="24" t="str">
        <f aca="false">IF($A13="","",SUMIFS(업무일지!$P$5:$P$1004,업무일지!$B$5:$B$1004,"&gt;="&amp;DATE($B$3,1,1),업무일지!$B$5:$B$1004,"&lt;"&amp;DATE($B$3+1,1,1),업무일지!$I$5:$I$1004,$A13,업무일지!$D$5:$D$1004,"출장")+SUMIFS(업무일지!$P$5:$P$1004,업무일지!$B$5:$B$1004,"&gt;="&amp;DATE($B$3,1,1),업무일지!$B$5:$B$1004,"&lt;"&amp;DATE($B$3+1,1,1),업무일지!$J$5:$J$1004,"*"&amp;$A13&amp;"*",업무일지!$D$5:$D$1004,"출장"))</f>
        <v/>
      </c>
      <c r="H13" s="24" t="str">
        <f aca="false">IF($A13="","",SUMIFS(업무일지!$Q$5:$Q$1004,업무일지!$B$5:$B$1004,"&gt;="&amp;DATE($B$3,1,1),업무일지!$B$5:$B$1004,"&lt;"&amp;DATE($B$3+1,1,1),업무일지!$I$5:$I$1004,$A13)+SUMIFS(업무일지!$Q$5:$Q$1004,업무일지!$B$5:$B$1004,"&gt;="&amp;DATE($B$3,1,1),업무일지!$B$5:$B$1004,"&lt;"&amp;DATE($B$3+1,1,1),업무일지!$J$5:$J$1004,"*"&amp;$A13&amp;"*"))</f>
        <v/>
      </c>
      <c r="I13" s="23" t="str">
        <f aca="false">IF($A13="","",SUMIFS(업무일지!$N$5:$N$1004,업무일지!$B$5:$B$1004,"&gt;="&amp;DATE($B$3,1,1),업무일지!$B$5:$B$1004,"&lt;"&amp;DATE($B$3+1,1,1),업무일지!$I$5:$I$1004,$A13))</f>
        <v/>
      </c>
      <c r="J13" s="23" t="str">
        <f aca="false">IF($A13="","",SUMIFS(업무일지!$T$5:$T$1004,업무일지!$B$5:$B$1004,"&gt;="&amp;DATE($B$3,1,1),업무일지!$B$5:$B$1004,"&lt;"&amp;DATE($B$3+1,1,1),업무일지!$I$5:$I$1004,$A13))</f>
        <v/>
      </c>
      <c r="K13" s="23" t="str">
        <f aca="false">IF($A13="","",COUNTIFS(업무일지!$B$5:$B$1004,"&gt;="&amp;DATE($B$3,1,1),업무일지!$B$5:$B$1004,"&lt;"&amp;DATE($B$3+1,1,1),업무일지!$I$5:$I$1004,$A13,업무일지!$S$5:$S$1004,"진행중"))</f>
        <v/>
      </c>
    </row>
    <row r="14" customFormat="false" ht="15" hidden="false" customHeight="false" outlineLevel="0" collapsed="false">
      <c r="A14" s="25" t="str">
        <f aca="false">IF(코드설정!$C12="","",코드설정!$C12)</f>
        <v/>
      </c>
      <c r="B14" s="26" t="str">
        <f aca="false">IF($A14="","",코드설정!$D12)</f>
        <v/>
      </c>
      <c r="C14" s="26" t="str">
        <f aca="false">IF($A14="","",COUNTIFS(업무일지!$B$5:$B$1004,"&gt;="&amp;DATE($B$3,1,1),업무일지!$B$5:$B$1004,"&lt;"&amp;DATE($B$3+1,1,1),업무일지!$I$5:$I$1004,$A14,업무일지!$D$5:$D$1004,"출장"))</f>
        <v/>
      </c>
      <c r="D14" s="26" t="str">
        <f aca="false">IF($A14="","",COUNTIFS(업무일지!$B$5:$B$1004,"&gt;="&amp;DATE($B$3,1,1),업무일지!$B$5:$B$1004,"&lt;"&amp;DATE($B$3+1,1,1),업무일지!$J$5:$J$1004,"*"&amp;$A14&amp;"*",업무일지!$D$5:$D$1004,"출장"))</f>
        <v/>
      </c>
      <c r="E14" s="26" t="str">
        <f aca="false">IF($A14="","",COUNTIFS(업무일지!$B$5:$B$1004,"&gt;="&amp;DATE($B$3,1,1),업무일지!$B$5:$B$1004,"&lt;"&amp;DATE($B$3+1,1,1),업무일지!$I$5:$I$1004,$A14,업무일지!$D$5:$D$1004,"분석"))</f>
        <v/>
      </c>
      <c r="F14" s="26" t="str">
        <f aca="false">IF($A14="","",C14+D14+E14)</f>
        <v/>
      </c>
      <c r="G14" s="27" t="str">
        <f aca="false">IF($A14="","",SUMIFS(업무일지!$P$5:$P$1004,업무일지!$B$5:$B$1004,"&gt;="&amp;DATE($B$3,1,1),업무일지!$B$5:$B$1004,"&lt;"&amp;DATE($B$3+1,1,1),업무일지!$I$5:$I$1004,$A14,업무일지!$D$5:$D$1004,"출장")+SUMIFS(업무일지!$P$5:$P$1004,업무일지!$B$5:$B$1004,"&gt;="&amp;DATE($B$3,1,1),업무일지!$B$5:$B$1004,"&lt;"&amp;DATE($B$3+1,1,1),업무일지!$J$5:$J$1004,"*"&amp;$A14&amp;"*",업무일지!$D$5:$D$1004,"출장"))</f>
        <v/>
      </c>
      <c r="H14" s="27" t="str">
        <f aca="false">IF($A14="","",SUMIFS(업무일지!$Q$5:$Q$1004,업무일지!$B$5:$B$1004,"&gt;="&amp;DATE($B$3,1,1),업무일지!$B$5:$B$1004,"&lt;"&amp;DATE($B$3+1,1,1),업무일지!$I$5:$I$1004,$A14)+SUMIFS(업무일지!$Q$5:$Q$1004,업무일지!$B$5:$B$1004,"&gt;="&amp;DATE($B$3,1,1),업무일지!$B$5:$B$1004,"&lt;"&amp;DATE($B$3+1,1,1),업무일지!$J$5:$J$1004,"*"&amp;$A14&amp;"*"))</f>
        <v/>
      </c>
      <c r="I14" s="26" t="str">
        <f aca="false">IF($A14="","",SUMIFS(업무일지!$N$5:$N$1004,업무일지!$B$5:$B$1004,"&gt;="&amp;DATE($B$3,1,1),업무일지!$B$5:$B$1004,"&lt;"&amp;DATE($B$3+1,1,1),업무일지!$I$5:$I$1004,$A14))</f>
        <v/>
      </c>
      <c r="J14" s="26" t="str">
        <f aca="false">IF($A14="","",SUMIFS(업무일지!$T$5:$T$1004,업무일지!$B$5:$B$1004,"&gt;="&amp;DATE($B$3,1,1),업무일지!$B$5:$B$1004,"&lt;"&amp;DATE($B$3+1,1,1),업무일지!$I$5:$I$1004,$A14))</f>
        <v/>
      </c>
      <c r="K14" s="26" t="str">
        <f aca="false">IF($A14="","",COUNTIFS(업무일지!$B$5:$B$1004,"&gt;="&amp;DATE($B$3,1,1),업무일지!$B$5:$B$1004,"&lt;"&amp;DATE($B$3+1,1,1),업무일지!$I$5:$I$1004,$A14,업무일지!$S$5:$S$1004,"진행중"))</f>
        <v/>
      </c>
    </row>
    <row r="15" customFormat="false" ht="15" hidden="false" customHeight="false" outlineLevel="0" collapsed="false">
      <c r="A15" s="22" t="str">
        <f aca="false">IF(코드설정!$C13="","",코드설정!$C13)</f>
        <v/>
      </c>
      <c r="B15" s="23" t="str">
        <f aca="false">IF($A15="","",코드설정!$D13)</f>
        <v/>
      </c>
      <c r="C15" s="23" t="str">
        <f aca="false">IF($A15="","",COUNTIFS(업무일지!$B$5:$B$1004,"&gt;="&amp;DATE($B$3,1,1),업무일지!$B$5:$B$1004,"&lt;"&amp;DATE($B$3+1,1,1),업무일지!$I$5:$I$1004,$A15,업무일지!$D$5:$D$1004,"출장"))</f>
        <v/>
      </c>
      <c r="D15" s="23" t="str">
        <f aca="false">IF($A15="","",COUNTIFS(업무일지!$B$5:$B$1004,"&gt;="&amp;DATE($B$3,1,1),업무일지!$B$5:$B$1004,"&lt;"&amp;DATE($B$3+1,1,1),업무일지!$J$5:$J$1004,"*"&amp;$A15&amp;"*",업무일지!$D$5:$D$1004,"출장"))</f>
        <v/>
      </c>
      <c r="E15" s="23" t="str">
        <f aca="false">IF($A15="","",COUNTIFS(업무일지!$B$5:$B$1004,"&gt;="&amp;DATE($B$3,1,1),업무일지!$B$5:$B$1004,"&lt;"&amp;DATE($B$3+1,1,1),업무일지!$I$5:$I$1004,$A15,업무일지!$D$5:$D$1004,"분석"))</f>
        <v/>
      </c>
      <c r="F15" s="23" t="str">
        <f aca="false">IF($A15="","",C15+D15+E15)</f>
        <v/>
      </c>
      <c r="G15" s="24" t="str">
        <f aca="false">IF($A15="","",SUMIFS(업무일지!$P$5:$P$1004,업무일지!$B$5:$B$1004,"&gt;="&amp;DATE($B$3,1,1),업무일지!$B$5:$B$1004,"&lt;"&amp;DATE($B$3+1,1,1),업무일지!$I$5:$I$1004,$A15,업무일지!$D$5:$D$1004,"출장")+SUMIFS(업무일지!$P$5:$P$1004,업무일지!$B$5:$B$1004,"&gt;="&amp;DATE($B$3,1,1),업무일지!$B$5:$B$1004,"&lt;"&amp;DATE($B$3+1,1,1),업무일지!$J$5:$J$1004,"*"&amp;$A15&amp;"*",업무일지!$D$5:$D$1004,"출장"))</f>
        <v/>
      </c>
      <c r="H15" s="24" t="str">
        <f aca="false">IF($A15="","",SUMIFS(업무일지!$Q$5:$Q$1004,업무일지!$B$5:$B$1004,"&gt;="&amp;DATE($B$3,1,1),업무일지!$B$5:$B$1004,"&lt;"&amp;DATE($B$3+1,1,1),업무일지!$I$5:$I$1004,$A15)+SUMIFS(업무일지!$Q$5:$Q$1004,업무일지!$B$5:$B$1004,"&gt;="&amp;DATE($B$3,1,1),업무일지!$B$5:$B$1004,"&lt;"&amp;DATE($B$3+1,1,1),업무일지!$J$5:$J$1004,"*"&amp;$A15&amp;"*"))</f>
        <v/>
      </c>
      <c r="I15" s="23" t="str">
        <f aca="false">IF($A15="","",SUMIFS(업무일지!$N$5:$N$1004,업무일지!$B$5:$B$1004,"&gt;="&amp;DATE($B$3,1,1),업무일지!$B$5:$B$1004,"&lt;"&amp;DATE($B$3+1,1,1),업무일지!$I$5:$I$1004,$A15))</f>
        <v/>
      </c>
      <c r="J15" s="23" t="str">
        <f aca="false">IF($A15="","",SUMIFS(업무일지!$T$5:$T$1004,업무일지!$B$5:$B$1004,"&gt;="&amp;DATE($B$3,1,1),업무일지!$B$5:$B$1004,"&lt;"&amp;DATE($B$3+1,1,1),업무일지!$I$5:$I$1004,$A15))</f>
        <v/>
      </c>
      <c r="K15" s="23" t="str">
        <f aca="false">IF($A15="","",COUNTIFS(업무일지!$B$5:$B$1004,"&gt;="&amp;DATE($B$3,1,1),업무일지!$B$5:$B$1004,"&lt;"&amp;DATE($B$3+1,1,1),업무일지!$I$5:$I$1004,$A15,업무일지!$S$5:$S$1004,"진행중"))</f>
        <v/>
      </c>
    </row>
    <row r="16" customFormat="false" ht="15" hidden="false" customHeight="false" outlineLevel="0" collapsed="false">
      <c r="A16" s="25" t="str">
        <f aca="false">IF(코드설정!$C14="","",코드설정!$C14)</f>
        <v/>
      </c>
      <c r="B16" s="26" t="str">
        <f aca="false">IF($A16="","",코드설정!$D14)</f>
        <v/>
      </c>
      <c r="C16" s="26" t="str">
        <f aca="false">IF($A16="","",COUNTIFS(업무일지!$B$5:$B$1004,"&gt;="&amp;DATE($B$3,1,1),업무일지!$B$5:$B$1004,"&lt;"&amp;DATE($B$3+1,1,1),업무일지!$I$5:$I$1004,$A16,업무일지!$D$5:$D$1004,"출장"))</f>
        <v/>
      </c>
      <c r="D16" s="26" t="str">
        <f aca="false">IF($A16="","",COUNTIFS(업무일지!$B$5:$B$1004,"&gt;="&amp;DATE($B$3,1,1),업무일지!$B$5:$B$1004,"&lt;"&amp;DATE($B$3+1,1,1),업무일지!$J$5:$J$1004,"*"&amp;$A16&amp;"*",업무일지!$D$5:$D$1004,"출장"))</f>
        <v/>
      </c>
      <c r="E16" s="26" t="str">
        <f aca="false">IF($A16="","",COUNTIFS(업무일지!$B$5:$B$1004,"&gt;="&amp;DATE($B$3,1,1),업무일지!$B$5:$B$1004,"&lt;"&amp;DATE($B$3+1,1,1),업무일지!$I$5:$I$1004,$A16,업무일지!$D$5:$D$1004,"분석"))</f>
        <v/>
      </c>
      <c r="F16" s="26" t="str">
        <f aca="false">IF($A16="","",C16+D16+E16)</f>
        <v/>
      </c>
      <c r="G16" s="27" t="str">
        <f aca="false">IF($A16="","",SUMIFS(업무일지!$P$5:$P$1004,업무일지!$B$5:$B$1004,"&gt;="&amp;DATE($B$3,1,1),업무일지!$B$5:$B$1004,"&lt;"&amp;DATE($B$3+1,1,1),업무일지!$I$5:$I$1004,$A16,업무일지!$D$5:$D$1004,"출장")+SUMIFS(업무일지!$P$5:$P$1004,업무일지!$B$5:$B$1004,"&gt;="&amp;DATE($B$3,1,1),업무일지!$B$5:$B$1004,"&lt;"&amp;DATE($B$3+1,1,1),업무일지!$J$5:$J$1004,"*"&amp;$A16&amp;"*",업무일지!$D$5:$D$1004,"출장"))</f>
        <v/>
      </c>
      <c r="H16" s="27" t="str">
        <f aca="false">IF($A16="","",SUMIFS(업무일지!$Q$5:$Q$1004,업무일지!$B$5:$B$1004,"&gt;="&amp;DATE($B$3,1,1),업무일지!$B$5:$B$1004,"&lt;"&amp;DATE($B$3+1,1,1),업무일지!$I$5:$I$1004,$A16)+SUMIFS(업무일지!$Q$5:$Q$1004,업무일지!$B$5:$B$1004,"&gt;="&amp;DATE($B$3,1,1),업무일지!$B$5:$B$1004,"&lt;"&amp;DATE($B$3+1,1,1),업무일지!$J$5:$J$1004,"*"&amp;$A16&amp;"*"))</f>
        <v/>
      </c>
      <c r="I16" s="26" t="str">
        <f aca="false">IF($A16="","",SUMIFS(업무일지!$N$5:$N$1004,업무일지!$B$5:$B$1004,"&gt;="&amp;DATE($B$3,1,1),업무일지!$B$5:$B$1004,"&lt;"&amp;DATE($B$3+1,1,1),업무일지!$I$5:$I$1004,$A16))</f>
        <v/>
      </c>
      <c r="J16" s="26" t="str">
        <f aca="false">IF($A16="","",SUMIFS(업무일지!$T$5:$T$1004,업무일지!$B$5:$B$1004,"&gt;="&amp;DATE($B$3,1,1),업무일지!$B$5:$B$1004,"&lt;"&amp;DATE($B$3+1,1,1),업무일지!$I$5:$I$1004,$A16))</f>
        <v/>
      </c>
      <c r="K16" s="26" t="str">
        <f aca="false">IF($A16="","",COUNTIFS(업무일지!$B$5:$B$1004,"&gt;="&amp;DATE($B$3,1,1),업무일지!$B$5:$B$1004,"&lt;"&amp;DATE($B$3+1,1,1),업무일지!$I$5:$I$1004,$A16,업무일지!$S$5:$S$1004,"진행중"))</f>
        <v/>
      </c>
    </row>
    <row r="17" customFormat="false" ht="15" hidden="false" customHeight="false" outlineLevel="0" collapsed="false">
      <c r="A17" s="22" t="str">
        <f aca="false">IF(코드설정!$C15="","",코드설정!$C15)</f>
        <v/>
      </c>
      <c r="B17" s="23" t="str">
        <f aca="false">IF($A17="","",코드설정!$D15)</f>
        <v/>
      </c>
      <c r="C17" s="23" t="str">
        <f aca="false">IF($A17="","",COUNTIFS(업무일지!$B$5:$B$1004,"&gt;="&amp;DATE($B$3,1,1),업무일지!$B$5:$B$1004,"&lt;"&amp;DATE($B$3+1,1,1),업무일지!$I$5:$I$1004,$A17,업무일지!$D$5:$D$1004,"출장"))</f>
        <v/>
      </c>
      <c r="D17" s="23" t="str">
        <f aca="false">IF($A17="","",COUNTIFS(업무일지!$B$5:$B$1004,"&gt;="&amp;DATE($B$3,1,1),업무일지!$B$5:$B$1004,"&lt;"&amp;DATE($B$3+1,1,1),업무일지!$J$5:$J$1004,"*"&amp;$A17&amp;"*",업무일지!$D$5:$D$1004,"출장"))</f>
        <v/>
      </c>
      <c r="E17" s="23" t="str">
        <f aca="false">IF($A17="","",COUNTIFS(업무일지!$B$5:$B$1004,"&gt;="&amp;DATE($B$3,1,1),업무일지!$B$5:$B$1004,"&lt;"&amp;DATE($B$3+1,1,1),업무일지!$I$5:$I$1004,$A17,업무일지!$D$5:$D$1004,"분석"))</f>
        <v/>
      </c>
      <c r="F17" s="23" t="str">
        <f aca="false">IF($A17="","",C17+D17+E17)</f>
        <v/>
      </c>
      <c r="G17" s="24" t="str">
        <f aca="false">IF($A17="","",SUMIFS(업무일지!$P$5:$P$1004,업무일지!$B$5:$B$1004,"&gt;="&amp;DATE($B$3,1,1),업무일지!$B$5:$B$1004,"&lt;"&amp;DATE($B$3+1,1,1),업무일지!$I$5:$I$1004,$A17,업무일지!$D$5:$D$1004,"출장")+SUMIFS(업무일지!$P$5:$P$1004,업무일지!$B$5:$B$1004,"&gt;="&amp;DATE($B$3,1,1),업무일지!$B$5:$B$1004,"&lt;"&amp;DATE($B$3+1,1,1),업무일지!$J$5:$J$1004,"*"&amp;$A17&amp;"*",업무일지!$D$5:$D$1004,"출장"))</f>
        <v/>
      </c>
      <c r="H17" s="24" t="str">
        <f aca="false">IF($A17="","",SUMIFS(업무일지!$Q$5:$Q$1004,업무일지!$B$5:$B$1004,"&gt;="&amp;DATE($B$3,1,1),업무일지!$B$5:$B$1004,"&lt;"&amp;DATE($B$3+1,1,1),업무일지!$I$5:$I$1004,$A17)+SUMIFS(업무일지!$Q$5:$Q$1004,업무일지!$B$5:$B$1004,"&gt;="&amp;DATE($B$3,1,1),업무일지!$B$5:$B$1004,"&lt;"&amp;DATE($B$3+1,1,1),업무일지!$J$5:$J$1004,"*"&amp;$A17&amp;"*"))</f>
        <v/>
      </c>
      <c r="I17" s="23" t="str">
        <f aca="false">IF($A17="","",SUMIFS(업무일지!$N$5:$N$1004,업무일지!$B$5:$B$1004,"&gt;="&amp;DATE($B$3,1,1),업무일지!$B$5:$B$1004,"&lt;"&amp;DATE($B$3+1,1,1),업무일지!$I$5:$I$1004,$A17))</f>
        <v/>
      </c>
      <c r="J17" s="23" t="str">
        <f aca="false">IF($A17="","",SUMIFS(업무일지!$T$5:$T$1004,업무일지!$B$5:$B$1004,"&gt;="&amp;DATE($B$3,1,1),업무일지!$B$5:$B$1004,"&lt;"&amp;DATE($B$3+1,1,1),업무일지!$I$5:$I$1004,$A17))</f>
        <v/>
      </c>
      <c r="K17" s="23" t="str">
        <f aca="false">IF($A17="","",COUNTIFS(업무일지!$B$5:$B$1004,"&gt;="&amp;DATE($B$3,1,1),업무일지!$B$5:$B$1004,"&lt;"&amp;DATE($B$3+1,1,1),업무일지!$I$5:$I$1004,$A17,업무일지!$S$5:$S$1004,"진행중"))</f>
        <v/>
      </c>
    </row>
    <row r="18" customFormat="false" ht="15" hidden="false" customHeight="false" outlineLevel="0" collapsed="false">
      <c r="A18" s="25" t="str">
        <f aca="false">IF(코드설정!$C16="","",코드설정!$C16)</f>
        <v/>
      </c>
      <c r="B18" s="26" t="str">
        <f aca="false">IF($A18="","",코드설정!$D16)</f>
        <v/>
      </c>
      <c r="C18" s="26" t="str">
        <f aca="false">IF($A18="","",COUNTIFS(업무일지!$B$5:$B$1004,"&gt;="&amp;DATE($B$3,1,1),업무일지!$B$5:$B$1004,"&lt;"&amp;DATE($B$3+1,1,1),업무일지!$I$5:$I$1004,$A18,업무일지!$D$5:$D$1004,"출장"))</f>
        <v/>
      </c>
      <c r="D18" s="26" t="str">
        <f aca="false">IF($A18="","",COUNTIFS(업무일지!$B$5:$B$1004,"&gt;="&amp;DATE($B$3,1,1),업무일지!$B$5:$B$1004,"&lt;"&amp;DATE($B$3+1,1,1),업무일지!$J$5:$J$1004,"*"&amp;$A18&amp;"*",업무일지!$D$5:$D$1004,"출장"))</f>
        <v/>
      </c>
      <c r="E18" s="26" t="str">
        <f aca="false">IF($A18="","",COUNTIFS(업무일지!$B$5:$B$1004,"&gt;="&amp;DATE($B$3,1,1),업무일지!$B$5:$B$1004,"&lt;"&amp;DATE($B$3+1,1,1),업무일지!$I$5:$I$1004,$A18,업무일지!$D$5:$D$1004,"분석"))</f>
        <v/>
      </c>
      <c r="F18" s="26" t="str">
        <f aca="false">IF($A18="","",C18+D18+E18)</f>
        <v/>
      </c>
      <c r="G18" s="27" t="str">
        <f aca="false">IF($A18="","",SUMIFS(업무일지!$P$5:$P$1004,업무일지!$B$5:$B$1004,"&gt;="&amp;DATE($B$3,1,1),업무일지!$B$5:$B$1004,"&lt;"&amp;DATE($B$3+1,1,1),업무일지!$I$5:$I$1004,$A18,업무일지!$D$5:$D$1004,"출장")+SUMIFS(업무일지!$P$5:$P$1004,업무일지!$B$5:$B$1004,"&gt;="&amp;DATE($B$3,1,1),업무일지!$B$5:$B$1004,"&lt;"&amp;DATE($B$3+1,1,1),업무일지!$J$5:$J$1004,"*"&amp;$A18&amp;"*",업무일지!$D$5:$D$1004,"출장"))</f>
        <v/>
      </c>
      <c r="H18" s="27" t="str">
        <f aca="false">IF($A18="","",SUMIFS(업무일지!$Q$5:$Q$1004,업무일지!$B$5:$B$1004,"&gt;="&amp;DATE($B$3,1,1),업무일지!$B$5:$B$1004,"&lt;"&amp;DATE($B$3+1,1,1),업무일지!$I$5:$I$1004,$A18)+SUMIFS(업무일지!$Q$5:$Q$1004,업무일지!$B$5:$B$1004,"&gt;="&amp;DATE($B$3,1,1),업무일지!$B$5:$B$1004,"&lt;"&amp;DATE($B$3+1,1,1),업무일지!$J$5:$J$1004,"*"&amp;$A18&amp;"*"))</f>
        <v/>
      </c>
      <c r="I18" s="26" t="str">
        <f aca="false">IF($A18="","",SUMIFS(업무일지!$N$5:$N$1004,업무일지!$B$5:$B$1004,"&gt;="&amp;DATE($B$3,1,1),업무일지!$B$5:$B$1004,"&lt;"&amp;DATE($B$3+1,1,1),업무일지!$I$5:$I$1004,$A18))</f>
        <v/>
      </c>
      <c r="J18" s="26" t="str">
        <f aca="false">IF($A18="","",SUMIFS(업무일지!$T$5:$T$1004,업무일지!$B$5:$B$1004,"&gt;="&amp;DATE($B$3,1,1),업무일지!$B$5:$B$1004,"&lt;"&amp;DATE($B$3+1,1,1),업무일지!$I$5:$I$1004,$A18))</f>
        <v/>
      </c>
      <c r="K18" s="26" t="str">
        <f aca="false">IF($A18="","",COUNTIFS(업무일지!$B$5:$B$1004,"&gt;="&amp;DATE($B$3,1,1),업무일지!$B$5:$B$1004,"&lt;"&amp;DATE($B$3+1,1,1),업무일지!$I$5:$I$1004,$A18,업무일지!$S$5:$S$1004,"진행중"))</f>
        <v/>
      </c>
    </row>
    <row r="19" customFormat="false" ht="15" hidden="false" customHeight="false" outlineLevel="0" collapsed="false">
      <c r="A19" s="22" t="str">
        <f aca="false">IF(코드설정!$C17="","",코드설정!$C17)</f>
        <v/>
      </c>
      <c r="B19" s="23" t="str">
        <f aca="false">IF($A19="","",코드설정!$D17)</f>
        <v/>
      </c>
      <c r="C19" s="23" t="str">
        <f aca="false">IF($A19="","",COUNTIFS(업무일지!$B$5:$B$1004,"&gt;="&amp;DATE($B$3,1,1),업무일지!$B$5:$B$1004,"&lt;"&amp;DATE($B$3+1,1,1),업무일지!$I$5:$I$1004,$A19,업무일지!$D$5:$D$1004,"출장"))</f>
        <v/>
      </c>
      <c r="D19" s="23" t="str">
        <f aca="false">IF($A19="","",COUNTIFS(업무일지!$B$5:$B$1004,"&gt;="&amp;DATE($B$3,1,1),업무일지!$B$5:$B$1004,"&lt;"&amp;DATE($B$3+1,1,1),업무일지!$J$5:$J$1004,"*"&amp;$A19&amp;"*",업무일지!$D$5:$D$1004,"출장"))</f>
        <v/>
      </c>
      <c r="E19" s="23" t="str">
        <f aca="false">IF($A19="","",COUNTIFS(업무일지!$B$5:$B$1004,"&gt;="&amp;DATE($B$3,1,1),업무일지!$B$5:$B$1004,"&lt;"&amp;DATE($B$3+1,1,1),업무일지!$I$5:$I$1004,$A19,업무일지!$D$5:$D$1004,"분석"))</f>
        <v/>
      </c>
      <c r="F19" s="23" t="str">
        <f aca="false">IF($A19="","",C19+D19+E19)</f>
        <v/>
      </c>
      <c r="G19" s="24" t="str">
        <f aca="false">IF($A19="","",SUMIFS(업무일지!$P$5:$P$1004,업무일지!$B$5:$B$1004,"&gt;="&amp;DATE($B$3,1,1),업무일지!$B$5:$B$1004,"&lt;"&amp;DATE($B$3+1,1,1),업무일지!$I$5:$I$1004,$A19,업무일지!$D$5:$D$1004,"출장")+SUMIFS(업무일지!$P$5:$P$1004,업무일지!$B$5:$B$1004,"&gt;="&amp;DATE($B$3,1,1),업무일지!$B$5:$B$1004,"&lt;"&amp;DATE($B$3+1,1,1),업무일지!$J$5:$J$1004,"*"&amp;$A19&amp;"*",업무일지!$D$5:$D$1004,"출장"))</f>
        <v/>
      </c>
      <c r="H19" s="24" t="str">
        <f aca="false">IF($A19="","",SUMIFS(업무일지!$Q$5:$Q$1004,업무일지!$B$5:$B$1004,"&gt;="&amp;DATE($B$3,1,1),업무일지!$B$5:$B$1004,"&lt;"&amp;DATE($B$3+1,1,1),업무일지!$I$5:$I$1004,$A19)+SUMIFS(업무일지!$Q$5:$Q$1004,업무일지!$B$5:$B$1004,"&gt;="&amp;DATE($B$3,1,1),업무일지!$B$5:$B$1004,"&lt;"&amp;DATE($B$3+1,1,1),업무일지!$J$5:$J$1004,"*"&amp;$A19&amp;"*"))</f>
        <v/>
      </c>
      <c r="I19" s="23" t="str">
        <f aca="false">IF($A19="","",SUMIFS(업무일지!$N$5:$N$1004,업무일지!$B$5:$B$1004,"&gt;="&amp;DATE($B$3,1,1),업무일지!$B$5:$B$1004,"&lt;"&amp;DATE($B$3+1,1,1),업무일지!$I$5:$I$1004,$A19))</f>
        <v/>
      </c>
      <c r="J19" s="23" t="str">
        <f aca="false">IF($A19="","",SUMIFS(업무일지!$T$5:$T$1004,업무일지!$B$5:$B$1004,"&gt;="&amp;DATE($B$3,1,1),업무일지!$B$5:$B$1004,"&lt;"&amp;DATE($B$3+1,1,1),업무일지!$I$5:$I$1004,$A19))</f>
        <v/>
      </c>
      <c r="K19" s="23" t="str">
        <f aca="false">IF($A19="","",COUNTIFS(업무일지!$B$5:$B$1004,"&gt;="&amp;DATE($B$3,1,1),업무일지!$B$5:$B$1004,"&lt;"&amp;DATE($B$3+1,1,1),업무일지!$I$5:$I$1004,$A19,업무일지!$S$5:$S$1004,"진행중"))</f>
        <v/>
      </c>
    </row>
    <row r="20" customFormat="false" ht="15" hidden="false" customHeight="false" outlineLevel="0" collapsed="false">
      <c r="A20" s="25" t="str">
        <f aca="false">IF(코드설정!$C18="","",코드설정!$C18)</f>
        <v/>
      </c>
      <c r="B20" s="26" t="str">
        <f aca="false">IF($A20="","",코드설정!$D18)</f>
        <v/>
      </c>
      <c r="C20" s="26" t="str">
        <f aca="false">IF($A20="","",COUNTIFS(업무일지!$B$5:$B$1004,"&gt;="&amp;DATE($B$3,1,1),업무일지!$B$5:$B$1004,"&lt;"&amp;DATE($B$3+1,1,1),업무일지!$I$5:$I$1004,$A20,업무일지!$D$5:$D$1004,"출장"))</f>
        <v/>
      </c>
      <c r="D20" s="26" t="str">
        <f aca="false">IF($A20="","",COUNTIFS(업무일지!$B$5:$B$1004,"&gt;="&amp;DATE($B$3,1,1),업무일지!$B$5:$B$1004,"&lt;"&amp;DATE($B$3+1,1,1),업무일지!$J$5:$J$1004,"*"&amp;$A20&amp;"*",업무일지!$D$5:$D$1004,"출장"))</f>
        <v/>
      </c>
      <c r="E20" s="26" t="str">
        <f aca="false">IF($A20="","",COUNTIFS(업무일지!$B$5:$B$1004,"&gt;="&amp;DATE($B$3,1,1),업무일지!$B$5:$B$1004,"&lt;"&amp;DATE($B$3+1,1,1),업무일지!$I$5:$I$1004,$A20,업무일지!$D$5:$D$1004,"분석"))</f>
        <v/>
      </c>
      <c r="F20" s="26" t="str">
        <f aca="false">IF($A20="","",C20+D20+E20)</f>
        <v/>
      </c>
      <c r="G20" s="27" t="str">
        <f aca="false">IF($A20="","",SUMIFS(업무일지!$P$5:$P$1004,업무일지!$B$5:$B$1004,"&gt;="&amp;DATE($B$3,1,1),업무일지!$B$5:$B$1004,"&lt;"&amp;DATE($B$3+1,1,1),업무일지!$I$5:$I$1004,$A20,업무일지!$D$5:$D$1004,"출장")+SUMIFS(업무일지!$P$5:$P$1004,업무일지!$B$5:$B$1004,"&gt;="&amp;DATE($B$3,1,1),업무일지!$B$5:$B$1004,"&lt;"&amp;DATE($B$3+1,1,1),업무일지!$J$5:$J$1004,"*"&amp;$A20&amp;"*",업무일지!$D$5:$D$1004,"출장"))</f>
        <v/>
      </c>
      <c r="H20" s="27" t="str">
        <f aca="false">IF($A20="","",SUMIFS(업무일지!$Q$5:$Q$1004,업무일지!$B$5:$B$1004,"&gt;="&amp;DATE($B$3,1,1),업무일지!$B$5:$B$1004,"&lt;"&amp;DATE($B$3+1,1,1),업무일지!$I$5:$I$1004,$A20)+SUMIFS(업무일지!$Q$5:$Q$1004,업무일지!$B$5:$B$1004,"&gt;="&amp;DATE($B$3,1,1),업무일지!$B$5:$B$1004,"&lt;"&amp;DATE($B$3+1,1,1),업무일지!$J$5:$J$1004,"*"&amp;$A20&amp;"*"))</f>
        <v/>
      </c>
      <c r="I20" s="26" t="str">
        <f aca="false">IF($A20="","",SUMIFS(업무일지!$N$5:$N$1004,업무일지!$B$5:$B$1004,"&gt;="&amp;DATE($B$3,1,1),업무일지!$B$5:$B$1004,"&lt;"&amp;DATE($B$3+1,1,1),업무일지!$I$5:$I$1004,$A20))</f>
        <v/>
      </c>
      <c r="J20" s="26" t="str">
        <f aca="false">IF($A20="","",SUMIFS(업무일지!$T$5:$T$1004,업무일지!$B$5:$B$1004,"&gt;="&amp;DATE($B$3,1,1),업무일지!$B$5:$B$1004,"&lt;"&amp;DATE($B$3+1,1,1),업무일지!$I$5:$I$1004,$A20))</f>
        <v/>
      </c>
      <c r="K20" s="26" t="str">
        <f aca="false">IF($A20="","",COUNTIFS(업무일지!$B$5:$B$1004,"&gt;="&amp;DATE($B$3,1,1),업무일지!$B$5:$B$1004,"&lt;"&amp;DATE($B$3+1,1,1),업무일지!$I$5:$I$1004,$A20,업무일지!$S$5:$S$1004,"진행중"))</f>
        <v/>
      </c>
    </row>
    <row r="21" customFormat="false" ht="15" hidden="false" customHeight="false" outlineLevel="0" collapsed="false">
      <c r="A21" s="22" t="str">
        <f aca="false">IF(코드설정!$C19="","",코드설정!$C19)</f>
        <v/>
      </c>
      <c r="B21" s="23" t="str">
        <f aca="false">IF($A21="","",코드설정!$D19)</f>
        <v/>
      </c>
      <c r="C21" s="23" t="str">
        <f aca="false">IF($A21="","",COUNTIFS(업무일지!$B$5:$B$1004,"&gt;="&amp;DATE($B$3,1,1),업무일지!$B$5:$B$1004,"&lt;"&amp;DATE($B$3+1,1,1),업무일지!$I$5:$I$1004,$A21,업무일지!$D$5:$D$1004,"출장"))</f>
        <v/>
      </c>
      <c r="D21" s="23" t="str">
        <f aca="false">IF($A21="","",COUNTIFS(업무일지!$B$5:$B$1004,"&gt;="&amp;DATE($B$3,1,1),업무일지!$B$5:$B$1004,"&lt;"&amp;DATE($B$3+1,1,1),업무일지!$J$5:$J$1004,"*"&amp;$A21&amp;"*",업무일지!$D$5:$D$1004,"출장"))</f>
        <v/>
      </c>
      <c r="E21" s="23" t="str">
        <f aca="false">IF($A21="","",COUNTIFS(업무일지!$B$5:$B$1004,"&gt;="&amp;DATE($B$3,1,1),업무일지!$B$5:$B$1004,"&lt;"&amp;DATE($B$3+1,1,1),업무일지!$I$5:$I$1004,$A21,업무일지!$D$5:$D$1004,"분석"))</f>
        <v/>
      </c>
      <c r="F21" s="23" t="str">
        <f aca="false">IF($A21="","",C21+D21+E21)</f>
        <v/>
      </c>
      <c r="G21" s="24" t="str">
        <f aca="false">IF($A21="","",SUMIFS(업무일지!$P$5:$P$1004,업무일지!$B$5:$B$1004,"&gt;="&amp;DATE($B$3,1,1),업무일지!$B$5:$B$1004,"&lt;"&amp;DATE($B$3+1,1,1),업무일지!$I$5:$I$1004,$A21,업무일지!$D$5:$D$1004,"출장")+SUMIFS(업무일지!$P$5:$P$1004,업무일지!$B$5:$B$1004,"&gt;="&amp;DATE($B$3,1,1),업무일지!$B$5:$B$1004,"&lt;"&amp;DATE($B$3+1,1,1),업무일지!$J$5:$J$1004,"*"&amp;$A21&amp;"*",업무일지!$D$5:$D$1004,"출장"))</f>
        <v/>
      </c>
      <c r="H21" s="24" t="str">
        <f aca="false">IF($A21="","",SUMIFS(업무일지!$Q$5:$Q$1004,업무일지!$B$5:$B$1004,"&gt;="&amp;DATE($B$3,1,1),업무일지!$B$5:$B$1004,"&lt;"&amp;DATE($B$3+1,1,1),업무일지!$I$5:$I$1004,$A21)+SUMIFS(업무일지!$Q$5:$Q$1004,업무일지!$B$5:$B$1004,"&gt;="&amp;DATE($B$3,1,1),업무일지!$B$5:$B$1004,"&lt;"&amp;DATE($B$3+1,1,1),업무일지!$J$5:$J$1004,"*"&amp;$A21&amp;"*"))</f>
        <v/>
      </c>
      <c r="I21" s="23" t="str">
        <f aca="false">IF($A21="","",SUMIFS(업무일지!$N$5:$N$1004,업무일지!$B$5:$B$1004,"&gt;="&amp;DATE($B$3,1,1),업무일지!$B$5:$B$1004,"&lt;"&amp;DATE($B$3+1,1,1),업무일지!$I$5:$I$1004,$A21))</f>
        <v/>
      </c>
      <c r="J21" s="23" t="str">
        <f aca="false">IF($A21="","",SUMIFS(업무일지!$T$5:$T$1004,업무일지!$B$5:$B$1004,"&gt;="&amp;DATE($B$3,1,1),업무일지!$B$5:$B$1004,"&lt;"&amp;DATE($B$3+1,1,1),업무일지!$I$5:$I$1004,$A21))</f>
        <v/>
      </c>
      <c r="K21" s="23" t="str">
        <f aca="false">IF($A21="","",COUNTIFS(업무일지!$B$5:$B$1004,"&gt;="&amp;DATE($B$3,1,1),업무일지!$B$5:$B$1004,"&lt;"&amp;DATE($B$3+1,1,1),업무일지!$I$5:$I$1004,$A21,업무일지!$S$5:$S$1004,"진행중"))</f>
        <v/>
      </c>
    </row>
    <row r="22" customFormat="false" ht="15" hidden="false" customHeight="false" outlineLevel="0" collapsed="false">
      <c r="A22" s="25" t="str">
        <f aca="false">IF(코드설정!$C20="","",코드설정!$C20)</f>
        <v/>
      </c>
      <c r="B22" s="26" t="str">
        <f aca="false">IF($A22="","",코드설정!$D20)</f>
        <v/>
      </c>
      <c r="C22" s="26" t="str">
        <f aca="false">IF($A22="","",COUNTIFS(업무일지!$B$5:$B$1004,"&gt;="&amp;DATE($B$3,1,1),업무일지!$B$5:$B$1004,"&lt;"&amp;DATE($B$3+1,1,1),업무일지!$I$5:$I$1004,$A22,업무일지!$D$5:$D$1004,"출장"))</f>
        <v/>
      </c>
      <c r="D22" s="26" t="str">
        <f aca="false">IF($A22="","",COUNTIFS(업무일지!$B$5:$B$1004,"&gt;="&amp;DATE($B$3,1,1),업무일지!$B$5:$B$1004,"&lt;"&amp;DATE($B$3+1,1,1),업무일지!$J$5:$J$1004,"*"&amp;$A22&amp;"*",업무일지!$D$5:$D$1004,"출장"))</f>
        <v/>
      </c>
      <c r="E22" s="26" t="str">
        <f aca="false">IF($A22="","",COUNTIFS(업무일지!$B$5:$B$1004,"&gt;="&amp;DATE($B$3,1,1),업무일지!$B$5:$B$1004,"&lt;"&amp;DATE($B$3+1,1,1),업무일지!$I$5:$I$1004,$A22,업무일지!$D$5:$D$1004,"분석"))</f>
        <v/>
      </c>
      <c r="F22" s="26" t="str">
        <f aca="false">IF($A22="","",C22+D22+E22)</f>
        <v/>
      </c>
      <c r="G22" s="27" t="str">
        <f aca="false">IF($A22="","",SUMIFS(업무일지!$P$5:$P$1004,업무일지!$B$5:$B$1004,"&gt;="&amp;DATE($B$3,1,1),업무일지!$B$5:$B$1004,"&lt;"&amp;DATE($B$3+1,1,1),업무일지!$I$5:$I$1004,$A22,업무일지!$D$5:$D$1004,"출장")+SUMIFS(업무일지!$P$5:$P$1004,업무일지!$B$5:$B$1004,"&gt;="&amp;DATE($B$3,1,1),업무일지!$B$5:$B$1004,"&lt;"&amp;DATE($B$3+1,1,1),업무일지!$J$5:$J$1004,"*"&amp;$A22&amp;"*",업무일지!$D$5:$D$1004,"출장"))</f>
        <v/>
      </c>
      <c r="H22" s="27" t="str">
        <f aca="false">IF($A22="","",SUMIFS(업무일지!$Q$5:$Q$1004,업무일지!$B$5:$B$1004,"&gt;="&amp;DATE($B$3,1,1),업무일지!$B$5:$B$1004,"&lt;"&amp;DATE($B$3+1,1,1),업무일지!$I$5:$I$1004,$A22)+SUMIFS(업무일지!$Q$5:$Q$1004,업무일지!$B$5:$B$1004,"&gt;="&amp;DATE($B$3,1,1),업무일지!$B$5:$B$1004,"&lt;"&amp;DATE($B$3+1,1,1),업무일지!$J$5:$J$1004,"*"&amp;$A22&amp;"*"))</f>
        <v/>
      </c>
      <c r="I22" s="26" t="str">
        <f aca="false">IF($A22="","",SUMIFS(업무일지!$N$5:$N$1004,업무일지!$B$5:$B$1004,"&gt;="&amp;DATE($B$3,1,1),업무일지!$B$5:$B$1004,"&lt;"&amp;DATE($B$3+1,1,1),업무일지!$I$5:$I$1004,$A22))</f>
        <v/>
      </c>
      <c r="J22" s="26" t="str">
        <f aca="false">IF($A22="","",SUMIFS(업무일지!$T$5:$T$1004,업무일지!$B$5:$B$1004,"&gt;="&amp;DATE($B$3,1,1),업무일지!$B$5:$B$1004,"&lt;"&amp;DATE($B$3+1,1,1),업무일지!$I$5:$I$1004,$A22))</f>
        <v/>
      </c>
      <c r="K22" s="26" t="str">
        <f aca="false">IF($A22="","",COUNTIFS(업무일지!$B$5:$B$1004,"&gt;="&amp;DATE($B$3,1,1),업무일지!$B$5:$B$1004,"&lt;"&amp;DATE($B$3+1,1,1),업무일지!$I$5:$I$1004,$A22,업무일지!$S$5:$S$1004,"진행중"))</f>
        <v/>
      </c>
    </row>
    <row r="23" customFormat="false" ht="15" hidden="false" customHeight="false" outlineLevel="0" collapsed="false">
      <c r="A23" s="22" t="str">
        <f aca="false">IF(코드설정!$C21="","",코드설정!$C21)</f>
        <v/>
      </c>
      <c r="B23" s="23" t="str">
        <f aca="false">IF($A23="","",코드설정!$D21)</f>
        <v/>
      </c>
      <c r="C23" s="23" t="str">
        <f aca="false">IF($A23="","",COUNTIFS(업무일지!$B$5:$B$1004,"&gt;="&amp;DATE($B$3,1,1),업무일지!$B$5:$B$1004,"&lt;"&amp;DATE($B$3+1,1,1),업무일지!$I$5:$I$1004,$A23,업무일지!$D$5:$D$1004,"출장"))</f>
        <v/>
      </c>
      <c r="D23" s="23" t="str">
        <f aca="false">IF($A23="","",COUNTIFS(업무일지!$B$5:$B$1004,"&gt;="&amp;DATE($B$3,1,1),업무일지!$B$5:$B$1004,"&lt;"&amp;DATE($B$3+1,1,1),업무일지!$J$5:$J$1004,"*"&amp;$A23&amp;"*",업무일지!$D$5:$D$1004,"출장"))</f>
        <v/>
      </c>
      <c r="E23" s="23" t="str">
        <f aca="false">IF($A23="","",COUNTIFS(업무일지!$B$5:$B$1004,"&gt;="&amp;DATE($B$3,1,1),업무일지!$B$5:$B$1004,"&lt;"&amp;DATE($B$3+1,1,1),업무일지!$I$5:$I$1004,$A23,업무일지!$D$5:$D$1004,"분석"))</f>
        <v/>
      </c>
      <c r="F23" s="23" t="str">
        <f aca="false">IF($A23="","",C23+D23+E23)</f>
        <v/>
      </c>
      <c r="G23" s="24" t="str">
        <f aca="false">IF($A23="","",SUMIFS(업무일지!$P$5:$P$1004,업무일지!$B$5:$B$1004,"&gt;="&amp;DATE($B$3,1,1),업무일지!$B$5:$B$1004,"&lt;"&amp;DATE($B$3+1,1,1),업무일지!$I$5:$I$1004,$A23,업무일지!$D$5:$D$1004,"출장")+SUMIFS(업무일지!$P$5:$P$1004,업무일지!$B$5:$B$1004,"&gt;="&amp;DATE($B$3,1,1),업무일지!$B$5:$B$1004,"&lt;"&amp;DATE($B$3+1,1,1),업무일지!$J$5:$J$1004,"*"&amp;$A23&amp;"*",업무일지!$D$5:$D$1004,"출장"))</f>
        <v/>
      </c>
      <c r="H23" s="24" t="str">
        <f aca="false">IF($A23="","",SUMIFS(업무일지!$Q$5:$Q$1004,업무일지!$B$5:$B$1004,"&gt;="&amp;DATE($B$3,1,1),업무일지!$B$5:$B$1004,"&lt;"&amp;DATE($B$3+1,1,1),업무일지!$I$5:$I$1004,$A23)+SUMIFS(업무일지!$Q$5:$Q$1004,업무일지!$B$5:$B$1004,"&gt;="&amp;DATE($B$3,1,1),업무일지!$B$5:$B$1004,"&lt;"&amp;DATE($B$3+1,1,1),업무일지!$J$5:$J$1004,"*"&amp;$A23&amp;"*"))</f>
        <v/>
      </c>
      <c r="I23" s="23" t="str">
        <f aca="false">IF($A23="","",SUMIFS(업무일지!$N$5:$N$1004,업무일지!$B$5:$B$1004,"&gt;="&amp;DATE($B$3,1,1),업무일지!$B$5:$B$1004,"&lt;"&amp;DATE($B$3+1,1,1),업무일지!$I$5:$I$1004,$A23))</f>
        <v/>
      </c>
      <c r="J23" s="23" t="str">
        <f aca="false">IF($A23="","",SUMIFS(업무일지!$T$5:$T$1004,업무일지!$B$5:$B$1004,"&gt;="&amp;DATE($B$3,1,1),업무일지!$B$5:$B$1004,"&lt;"&amp;DATE($B$3+1,1,1),업무일지!$I$5:$I$1004,$A23))</f>
        <v/>
      </c>
      <c r="K23" s="23" t="str">
        <f aca="false">IF($A23="","",COUNTIFS(업무일지!$B$5:$B$1004,"&gt;="&amp;DATE($B$3,1,1),업무일지!$B$5:$B$1004,"&lt;"&amp;DATE($B$3+1,1,1),업무일지!$I$5:$I$1004,$A23,업무일지!$S$5:$S$1004,"진행중"))</f>
        <v/>
      </c>
    </row>
    <row r="24" customFormat="false" ht="15" hidden="false" customHeight="false" outlineLevel="0" collapsed="false">
      <c r="A24" s="25" t="str">
        <f aca="false">IF(코드설정!$C22="","",코드설정!$C22)</f>
        <v/>
      </c>
      <c r="B24" s="26" t="str">
        <f aca="false">IF($A24="","",코드설정!$D22)</f>
        <v/>
      </c>
      <c r="C24" s="26" t="str">
        <f aca="false">IF($A24="","",COUNTIFS(업무일지!$B$5:$B$1004,"&gt;="&amp;DATE($B$3,1,1),업무일지!$B$5:$B$1004,"&lt;"&amp;DATE($B$3+1,1,1),업무일지!$I$5:$I$1004,$A24,업무일지!$D$5:$D$1004,"출장"))</f>
        <v/>
      </c>
      <c r="D24" s="26" t="str">
        <f aca="false">IF($A24="","",COUNTIFS(업무일지!$B$5:$B$1004,"&gt;="&amp;DATE($B$3,1,1),업무일지!$B$5:$B$1004,"&lt;"&amp;DATE($B$3+1,1,1),업무일지!$J$5:$J$1004,"*"&amp;$A24&amp;"*",업무일지!$D$5:$D$1004,"출장"))</f>
        <v/>
      </c>
      <c r="E24" s="26" t="str">
        <f aca="false">IF($A24="","",COUNTIFS(업무일지!$B$5:$B$1004,"&gt;="&amp;DATE($B$3,1,1),업무일지!$B$5:$B$1004,"&lt;"&amp;DATE($B$3+1,1,1),업무일지!$I$5:$I$1004,$A24,업무일지!$D$5:$D$1004,"분석"))</f>
        <v/>
      </c>
      <c r="F24" s="26" t="str">
        <f aca="false">IF($A24="","",C24+D24+E24)</f>
        <v/>
      </c>
      <c r="G24" s="27" t="str">
        <f aca="false">IF($A24="","",SUMIFS(업무일지!$P$5:$P$1004,업무일지!$B$5:$B$1004,"&gt;="&amp;DATE($B$3,1,1),업무일지!$B$5:$B$1004,"&lt;"&amp;DATE($B$3+1,1,1),업무일지!$I$5:$I$1004,$A24,업무일지!$D$5:$D$1004,"출장")+SUMIFS(업무일지!$P$5:$P$1004,업무일지!$B$5:$B$1004,"&gt;="&amp;DATE($B$3,1,1),업무일지!$B$5:$B$1004,"&lt;"&amp;DATE($B$3+1,1,1),업무일지!$J$5:$J$1004,"*"&amp;$A24&amp;"*",업무일지!$D$5:$D$1004,"출장"))</f>
        <v/>
      </c>
      <c r="H24" s="27" t="str">
        <f aca="false">IF($A24="","",SUMIFS(업무일지!$Q$5:$Q$1004,업무일지!$B$5:$B$1004,"&gt;="&amp;DATE($B$3,1,1),업무일지!$B$5:$B$1004,"&lt;"&amp;DATE($B$3+1,1,1),업무일지!$I$5:$I$1004,$A24)+SUMIFS(업무일지!$Q$5:$Q$1004,업무일지!$B$5:$B$1004,"&gt;="&amp;DATE($B$3,1,1),업무일지!$B$5:$B$1004,"&lt;"&amp;DATE($B$3+1,1,1),업무일지!$J$5:$J$1004,"*"&amp;$A24&amp;"*"))</f>
        <v/>
      </c>
      <c r="I24" s="26" t="str">
        <f aca="false">IF($A24="","",SUMIFS(업무일지!$N$5:$N$1004,업무일지!$B$5:$B$1004,"&gt;="&amp;DATE($B$3,1,1),업무일지!$B$5:$B$1004,"&lt;"&amp;DATE($B$3+1,1,1),업무일지!$I$5:$I$1004,$A24))</f>
        <v/>
      </c>
      <c r="J24" s="26" t="str">
        <f aca="false">IF($A24="","",SUMIFS(업무일지!$T$5:$T$1004,업무일지!$B$5:$B$1004,"&gt;="&amp;DATE($B$3,1,1),업무일지!$B$5:$B$1004,"&lt;"&amp;DATE($B$3+1,1,1),업무일지!$I$5:$I$1004,$A24))</f>
        <v/>
      </c>
      <c r="K24" s="26" t="str">
        <f aca="false">IF($A24="","",COUNTIFS(업무일지!$B$5:$B$1004,"&gt;="&amp;DATE($B$3,1,1),업무일지!$B$5:$B$1004,"&lt;"&amp;DATE($B$3+1,1,1),업무일지!$I$5:$I$1004,$A24,업무일지!$S$5:$S$1004,"진행중"))</f>
        <v/>
      </c>
    </row>
    <row r="25" customFormat="false" ht="15" hidden="false" customHeight="false" outlineLevel="0" collapsed="false">
      <c r="A25" s="22" t="str">
        <f aca="false">IF(코드설정!$C23="","",코드설정!$C23)</f>
        <v/>
      </c>
      <c r="B25" s="23" t="str">
        <f aca="false">IF($A25="","",코드설정!$D23)</f>
        <v/>
      </c>
      <c r="C25" s="23" t="str">
        <f aca="false">IF($A25="","",COUNTIFS(업무일지!$B$5:$B$1004,"&gt;="&amp;DATE($B$3,1,1),업무일지!$B$5:$B$1004,"&lt;"&amp;DATE($B$3+1,1,1),업무일지!$I$5:$I$1004,$A25,업무일지!$D$5:$D$1004,"출장"))</f>
        <v/>
      </c>
      <c r="D25" s="23" t="str">
        <f aca="false">IF($A25="","",COUNTIFS(업무일지!$B$5:$B$1004,"&gt;="&amp;DATE($B$3,1,1),업무일지!$B$5:$B$1004,"&lt;"&amp;DATE($B$3+1,1,1),업무일지!$J$5:$J$1004,"*"&amp;$A25&amp;"*",업무일지!$D$5:$D$1004,"출장"))</f>
        <v/>
      </c>
      <c r="E25" s="23" t="str">
        <f aca="false">IF($A25="","",COUNTIFS(업무일지!$B$5:$B$1004,"&gt;="&amp;DATE($B$3,1,1),업무일지!$B$5:$B$1004,"&lt;"&amp;DATE($B$3+1,1,1),업무일지!$I$5:$I$1004,$A25,업무일지!$D$5:$D$1004,"분석"))</f>
        <v/>
      </c>
      <c r="F25" s="23" t="str">
        <f aca="false">IF($A25="","",C25+D25+E25)</f>
        <v/>
      </c>
      <c r="G25" s="24" t="str">
        <f aca="false">IF($A25="","",SUMIFS(업무일지!$P$5:$P$1004,업무일지!$B$5:$B$1004,"&gt;="&amp;DATE($B$3,1,1),업무일지!$B$5:$B$1004,"&lt;"&amp;DATE($B$3+1,1,1),업무일지!$I$5:$I$1004,$A25,업무일지!$D$5:$D$1004,"출장")+SUMIFS(업무일지!$P$5:$P$1004,업무일지!$B$5:$B$1004,"&gt;="&amp;DATE($B$3,1,1),업무일지!$B$5:$B$1004,"&lt;"&amp;DATE($B$3+1,1,1),업무일지!$J$5:$J$1004,"*"&amp;$A25&amp;"*",업무일지!$D$5:$D$1004,"출장"))</f>
        <v/>
      </c>
      <c r="H25" s="24" t="str">
        <f aca="false">IF($A25="","",SUMIFS(업무일지!$Q$5:$Q$1004,업무일지!$B$5:$B$1004,"&gt;="&amp;DATE($B$3,1,1),업무일지!$B$5:$B$1004,"&lt;"&amp;DATE($B$3+1,1,1),업무일지!$I$5:$I$1004,$A25)+SUMIFS(업무일지!$Q$5:$Q$1004,업무일지!$B$5:$B$1004,"&gt;="&amp;DATE($B$3,1,1),업무일지!$B$5:$B$1004,"&lt;"&amp;DATE($B$3+1,1,1),업무일지!$J$5:$J$1004,"*"&amp;$A25&amp;"*"))</f>
        <v/>
      </c>
      <c r="I25" s="23" t="str">
        <f aca="false">IF($A25="","",SUMIFS(업무일지!$N$5:$N$1004,업무일지!$B$5:$B$1004,"&gt;="&amp;DATE($B$3,1,1),업무일지!$B$5:$B$1004,"&lt;"&amp;DATE($B$3+1,1,1),업무일지!$I$5:$I$1004,$A25))</f>
        <v/>
      </c>
      <c r="J25" s="23" t="str">
        <f aca="false">IF($A25="","",SUMIFS(업무일지!$T$5:$T$1004,업무일지!$B$5:$B$1004,"&gt;="&amp;DATE($B$3,1,1),업무일지!$B$5:$B$1004,"&lt;"&amp;DATE($B$3+1,1,1),업무일지!$I$5:$I$1004,$A25))</f>
        <v/>
      </c>
      <c r="K25" s="23" t="str">
        <f aca="false">IF($A25="","",COUNTIFS(업무일지!$B$5:$B$1004,"&gt;="&amp;DATE($B$3,1,1),업무일지!$B$5:$B$1004,"&lt;"&amp;DATE($B$3+1,1,1),업무일지!$I$5:$I$1004,$A25,업무일지!$S$5:$S$1004,"진행중"))</f>
        <v/>
      </c>
    </row>
    <row r="26" customFormat="false" ht="15" hidden="false" customHeight="false" outlineLevel="0" collapsed="false">
      <c r="A26" s="25" t="str">
        <f aca="false">IF(코드설정!$C24="","",코드설정!$C24)</f>
        <v/>
      </c>
      <c r="B26" s="26" t="str">
        <f aca="false">IF($A26="","",코드설정!$D24)</f>
        <v/>
      </c>
      <c r="C26" s="26" t="str">
        <f aca="false">IF($A26="","",COUNTIFS(업무일지!$B$5:$B$1004,"&gt;="&amp;DATE($B$3,1,1),업무일지!$B$5:$B$1004,"&lt;"&amp;DATE($B$3+1,1,1),업무일지!$I$5:$I$1004,$A26,업무일지!$D$5:$D$1004,"출장"))</f>
        <v/>
      </c>
      <c r="D26" s="26" t="str">
        <f aca="false">IF($A26="","",COUNTIFS(업무일지!$B$5:$B$1004,"&gt;="&amp;DATE($B$3,1,1),업무일지!$B$5:$B$1004,"&lt;"&amp;DATE($B$3+1,1,1),업무일지!$J$5:$J$1004,"*"&amp;$A26&amp;"*",업무일지!$D$5:$D$1004,"출장"))</f>
        <v/>
      </c>
      <c r="E26" s="26" t="str">
        <f aca="false">IF($A26="","",COUNTIFS(업무일지!$B$5:$B$1004,"&gt;="&amp;DATE($B$3,1,1),업무일지!$B$5:$B$1004,"&lt;"&amp;DATE($B$3+1,1,1),업무일지!$I$5:$I$1004,$A26,업무일지!$D$5:$D$1004,"분석"))</f>
        <v/>
      </c>
      <c r="F26" s="26" t="str">
        <f aca="false">IF($A26="","",C26+D26+E26)</f>
        <v/>
      </c>
      <c r="G26" s="27" t="str">
        <f aca="false">IF($A26="","",SUMIFS(업무일지!$P$5:$P$1004,업무일지!$B$5:$B$1004,"&gt;="&amp;DATE($B$3,1,1),업무일지!$B$5:$B$1004,"&lt;"&amp;DATE($B$3+1,1,1),업무일지!$I$5:$I$1004,$A26,업무일지!$D$5:$D$1004,"출장")+SUMIFS(업무일지!$P$5:$P$1004,업무일지!$B$5:$B$1004,"&gt;="&amp;DATE($B$3,1,1),업무일지!$B$5:$B$1004,"&lt;"&amp;DATE($B$3+1,1,1),업무일지!$J$5:$J$1004,"*"&amp;$A26&amp;"*",업무일지!$D$5:$D$1004,"출장"))</f>
        <v/>
      </c>
      <c r="H26" s="27" t="str">
        <f aca="false">IF($A26="","",SUMIFS(업무일지!$Q$5:$Q$1004,업무일지!$B$5:$B$1004,"&gt;="&amp;DATE($B$3,1,1),업무일지!$B$5:$B$1004,"&lt;"&amp;DATE($B$3+1,1,1),업무일지!$I$5:$I$1004,$A26)+SUMIFS(업무일지!$Q$5:$Q$1004,업무일지!$B$5:$B$1004,"&gt;="&amp;DATE($B$3,1,1),업무일지!$B$5:$B$1004,"&lt;"&amp;DATE($B$3+1,1,1),업무일지!$J$5:$J$1004,"*"&amp;$A26&amp;"*"))</f>
        <v/>
      </c>
      <c r="I26" s="26" t="str">
        <f aca="false">IF($A26="","",SUMIFS(업무일지!$N$5:$N$1004,업무일지!$B$5:$B$1004,"&gt;="&amp;DATE($B$3,1,1),업무일지!$B$5:$B$1004,"&lt;"&amp;DATE($B$3+1,1,1),업무일지!$I$5:$I$1004,$A26))</f>
        <v/>
      </c>
      <c r="J26" s="26" t="str">
        <f aca="false">IF($A26="","",SUMIFS(업무일지!$T$5:$T$1004,업무일지!$B$5:$B$1004,"&gt;="&amp;DATE($B$3,1,1),업무일지!$B$5:$B$1004,"&lt;"&amp;DATE($B$3+1,1,1),업무일지!$I$5:$I$1004,$A26))</f>
        <v/>
      </c>
      <c r="K26" s="26" t="str">
        <f aca="false">IF($A26="","",COUNTIFS(업무일지!$B$5:$B$1004,"&gt;="&amp;DATE($B$3,1,1),업무일지!$B$5:$B$1004,"&lt;"&amp;DATE($B$3+1,1,1),업무일지!$I$5:$I$1004,$A26,업무일지!$S$5:$S$1004,"진행중"))</f>
        <v/>
      </c>
    </row>
    <row r="27" customFormat="false" ht="15" hidden="false" customHeight="false" outlineLevel="0" collapsed="false">
      <c r="A27" s="28" t="s">
        <v>70</v>
      </c>
      <c r="B27" s="29"/>
      <c r="C27" s="29" t="n">
        <f aca="false">SUM(C7:C26)</f>
        <v>1</v>
      </c>
      <c r="D27" s="29" t="n">
        <f aca="false">SUM(D7:D26)</f>
        <v>2</v>
      </c>
      <c r="E27" s="29" t="n">
        <f aca="false">SUM(E7:E26)</f>
        <v>2</v>
      </c>
      <c r="F27" s="29" t="n">
        <f aca="false">SUM(F7:F26)</f>
        <v>5</v>
      </c>
      <c r="G27" s="30" t="n">
        <f aca="false">SUM(G7:G26)</f>
        <v>6</v>
      </c>
      <c r="H27" s="30" t="n">
        <f aca="false">SUM(H7:H26)</f>
        <v>89</v>
      </c>
      <c r="I27" s="29" t="n">
        <f aca="false">SUM(I7:I26)</f>
        <v>12</v>
      </c>
      <c r="J27" s="29" t="n">
        <f aca="false">SUM(J7:J26)</f>
        <v>552000</v>
      </c>
      <c r="K27" s="29" t="n">
        <f aca="false">SUM(K7:K26)</f>
        <v>1</v>
      </c>
    </row>
    <row r="30" customFormat="false" ht="17.15" hidden="false" customHeight="false" outlineLevel="0" collapsed="false">
      <c r="A30" s="21" t="s">
        <v>117</v>
      </c>
      <c r="D30" s="19" t="s">
        <v>118</v>
      </c>
      <c r="E30" s="51" t="s">
        <v>119</v>
      </c>
    </row>
    <row r="31" customFormat="false" ht="30" hidden="false" customHeight="true" outlineLevel="0" collapsed="false">
      <c r="A31" s="3" t="s">
        <v>104</v>
      </c>
      <c r="B31" s="4" t="s">
        <v>120</v>
      </c>
      <c r="C31" s="4" t="s">
        <v>121</v>
      </c>
      <c r="D31" s="4" t="s">
        <v>122</v>
      </c>
      <c r="E31" s="4" t="s">
        <v>123</v>
      </c>
      <c r="F31" s="4" t="s">
        <v>124</v>
      </c>
      <c r="G31" s="4" t="s">
        <v>125</v>
      </c>
      <c r="H31" s="4" t="s">
        <v>126</v>
      </c>
      <c r="I31" s="4" t="s">
        <v>127</v>
      </c>
      <c r="J31" s="4" t="s">
        <v>128</v>
      </c>
      <c r="K31" s="4" t="s">
        <v>129</v>
      </c>
      <c r="L31" s="4" t="s">
        <v>130</v>
      </c>
      <c r="M31" s="4" t="s">
        <v>131</v>
      </c>
      <c r="N31" s="3" t="s">
        <v>70</v>
      </c>
    </row>
    <row r="32" customFormat="false" ht="15" hidden="false" customHeight="false" outlineLevel="0" collapsed="false">
      <c r="A32" s="25" t="str">
        <f aca="false">IF($A7="","",$A7)</f>
        <v>김디지</v>
      </c>
      <c r="B32" s="26" t="n">
        <f aca="false">IF($A32="","",COUNTIFS(업무일지!$B$5:$B$1004,"&gt;="&amp;DATE($B$3,1,1),업무일지!$B$5:$B$1004,"&lt;"&amp;DATE($B$3,1+1,1),업무일지!$I$5:$I$1004,$A32,업무일지!$D$5:$D$1004,IF($E$30="전체","*",$E$30))+COUNTIFS(업무일지!$B$5:$B$1004,"&gt;="&amp;DATE($B$3,1,1),업무일지!$B$5:$B$1004,"&lt;"&amp;DATE($B$3,1+1,1),업무일지!$J$5:$J$1004,"*"&amp;$A32&amp;"*",업무일지!$D$5:$D$1004,IF($E$30="전체","*",$E$30)))</f>
        <v>0</v>
      </c>
      <c r="C32" s="26" t="n">
        <f aca="false">IF($A32="","",COUNTIFS(업무일지!$B$5:$B$1004,"&gt;="&amp;DATE($B$3,2,1),업무일지!$B$5:$B$1004,"&lt;"&amp;DATE($B$3,2+1,1),업무일지!$I$5:$I$1004,$A32,업무일지!$D$5:$D$1004,IF($E$30="전체","*",$E$30))+COUNTIFS(업무일지!$B$5:$B$1004,"&gt;="&amp;DATE($B$3,2,1),업무일지!$B$5:$B$1004,"&lt;"&amp;DATE($B$3,2+1,1),업무일지!$J$5:$J$1004,"*"&amp;$A32&amp;"*",업무일지!$D$5:$D$1004,IF($E$30="전체","*",$E$30)))</f>
        <v>0</v>
      </c>
      <c r="D32" s="26" t="n">
        <f aca="false">IF($A32="","",COUNTIFS(업무일지!$B$5:$B$1004,"&gt;="&amp;DATE($B$3,3,1),업무일지!$B$5:$B$1004,"&lt;"&amp;DATE($B$3,3+1,1),업무일지!$I$5:$I$1004,$A32,업무일지!$D$5:$D$1004,IF($E$30="전체","*",$E$30))+COUNTIFS(업무일지!$B$5:$B$1004,"&gt;="&amp;DATE($B$3,3,1),업무일지!$B$5:$B$1004,"&lt;"&amp;DATE($B$3,3+1,1),업무일지!$J$5:$J$1004,"*"&amp;$A32&amp;"*",업무일지!$D$5:$D$1004,IF($E$30="전체","*",$E$30)))</f>
        <v>2</v>
      </c>
      <c r="E32" s="26" t="n">
        <f aca="false">IF($A32="","",COUNTIFS(업무일지!$B$5:$B$1004,"&gt;="&amp;DATE($B$3,4,1),업무일지!$B$5:$B$1004,"&lt;"&amp;DATE($B$3,4+1,1),업무일지!$I$5:$I$1004,$A32,업무일지!$D$5:$D$1004,IF($E$30="전체","*",$E$30))+COUNTIFS(업무일지!$B$5:$B$1004,"&gt;="&amp;DATE($B$3,4,1),업무일지!$B$5:$B$1004,"&lt;"&amp;DATE($B$3,4+1,1),업무일지!$J$5:$J$1004,"*"&amp;$A32&amp;"*",업무일지!$D$5:$D$1004,IF($E$30="전체","*",$E$30)))</f>
        <v>0</v>
      </c>
      <c r="F32" s="26" t="n">
        <f aca="false">IF($A32="","",COUNTIFS(업무일지!$B$5:$B$1004,"&gt;="&amp;DATE($B$3,5,1),업무일지!$B$5:$B$1004,"&lt;"&amp;DATE($B$3,5+1,1),업무일지!$I$5:$I$1004,$A32,업무일지!$D$5:$D$1004,IF($E$30="전체","*",$E$30))+COUNTIFS(업무일지!$B$5:$B$1004,"&gt;="&amp;DATE($B$3,5,1),업무일지!$B$5:$B$1004,"&lt;"&amp;DATE($B$3,5+1,1),업무일지!$J$5:$J$1004,"*"&amp;$A32&amp;"*",업무일지!$D$5:$D$1004,IF($E$30="전체","*",$E$30)))</f>
        <v>0</v>
      </c>
      <c r="G32" s="26" t="n">
        <f aca="false">IF($A32="","",COUNTIFS(업무일지!$B$5:$B$1004,"&gt;="&amp;DATE($B$3,6,1),업무일지!$B$5:$B$1004,"&lt;"&amp;DATE($B$3,6+1,1),업무일지!$I$5:$I$1004,$A32,업무일지!$D$5:$D$1004,IF($E$30="전체","*",$E$30))+COUNTIFS(업무일지!$B$5:$B$1004,"&gt;="&amp;DATE($B$3,6,1),업무일지!$B$5:$B$1004,"&lt;"&amp;DATE($B$3,6+1,1),업무일지!$J$5:$J$1004,"*"&amp;$A32&amp;"*",업무일지!$D$5:$D$1004,IF($E$30="전체","*",$E$30)))</f>
        <v>0</v>
      </c>
      <c r="H32" s="26" t="n">
        <f aca="false">IF($A32="","",COUNTIFS(업무일지!$B$5:$B$1004,"&gt;="&amp;DATE($B$3,7,1),업무일지!$B$5:$B$1004,"&lt;"&amp;DATE($B$3,7+1,1),업무일지!$I$5:$I$1004,$A32,업무일지!$D$5:$D$1004,IF($E$30="전체","*",$E$30))+COUNTIFS(업무일지!$B$5:$B$1004,"&gt;="&amp;DATE($B$3,7,1),업무일지!$B$5:$B$1004,"&lt;"&amp;DATE($B$3,7+1,1),업무일지!$J$5:$J$1004,"*"&amp;$A32&amp;"*",업무일지!$D$5:$D$1004,IF($E$30="전체","*",$E$30)))</f>
        <v>0</v>
      </c>
      <c r="I32" s="26" t="n">
        <f aca="false">IF($A32="","",COUNTIFS(업무일지!$B$5:$B$1004,"&gt;="&amp;DATE($B$3,8,1),업무일지!$B$5:$B$1004,"&lt;"&amp;DATE($B$3,8+1,1),업무일지!$I$5:$I$1004,$A32,업무일지!$D$5:$D$1004,IF($E$30="전체","*",$E$30))+COUNTIFS(업무일지!$B$5:$B$1004,"&gt;="&amp;DATE($B$3,8,1),업무일지!$B$5:$B$1004,"&lt;"&amp;DATE($B$3,8+1,1),업무일지!$J$5:$J$1004,"*"&amp;$A32&amp;"*",업무일지!$D$5:$D$1004,IF($E$30="전체","*",$E$30)))</f>
        <v>0</v>
      </c>
      <c r="J32" s="26" t="n">
        <f aca="false">IF($A32="","",COUNTIFS(업무일지!$B$5:$B$1004,"&gt;="&amp;DATE($B$3,9,1),업무일지!$B$5:$B$1004,"&lt;"&amp;DATE($B$3,9+1,1),업무일지!$I$5:$I$1004,$A32,업무일지!$D$5:$D$1004,IF($E$30="전체","*",$E$30))+COUNTIFS(업무일지!$B$5:$B$1004,"&gt;="&amp;DATE($B$3,9,1),업무일지!$B$5:$B$1004,"&lt;"&amp;DATE($B$3,9+1,1),업무일지!$J$5:$J$1004,"*"&amp;$A32&amp;"*",업무일지!$D$5:$D$1004,IF($E$30="전체","*",$E$30)))</f>
        <v>0</v>
      </c>
      <c r="K32" s="26" t="n">
        <f aca="false">IF($A32="","",COUNTIFS(업무일지!$B$5:$B$1004,"&gt;="&amp;DATE($B$3,10,1),업무일지!$B$5:$B$1004,"&lt;"&amp;DATE($B$3,10+1,1),업무일지!$I$5:$I$1004,$A32,업무일지!$D$5:$D$1004,IF($E$30="전체","*",$E$30))+COUNTIFS(업무일지!$B$5:$B$1004,"&gt;="&amp;DATE($B$3,10,1),업무일지!$B$5:$B$1004,"&lt;"&amp;DATE($B$3,10+1,1),업무일지!$J$5:$J$1004,"*"&amp;$A32&amp;"*",업무일지!$D$5:$D$1004,IF($E$30="전체","*",$E$30)))</f>
        <v>0</v>
      </c>
      <c r="L32" s="26" t="n">
        <f aca="false">IF($A32="","",COUNTIFS(업무일지!$B$5:$B$1004,"&gt;="&amp;DATE($B$3,11,1),업무일지!$B$5:$B$1004,"&lt;"&amp;DATE($B$3,11+1,1),업무일지!$I$5:$I$1004,$A32,업무일지!$D$5:$D$1004,IF($E$30="전체","*",$E$30))+COUNTIFS(업무일지!$B$5:$B$1004,"&gt;="&amp;DATE($B$3,11,1),업무일지!$B$5:$B$1004,"&lt;"&amp;DATE($B$3,11+1,1),업무일지!$J$5:$J$1004,"*"&amp;$A32&amp;"*",업무일지!$D$5:$D$1004,IF($E$30="전체","*",$E$30)))</f>
        <v>0</v>
      </c>
      <c r="M32" s="26" t="n">
        <f aca="false">IF($A32="","",COUNTIFS(업무일지!$B$5:$B$1004,"&gt;="&amp;DATE($B$3,12,1),업무일지!$B$5:$B$1004,"&lt;"&amp;DATE($B$3,12+1,1),업무일지!$I$5:$I$1004,$A32,업무일지!$D$5:$D$1004,IF($E$30="전체","*",$E$30))+COUNTIFS(업무일지!$B$5:$B$1004,"&gt;="&amp;DATE($B$3,12,1),업무일지!$B$5:$B$1004,"&lt;"&amp;DATE($B$3,12+1,1),업무일지!$J$5:$J$1004,"*"&amp;$A32&amp;"*",업무일지!$D$5:$D$1004,IF($E$30="전체","*",$E$30)))</f>
        <v>0</v>
      </c>
      <c r="N32" s="26" t="n">
        <f aca="false">IF($A32="","",SUM(B32:M32))</f>
        <v>2</v>
      </c>
    </row>
    <row r="33" customFormat="false" ht="15" hidden="false" customHeight="false" outlineLevel="0" collapsed="false">
      <c r="A33" s="22" t="str">
        <f aca="false">IF($A8="","",$A8)</f>
        <v>이수사</v>
      </c>
      <c r="B33" s="23" t="n">
        <f aca="false">IF($A33="","",COUNTIFS(업무일지!$B$5:$B$1004,"&gt;="&amp;DATE($B$3,1,1),업무일지!$B$5:$B$1004,"&lt;"&amp;DATE($B$3,1+1,1),업무일지!$I$5:$I$1004,$A33,업무일지!$D$5:$D$1004,IF($E$30="전체","*",$E$30))+COUNTIFS(업무일지!$B$5:$B$1004,"&gt;="&amp;DATE($B$3,1,1),업무일지!$B$5:$B$1004,"&lt;"&amp;DATE($B$3,1+1,1),업무일지!$J$5:$J$1004,"*"&amp;$A33&amp;"*",업무일지!$D$5:$D$1004,IF($E$30="전체","*",$E$30)))</f>
        <v>0</v>
      </c>
      <c r="C33" s="23" t="n">
        <f aca="false">IF($A33="","",COUNTIFS(업무일지!$B$5:$B$1004,"&gt;="&amp;DATE($B$3,2,1),업무일지!$B$5:$B$1004,"&lt;"&amp;DATE($B$3,2+1,1),업무일지!$I$5:$I$1004,$A33,업무일지!$D$5:$D$1004,IF($E$30="전체","*",$E$30))+COUNTIFS(업무일지!$B$5:$B$1004,"&gt;="&amp;DATE($B$3,2,1),업무일지!$B$5:$B$1004,"&lt;"&amp;DATE($B$3,2+1,1),업무일지!$J$5:$J$1004,"*"&amp;$A33&amp;"*",업무일지!$D$5:$D$1004,IF($E$30="전체","*",$E$30)))</f>
        <v>0</v>
      </c>
      <c r="D33" s="23" t="n">
        <f aca="false">IF($A33="","",COUNTIFS(업무일지!$B$5:$B$1004,"&gt;="&amp;DATE($B$3,3,1),업무일지!$B$5:$B$1004,"&lt;"&amp;DATE($B$3,3+1,1),업무일지!$I$5:$I$1004,$A33,업무일지!$D$5:$D$1004,IF($E$30="전체","*",$E$30))+COUNTIFS(업무일지!$B$5:$B$1004,"&gt;="&amp;DATE($B$3,3,1),업무일지!$B$5:$B$1004,"&lt;"&amp;DATE($B$3,3+1,1),업무일지!$J$5:$J$1004,"*"&amp;$A33&amp;"*",업무일지!$D$5:$D$1004,IF($E$30="전체","*",$E$30)))</f>
        <v>1</v>
      </c>
      <c r="E33" s="23" t="n">
        <f aca="false">IF($A33="","",COUNTIFS(업무일지!$B$5:$B$1004,"&gt;="&amp;DATE($B$3,4,1),업무일지!$B$5:$B$1004,"&lt;"&amp;DATE($B$3,4+1,1),업무일지!$I$5:$I$1004,$A33,업무일지!$D$5:$D$1004,IF($E$30="전체","*",$E$30))+COUNTIFS(업무일지!$B$5:$B$1004,"&gt;="&amp;DATE($B$3,4,1),업무일지!$B$5:$B$1004,"&lt;"&amp;DATE($B$3,4+1,1),업무일지!$J$5:$J$1004,"*"&amp;$A33&amp;"*",업무일지!$D$5:$D$1004,IF($E$30="전체","*",$E$30)))</f>
        <v>0</v>
      </c>
      <c r="F33" s="23" t="n">
        <f aca="false">IF($A33="","",COUNTIFS(업무일지!$B$5:$B$1004,"&gt;="&amp;DATE($B$3,5,1),업무일지!$B$5:$B$1004,"&lt;"&amp;DATE($B$3,5+1,1),업무일지!$I$5:$I$1004,$A33,업무일지!$D$5:$D$1004,IF($E$30="전체","*",$E$30))+COUNTIFS(업무일지!$B$5:$B$1004,"&gt;="&amp;DATE($B$3,5,1),업무일지!$B$5:$B$1004,"&lt;"&amp;DATE($B$3,5+1,1),업무일지!$J$5:$J$1004,"*"&amp;$A33&amp;"*",업무일지!$D$5:$D$1004,IF($E$30="전체","*",$E$30)))</f>
        <v>0</v>
      </c>
      <c r="G33" s="23" t="n">
        <f aca="false">IF($A33="","",COUNTIFS(업무일지!$B$5:$B$1004,"&gt;="&amp;DATE($B$3,6,1),업무일지!$B$5:$B$1004,"&lt;"&amp;DATE($B$3,6+1,1),업무일지!$I$5:$I$1004,$A33,업무일지!$D$5:$D$1004,IF($E$30="전체","*",$E$30))+COUNTIFS(업무일지!$B$5:$B$1004,"&gt;="&amp;DATE($B$3,6,1),업무일지!$B$5:$B$1004,"&lt;"&amp;DATE($B$3,6+1,1),업무일지!$J$5:$J$1004,"*"&amp;$A33&amp;"*",업무일지!$D$5:$D$1004,IF($E$30="전체","*",$E$30)))</f>
        <v>0</v>
      </c>
      <c r="H33" s="23" t="n">
        <f aca="false">IF($A33="","",COUNTIFS(업무일지!$B$5:$B$1004,"&gt;="&amp;DATE($B$3,7,1),업무일지!$B$5:$B$1004,"&lt;"&amp;DATE($B$3,7+1,1),업무일지!$I$5:$I$1004,$A33,업무일지!$D$5:$D$1004,IF($E$30="전체","*",$E$30))+COUNTIFS(업무일지!$B$5:$B$1004,"&gt;="&amp;DATE($B$3,7,1),업무일지!$B$5:$B$1004,"&lt;"&amp;DATE($B$3,7+1,1),업무일지!$J$5:$J$1004,"*"&amp;$A33&amp;"*",업무일지!$D$5:$D$1004,IF($E$30="전체","*",$E$30)))</f>
        <v>0</v>
      </c>
      <c r="I33" s="23" t="n">
        <f aca="false">IF($A33="","",COUNTIFS(업무일지!$B$5:$B$1004,"&gt;="&amp;DATE($B$3,8,1),업무일지!$B$5:$B$1004,"&lt;"&amp;DATE($B$3,8+1,1),업무일지!$I$5:$I$1004,$A33,업무일지!$D$5:$D$1004,IF($E$30="전체","*",$E$30))+COUNTIFS(업무일지!$B$5:$B$1004,"&gt;="&amp;DATE($B$3,8,1),업무일지!$B$5:$B$1004,"&lt;"&amp;DATE($B$3,8+1,1),업무일지!$J$5:$J$1004,"*"&amp;$A33&amp;"*",업무일지!$D$5:$D$1004,IF($E$30="전체","*",$E$30)))</f>
        <v>0</v>
      </c>
      <c r="J33" s="23" t="n">
        <f aca="false">IF($A33="","",COUNTIFS(업무일지!$B$5:$B$1004,"&gt;="&amp;DATE($B$3,9,1),업무일지!$B$5:$B$1004,"&lt;"&amp;DATE($B$3,9+1,1),업무일지!$I$5:$I$1004,$A33,업무일지!$D$5:$D$1004,IF($E$30="전체","*",$E$30))+COUNTIFS(업무일지!$B$5:$B$1004,"&gt;="&amp;DATE($B$3,9,1),업무일지!$B$5:$B$1004,"&lt;"&amp;DATE($B$3,9+1,1),업무일지!$J$5:$J$1004,"*"&amp;$A33&amp;"*",업무일지!$D$5:$D$1004,IF($E$30="전체","*",$E$30)))</f>
        <v>0</v>
      </c>
      <c r="K33" s="23" t="n">
        <f aca="false">IF($A33="","",COUNTIFS(업무일지!$B$5:$B$1004,"&gt;="&amp;DATE($B$3,10,1),업무일지!$B$5:$B$1004,"&lt;"&amp;DATE($B$3,10+1,1),업무일지!$I$5:$I$1004,$A33,업무일지!$D$5:$D$1004,IF($E$30="전체","*",$E$30))+COUNTIFS(업무일지!$B$5:$B$1004,"&gt;="&amp;DATE($B$3,10,1),업무일지!$B$5:$B$1004,"&lt;"&amp;DATE($B$3,10+1,1),업무일지!$J$5:$J$1004,"*"&amp;$A33&amp;"*",업무일지!$D$5:$D$1004,IF($E$30="전체","*",$E$30)))</f>
        <v>0</v>
      </c>
      <c r="L33" s="23" t="n">
        <f aca="false">IF($A33="","",COUNTIFS(업무일지!$B$5:$B$1004,"&gt;="&amp;DATE($B$3,11,1),업무일지!$B$5:$B$1004,"&lt;"&amp;DATE($B$3,11+1,1),업무일지!$I$5:$I$1004,$A33,업무일지!$D$5:$D$1004,IF($E$30="전체","*",$E$30))+COUNTIFS(업무일지!$B$5:$B$1004,"&gt;="&amp;DATE($B$3,11,1),업무일지!$B$5:$B$1004,"&lt;"&amp;DATE($B$3,11+1,1),업무일지!$J$5:$J$1004,"*"&amp;$A33&amp;"*",업무일지!$D$5:$D$1004,IF($E$30="전체","*",$E$30)))</f>
        <v>0</v>
      </c>
      <c r="M33" s="23" t="n">
        <f aca="false">IF($A33="","",COUNTIFS(업무일지!$B$5:$B$1004,"&gt;="&amp;DATE($B$3,12,1),업무일지!$B$5:$B$1004,"&lt;"&amp;DATE($B$3,12+1,1),업무일지!$I$5:$I$1004,$A33,업무일지!$D$5:$D$1004,IF($E$30="전체","*",$E$30))+COUNTIFS(업무일지!$B$5:$B$1004,"&gt;="&amp;DATE($B$3,12,1),업무일지!$B$5:$B$1004,"&lt;"&amp;DATE($B$3,12+1,1),업무일지!$J$5:$J$1004,"*"&amp;$A33&amp;"*",업무일지!$D$5:$D$1004,IF($E$30="전체","*",$E$30)))</f>
        <v>0</v>
      </c>
      <c r="N33" s="23" t="n">
        <f aca="false">IF($A33="","",SUM(B33:M33))</f>
        <v>1</v>
      </c>
    </row>
    <row r="34" customFormat="false" ht="15" hidden="false" customHeight="false" outlineLevel="0" collapsed="false">
      <c r="A34" s="25" t="str">
        <f aca="false">IF($A9="","",$A9)</f>
        <v>박증거</v>
      </c>
      <c r="B34" s="26" t="n">
        <f aca="false">IF($A34="","",COUNTIFS(업무일지!$B$5:$B$1004,"&gt;="&amp;DATE($B$3,1,1),업무일지!$B$5:$B$1004,"&lt;"&amp;DATE($B$3,1+1,1),업무일지!$I$5:$I$1004,$A34,업무일지!$D$5:$D$1004,IF($E$30="전체","*",$E$30))+COUNTIFS(업무일지!$B$5:$B$1004,"&gt;="&amp;DATE($B$3,1,1),업무일지!$B$5:$B$1004,"&lt;"&amp;DATE($B$3,1+1,1),업무일지!$J$5:$J$1004,"*"&amp;$A34&amp;"*",업무일지!$D$5:$D$1004,IF($E$30="전체","*",$E$30)))</f>
        <v>0</v>
      </c>
      <c r="C34" s="26" t="n">
        <f aca="false">IF($A34="","",COUNTIFS(업무일지!$B$5:$B$1004,"&gt;="&amp;DATE($B$3,2,1),업무일지!$B$5:$B$1004,"&lt;"&amp;DATE($B$3,2+1,1),업무일지!$I$5:$I$1004,$A34,업무일지!$D$5:$D$1004,IF($E$30="전체","*",$E$30))+COUNTIFS(업무일지!$B$5:$B$1004,"&gt;="&amp;DATE($B$3,2,1),업무일지!$B$5:$B$1004,"&lt;"&amp;DATE($B$3,2+1,1),업무일지!$J$5:$J$1004,"*"&amp;$A34&amp;"*",업무일지!$D$5:$D$1004,IF($E$30="전체","*",$E$30)))</f>
        <v>0</v>
      </c>
      <c r="D34" s="26" t="n">
        <f aca="false">IF($A34="","",COUNTIFS(업무일지!$B$5:$B$1004,"&gt;="&amp;DATE($B$3,3,1),업무일지!$B$5:$B$1004,"&lt;"&amp;DATE($B$3,3+1,1),업무일지!$I$5:$I$1004,$A34,업무일지!$D$5:$D$1004,IF($E$30="전체","*",$E$30))+COUNTIFS(업무일지!$B$5:$B$1004,"&gt;="&amp;DATE($B$3,3,1),업무일지!$B$5:$B$1004,"&lt;"&amp;DATE($B$3,3+1,1),업무일지!$J$5:$J$1004,"*"&amp;$A34&amp;"*",업무일지!$D$5:$D$1004,IF($E$30="전체","*",$E$30)))</f>
        <v>2</v>
      </c>
      <c r="E34" s="26" t="n">
        <f aca="false">IF($A34="","",COUNTIFS(업무일지!$B$5:$B$1004,"&gt;="&amp;DATE($B$3,4,1),업무일지!$B$5:$B$1004,"&lt;"&amp;DATE($B$3,4+1,1),업무일지!$I$5:$I$1004,$A34,업무일지!$D$5:$D$1004,IF($E$30="전체","*",$E$30))+COUNTIFS(업무일지!$B$5:$B$1004,"&gt;="&amp;DATE($B$3,4,1),업무일지!$B$5:$B$1004,"&lt;"&amp;DATE($B$3,4+1,1),업무일지!$J$5:$J$1004,"*"&amp;$A34&amp;"*",업무일지!$D$5:$D$1004,IF($E$30="전체","*",$E$30)))</f>
        <v>0</v>
      </c>
      <c r="F34" s="26" t="n">
        <f aca="false">IF($A34="","",COUNTIFS(업무일지!$B$5:$B$1004,"&gt;="&amp;DATE($B$3,5,1),업무일지!$B$5:$B$1004,"&lt;"&amp;DATE($B$3,5+1,1),업무일지!$I$5:$I$1004,$A34,업무일지!$D$5:$D$1004,IF($E$30="전체","*",$E$30))+COUNTIFS(업무일지!$B$5:$B$1004,"&gt;="&amp;DATE($B$3,5,1),업무일지!$B$5:$B$1004,"&lt;"&amp;DATE($B$3,5+1,1),업무일지!$J$5:$J$1004,"*"&amp;$A34&amp;"*",업무일지!$D$5:$D$1004,IF($E$30="전체","*",$E$30)))</f>
        <v>0</v>
      </c>
      <c r="G34" s="26" t="n">
        <f aca="false">IF($A34="","",COUNTIFS(업무일지!$B$5:$B$1004,"&gt;="&amp;DATE($B$3,6,1),업무일지!$B$5:$B$1004,"&lt;"&amp;DATE($B$3,6+1,1),업무일지!$I$5:$I$1004,$A34,업무일지!$D$5:$D$1004,IF($E$30="전체","*",$E$30))+COUNTIFS(업무일지!$B$5:$B$1004,"&gt;="&amp;DATE($B$3,6,1),업무일지!$B$5:$B$1004,"&lt;"&amp;DATE($B$3,6+1,1),업무일지!$J$5:$J$1004,"*"&amp;$A34&amp;"*",업무일지!$D$5:$D$1004,IF($E$30="전체","*",$E$30)))</f>
        <v>0</v>
      </c>
      <c r="H34" s="26" t="n">
        <f aca="false">IF($A34="","",COUNTIFS(업무일지!$B$5:$B$1004,"&gt;="&amp;DATE($B$3,7,1),업무일지!$B$5:$B$1004,"&lt;"&amp;DATE($B$3,7+1,1),업무일지!$I$5:$I$1004,$A34,업무일지!$D$5:$D$1004,IF($E$30="전체","*",$E$30))+COUNTIFS(업무일지!$B$5:$B$1004,"&gt;="&amp;DATE($B$3,7,1),업무일지!$B$5:$B$1004,"&lt;"&amp;DATE($B$3,7+1,1),업무일지!$J$5:$J$1004,"*"&amp;$A34&amp;"*",업무일지!$D$5:$D$1004,IF($E$30="전체","*",$E$30)))</f>
        <v>0</v>
      </c>
      <c r="I34" s="26" t="n">
        <f aca="false">IF($A34="","",COUNTIFS(업무일지!$B$5:$B$1004,"&gt;="&amp;DATE($B$3,8,1),업무일지!$B$5:$B$1004,"&lt;"&amp;DATE($B$3,8+1,1),업무일지!$I$5:$I$1004,$A34,업무일지!$D$5:$D$1004,IF($E$30="전체","*",$E$30))+COUNTIFS(업무일지!$B$5:$B$1004,"&gt;="&amp;DATE($B$3,8,1),업무일지!$B$5:$B$1004,"&lt;"&amp;DATE($B$3,8+1,1),업무일지!$J$5:$J$1004,"*"&amp;$A34&amp;"*",업무일지!$D$5:$D$1004,IF($E$30="전체","*",$E$30)))</f>
        <v>0</v>
      </c>
      <c r="J34" s="26" t="n">
        <f aca="false">IF($A34="","",COUNTIFS(업무일지!$B$5:$B$1004,"&gt;="&amp;DATE($B$3,9,1),업무일지!$B$5:$B$1004,"&lt;"&amp;DATE($B$3,9+1,1),업무일지!$I$5:$I$1004,$A34,업무일지!$D$5:$D$1004,IF($E$30="전체","*",$E$30))+COUNTIFS(업무일지!$B$5:$B$1004,"&gt;="&amp;DATE($B$3,9,1),업무일지!$B$5:$B$1004,"&lt;"&amp;DATE($B$3,9+1,1),업무일지!$J$5:$J$1004,"*"&amp;$A34&amp;"*",업무일지!$D$5:$D$1004,IF($E$30="전체","*",$E$30)))</f>
        <v>0</v>
      </c>
      <c r="K34" s="26" t="n">
        <f aca="false">IF($A34="","",COUNTIFS(업무일지!$B$5:$B$1004,"&gt;="&amp;DATE($B$3,10,1),업무일지!$B$5:$B$1004,"&lt;"&amp;DATE($B$3,10+1,1),업무일지!$I$5:$I$1004,$A34,업무일지!$D$5:$D$1004,IF($E$30="전체","*",$E$30))+COUNTIFS(업무일지!$B$5:$B$1004,"&gt;="&amp;DATE($B$3,10,1),업무일지!$B$5:$B$1004,"&lt;"&amp;DATE($B$3,10+1,1),업무일지!$J$5:$J$1004,"*"&amp;$A34&amp;"*",업무일지!$D$5:$D$1004,IF($E$30="전체","*",$E$30)))</f>
        <v>0</v>
      </c>
      <c r="L34" s="26" t="n">
        <f aca="false">IF($A34="","",COUNTIFS(업무일지!$B$5:$B$1004,"&gt;="&amp;DATE($B$3,11,1),업무일지!$B$5:$B$1004,"&lt;"&amp;DATE($B$3,11+1,1),업무일지!$I$5:$I$1004,$A34,업무일지!$D$5:$D$1004,IF($E$30="전체","*",$E$30))+COUNTIFS(업무일지!$B$5:$B$1004,"&gt;="&amp;DATE($B$3,11,1),업무일지!$B$5:$B$1004,"&lt;"&amp;DATE($B$3,11+1,1),업무일지!$J$5:$J$1004,"*"&amp;$A34&amp;"*",업무일지!$D$5:$D$1004,IF($E$30="전체","*",$E$30)))</f>
        <v>0</v>
      </c>
      <c r="M34" s="26" t="n">
        <f aca="false">IF($A34="","",COUNTIFS(업무일지!$B$5:$B$1004,"&gt;="&amp;DATE($B$3,12,1),업무일지!$B$5:$B$1004,"&lt;"&amp;DATE($B$3,12+1,1),업무일지!$I$5:$I$1004,$A34,업무일지!$D$5:$D$1004,IF($E$30="전체","*",$E$30))+COUNTIFS(업무일지!$B$5:$B$1004,"&gt;="&amp;DATE($B$3,12,1),업무일지!$B$5:$B$1004,"&lt;"&amp;DATE($B$3,12+1,1),업무일지!$J$5:$J$1004,"*"&amp;$A34&amp;"*",업무일지!$D$5:$D$1004,IF($E$30="전체","*",$E$30)))</f>
        <v>0</v>
      </c>
      <c r="N34" s="26" t="n">
        <f aca="false">IF($A34="","",SUM(B34:M34))</f>
        <v>2</v>
      </c>
    </row>
    <row r="35" customFormat="false" ht="15" hidden="false" customHeight="false" outlineLevel="0" collapsed="false">
      <c r="A35" s="22" t="str">
        <f aca="false">IF($A10="","",$A10)</f>
        <v>최분석</v>
      </c>
      <c r="B35" s="23" t="n">
        <f aca="false">IF($A35="","",COUNTIFS(업무일지!$B$5:$B$1004,"&gt;="&amp;DATE($B$3,1,1),업무일지!$B$5:$B$1004,"&lt;"&amp;DATE($B$3,1+1,1),업무일지!$I$5:$I$1004,$A35,업무일지!$D$5:$D$1004,IF($E$30="전체","*",$E$30))+COUNTIFS(업무일지!$B$5:$B$1004,"&gt;="&amp;DATE($B$3,1,1),업무일지!$B$5:$B$1004,"&lt;"&amp;DATE($B$3,1+1,1),업무일지!$J$5:$J$1004,"*"&amp;$A35&amp;"*",업무일지!$D$5:$D$1004,IF($E$30="전체","*",$E$30)))</f>
        <v>0</v>
      </c>
      <c r="C35" s="23" t="n">
        <f aca="false">IF($A35="","",COUNTIFS(업무일지!$B$5:$B$1004,"&gt;="&amp;DATE($B$3,2,1),업무일지!$B$5:$B$1004,"&lt;"&amp;DATE($B$3,2+1,1),업무일지!$I$5:$I$1004,$A35,업무일지!$D$5:$D$1004,IF($E$30="전체","*",$E$30))+COUNTIFS(업무일지!$B$5:$B$1004,"&gt;="&amp;DATE($B$3,2,1),업무일지!$B$5:$B$1004,"&lt;"&amp;DATE($B$3,2+1,1),업무일지!$J$5:$J$1004,"*"&amp;$A35&amp;"*",업무일지!$D$5:$D$1004,IF($E$30="전체","*",$E$30)))</f>
        <v>0</v>
      </c>
      <c r="D35" s="23" t="n">
        <f aca="false">IF($A35="","",COUNTIFS(업무일지!$B$5:$B$1004,"&gt;="&amp;DATE($B$3,3,1),업무일지!$B$5:$B$1004,"&lt;"&amp;DATE($B$3,3+1,1),업무일지!$I$5:$I$1004,$A35,업무일지!$D$5:$D$1004,IF($E$30="전체","*",$E$30))+COUNTIFS(업무일지!$B$5:$B$1004,"&gt;="&amp;DATE($B$3,3,1),업무일지!$B$5:$B$1004,"&lt;"&amp;DATE($B$3,3+1,1),업무일지!$J$5:$J$1004,"*"&amp;$A35&amp;"*",업무일지!$D$5:$D$1004,IF($E$30="전체","*",$E$30)))</f>
        <v>0</v>
      </c>
      <c r="E35" s="23" t="n">
        <f aca="false">IF($A35="","",COUNTIFS(업무일지!$B$5:$B$1004,"&gt;="&amp;DATE($B$3,4,1),업무일지!$B$5:$B$1004,"&lt;"&amp;DATE($B$3,4+1,1),업무일지!$I$5:$I$1004,$A35,업무일지!$D$5:$D$1004,IF($E$30="전체","*",$E$30))+COUNTIFS(업무일지!$B$5:$B$1004,"&gt;="&amp;DATE($B$3,4,1),업무일지!$B$5:$B$1004,"&lt;"&amp;DATE($B$3,4+1,1),업무일지!$J$5:$J$1004,"*"&amp;$A35&amp;"*",업무일지!$D$5:$D$1004,IF($E$30="전체","*",$E$30)))</f>
        <v>0</v>
      </c>
      <c r="F35" s="23" t="n">
        <f aca="false">IF($A35="","",COUNTIFS(업무일지!$B$5:$B$1004,"&gt;="&amp;DATE($B$3,5,1),업무일지!$B$5:$B$1004,"&lt;"&amp;DATE($B$3,5+1,1),업무일지!$I$5:$I$1004,$A35,업무일지!$D$5:$D$1004,IF($E$30="전체","*",$E$30))+COUNTIFS(업무일지!$B$5:$B$1004,"&gt;="&amp;DATE($B$3,5,1),업무일지!$B$5:$B$1004,"&lt;"&amp;DATE($B$3,5+1,1),업무일지!$J$5:$J$1004,"*"&amp;$A35&amp;"*",업무일지!$D$5:$D$1004,IF($E$30="전체","*",$E$30)))</f>
        <v>0</v>
      </c>
      <c r="G35" s="23" t="n">
        <f aca="false">IF($A35="","",COUNTIFS(업무일지!$B$5:$B$1004,"&gt;="&amp;DATE($B$3,6,1),업무일지!$B$5:$B$1004,"&lt;"&amp;DATE($B$3,6+1,1),업무일지!$I$5:$I$1004,$A35,업무일지!$D$5:$D$1004,IF($E$30="전체","*",$E$30))+COUNTIFS(업무일지!$B$5:$B$1004,"&gt;="&amp;DATE($B$3,6,1),업무일지!$B$5:$B$1004,"&lt;"&amp;DATE($B$3,6+1,1),업무일지!$J$5:$J$1004,"*"&amp;$A35&amp;"*",업무일지!$D$5:$D$1004,IF($E$30="전체","*",$E$30)))</f>
        <v>0</v>
      </c>
      <c r="H35" s="23" t="n">
        <f aca="false">IF($A35="","",COUNTIFS(업무일지!$B$5:$B$1004,"&gt;="&amp;DATE($B$3,7,1),업무일지!$B$5:$B$1004,"&lt;"&amp;DATE($B$3,7+1,1),업무일지!$I$5:$I$1004,$A35,업무일지!$D$5:$D$1004,IF($E$30="전체","*",$E$30))+COUNTIFS(업무일지!$B$5:$B$1004,"&gt;="&amp;DATE($B$3,7,1),업무일지!$B$5:$B$1004,"&lt;"&amp;DATE($B$3,7+1,1),업무일지!$J$5:$J$1004,"*"&amp;$A35&amp;"*",업무일지!$D$5:$D$1004,IF($E$30="전체","*",$E$30)))</f>
        <v>0</v>
      </c>
      <c r="I35" s="23" t="n">
        <f aca="false">IF($A35="","",COUNTIFS(업무일지!$B$5:$B$1004,"&gt;="&amp;DATE($B$3,8,1),업무일지!$B$5:$B$1004,"&lt;"&amp;DATE($B$3,8+1,1),업무일지!$I$5:$I$1004,$A35,업무일지!$D$5:$D$1004,IF($E$30="전체","*",$E$30))+COUNTIFS(업무일지!$B$5:$B$1004,"&gt;="&amp;DATE($B$3,8,1),업무일지!$B$5:$B$1004,"&lt;"&amp;DATE($B$3,8+1,1),업무일지!$J$5:$J$1004,"*"&amp;$A35&amp;"*",업무일지!$D$5:$D$1004,IF($E$30="전체","*",$E$30)))</f>
        <v>0</v>
      </c>
      <c r="J35" s="23" t="n">
        <f aca="false">IF($A35="","",COUNTIFS(업무일지!$B$5:$B$1004,"&gt;="&amp;DATE($B$3,9,1),업무일지!$B$5:$B$1004,"&lt;"&amp;DATE($B$3,9+1,1),업무일지!$I$5:$I$1004,$A35,업무일지!$D$5:$D$1004,IF($E$30="전체","*",$E$30))+COUNTIFS(업무일지!$B$5:$B$1004,"&gt;="&amp;DATE($B$3,9,1),업무일지!$B$5:$B$1004,"&lt;"&amp;DATE($B$3,9+1,1),업무일지!$J$5:$J$1004,"*"&amp;$A35&amp;"*",업무일지!$D$5:$D$1004,IF($E$30="전체","*",$E$30)))</f>
        <v>0</v>
      </c>
      <c r="K35" s="23" t="n">
        <f aca="false">IF($A35="","",COUNTIFS(업무일지!$B$5:$B$1004,"&gt;="&amp;DATE($B$3,10,1),업무일지!$B$5:$B$1004,"&lt;"&amp;DATE($B$3,10+1,1),업무일지!$I$5:$I$1004,$A35,업무일지!$D$5:$D$1004,IF($E$30="전체","*",$E$30))+COUNTIFS(업무일지!$B$5:$B$1004,"&gt;="&amp;DATE($B$3,10,1),업무일지!$B$5:$B$1004,"&lt;"&amp;DATE($B$3,10+1,1),업무일지!$J$5:$J$1004,"*"&amp;$A35&amp;"*",업무일지!$D$5:$D$1004,IF($E$30="전체","*",$E$30)))</f>
        <v>0</v>
      </c>
      <c r="L35" s="23" t="n">
        <f aca="false">IF($A35="","",COUNTIFS(업무일지!$B$5:$B$1004,"&gt;="&amp;DATE($B$3,11,1),업무일지!$B$5:$B$1004,"&lt;"&amp;DATE($B$3,11+1,1),업무일지!$I$5:$I$1004,$A35,업무일지!$D$5:$D$1004,IF($E$30="전체","*",$E$30))+COUNTIFS(업무일지!$B$5:$B$1004,"&gt;="&amp;DATE($B$3,11,1),업무일지!$B$5:$B$1004,"&lt;"&amp;DATE($B$3,11+1,1),업무일지!$J$5:$J$1004,"*"&amp;$A35&amp;"*",업무일지!$D$5:$D$1004,IF($E$30="전체","*",$E$30)))</f>
        <v>0</v>
      </c>
      <c r="M35" s="23" t="n">
        <f aca="false">IF($A35="","",COUNTIFS(업무일지!$B$5:$B$1004,"&gt;="&amp;DATE($B$3,12,1),업무일지!$B$5:$B$1004,"&lt;"&amp;DATE($B$3,12+1,1),업무일지!$I$5:$I$1004,$A35,업무일지!$D$5:$D$1004,IF($E$30="전체","*",$E$30))+COUNTIFS(업무일지!$B$5:$B$1004,"&gt;="&amp;DATE($B$3,12,1),업무일지!$B$5:$B$1004,"&lt;"&amp;DATE($B$3,12+1,1),업무일지!$J$5:$J$1004,"*"&amp;$A35&amp;"*",업무일지!$D$5:$D$1004,IF($E$30="전체","*",$E$30)))</f>
        <v>0</v>
      </c>
      <c r="N35" s="23" t="n">
        <f aca="false">IF($A35="","",SUM(B35:M35))</f>
        <v>0</v>
      </c>
    </row>
    <row r="36" customFormat="false" ht="15" hidden="false" customHeight="false" outlineLevel="0" collapsed="false">
      <c r="A36" s="25" t="str">
        <f aca="false">IF($A11="","",$A11)</f>
        <v>정현장</v>
      </c>
      <c r="B36" s="26" t="n">
        <f aca="false">IF($A36="","",COUNTIFS(업무일지!$B$5:$B$1004,"&gt;="&amp;DATE($B$3,1,1),업무일지!$B$5:$B$1004,"&lt;"&amp;DATE($B$3,1+1,1),업무일지!$I$5:$I$1004,$A36,업무일지!$D$5:$D$1004,IF($E$30="전체","*",$E$30))+COUNTIFS(업무일지!$B$5:$B$1004,"&gt;="&amp;DATE($B$3,1,1),업무일지!$B$5:$B$1004,"&lt;"&amp;DATE($B$3,1+1,1),업무일지!$J$5:$J$1004,"*"&amp;$A36&amp;"*",업무일지!$D$5:$D$1004,IF($E$30="전체","*",$E$30)))</f>
        <v>0</v>
      </c>
      <c r="C36" s="26" t="n">
        <f aca="false">IF($A36="","",COUNTIFS(업무일지!$B$5:$B$1004,"&gt;="&amp;DATE($B$3,2,1),업무일지!$B$5:$B$1004,"&lt;"&amp;DATE($B$3,2+1,1),업무일지!$I$5:$I$1004,$A36,업무일지!$D$5:$D$1004,IF($E$30="전체","*",$E$30))+COUNTIFS(업무일지!$B$5:$B$1004,"&gt;="&amp;DATE($B$3,2,1),업무일지!$B$5:$B$1004,"&lt;"&amp;DATE($B$3,2+1,1),업무일지!$J$5:$J$1004,"*"&amp;$A36&amp;"*",업무일지!$D$5:$D$1004,IF($E$30="전체","*",$E$30)))</f>
        <v>0</v>
      </c>
      <c r="D36" s="26" t="n">
        <f aca="false">IF($A36="","",COUNTIFS(업무일지!$B$5:$B$1004,"&gt;="&amp;DATE($B$3,3,1),업무일지!$B$5:$B$1004,"&lt;"&amp;DATE($B$3,3+1,1),업무일지!$I$5:$I$1004,$A36,업무일지!$D$5:$D$1004,IF($E$30="전체","*",$E$30))+COUNTIFS(업무일지!$B$5:$B$1004,"&gt;="&amp;DATE($B$3,3,1),업무일지!$B$5:$B$1004,"&lt;"&amp;DATE($B$3,3+1,1),업무일지!$J$5:$J$1004,"*"&amp;$A36&amp;"*",업무일지!$D$5:$D$1004,IF($E$30="전체","*",$E$30)))</f>
        <v>0</v>
      </c>
      <c r="E36" s="26" t="n">
        <f aca="false">IF($A36="","",COUNTIFS(업무일지!$B$5:$B$1004,"&gt;="&amp;DATE($B$3,4,1),업무일지!$B$5:$B$1004,"&lt;"&amp;DATE($B$3,4+1,1),업무일지!$I$5:$I$1004,$A36,업무일지!$D$5:$D$1004,IF($E$30="전체","*",$E$30))+COUNTIFS(업무일지!$B$5:$B$1004,"&gt;="&amp;DATE($B$3,4,1),업무일지!$B$5:$B$1004,"&lt;"&amp;DATE($B$3,4+1,1),업무일지!$J$5:$J$1004,"*"&amp;$A36&amp;"*",업무일지!$D$5:$D$1004,IF($E$30="전체","*",$E$30)))</f>
        <v>0</v>
      </c>
      <c r="F36" s="26" t="n">
        <f aca="false">IF($A36="","",COUNTIFS(업무일지!$B$5:$B$1004,"&gt;="&amp;DATE($B$3,5,1),업무일지!$B$5:$B$1004,"&lt;"&amp;DATE($B$3,5+1,1),업무일지!$I$5:$I$1004,$A36,업무일지!$D$5:$D$1004,IF($E$30="전체","*",$E$30))+COUNTIFS(업무일지!$B$5:$B$1004,"&gt;="&amp;DATE($B$3,5,1),업무일지!$B$5:$B$1004,"&lt;"&amp;DATE($B$3,5+1,1),업무일지!$J$5:$J$1004,"*"&amp;$A36&amp;"*",업무일지!$D$5:$D$1004,IF($E$30="전체","*",$E$30)))</f>
        <v>0</v>
      </c>
      <c r="G36" s="26" t="n">
        <f aca="false">IF($A36="","",COUNTIFS(업무일지!$B$5:$B$1004,"&gt;="&amp;DATE($B$3,6,1),업무일지!$B$5:$B$1004,"&lt;"&amp;DATE($B$3,6+1,1),업무일지!$I$5:$I$1004,$A36,업무일지!$D$5:$D$1004,IF($E$30="전체","*",$E$30))+COUNTIFS(업무일지!$B$5:$B$1004,"&gt;="&amp;DATE($B$3,6,1),업무일지!$B$5:$B$1004,"&lt;"&amp;DATE($B$3,6+1,1),업무일지!$J$5:$J$1004,"*"&amp;$A36&amp;"*",업무일지!$D$5:$D$1004,IF($E$30="전체","*",$E$30)))</f>
        <v>0</v>
      </c>
      <c r="H36" s="26" t="n">
        <f aca="false">IF($A36="","",COUNTIFS(업무일지!$B$5:$B$1004,"&gt;="&amp;DATE($B$3,7,1),업무일지!$B$5:$B$1004,"&lt;"&amp;DATE($B$3,7+1,1),업무일지!$I$5:$I$1004,$A36,업무일지!$D$5:$D$1004,IF($E$30="전체","*",$E$30))+COUNTIFS(업무일지!$B$5:$B$1004,"&gt;="&amp;DATE($B$3,7,1),업무일지!$B$5:$B$1004,"&lt;"&amp;DATE($B$3,7+1,1),업무일지!$J$5:$J$1004,"*"&amp;$A36&amp;"*",업무일지!$D$5:$D$1004,IF($E$30="전체","*",$E$30)))</f>
        <v>0</v>
      </c>
      <c r="I36" s="26" t="n">
        <f aca="false">IF($A36="","",COUNTIFS(업무일지!$B$5:$B$1004,"&gt;="&amp;DATE($B$3,8,1),업무일지!$B$5:$B$1004,"&lt;"&amp;DATE($B$3,8+1,1),업무일지!$I$5:$I$1004,$A36,업무일지!$D$5:$D$1004,IF($E$30="전체","*",$E$30))+COUNTIFS(업무일지!$B$5:$B$1004,"&gt;="&amp;DATE($B$3,8,1),업무일지!$B$5:$B$1004,"&lt;"&amp;DATE($B$3,8+1,1),업무일지!$J$5:$J$1004,"*"&amp;$A36&amp;"*",업무일지!$D$5:$D$1004,IF($E$30="전체","*",$E$30)))</f>
        <v>0</v>
      </c>
      <c r="J36" s="26" t="n">
        <f aca="false">IF($A36="","",COUNTIFS(업무일지!$B$5:$B$1004,"&gt;="&amp;DATE($B$3,9,1),업무일지!$B$5:$B$1004,"&lt;"&amp;DATE($B$3,9+1,1),업무일지!$I$5:$I$1004,$A36,업무일지!$D$5:$D$1004,IF($E$30="전체","*",$E$30))+COUNTIFS(업무일지!$B$5:$B$1004,"&gt;="&amp;DATE($B$3,9,1),업무일지!$B$5:$B$1004,"&lt;"&amp;DATE($B$3,9+1,1),업무일지!$J$5:$J$1004,"*"&amp;$A36&amp;"*",업무일지!$D$5:$D$1004,IF($E$30="전체","*",$E$30)))</f>
        <v>0</v>
      </c>
      <c r="K36" s="26" t="n">
        <f aca="false">IF($A36="","",COUNTIFS(업무일지!$B$5:$B$1004,"&gt;="&amp;DATE($B$3,10,1),업무일지!$B$5:$B$1004,"&lt;"&amp;DATE($B$3,10+1,1),업무일지!$I$5:$I$1004,$A36,업무일지!$D$5:$D$1004,IF($E$30="전체","*",$E$30))+COUNTIFS(업무일지!$B$5:$B$1004,"&gt;="&amp;DATE($B$3,10,1),업무일지!$B$5:$B$1004,"&lt;"&amp;DATE($B$3,10+1,1),업무일지!$J$5:$J$1004,"*"&amp;$A36&amp;"*",업무일지!$D$5:$D$1004,IF($E$30="전체","*",$E$30)))</f>
        <v>0</v>
      </c>
      <c r="L36" s="26" t="n">
        <f aca="false">IF($A36="","",COUNTIFS(업무일지!$B$5:$B$1004,"&gt;="&amp;DATE($B$3,11,1),업무일지!$B$5:$B$1004,"&lt;"&amp;DATE($B$3,11+1,1),업무일지!$I$5:$I$1004,$A36,업무일지!$D$5:$D$1004,IF($E$30="전체","*",$E$30))+COUNTIFS(업무일지!$B$5:$B$1004,"&gt;="&amp;DATE($B$3,11,1),업무일지!$B$5:$B$1004,"&lt;"&amp;DATE($B$3,11+1,1),업무일지!$J$5:$J$1004,"*"&amp;$A36&amp;"*",업무일지!$D$5:$D$1004,IF($E$30="전체","*",$E$30)))</f>
        <v>0</v>
      </c>
      <c r="M36" s="26" t="n">
        <f aca="false">IF($A36="","",COUNTIFS(업무일지!$B$5:$B$1004,"&gt;="&amp;DATE($B$3,12,1),업무일지!$B$5:$B$1004,"&lt;"&amp;DATE($B$3,12+1,1),업무일지!$I$5:$I$1004,$A36,업무일지!$D$5:$D$1004,IF($E$30="전체","*",$E$30))+COUNTIFS(업무일지!$B$5:$B$1004,"&gt;="&amp;DATE($B$3,12,1),업무일지!$B$5:$B$1004,"&lt;"&amp;DATE($B$3,12+1,1),업무일지!$J$5:$J$1004,"*"&amp;$A36&amp;"*",업무일지!$D$5:$D$1004,IF($E$30="전체","*",$E$30)))</f>
        <v>0</v>
      </c>
      <c r="N36" s="26" t="n">
        <f aca="false">IF($A36="","",SUM(B36:M36))</f>
        <v>0</v>
      </c>
    </row>
    <row r="37" customFormat="false" ht="15" hidden="false" customHeight="false" outlineLevel="0" collapsed="false">
      <c r="A37" s="22" t="str">
        <f aca="false">IF($A12="","",$A12)</f>
        <v/>
      </c>
      <c r="B37" s="23" t="str">
        <f aca="false">IF($A37="","",COUNTIFS(업무일지!$B$5:$B$1004,"&gt;="&amp;DATE($B$3,1,1),업무일지!$B$5:$B$1004,"&lt;"&amp;DATE($B$3,1+1,1),업무일지!$I$5:$I$1004,$A37,업무일지!$D$5:$D$1004,IF($E$30="전체","*",$E$30))+COUNTIFS(업무일지!$B$5:$B$1004,"&gt;="&amp;DATE($B$3,1,1),업무일지!$B$5:$B$1004,"&lt;"&amp;DATE($B$3,1+1,1),업무일지!$J$5:$J$1004,"*"&amp;$A37&amp;"*",업무일지!$D$5:$D$1004,IF($E$30="전체","*",$E$30)))</f>
        <v/>
      </c>
      <c r="C37" s="23" t="str">
        <f aca="false">IF($A37="","",COUNTIFS(업무일지!$B$5:$B$1004,"&gt;="&amp;DATE($B$3,2,1),업무일지!$B$5:$B$1004,"&lt;"&amp;DATE($B$3,2+1,1),업무일지!$I$5:$I$1004,$A37,업무일지!$D$5:$D$1004,IF($E$30="전체","*",$E$30))+COUNTIFS(업무일지!$B$5:$B$1004,"&gt;="&amp;DATE($B$3,2,1),업무일지!$B$5:$B$1004,"&lt;"&amp;DATE($B$3,2+1,1),업무일지!$J$5:$J$1004,"*"&amp;$A37&amp;"*",업무일지!$D$5:$D$1004,IF($E$30="전체","*",$E$30)))</f>
        <v/>
      </c>
      <c r="D37" s="23" t="str">
        <f aca="false">IF($A37="","",COUNTIFS(업무일지!$B$5:$B$1004,"&gt;="&amp;DATE($B$3,3,1),업무일지!$B$5:$B$1004,"&lt;"&amp;DATE($B$3,3+1,1),업무일지!$I$5:$I$1004,$A37,업무일지!$D$5:$D$1004,IF($E$30="전체","*",$E$30))+COUNTIFS(업무일지!$B$5:$B$1004,"&gt;="&amp;DATE($B$3,3,1),업무일지!$B$5:$B$1004,"&lt;"&amp;DATE($B$3,3+1,1),업무일지!$J$5:$J$1004,"*"&amp;$A37&amp;"*",업무일지!$D$5:$D$1004,IF($E$30="전체","*",$E$30)))</f>
        <v/>
      </c>
      <c r="E37" s="23" t="str">
        <f aca="false">IF($A37="","",COUNTIFS(업무일지!$B$5:$B$1004,"&gt;="&amp;DATE($B$3,4,1),업무일지!$B$5:$B$1004,"&lt;"&amp;DATE($B$3,4+1,1),업무일지!$I$5:$I$1004,$A37,업무일지!$D$5:$D$1004,IF($E$30="전체","*",$E$30))+COUNTIFS(업무일지!$B$5:$B$1004,"&gt;="&amp;DATE($B$3,4,1),업무일지!$B$5:$B$1004,"&lt;"&amp;DATE($B$3,4+1,1),업무일지!$J$5:$J$1004,"*"&amp;$A37&amp;"*",업무일지!$D$5:$D$1004,IF($E$30="전체","*",$E$30)))</f>
        <v/>
      </c>
      <c r="F37" s="23" t="str">
        <f aca="false">IF($A37="","",COUNTIFS(업무일지!$B$5:$B$1004,"&gt;="&amp;DATE($B$3,5,1),업무일지!$B$5:$B$1004,"&lt;"&amp;DATE($B$3,5+1,1),업무일지!$I$5:$I$1004,$A37,업무일지!$D$5:$D$1004,IF($E$30="전체","*",$E$30))+COUNTIFS(업무일지!$B$5:$B$1004,"&gt;="&amp;DATE($B$3,5,1),업무일지!$B$5:$B$1004,"&lt;"&amp;DATE($B$3,5+1,1),업무일지!$J$5:$J$1004,"*"&amp;$A37&amp;"*",업무일지!$D$5:$D$1004,IF($E$30="전체","*",$E$30)))</f>
        <v/>
      </c>
      <c r="G37" s="23" t="str">
        <f aca="false">IF($A37="","",COUNTIFS(업무일지!$B$5:$B$1004,"&gt;="&amp;DATE($B$3,6,1),업무일지!$B$5:$B$1004,"&lt;"&amp;DATE($B$3,6+1,1),업무일지!$I$5:$I$1004,$A37,업무일지!$D$5:$D$1004,IF($E$30="전체","*",$E$30))+COUNTIFS(업무일지!$B$5:$B$1004,"&gt;="&amp;DATE($B$3,6,1),업무일지!$B$5:$B$1004,"&lt;"&amp;DATE($B$3,6+1,1),업무일지!$J$5:$J$1004,"*"&amp;$A37&amp;"*",업무일지!$D$5:$D$1004,IF($E$30="전체","*",$E$30)))</f>
        <v/>
      </c>
      <c r="H37" s="23" t="str">
        <f aca="false">IF($A37="","",COUNTIFS(업무일지!$B$5:$B$1004,"&gt;="&amp;DATE($B$3,7,1),업무일지!$B$5:$B$1004,"&lt;"&amp;DATE($B$3,7+1,1),업무일지!$I$5:$I$1004,$A37,업무일지!$D$5:$D$1004,IF($E$30="전체","*",$E$30))+COUNTIFS(업무일지!$B$5:$B$1004,"&gt;="&amp;DATE($B$3,7,1),업무일지!$B$5:$B$1004,"&lt;"&amp;DATE($B$3,7+1,1),업무일지!$J$5:$J$1004,"*"&amp;$A37&amp;"*",업무일지!$D$5:$D$1004,IF($E$30="전체","*",$E$30)))</f>
        <v/>
      </c>
      <c r="I37" s="23" t="str">
        <f aca="false">IF($A37="","",COUNTIFS(업무일지!$B$5:$B$1004,"&gt;="&amp;DATE($B$3,8,1),업무일지!$B$5:$B$1004,"&lt;"&amp;DATE($B$3,8+1,1),업무일지!$I$5:$I$1004,$A37,업무일지!$D$5:$D$1004,IF($E$30="전체","*",$E$30))+COUNTIFS(업무일지!$B$5:$B$1004,"&gt;="&amp;DATE($B$3,8,1),업무일지!$B$5:$B$1004,"&lt;"&amp;DATE($B$3,8+1,1),업무일지!$J$5:$J$1004,"*"&amp;$A37&amp;"*",업무일지!$D$5:$D$1004,IF($E$30="전체","*",$E$30)))</f>
        <v/>
      </c>
      <c r="J37" s="23" t="str">
        <f aca="false">IF($A37="","",COUNTIFS(업무일지!$B$5:$B$1004,"&gt;="&amp;DATE($B$3,9,1),업무일지!$B$5:$B$1004,"&lt;"&amp;DATE($B$3,9+1,1),업무일지!$I$5:$I$1004,$A37,업무일지!$D$5:$D$1004,IF($E$30="전체","*",$E$30))+COUNTIFS(업무일지!$B$5:$B$1004,"&gt;="&amp;DATE($B$3,9,1),업무일지!$B$5:$B$1004,"&lt;"&amp;DATE($B$3,9+1,1),업무일지!$J$5:$J$1004,"*"&amp;$A37&amp;"*",업무일지!$D$5:$D$1004,IF($E$30="전체","*",$E$30)))</f>
        <v/>
      </c>
      <c r="K37" s="23" t="str">
        <f aca="false">IF($A37="","",COUNTIFS(업무일지!$B$5:$B$1004,"&gt;="&amp;DATE($B$3,10,1),업무일지!$B$5:$B$1004,"&lt;"&amp;DATE($B$3,10+1,1),업무일지!$I$5:$I$1004,$A37,업무일지!$D$5:$D$1004,IF($E$30="전체","*",$E$30))+COUNTIFS(업무일지!$B$5:$B$1004,"&gt;="&amp;DATE($B$3,10,1),업무일지!$B$5:$B$1004,"&lt;"&amp;DATE($B$3,10+1,1),업무일지!$J$5:$J$1004,"*"&amp;$A37&amp;"*",업무일지!$D$5:$D$1004,IF($E$30="전체","*",$E$30)))</f>
        <v/>
      </c>
      <c r="L37" s="23" t="str">
        <f aca="false">IF($A37="","",COUNTIFS(업무일지!$B$5:$B$1004,"&gt;="&amp;DATE($B$3,11,1),업무일지!$B$5:$B$1004,"&lt;"&amp;DATE($B$3,11+1,1),업무일지!$I$5:$I$1004,$A37,업무일지!$D$5:$D$1004,IF($E$30="전체","*",$E$30))+COUNTIFS(업무일지!$B$5:$B$1004,"&gt;="&amp;DATE($B$3,11,1),업무일지!$B$5:$B$1004,"&lt;"&amp;DATE($B$3,11+1,1),업무일지!$J$5:$J$1004,"*"&amp;$A37&amp;"*",업무일지!$D$5:$D$1004,IF($E$30="전체","*",$E$30)))</f>
        <v/>
      </c>
      <c r="M37" s="23" t="str">
        <f aca="false">IF($A37="","",COUNTIFS(업무일지!$B$5:$B$1004,"&gt;="&amp;DATE($B$3,12,1),업무일지!$B$5:$B$1004,"&lt;"&amp;DATE($B$3,12+1,1),업무일지!$I$5:$I$1004,$A37,업무일지!$D$5:$D$1004,IF($E$30="전체","*",$E$30))+COUNTIFS(업무일지!$B$5:$B$1004,"&gt;="&amp;DATE($B$3,12,1),업무일지!$B$5:$B$1004,"&lt;"&amp;DATE($B$3,12+1,1),업무일지!$J$5:$J$1004,"*"&amp;$A37&amp;"*",업무일지!$D$5:$D$1004,IF($E$30="전체","*",$E$30)))</f>
        <v/>
      </c>
      <c r="N37" s="23" t="str">
        <f aca="false">IF($A37="","",SUM(B37:M37))</f>
        <v/>
      </c>
    </row>
    <row r="38" customFormat="false" ht="15" hidden="false" customHeight="false" outlineLevel="0" collapsed="false">
      <c r="A38" s="25" t="str">
        <f aca="false">IF($A13="","",$A13)</f>
        <v/>
      </c>
      <c r="B38" s="26" t="str">
        <f aca="false">IF($A38="","",COUNTIFS(업무일지!$B$5:$B$1004,"&gt;="&amp;DATE($B$3,1,1),업무일지!$B$5:$B$1004,"&lt;"&amp;DATE($B$3,1+1,1),업무일지!$I$5:$I$1004,$A38,업무일지!$D$5:$D$1004,IF($E$30="전체","*",$E$30))+COUNTIFS(업무일지!$B$5:$B$1004,"&gt;="&amp;DATE($B$3,1,1),업무일지!$B$5:$B$1004,"&lt;"&amp;DATE($B$3,1+1,1),업무일지!$J$5:$J$1004,"*"&amp;$A38&amp;"*",업무일지!$D$5:$D$1004,IF($E$30="전체","*",$E$30)))</f>
        <v/>
      </c>
      <c r="C38" s="26" t="str">
        <f aca="false">IF($A38="","",COUNTIFS(업무일지!$B$5:$B$1004,"&gt;="&amp;DATE($B$3,2,1),업무일지!$B$5:$B$1004,"&lt;"&amp;DATE($B$3,2+1,1),업무일지!$I$5:$I$1004,$A38,업무일지!$D$5:$D$1004,IF($E$30="전체","*",$E$30))+COUNTIFS(업무일지!$B$5:$B$1004,"&gt;="&amp;DATE($B$3,2,1),업무일지!$B$5:$B$1004,"&lt;"&amp;DATE($B$3,2+1,1),업무일지!$J$5:$J$1004,"*"&amp;$A38&amp;"*",업무일지!$D$5:$D$1004,IF($E$30="전체","*",$E$30)))</f>
        <v/>
      </c>
      <c r="D38" s="26" t="str">
        <f aca="false">IF($A38="","",COUNTIFS(업무일지!$B$5:$B$1004,"&gt;="&amp;DATE($B$3,3,1),업무일지!$B$5:$B$1004,"&lt;"&amp;DATE($B$3,3+1,1),업무일지!$I$5:$I$1004,$A38,업무일지!$D$5:$D$1004,IF($E$30="전체","*",$E$30))+COUNTIFS(업무일지!$B$5:$B$1004,"&gt;="&amp;DATE($B$3,3,1),업무일지!$B$5:$B$1004,"&lt;"&amp;DATE($B$3,3+1,1),업무일지!$J$5:$J$1004,"*"&amp;$A38&amp;"*",업무일지!$D$5:$D$1004,IF($E$30="전체","*",$E$30)))</f>
        <v/>
      </c>
      <c r="E38" s="26" t="str">
        <f aca="false">IF($A38="","",COUNTIFS(업무일지!$B$5:$B$1004,"&gt;="&amp;DATE($B$3,4,1),업무일지!$B$5:$B$1004,"&lt;"&amp;DATE($B$3,4+1,1),업무일지!$I$5:$I$1004,$A38,업무일지!$D$5:$D$1004,IF($E$30="전체","*",$E$30))+COUNTIFS(업무일지!$B$5:$B$1004,"&gt;="&amp;DATE($B$3,4,1),업무일지!$B$5:$B$1004,"&lt;"&amp;DATE($B$3,4+1,1),업무일지!$J$5:$J$1004,"*"&amp;$A38&amp;"*",업무일지!$D$5:$D$1004,IF($E$30="전체","*",$E$30)))</f>
        <v/>
      </c>
      <c r="F38" s="26" t="str">
        <f aca="false">IF($A38="","",COUNTIFS(업무일지!$B$5:$B$1004,"&gt;="&amp;DATE($B$3,5,1),업무일지!$B$5:$B$1004,"&lt;"&amp;DATE($B$3,5+1,1),업무일지!$I$5:$I$1004,$A38,업무일지!$D$5:$D$1004,IF($E$30="전체","*",$E$30))+COUNTIFS(업무일지!$B$5:$B$1004,"&gt;="&amp;DATE($B$3,5,1),업무일지!$B$5:$B$1004,"&lt;"&amp;DATE($B$3,5+1,1),업무일지!$J$5:$J$1004,"*"&amp;$A38&amp;"*",업무일지!$D$5:$D$1004,IF($E$30="전체","*",$E$30)))</f>
        <v/>
      </c>
      <c r="G38" s="26" t="str">
        <f aca="false">IF($A38="","",COUNTIFS(업무일지!$B$5:$B$1004,"&gt;="&amp;DATE($B$3,6,1),업무일지!$B$5:$B$1004,"&lt;"&amp;DATE($B$3,6+1,1),업무일지!$I$5:$I$1004,$A38,업무일지!$D$5:$D$1004,IF($E$30="전체","*",$E$30))+COUNTIFS(업무일지!$B$5:$B$1004,"&gt;="&amp;DATE($B$3,6,1),업무일지!$B$5:$B$1004,"&lt;"&amp;DATE($B$3,6+1,1),업무일지!$J$5:$J$1004,"*"&amp;$A38&amp;"*",업무일지!$D$5:$D$1004,IF($E$30="전체","*",$E$30)))</f>
        <v/>
      </c>
      <c r="H38" s="26" t="str">
        <f aca="false">IF($A38="","",COUNTIFS(업무일지!$B$5:$B$1004,"&gt;="&amp;DATE($B$3,7,1),업무일지!$B$5:$B$1004,"&lt;"&amp;DATE($B$3,7+1,1),업무일지!$I$5:$I$1004,$A38,업무일지!$D$5:$D$1004,IF($E$30="전체","*",$E$30))+COUNTIFS(업무일지!$B$5:$B$1004,"&gt;="&amp;DATE($B$3,7,1),업무일지!$B$5:$B$1004,"&lt;"&amp;DATE($B$3,7+1,1),업무일지!$J$5:$J$1004,"*"&amp;$A38&amp;"*",업무일지!$D$5:$D$1004,IF($E$30="전체","*",$E$30)))</f>
        <v/>
      </c>
      <c r="I38" s="26" t="str">
        <f aca="false">IF($A38="","",COUNTIFS(업무일지!$B$5:$B$1004,"&gt;="&amp;DATE($B$3,8,1),업무일지!$B$5:$B$1004,"&lt;"&amp;DATE($B$3,8+1,1),업무일지!$I$5:$I$1004,$A38,업무일지!$D$5:$D$1004,IF($E$30="전체","*",$E$30))+COUNTIFS(업무일지!$B$5:$B$1004,"&gt;="&amp;DATE($B$3,8,1),업무일지!$B$5:$B$1004,"&lt;"&amp;DATE($B$3,8+1,1),업무일지!$J$5:$J$1004,"*"&amp;$A38&amp;"*",업무일지!$D$5:$D$1004,IF($E$30="전체","*",$E$30)))</f>
        <v/>
      </c>
      <c r="J38" s="26" t="str">
        <f aca="false">IF($A38="","",COUNTIFS(업무일지!$B$5:$B$1004,"&gt;="&amp;DATE($B$3,9,1),업무일지!$B$5:$B$1004,"&lt;"&amp;DATE($B$3,9+1,1),업무일지!$I$5:$I$1004,$A38,업무일지!$D$5:$D$1004,IF($E$30="전체","*",$E$30))+COUNTIFS(업무일지!$B$5:$B$1004,"&gt;="&amp;DATE($B$3,9,1),업무일지!$B$5:$B$1004,"&lt;"&amp;DATE($B$3,9+1,1),업무일지!$J$5:$J$1004,"*"&amp;$A38&amp;"*",업무일지!$D$5:$D$1004,IF($E$30="전체","*",$E$30)))</f>
        <v/>
      </c>
      <c r="K38" s="26" t="str">
        <f aca="false">IF($A38="","",COUNTIFS(업무일지!$B$5:$B$1004,"&gt;="&amp;DATE($B$3,10,1),업무일지!$B$5:$B$1004,"&lt;"&amp;DATE($B$3,10+1,1),업무일지!$I$5:$I$1004,$A38,업무일지!$D$5:$D$1004,IF($E$30="전체","*",$E$30))+COUNTIFS(업무일지!$B$5:$B$1004,"&gt;="&amp;DATE($B$3,10,1),업무일지!$B$5:$B$1004,"&lt;"&amp;DATE($B$3,10+1,1),업무일지!$J$5:$J$1004,"*"&amp;$A38&amp;"*",업무일지!$D$5:$D$1004,IF($E$30="전체","*",$E$30)))</f>
        <v/>
      </c>
      <c r="L38" s="26" t="str">
        <f aca="false">IF($A38="","",COUNTIFS(업무일지!$B$5:$B$1004,"&gt;="&amp;DATE($B$3,11,1),업무일지!$B$5:$B$1004,"&lt;"&amp;DATE($B$3,11+1,1),업무일지!$I$5:$I$1004,$A38,업무일지!$D$5:$D$1004,IF($E$30="전체","*",$E$30))+COUNTIFS(업무일지!$B$5:$B$1004,"&gt;="&amp;DATE($B$3,11,1),업무일지!$B$5:$B$1004,"&lt;"&amp;DATE($B$3,11+1,1),업무일지!$J$5:$J$1004,"*"&amp;$A38&amp;"*",업무일지!$D$5:$D$1004,IF($E$30="전체","*",$E$30)))</f>
        <v/>
      </c>
      <c r="M38" s="26" t="str">
        <f aca="false">IF($A38="","",COUNTIFS(업무일지!$B$5:$B$1004,"&gt;="&amp;DATE($B$3,12,1),업무일지!$B$5:$B$1004,"&lt;"&amp;DATE($B$3,12+1,1),업무일지!$I$5:$I$1004,$A38,업무일지!$D$5:$D$1004,IF($E$30="전체","*",$E$30))+COUNTIFS(업무일지!$B$5:$B$1004,"&gt;="&amp;DATE($B$3,12,1),업무일지!$B$5:$B$1004,"&lt;"&amp;DATE($B$3,12+1,1),업무일지!$J$5:$J$1004,"*"&amp;$A38&amp;"*",업무일지!$D$5:$D$1004,IF($E$30="전체","*",$E$30)))</f>
        <v/>
      </c>
      <c r="N38" s="26" t="str">
        <f aca="false">IF($A38="","",SUM(B38:M38))</f>
        <v/>
      </c>
    </row>
    <row r="39" customFormat="false" ht="15" hidden="false" customHeight="false" outlineLevel="0" collapsed="false">
      <c r="A39" s="22" t="str">
        <f aca="false">IF($A14="","",$A14)</f>
        <v/>
      </c>
      <c r="B39" s="23" t="str">
        <f aca="false">IF($A39="","",COUNTIFS(업무일지!$B$5:$B$1004,"&gt;="&amp;DATE($B$3,1,1),업무일지!$B$5:$B$1004,"&lt;"&amp;DATE($B$3,1+1,1),업무일지!$I$5:$I$1004,$A39,업무일지!$D$5:$D$1004,IF($E$30="전체","*",$E$30))+COUNTIFS(업무일지!$B$5:$B$1004,"&gt;="&amp;DATE($B$3,1,1),업무일지!$B$5:$B$1004,"&lt;"&amp;DATE($B$3,1+1,1),업무일지!$J$5:$J$1004,"*"&amp;$A39&amp;"*",업무일지!$D$5:$D$1004,IF($E$30="전체","*",$E$30)))</f>
        <v/>
      </c>
      <c r="C39" s="23" t="str">
        <f aca="false">IF($A39="","",COUNTIFS(업무일지!$B$5:$B$1004,"&gt;="&amp;DATE($B$3,2,1),업무일지!$B$5:$B$1004,"&lt;"&amp;DATE($B$3,2+1,1),업무일지!$I$5:$I$1004,$A39,업무일지!$D$5:$D$1004,IF($E$30="전체","*",$E$30))+COUNTIFS(업무일지!$B$5:$B$1004,"&gt;="&amp;DATE($B$3,2,1),업무일지!$B$5:$B$1004,"&lt;"&amp;DATE($B$3,2+1,1),업무일지!$J$5:$J$1004,"*"&amp;$A39&amp;"*",업무일지!$D$5:$D$1004,IF($E$30="전체","*",$E$30)))</f>
        <v/>
      </c>
      <c r="D39" s="23" t="str">
        <f aca="false">IF($A39="","",COUNTIFS(업무일지!$B$5:$B$1004,"&gt;="&amp;DATE($B$3,3,1),업무일지!$B$5:$B$1004,"&lt;"&amp;DATE($B$3,3+1,1),업무일지!$I$5:$I$1004,$A39,업무일지!$D$5:$D$1004,IF($E$30="전체","*",$E$30))+COUNTIFS(업무일지!$B$5:$B$1004,"&gt;="&amp;DATE($B$3,3,1),업무일지!$B$5:$B$1004,"&lt;"&amp;DATE($B$3,3+1,1),업무일지!$J$5:$J$1004,"*"&amp;$A39&amp;"*",업무일지!$D$5:$D$1004,IF($E$30="전체","*",$E$30)))</f>
        <v/>
      </c>
      <c r="E39" s="23" t="str">
        <f aca="false">IF($A39="","",COUNTIFS(업무일지!$B$5:$B$1004,"&gt;="&amp;DATE($B$3,4,1),업무일지!$B$5:$B$1004,"&lt;"&amp;DATE($B$3,4+1,1),업무일지!$I$5:$I$1004,$A39,업무일지!$D$5:$D$1004,IF($E$30="전체","*",$E$30))+COUNTIFS(업무일지!$B$5:$B$1004,"&gt;="&amp;DATE($B$3,4,1),업무일지!$B$5:$B$1004,"&lt;"&amp;DATE($B$3,4+1,1),업무일지!$J$5:$J$1004,"*"&amp;$A39&amp;"*",업무일지!$D$5:$D$1004,IF($E$30="전체","*",$E$30)))</f>
        <v/>
      </c>
      <c r="F39" s="23" t="str">
        <f aca="false">IF($A39="","",COUNTIFS(업무일지!$B$5:$B$1004,"&gt;="&amp;DATE($B$3,5,1),업무일지!$B$5:$B$1004,"&lt;"&amp;DATE($B$3,5+1,1),업무일지!$I$5:$I$1004,$A39,업무일지!$D$5:$D$1004,IF($E$30="전체","*",$E$30))+COUNTIFS(업무일지!$B$5:$B$1004,"&gt;="&amp;DATE($B$3,5,1),업무일지!$B$5:$B$1004,"&lt;"&amp;DATE($B$3,5+1,1),업무일지!$J$5:$J$1004,"*"&amp;$A39&amp;"*",업무일지!$D$5:$D$1004,IF($E$30="전체","*",$E$30)))</f>
        <v/>
      </c>
      <c r="G39" s="23" t="str">
        <f aca="false">IF($A39="","",COUNTIFS(업무일지!$B$5:$B$1004,"&gt;="&amp;DATE($B$3,6,1),업무일지!$B$5:$B$1004,"&lt;"&amp;DATE($B$3,6+1,1),업무일지!$I$5:$I$1004,$A39,업무일지!$D$5:$D$1004,IF($E$30="전체","*",$E$30))+COUNTIFS(업무일지!$B$5:$B$1004,"&gt;="&amp;DATE($B$3,6,1),업무일지!$B$5:$B$1004,"&lt;"&amp;DATE($B$3,6+1,1),업무일지!$J$5:$J$1004,"*"&amp;$A39&amp;"*",업무일지!$D$5:$D$1004,IF($E$30="전체","*",$E$30)))</f>
        <v/>
      </c>
      <c r="H39" s="23" t="str">
        <f aca="false">IF($A39="","",COUNTIFS(업무일지!$B$5:$B$1004,"&gt;="&amp;DATE($B$3,7,1),업무일지!$B$5:$B$1004,"&lt;"&amp;DATE($B$3,7+1,1),업무일지!$I$5:$I$1004,$A39,업무일지!$D$5:$D$1004,IF($E$30="전체","*",$E$30))+COUNTIFS(업무일지!$B$5:$B$1004,"&gt;="&amp;DATE($B$3,7,1),업무일지!$B$5:$B$1004,"&lt;"&amp;DATE($B$3,7+1,1),업무일지!$J$5:$J$1004,"*"&amp;$A39&amp;"*",업무일지!$D$5:$D$1004,IF($E$30="전체","*",$E$30)))</f>
        <v/>
      </c>
      <c r="I39" s="23" t="str">
        <f aca="false">IF($A39="","",COUNTIFS(업무일지!$B$5:$B$1004,"&gt;="&amp;DATE($B$3,8,1),업무일지!$B$5:$B$1004,"&lt;"&amp;DATE($B$3,8+1,1),업무일지!$I$5:$I$1004,$A39,업무일지!$D$5:$D$1004,IF($E$30="전체","*",$E$30))+COUNTIFS(업무일지!$B$5:$B$1004,"&gt;="&amp;DATE($B$3,8,1),업무일지!$B$5:$B$1004,"&lt;"&amp;DATE($B$3,8+1,1),업무일지!$J$5:$J$1004,"*"&amp;$A39&amp;"*",업무일지!$D$5:$D$1004,IF($E$30="전체","*",$E$30)))</f>
        <v/>
      </c>
      <c r="J39" s="23" t="str">
        <f aca="false">IF($A39="","",COUNTIFS(업무일지!$B$5:$B$1004,"&gt;="&amp;DATE($B$3,9,1),업무일지!$B$5:$B$1004,"&lt;"&amp;DATE($B$3,9+1,1),업무일지!$I$5:$I$1004,$A39,업무일지!$D$5:$D$1004,IF($E$30="전체","*",$E$30))+COUNTIFS(업무일지!$B$5:$B$1004,"&gt;="&amp;DATE($B$3,9,1),업무일지!$B$5:$B$1004,"&lt;"&amp;DATE($B$3,9+1,1),업무일지!$J$5:$J$1004,"*"&amp;$A39&amp;"*",업무일지!$D$5:$D$1004,IF($E$30="전체","*",$E$30)))</f>
        <v/>
      </c>
      <c r="K39" s="23" t="str">
        <f aca="false">IF($A39="","",COUNTIFS(업무일지!$B$5:$B$1004,"&gt;="&amp;DATE($B$3,10,1),업무일지!$B$5:$B$1004,"&lt;"&amp;DATE($B$3,10+1,1),업무일지!$I$5:$I$1004,$A39,업무일지!$D$5:$D$1004,IF($E$30="전체","*",$E$30))+COUNTIFS(업무일지!$B$5:$B$1004,"&gt;="&amp;DATE($B$3,10,1),업무일지!$B$5:$B$1004,"&lt;"&amp;DATE($B$3,10+1,1),업무일지!$J$5:$J$1004,"*"&amp;$A39&amp;"*",업무일지!$D$5:$D$1004,IF($E$30="전체","*",$E$30)))</f>
        <v/>
      </c>
      <c r="L39" s="23" t="str">
        <f aca="false">IF($A39="","",COUNTIFS(업무일지!$B$5:$B$1004,"&gt;="&amp;DATE($B$3,11,1),업무일지!$B$5:$B$1004,"&lt;"&amp;DATE($B$3,11+1,1),업무일지!$I$5:$I$1004,$A39,업무일지!$D$5:$D$1004,IF($E$30="전체","*",$E$30))+COUNTIFS(업무일지!$B$5:$B$1004,"&gt;="&amp;DATE($B$3,11,1),업무일지!$B$5:$B$1004,"&lt;"&amp;DATE($B$3,11+1,1),업무일지!$J$5:$J$1004,"*"&amp;$A39&amp;"*",업무일지!$D$5:$D$1004,IF($E$30="전체","*",$E$30)))</f>
        <v/>
      </c>
      <c r="M39" s="23" t="str">
        <f aca="false">IF($A39="","",COUNTIFS(업무일지!$B$5:$B$1004,"&gt;="&amp;DATE($B$3,12,1),업무일지!$B$5:$B$1004,"&lt;"&amp;DATE($B$3,12+1,1),업무일지!$I$5:$I$1004,$A39,업무일지!$D$5:$D$1004,IF($E$30="전체","*",$E$30))+COUNTIFS(업무일지!$B$5:$B$1004,"&gt;="&amp;DATE($B$3,12,1),업무일지!$B$5:$B$1004,"&lt;"&amp;DATE($B$3,12+1,1),업무일지!$J$5:$J$1004,"*"&amp;$A39&amp;"*",업무일지!$D$5:$D$1004,IF($E$30="전체","*",$E$30)))</f>
        <v/>
      </c>
      <c r="N39" s="23" t="str">
        <f aca="false">IF($A39="","",SUM(B39:M39))</f>
        <v/>
      </c>
    </row>
    <row r="40" customFormat="false" ht="15" hidden="false" customHeight="false" outlineLevel="0" collapsed="false">
      <c r="A40" s="25" t="str">
        <f aca="false">IF($A15="","",$A15)</f>
        <v/>
      </c>
      <c r="B40" s="26" t="str">
        <f aca="false">IF($A40="","",COUNTIFS(업무일지!$B$5:$B$1004,"&gt;="&amp;DATE($B$3,1,1),업무일지!$B$5:$B$1004,"&lt;"&amp;DATE($B$3,1+1,1),업무일지!$I$5:$I$1004,$A40,업무일지!$D$5:$D$1004,IF($E$30="전체","*",$E$30))+COUNTIFS(업무일지!$B$5:$B$1004,"&gt;="&amp;DATE($B$3,1,1),업무일지!$B$5:$B$1004,"&lt;"&amp;DATE($B$3,1+1,1),업무일지!$J$5:$J$1004,"*"&amp;$A40&amp;"*",업무일지!$D$5:$D$1004,IF($E$30="전체","*",$E$30)))</f>
        <v/>
      </c>
      <c r="C40" s="26" t="str">
        <f aca="false">IF($A40="","",COUNTIFS(업무일지!$B$5:$B$1004,"&gt;="&amp;DATE($B$3,2,1),업무일지!$B$5:$B$1004,"&lt;"&amp;DATE($B$3,2+1,1),업무일지!$I$5:$I$1004,$A40,업무일지!$D$5:$D$1004,IF($E$30="전체","*",$E$30))+COUNTIFS(업무일지!$B$5:$B$1004,"&gt;="&amp;DATE($B$3,2,1),업무일지!$B$5:$B$1004,"&lt;"&amp;DATE($B$3,2+1,1),업무일지!$J$5:$J$1004,"*"&amp;$A40&amp;"*",업무일지!$D$5:$D$1004,IF($E$30="전체","*",$E$30)))</f>
        <v/>
      </c>
      <c r="D40" s="26" t="str">
        <f aca="false">IF($A40="","",COUNTIFS(업무일지!$B$5:$B$1004,"&gt;="&amp;DATE($B$3,3,1),업무일지!$B$5:$B$1004,"&lt;"&amp;DATE($B$3,3+1,1),업무일지!$I$5:$I$1004,$A40,업무일지!$D$5:$D$1004,IF($E$30="전체","*",$E$30))+COUNTIFS(업무일지!$B$5:$B$1004,"&gt;="&amp;DATE($B$3,3,1),업무일지!$B$5:$B$1004,"&lt;"&amp;DATE($B$3,3+1,1),업무일지!$J$5:$J$1004,"*"&amp;$A40&amp;"*",업무일지!$D$5:$D$1004,IF($E$30="전체","*",$E$30)))</f>
        <v/>
      </c>
      <c r="E40" s="26" t="str">
        <f aca="false">IF($A40="","",COUNTIFS(업무일지!$B$5:$B$1004,"&gt;="&amp;DATE($B$3,4,1),업무일지!$B$5:$B$1004,"&lt;"&amp;DATE($B$3,4+1,1),업무일지!$I$5:$I$1004,$A40,업무일지!$D$5:$D$1004,IF($E$30="전체","*",$E$30))+COUNTIFS(업무일지!$B$5:$B$1004,"&gt;="&amp;DATE($B$3,4,1),업무일지!$B$5:$B$1004,"&lt;"&amp;DATE($B$3,4+1,1),업무일지!$J$5:$J$1004,"*"&amp;$A40&amp;"*",업무일지!$D$5:$D$1004,IF($E$30="전체","*",$E$30)))</f>
        <v/>
      </c>
      <c r="F40" s="26" t="str">
        <f aca="false">IF($A40="","",COUNTIFS(업무일지!$B$5:$B$1004,"&gt;="&amp;DATE($B$3,5,1),업무일지!$B$5:$B$1004,"&lt;"&amp;DATE($B$3,5+1,1),업무일지!$I$5:$I$1004,$A40,업무일지!$D$5:$D$1004,IF($E$30="전체","*",$E$30))+COUNTIFS(업무일지!$B$5:$B$1004,"&gt;="&amp;DATE($B$3,5,1),업무일지!$B$5:$B$1004,"&lt;"&amp;DATE($B$3,5+1,1),업무일지!$J$5:$J$1004,"*"&amp;$A40&amp;"*",업무일지!$D$5:$D$1004,IF($E$30="전체","*",$E$30)))</f>
        <v/>
      </c>
      <c r="G40" s="26" t="str">
        <f aca="false">IF($A40="","",COUNTIFS(업무일지!$B$5:$B$1004,"&gt;="&amp;DATE($B$3,6,1),업무일지!$B$5:$B$1004,"&lt;"&amp;DATE($B$3,6+1,1),업무일지!$I$5:$I$1004,$A40,업무일지!$D$5:$D$1004,IF($E$30="전체","*",$E$30))+COUNTIFS(업무일지!$B$5:$B$1004,"&gt;="&amp;DATE($B$3,6,1),업무일지!$B$5:$B$1004,"&lt;"&amp;DATE($B$3,6+1,1),업무일지!$J$5:$J$1004,"*"&amp;$A40&amp;"*",업무일지!$D$5:$D$1004,IF($E$30="전체","*",$E$30)))</f>
        <v/>
      </c>
      <c r="H40" s="26" t="str">
        <f aca="false">IF($A40="","",COUNTIFS(업무일지!$B$5:$B$1004,"&gt;="&amp;DATE($B$3,7,1),업무일지!$B$5:$B$1004,"&lt;"&amp;DATE($B$3,7+1,1),업무일지!$I$5:$I$1004,$A40,업무일지!$D$5:$D$1004,IF($E$30="전체","*",$E$30))+COUNTIFS(업무일지!$B$5:$B$1004,"&gt;="&amp;DATE($B$3,7,1),업무일지!$B$5:$B$1004,"&lt;"&amp;DATE($B$3,7+1,1),업무일지!$J$5:$J$1004,"*"&amp;$A40&amp;"*",업무일지!$D$5:$D$1004,IF($E$30="전체","*",$E$30)))</f>
        <v/>
      </c>
      <c r="I40" s="26" t="str">
        <f aca="false">IF($A40="","",COUNTIFS(업무일지!$B$5:$B$1004,"&gt;="&amp;DATE($B$3,8,1),업무일지!$B$5:$B$1004,"&lt;"&amp;DATE($B$3,8+1,1),업무일지!$I$5:$I$1004,$A40,업무일지!$D$5:$D$1004,IF($E$30="전체","*",$E$30))+COUNTIFS(업무일지!$B$5:$B$1004,"&gt;="&amp;DATE($B$3,8,1),업무일지!$B$5:$B$1004,"&lt;"&amp;DATE($B$3,8+1,1),업무일지!$J$5:$J$1004,"*"&amp;$A40&amp;"*",업무일지!$D$5:$D$1004,IF($E$30="전체","*",$E$30)))</f>
        <v/>
      </c>
      <c r="J40" s="26" t="str">
        <f aca="false">IF($A40="","",COUNTIFS(업무일지!$B$5:$B$1004,"&gt;="&amp;DATE($B$3,9,1),업무일지!$B$5:$B$1004,"&lt;"&amp;DATE($B$3,9+1,1),업무일지!$I$5:$I$1004,$A40,업무일지!$D$5:$D$1004,IF($E$30="전체","*",$E$30))+COUNTIFS(업무일지!$B$5:$B$1004,"&gt;="&amp;DATE($B$3,9,1),업무일지!$B$5:$B$1004,"&lt;"&amp;DATE($B$3,9+1,1),업무일지!$J$5:$J$1004,"*"&amp;$A40&amp;"*",업무일지!$D$5:$D$1004,IF($E$30="전체","*",$E$30)))</f>
        <v/>
      </c>
      <c r="K40" s="26" t="str">
        <f aca="false">IF($A40="","",COUNTIFS(업무일지!$B$5:$B$1004,"&gt;="&amp;DATE($B$3,10,1),업무일지!$B$5:$B$1004,"&lt;"&amp;DATE($B$3,10+1,1),업무일지!$I$5:$I$1004,$A40,업무일지!$D$5:$D$1004,IF($E$30="전체","*",$E$30))+COUNTIFS(업무일지!$B$5:$B$1004,"&gt;="&amp;DATE($B$3,10,1),업무일지!$B$5:$B$1004,"&lt;"&amp;DATE($B$3,10+1,1),업무일지!$J$5:$J$1004,"*"&amp;$A40&amp;"*",업무일지!$D$5:$D$1004,IF($E$30="전체","*",$E$30)))</f>
        <v/>
      </c>
      <c r="L40" s="26" t="str">
        <f aca="false">IF($A40="","",COUNTIFS(업무일지!$B$5:$B$1004,"&gt;="&amp;DATE($B$3,11,1),업무일지!$B$5:$B$1004,"&lt;"&amp;DATE($B$3,11+1,1),업무일지!$I$5:$I$1004,$A40,업무일지!$D$5:$D$1004,IF($E$30="전체","*",$E$30))+COUNTIFS(업무일지!$B$5:$B$1004,"&gt;="&amp;DATE($B$3,11,1),업무일지!$B$5:$B$1004,"&lt;"&amp;DATE($B$3,11+1,1),업무일지!$J$5:$J$1004,"*"&amp;$A40&amp;"*",업무일지!$D$5:$D$1004,IF($E$30="전체","*",$E$30)))</f>
        <v/>
      </c>
      <c r="M40" s="26" t="str">
        <f aca="false">IF($A40="","",COUNTIFS(업무일지!$B$5:$B$1004,"&gt;="&amp;DATE($B$3,12,1),업무일지!$B$5:$B$1004,"&lt;"&amp;DATE($B$3,12+1,1),업무일지!$I$5:$I$1004,$A40,업무일지!$D$5:$D$1004,IF($E$30="전체","*",$E$30))+COUNTIFS(업무일지!$B$5:$B$1004,"&gt;="&amp;DATE($B$3,12,1),업무일지!$B$5:$B$1004,"&lt;"&amp;DATE($B$3,12+1,1),업무일지!$J$5:$J$1004,"*"&amp;$A40&amp;"*",업무일지!$D$5:$D$1004,IF($E$30="전체","*",$E$30)))</f>
        <v/>
      </c>
      <c r="N40" s="26" t="str">
        <f aca="false">IF($A40="","",SUM(B40:M40))</f>
        <v/>
      </c>
    </row>
    <row r="41" customFormat="false" ht="15" hidden="false" customHeight="false" outlineLevel="0" collapsed="false">
      <c r="A41" s="22" t="str">
        <f aca="false">IF($A16="","",$A16)</f>
        <v/>
      </c>
      <c r="B41" s="23" t="str">
        <f aca="false">IF($A41="","",COUNTIFS(업무일지!$B$5:$B$1004,"&gt;="&amp;DATE($B$3,1,1),업무일지!$B$5:$B$1004,"&lt;"&amp;DATE($B$3,1+1,1),업무일지!$I$5:$I$1004,$A41,업무일지!$D$5:$D$1004,IF($E$30="전체","*",$E$30))+COUNTIFS(업무일지!$B$5:$B$1004,"&gt;="&amp;DATE($B$3,1,1),업무일지!$B$5:$B$1004,"&lt;"&amp;DATE($B$3,1+1,1),업무일지!$J$5:$J$1004,"*"&amp;$A41&amp;"*",업무일지!$D$5:$D$1004,IF($E$30="전체","*",$E$30)))</f>
        <v/>
      </c>
      <c r="C41" s="23" t="str">
        <f aca="false">IF($A41="","",COUNTIFS(업무일지!$B$5:$B$1004,"&gt;="&amp;DATE($B$3,2,1),업무일지!$B$5:$B$1004,"&lt;"&amp;DATE($B$3,2+1,1),업무일지!$I$5:$I$1004,$A41,업무일지!$D$5:$D$1004,IF($E$30="전체","*",$E$30))+COUNTIFS(업무일지!$B$5:$B$1004,"&gt;="&amp;DATE($B$3,2,1),업무일지!$B$5:$B$1004,"&lt;"&amp;DATE($B$3,2+1,1),업무일지!$J$5:$J$1004,"*"&amp;$A41&amp;"*",업무일지!$D$5:$D$1004,IF($E$30="전체","*",$E$30)))</f>
        <v/>
      </c>
      <c r="D41" s="23" t="str">
        <f aca="false">IF($A41="","",COUNTIFS(업무일지!$B$5:$B$1004,"&gt;="&amp;DATE($B$3,3,1),업무일지!$B$5:$B$1004,"&lt;"&amp;DATE($B$3,3+1,1),업무일지!$I$5:$I$1004,$A41,업무일지!$D$5:$D$1004,IF($E$30="전체","*",$E$30))+COUNTIFS(업무일지!$B$5:$B$1004,"&gt;="&amp;DATE($B$3,3,1),업무일지!$B$5:$B$1004,"&lt;"&amp;DATE($B$3,3+1,1),업무일지!$J$5:$J$1004,"*"&amp;$A41&amp;"*",업무일지!$D$5:$D$1004,IF($E$30="전체","*",$E$30)))</f>
        <v/>
      </c>
      <c r="E41" s="23" t="str">
        <f aca="false">IF($A41="","",COUNTIFS(업무일지!$B$5:$B$1004,"&gt;="&amp;DATE($B$3,4,1),업무일지!$B$5:$B$1004,"&lt;"&amp;DATE($B$3,4+1,1),업무일지!$I$5:$I$1004,$A41,업무일지!$D$5:$D$1004,IF($E$30="전체","*",$E$30))+COUNTIFS(업무일지!$B$5:$B$1004,"&gt;="&amp;DATE($B$3,4,1),업무일지!$B$5:$B$1004,"&lt;"&amp;DATE($B$3,4+1,1),업무일지!$J$5:$J$1004,"*"&amp;$A41&amp;"*",업무일지!$D$5:$D$1004,IF($E$30="전체","*",$E$30)))</f>
        <v/>
      </c>
      <c r="F41" s="23" t="str">
        <f aca="false">IF($A41="","",COUNTIFS(업무일지!$B$5:$B$1004,"&gt;="&amp;DATE($B$3,5,1),업무일지!$B$5:$B$1004,"&lt;"&amp;DATE($B$3,5+1,1),업무일지!$I$5:$I$1004,$A41,업무일지!$D$5:$D$1004,IF($E$30="전체","*",$E$30))+COUNTIFS(업무일지!$B$5:$B$1004,"&gt;="&amp;DATE($B$3,5,1),업무일지!$B$5:$B$1004,"&lt;"&amp;DATE($B$3,5+1,1),업무일지!$J$5:$J$1004,"*"&amp;$A41&amp;"*",업무일지!$D$5:$D$1004,IF($E$30="전체","*",$E$30)))</f>
        <v/>
      </c>
      <c r="G41" s="23" t="str">
        <f aca="false">IF($A41="","",COUNTIFS(업무일지!$B$5:$B$1004,"&gt;="&amp;DATE($B$3,6,1),업무일지!$B$5:$B$1004,"&lt;"&amp;DATE($B$3,6+1,1),업무일지!$I$5:$I$1004,$A41,업무일지!$D$5:$D$1004,IF($E$30="전체","*",$E$30))+COUNTIFS(업무일지!$B$5:$B$1004,"&gt;="&amp;DATE($B$3,6,1),업무일지!$B$5:$B$1004,"&lt;"&amp;DATE($B$3,6+1,1),업무일지!$J$5:$J$1004,"*"&amp;$A41&amp;"*",업무일지!$D$5:$D$1004,IF($E$30="전체","*",$E$30)))</f>
        <v/>
      </c>
      <c r="H41" s="23" t="str">
        <f aca="false">IF($A41="","",COUNTIFS(업무일지!$B$5:$B$1004,"&gt;="&amp;DATE($B$3,7,1),업무일지!$B$5:$B$1004,"&lt;"&amp;DATE($B$3,7+1,1),업무일지!$I$5:$I$1004,$A41,업무일지!$D$5:$D$1004,IF($E$30="전체","*",$E$30))+COUNTIFS(업무일지!$B$5:$B$1004,"&gt;="&amp;DATE($B$3,7,1),업무일지!$B$5:$B$1004,"&lt;"&amp;DATE($B$3,7+1,1),업무일지!$J$5:$J$1004,"*"&amp;$A41&amp;"*",업무일지!$D$5:$D$1004,IF($E$30="전체","*",$E$30)))</f>
        <v/>
      </c>
      <c r="I41" s="23" t="str">
        <f aca="false">IF($A41="","",COUNTIFS(업무일지!$B$5:$B$1004,"&gt;="&amp;DATE($B$3,8,1),업무일지!$B$5:$B$1004,"&lt;"&amp;DATE($B$3,8+1,1),업무일지!$I$5:$I$1004,$A41,업무일지!$D$5:$D$1004,IF($E$30="전체","*",$E$30))+COUNTIFS(업무일지!$B$5:$B$1004,"&gt;="&amp;DATE($B$3,8,1),업무일지!$B$5:$B$1004,"&lt;"&amp;DATE($B$3,8+1,1),업무일지!$J$5:$J$1004,"*"&amp;$A41&amp;"*",업무일지!$D$5:$D$1004,IF($E$30="전체","*",$E$30)))</f>
        <v/>
      </c>
      <c r="J41" s="23" t="str">
        <f aca="false">IF($A41="","",COUNTIFS(업무일지!$B$5:$B$1004,"&gt;="&amp;DATE($B$3,9,1),업무일지!$B$5:$B$1004,"&lt;"&amp;DATE($B$3,9+1,1),업무일지!$I$5:$I$1004,$A41,업무일지!$D$5:$D$1004,IF($E$30="전체","*",$E$30))+COUNTIFS(업무일지!$B$5:$B$1004,"&gt;="&amp;DATE($B$3,9,1),업무일지!$B$5:$B$1004,"&lt;"&amp;DATE($B$3,9+1,1),업무일지!$J$5:$J$1004,"*"&amp;$A41&amp;"*",업무일지!$D$5:$D$1004,IF($E$30="전체","*",$E$30)))</f>
        <v/>
      </c>
      <c r="K41" s="23" t="str">
        <f aca="false">IF($A41="","",COUNTIFS(업무일지!$B$5:$B$1004,"&gt;="&amp;DATE($B$3,10,1),업무일지!$B$5:$B$1004,"&lt;"&amp;DATE($B$3,10+1,1),업무일지!$I$5:$I$1004,$A41,업무일지!$D$5:$D$1004,IF($E$30="전체","*",$E$30))+COUNTIFS(업무일지!$B$5:$B$1004,"&gt;="&amp;DATE($B$3,10,1),업무일지!$B$5:$B$1004,"&lt;"&amp;DATE($B$3,10+1,1),업무일지!$J$5:$J$1004,"*"&amp;$A41&amp;"*",업무일지!$D$5:$D$1004,IF($E$30="전체","*",$E$30)))</f>
        <v/>
      </c>
      <c r="L41" s="23" t="str">
        <f aca="false">IF($A41="","",COUNTIFS(업무일지!$B$5:$B$1004,"&gt;="&amp;DATE($B$3,11,1),업무일지!$B$5:$B$1004,"&lt;"&amp;DATE($B$3,11+1,1),업무일지!$I$5:$I$1004,$A41,업무일지!$D$5:$D$1004,IF($E$30="전체","*",$E$30))+COUNTIFS(업무일지!$B$5:$B$1004,"&gt;="&amp;DATE($B$3,11,1),업무일지!$B$5:$B$1004,"&lt;"&amp;DATE($B$3,11+1,1),업무일지!$J$5:$J$1004,"*"&amp;$A41&amp;"*",업무일지!$D$5:$D$1004,IF($E$30="전체","*",$E$30)))</f>
        <v/>
      </c>
      <c r="M41" s="23" t="str">
        <f aca="false">IF($A41="","",COUNTIFS(업무일지!$B$5:$B$1004,"&gt;="&amp;DATE($B$3,12,1),업무일지!$B$5:$B$1004,"&lt;"&amp;DATE($B$3,12+1,1),업무일지!$I$5:$I$1004,$A41,업무일지!$D$5:$D$1004,IF($E$30="전체","*",$E$30))+COUNTIFS(업무일지!$B$5:$B$1004,"&gt;="&amp;DATE($B$3,12,1),업무일지!$B$5:$B$1004,"&lt;"&amp;DATE($B$3,12+1,1),업무일지!$J$5:$J$1004,"*"&amp;$A41&amp;"*",업무일지!$D$5:$D$1004,IF($E$30="전체","*",$E$30)))</f>
        <v/>
      </c>
      <c r="N41" s="23" t="str">
        <f aca="false">IF($A41="","",SUM(B41:M41))</f>
        <v/>
      </c>
    </row>
    <row r="42" customFormat="false" ht="15" hidden="false" customHeight="false" outlineLevel="0" collapsed="false">
      <c r="A42" s="25" t="str">
        <f aca="false">IF($A17="","",$A17)</f>
        <v/>
      </c>
      <c r="B42" s="26" t="str">
        <f aca="false">IF($A42="","",COUNTIFS(업무일지!$B$5:$B$1004,"&gt;="&amp;DATE($B$3,1,1),업무일지!$B$5:$B$1004,"&lt;"&amp;DATE($B$3,1+1,1),업무일지!$I$5:$I$1004,$A42,업무일지!$D$5:$D$1004,IF($E$30="전체","*",$E$30))+COUNTIFS(업무일지!$B$5:$B$1004,"&gt;="&amp;DATE($B$3,1,1),업무일지!$B$5:$B$1004,"&lt;"&amp;DATE($B$3,1+1,1),업무일지!$J$5:$J$1004,"*"&amp;$A42&amp;"*",업무일지!$D$5:$D$1004,IF($E$30="전체","*",$E$30)))</f>
        <v/>
      </c>
      <c r="C42" s="26" t="str">
        <f aca="false">IF($A42="","",COUNTIFS(업무일지!$B$5:$B$1004,"&gt;="&amp;DATE($B$3,2,1),업무일지!$B$5:$B$1004,"&lt;"&amp;DATE($B$3,2+1,1),업무일지!$I$5:$I$1004,$A42,업무일지!$D$5:$D$1004,IF($E$30="전체","*",$E$30))+COUNTIFS(업무일지!$B$5:$B$1004,"&gt;="&amp;DATE($B$3,2,1),업무일지!$B$5:$B$1004,"&lt;"&amp;DATE($B$3,2+1,1),업무일지!$J$5:$J$1004,"*"&amp;$A42&amp;"*",업무일지!$D$5:$D$1004,IF($E$30="전체","*",$E$30)))</f>
        <v/>
      </c>
      <c r="D42" s="26" t="str">
        <f aca="false">IF($A42="","",COUNTIFS(업무일지!$B$5:$B$1004,"&gt;="&amp;DATE($B$3,3,1),업무일지!$B$5:$B$1004,"&lt;"&amp;DATE($B$3,3+1,1),업무일지!$I$5:$I$1004,$A42,업무일지!$D$5:$D$1004,IF($E$30="전체","*",$E$30))+COUNTIFS(업무일지!$B$5:$B$1004,"&gt;="&amp;DATE($B$3,3,1),업무일지!$B$5:$B$1004,"&lt;"&amp;DATE($B$3,3+1,1),업무일지!$J$5:$J$1004,"*"&amp;$A42&amp;"*",업무일지!$D$5:$D$1004,IF($E$30="전체","*",$E$30)))</f>
        <v/>
      </c>
      <c r="E42" s="26" t="str">
        <f aca="false">IF($A42="","",COUNTIFS(업무일지!$B$5:$B$1004,"&gt;="&amp;DATE($B$3,4,1),업무일지!$B$5:$B$1004,"&lt;"&amp;DATE($B$3,4+1,1),업무일지!$I$5:$I$1004,$A42,업무일지!$D$5:$D$1004,IF($E$30="전체","*",$E$30))+COUNTIFS(업무일지!$B$5:$B$1004,"&gt;="&amp;DATE($B$3,4,1),업무일지!$B$5:$B$1004,"&lt;"&amp;DATE($B$3,4+1,1),업무일지!$J$5:$J$1004,"*"&amp;$A42&amp;"*",업무일지!$D$5:$D$1004,IF($E$30="전체","*",$E$30)))</f>
        <v/>
      </c>
      <c r="F42" s="26" t="str">
        <f aca="false">IF($A42="","",COUNTIFS(업무일지!$B$5:$B$1004,"&gt;="&amp;DATE($B$3,5,1),업무일지!$B$5:$B$1004,"&lt;"&amp;DATE($B$3,5+1,1),업무일지!$I$5:$I$1004,$A42,업무일지!$D$5:$D$1004,IF($E$30="전체","*",$E$30))+COUNTIFS(업무일지!$B$5:$B$1004,"&gt;="&amp;DATE($B$3,5,1),업무일지!$B$5:$B$1004,"&lt;"&amp;DATE($B$3,5+1,1),업무일지!$J$5:$J$1004,"*"&amp;$A42&amp;"*",업무일지!$D$5:$D$1004,IF($E$30="전체","*",$E$30)))</f>
        <v/>
      </c>
      <c r="G42" s="26" t="str">
        <f aca="false">IF($A42="","",COUNTIFS(업무일지!$B$5:$B$1004,"&gt;="&amp;DATE($B$3,6,1),업무일지!$B$5:$B$1004,"&lt;"&amp;DATE($B$3,6+1,1),업무일지!$I$5:$I$1004,$A42,업무일지!$D$5:$D$1004,IF($E$30="전체","*",$E$30))+COUNTIFS(업무일지!$B$5:$B$1004,"&gt;="&amp;DATE($B$3,6,1),업무일지!$B$5:$B$1004,"&lt;"&amp;DATE($B$3,6+1,1),업무일지!$J$5:$J$1004,"*"&amp;$A42&amp;"*",업무일지!$D$5:$D$1004,IF($E$30="전체","*",$E$30)))</f>
        <v/>
      </c>
      <c r="H42" s="26" t="str">
        <f aca="false">IF($A42="","",COUNTIFS(업무일지!$B$5:$B$1004,"&gt;="&amp;DATE($B$3,7,1),업무일지!$B$5:$B$1004,"&lt;"&amp;DATE($B$3,7+1,1),업무일지!$I$5:$I$1004,$A42,업무일지!$D$5:$D$1004,IF($E$30="전체","*",$E$30))+COUNTIFS(업무일지!$B$5:$B$1004,"&gt;="&amp;DATE($B$3,7,1),업무일지!$B$5:$B$1004,"&lt;"&amp;DATE($B$3,7+1,1),업무일지!$J$5:$J$1004,"*"&amp;$A42&amp;"*",업무일지!$D$5:$D$1004,IF($E$30="전체","*",$E$30)))</f>
        <v/>
      </c>
      <c r="I42" s="26" t="str">
        <f aca="false">IF($A42="","",COUNTIFS(업무일지!$B$5:$B$1004,"&gt;="&amp;DATE($B$3,8,1),업무일지!$B$5:$B$1004,"&lt;"&amp;DATE($B$3,8+1,1),업무일지!$I$5:$I$1004,$A42,업무일지!$D$5:$D$1004,IF($E$30="전체","*",$E$30))+COUNTIFS(업무일지!$B$5:$B$1004,"&gt;="&amp;DATE($B$3,8,1),업무일지!$B$5:$B$1004,"&lt;"&amp;DATE($B$3,8+1,1),업무일지!$J$5:$J$1004,"*"&amp;$A42&amp;"*",업무일지!$D$5:$D$1004,IF($E$30="전체","*",$E$30)))</f>
        <v/>
      </c>
      <c r="J42" s="26" t="str">
        <f aca="false">IF($A42="","",COUNTIFS(업무일지!$B$5:$B$1004,"&gt;="&amp;DATE($B$3,9,1),업무일지!$B$5:$B$1004,"&lt;"&amp;DATE($B$3,9+1,1),업무일지!$I$5:$I$1004,$A42,업무일지!$D$5:$D$1004,IF($E$30="전체","*",$E$30))+COUNTIFS(업무일지!$B$5:$B$1004,"&gt;="&amp;DATE($B$3,9,1),업무일지!$B$5:$B$1004,"&lt;"&amp;DATE($B$3,9+1,1),업무일지!$J$5:$J$1004,"*"&amp;$A42&amp;"*",업무일지!$D$5:$D$1004,IF($E$30="전체","*",$E$30)))</f>
        <v/>
      </c>
      <c r="K42" s="26" t="str">
        <f aca="false">IF($A42="","",COUNTIFS(업무일지!$B$5:$B$1004,"&gt;="&amp;DATE($B$3,10,1),업무일지!$B$5:$B$1004,"&lt;"&amp;DATE($B$3,10+1,1),업무일지!$I$5:$I$1004,$A42,업무일지!$D$5:$D$1004,IF($E$30="전체","*",$E$30))+COUNTIFS(업무일지!$B$5:$B$1004,"&gt;="&amp;DATE($B$3,10,1),업무일지!$B$5:$B$1004,"&lt;"&amp;DATE($B$3,10+1,1),업무일지!$J$5:$J$1004,"*"&amp;$A42&amp;"*",업무일지!$D$5:$D$1004,IF($E$30="전체","*",$E$30)))</f>
        <v/>
      </c>
      <c r="L42" s="26" t="str">
        <f aca="false">IF($A42="","",COUNTIFS(업무일지!$B$5:$B$1004,"&gt;="&amp;DATE($B$3,11,1),업무일지!$B$5:$B$1004,"&lt;"&amp;DATE($B$3,11+1,1),업무일지!$I$5:$I$1004,$A42,업무일지!$D$5:$D$1004,IF($E$30="전체","*",$E$30))+COUNTIFS(업무일지!$B$5:$B$1004,"&gt;="&amp;DATE($B$3,11,1),업무일지!$B$5:$B$1004,"&lt;"&amp;DATE($B$3,11+1,1),업무일지!$J$5:$J$1004,"*"&amp;$A42&amp;"*",업무일지!$D$5:$D$1004,IF($E$30="전체","*",$E$30)))</f>
        <v/>
      </c>
      <c r="M42" s="26" t="str">
        <f aca="false">IF($A42="","",COUNTIFS(업무일지!$B$5:$B$1004,"&gt;="&amp;DATE($B$3,12,1),업무일지!$B$5:$B$1004,"&lt;"&amp;DATE($B$3,12+1,1),업무일지!$I$5:$I$1004,$A42,업무일지!$D$5:$D$1004,IF($E$30="전체","*",$E$30))+COUNTIFS(업무일지!$B$5:$B$1004,"&gt;="&amp;DATE($B$3,12,1),업무일지!$B$5:$B$1004,"&lt;"&amp;DATE($B$3,12+1,1),업무일지!$J$5:$J$1004,"*"&amp;$A42&amp;"*",업무일지!$D$5:$D$1004,IF($E$30="전체","*",$E$30)))</f>
        <v/>
      </c>
      <c r="N42" s="26" t="str">
        <f aca="false">IF($A42="","",SUM(B42:M42))</f>
        <v/>
      </c>
    </row>
    <row r="43" customFormat="false" ht="15" hidden="false" customHeight="false" outlineLevel="0" collapsed="false">
      <c r="A43" s="22" t="str">
        <f aca="false">IF($A18="","",$A18)</f>
        <v/>
      </c>
      <c r="B43" s="23" t="str">
        <f aca="false">IF($A43="","",COUNTIFS(업무일지!$B$5:$B$1004,"&gt;="&amp;DATE($B$3,1,1),업무일지!$B$5:$B$1004,"&lt;"&amp;DATE($B$3,1+1,1),업무일지!$I$5:$I$1004,$A43,업무일지!$D$5:$D$1004,IF($E$30="전체","*",$E$30))+COUNTIFS(업무일지!$B$5:$B$1004,"&gt;="&amp;DATE($B$3,1,1),업무일지!$B$5:$B$1004,"&lt;"&amp;DATE($B$3,1+1,1),업무일지!$J$5:$J$1004,"*"&amp;$A43&amp;"*",업무일지!$D$5:$D$1004,IF($E$30="전체","*",$E$30)))</f>
        <v/>
      </c>
      <c r="C43" s="23" t="str">
        <f aca="false">IF($A43="","",COUNTIFS(업무일지!$B$5:$B$1004,"&gt;="&amp;DATE($B$3,2,1),업무일지!$B$5:$B$1004,"&lt;"&amp;DATE($B$3,2+1,1),업무일지!$I$5:$I$1004,$A43,업무일지!$D$5:$D$1004,IF($E$30="전체","*",$E$30))+COUNTIFS(업무일지!$B$5:$B$1004,"&gt;="&amp;DATE($B$3,2,1),업무일지!$B$5:$B$1004,"&lt;"&amp;DATE($B$3,2+1,1),업무일지!$J$5:$J$1004,"*"&amp;$A43&amp;"*",업무일지!$D$5:$D$1004,IF($E$30="전체","*",$E$30)))</f>
        <v/>
      </c>
      <c r="D43" s="23" t="str">
        <f aca="false">IF($A43="","",COUNTIFS(업무일지!$B$5:$B$1004,"&gt;="&amp;DATE($B$3,3,1),업무일지!$B$5:$B$1004,"&lt;"&amp;DATE($B$3,3+1,1),업무일지!$I$5:$I$1004,$A43,업무일지!$D$5:$D$1004,IF($E$30="전체","*",$E$30))+COUNTIFS(업무일지!$B$5:$B$1004,"&gt;="&amp;DATE($B$3,3,1),업무일지!$B$5:$B$1004,"&lt;"&amp;DATE($B$3,3+1,1),업무일지!$J$5:$J$1004,"*"&amp;$A43&amp;"*",업무일지!$D$5:$D$1004,IF($E$30="전체","*",$E$30)))</f>
        <v/>
      </c>
      <c r="E43" s="23" t="str">
        <f aca="false">IF($A43="","",COUNTIFS(업무일지!$B$5:$B$1004,"&gt;="&amp;DATE($B$3,4,1),업무일지!$B$5:$B$1004,"&lt;"&amp;DATE($B$3,4+1,1),업무일지!$I$5:$I$1004,$A43,업무일지!$D$5:$D$1004,IF($E$30="전체","*",$E$30))+COUNTIFS(업무일지!$B$5:$B$1004,"&gt;="&amp;DATE($B$3,4,1),업무일지!$B$5:$B$1004,"&lt;"&amp;DATE($B$3,4+1,1),업무일지!$J$5:$J$1004,"*"&amp;$A43&amp;"*",업무일지!$D$5:$D$1004,IF($E$30="전체","*",$E$30)))</f>
        <v/>
      </c>
      <c r="F43" s="23" t="str">
        <f aca="false">IF($A43="","",COUNTIFS(업무일지!$B$5:$B$1004,"&gt;="&amp;DATE($B$3,5,1),업무일지!$B$5:$B$1004,"&lt;"&amp;DATE($B$3,5+1,1),업무일지!$I$5:$I$1004,$A43,업무일지!$D$5:$D$1004,IF($E$30="전체","*",$E$30))+COUNTIFS(업무일지!$B$5:$B$1004,"&gt;="&amp;DATE($B$3,5,1),업무일지!$B$5:$B$1004,"&lt;"&amp;DATE($B$3,5+1,1),업무일지!$J$5:$J$1004,"*"&amp;$A43&amp;"*",업무일지!$D$5:$D$1004,IF($E$30="전체","*",$E$30)))</f>
        <v/>
      </c>
      <c r="G43" s="23" t="str">
        <f aca="false">IF($A43="","",COUNTIFS(업무일지!$B$5:$B$1004,"&gt;="&amp;DATE($B$3,6,1),업무일지!$B$5:$B$1004,"&lt;"&amp;DATE($B$3,6+1,1),업무일지!$I$5:$I$1004,$A43,업무일지!$D$5:$D$1004,IF($E$30="전체","*",$E$30))+COUNTIFS(업무일지!$B$5:$B$1004,"&gt;="&amp;DATE($B$3,6,1),업무일지!$B$5:$B$1004,"&lt;"&amp;DATE($B$3,6+1,1),업무일지!$J$5:$J$1004,"*"&amp;$A43&amp;"*",업무일지!$D$5:$D$1004,IF($E$30="전체","*",$E$30)))</f>
        <v/>
      </c>
      <c r="H43" s="23" t="str">
        <f aca="false">IF($A43="","",COUNTIFS(업무일지!$B$5:$B$1004,"&gt;="&amp;DATE($B$3,7,1),업무일지!$B$5:$B$1004,"&lt;"&amp;DATE($B$3,7+1,1),업무일지!$I$5:$I$1004,$A43,업무일지!$D$5:$D$1004,IF($E$30="전체","*",$E$30))+COUNTIFS(업무일지!$B$5:$B$1004,"&gt;="&amp;DATE($B$3,7,1),업무일지!$B$5:$B$1004,"&lt;"&amp;DATE($B$3,7+1,1),업무일지!$J$5:$J$1004,"*"&amp;$A43&amp;"*",업무일지!$D$5:$D$1004,IF($E$30="전체","*",$E$30)))</f>
        <v/>
      </c>
      <c r="I43" s="23" t="str">
        <f aca="false">IF($A43="","",COUNTIFS(업무일지!$B$5:$B$1004,"&gt;="&amp;DATE($B$3,8,1),업무일지!$B$5:$B$1004,"&lt;"&amp;DATE($B$3,8+1,1),업무일지!$I$5:$I$1004,$A43,업무일지!$D$5:$D$1004,IF($E$30="전체","*",$E$30))+COUNTIFS(업무일지!$B$5:$B$1004,"&gt;="&amp;DATE($B$3,8,1),업무일지!$B$5:$B$1004,"&lt;"&amp;DATE($B$3,8+1,1),업무일지!$J$5:$J$1004,"*"&amp;$A43&amp;"*",업무일지!$D$5:$D$1004,IF($E$30="전체","*",$E$30)))</f>
        <v/>
      </c>
      <c r="J43" s="23" t="str">
        <f aca="false">IF($A43="","",COUNTIFS(업무일지!$B$5:$B$1004,"&gt;="&amp;DATE($B$3,9,1),업무일지!$B$5:$B$1004,"&lt;"&amp;DATE($B$3,9+1,1),업무일지!$I$5:$I$1004,$A43,업무일지!$D$5:$D$1004,IF($E$30="전체","*",$E$30))+COUNTIFS(업무일지!$B$5:$B$1004,"&gt;="&amp;DATE($B$3,9,1),업무일지!$B$5:$B$1004,"&lt;"&amp;DATE($B$3,9+1,1),업무일지!$J$5:$J$1004,"*"&amp;$A43&amp;"*",업무일지!$D$5:$D$1004,IF($E$30="전체","*",$E$30)))</f>
        <v/>
      </c>
      <c r="K43" s="23" t="str">
        <f aca="false">IF($A43="","",COUNTIFS(업무일지!$B$5:$B$1004,"&gt;="&amp;DATE($B$3,10,1),업무일지!$B$5:$B$1004,"&lt;"&amp;DATE($B$3,10+1,1),업무일지!$I$5:$I$1004,$A43,업무일지!$D$5:$D$1004,IF($E$30="전체","*",$E$30))+COUNTIFS(업무일지!$B$5:$B$1004,"&gt;="&amp;DATE($B$3,10,1),업무일지!$B$5:$B$1004,"&lt;"&amp;DATE($B$3,10+1,1),업무일지!$J$5:$J$1004,"*"&amp;$A43&amp;"*",업무일지!$D$5:$D$1004,IF($E$30="전체","*",$E$30)))</f>
        <v/>
      </c>
      <c r="L43" s="23" t="str">
        <f aca="false">IF($A43="","",COUNTIFS(업무일지!$B$5:$B$1004,"&gt;="&amp;DATE($B$3,11,1),업무일지!$B$5:$B$1004,"&lt;"&amp;DATE($B$3,11+1,1),업무일지!$I$5:$I$1004,$A43,업무일지!$D$5:$D$1004,IF($E$30="전체","*",$E$30))+COUNTIFS(업무일지!$B$5:$B$1004,"&gt;="&amp;DATE($B$3,11,1),업무일지!$B$5:$B$1004,"&lt;"&amp;DATE($B$3,11+1,1),업무일지!$J$5:$J$1004,"*"&amp;$A43&amp;"*",업무일지!$D$5:$D$1004,IF($E$30="전체","*",$E$30)))</f>
        <v/>
      </c>
      <c r="M43" s="23" t="str">
        <f aca="false">IF($A43="","",COUNTIFS(업무일지!$B$5:$B$1004,"&gt;="&amp;DATE($B$3,12,1),업무일지!$B$5:$B$1004,"&lt;"&amp;DATE($B$3,12+1,1),업무일지!$I$5:$I$1004,$A43,업무일지!$D$5:$D$1004,IF($E$30="전체","*",$E$30))+COUNTIFS(업무일지!$B$5:$B$1004,"&gt;="&amp;DATE($B$3,12,1),업무일지!$B$5:$B$1004,"&lt;"&amp;DATE($B$3,12+1,1),업무일지!$J$5:$J$1004,"*"&amp;$A43&amp;"*",업무일지!$D$5:$D$1004,IF($E$30="전체","*",$E$30)))</f>
        <v/>
      </c>
      <c r="N43" s="23" t="str">
        <f aca="false">IF($A43="","",SUM(B43:M43))</f>
        <v/>
      </c>
    </row>
    <row r="44" customFormat="false" ht="15" hidden="false" customHeight="false" outlineLevel="0" collapsed="false">
      <c r="A44" s="25" t="str">
        <f aca="false">IF($A19="","",$A19)</f>
        <v/>
      </c>
      <c r="B44" s="26" t="str">
        <f aca="false">IF($A44="","",COUNTIFS(업무일지!$B$5:$B$1004,"&gt;="&amp;DATE($B$3,1,1),업무일지!$B$5:$B$1004,"&lt;"&amp;DATE($B$3,1+1,1),업무일지!$I$5:$I$1004,$A44,업무일지!$D$5:$D$1004,IF($E$30="전체","*",$E$30))+COUNTIFS(업무일지!$B$5:$B$1004,"&gt;="&amp;DATE($B$3,1,1),업무일지!$B$5:$B$1004,"&lt;"&amp;DATE($B$3,1+1,1),업무일지!$J$5:$J$1004,"*"&amp;$A44&amp;"*",업무일지!$D$5:$D$1004,IF($E$30="전체","*",$E$30)))</f>
        <v/>
      </c>
      <c r="C44" s="26" t="str">
        <f aca="false">IF($A44="","",COUNTIFS(업무일지!$B$5:$B$1004,"&gt;="&amp;DATE($B$3,2,1),업무일지!$B$5:$B$1004,"&lt;"&amp;DATE($B$3,2+1,1),업무일지!$I$5:$I$1004,$A44,업무일지!$D$5:$D$1004,IF($E$30="전체","*",$E$30))+COUNTIFS(업무일지!$B$5:$B$1004,"&gt;="&amp;DATE($B$3,2,1),업무일지!$B$5:$B$1004,"&lt;"&amp;DATE($B$3,2+1,1),업무일지!$J$5:$J$1004,"*"&amp;$A44&amp;"*",업무일지!$D$5:$D$1004,IF($E$30="전체","*",$E$30)))</f>
        <v/>
      </c>
      <c r="D44" s="26" t="str">
        <f aca="false">IF($A44="","",COUNTIFS(업무일지!$B$5:$B$1004,"&gt;="&amp;DATE($B$3,3,1),업무일지!$B$5:$B$1004,"&lt;"&amp;DATE($B$3,3+1,1),업무일지!$I$5:$I$1004,$A44,업무일지!$D$5:$D$1004,IF($E$30="전체","*",$E$30))+COUNTIFS(업무일지!$B$5:$B$1004,"&gt;="&amp;DATE($B$3,3,1),업무일지!$B$5:$B$1004,"&lt;"&amp;DATE($B$3,3+1,1),업무일지!$J$5:$J$1004,"*"&amp;$A44&amp;"*",업무일지!$D$5:$D$1004,IF($E$30="전체","*",$E$30)))</f>
        <v/>
      </c>
      <c r="E44" s="26" t="str">
        <f aca="false">IF($A44="","",COUNTIFS(업무일지!$B$5:$B$1004,"&gt;="&amp;DATE($B$3,4,1),업무일지!$B$5:$B$1004,"&lt;"&amp;DATE($B$3,4+1,1),업무일지!$I$5:$I$1004,$A44,업무일지!$D$5:$D$1004,IF($E$30="전체","*",$E$30))+COUNTIFS(업무일지!$B$5:$B$1004,"&gt;="&amp;DATE($B$3,4,1),업무일지!$B$5:$B$1004,"&lt;"&amp;DATE($B$3,4+1,1),업무일지!$J$5:$J$1004,"*"&amp;$A44&amp;"*",업무일지!$D$5:$D$1004,IF($E$30="전체","*",$E$30)))</f>
        <v/>
      </c>
      <c r="F44" s="26" t="str">
        <f aca="false">IF($A44="","",COUNTIFS(업무일지!$B$5:$B$1004,"&gt;="&amp;DATE($B$3,5,1),업무일지!$B$5:$B$1004,"&lt;"&amp;DATE($B$3,5+1,1),업무일지!$I$5:$I$1004,$A44,업무일지!$D$5:$D$1004,IF($E$30="전체","*",$E$30))+COUNTIFS(업무일지!$B$5:$B$1004,"&gt;="&amp;DATE($B$3,5,1),업무일지!$B$5:$B$1004,"&lt;"&amp;DATE($B$3,5+1,1),업무일지!$J$5:$J$1004,"*"&amp;$A44&amp;"*",업무일지!$D$5:$D$1004,IF($E$30="전체","*",$E$30)))</f>
        <v/>
      </c>
      <c r="G44" s="26" t="str">
        <f aca="false">IF($A44="","",COUNTIFS(업무일지!$B$5:$B$1004,"&gt;="&amp;DATE($B$3,6,1),업무일지!$B$5:$B$1004,"&lt;"&amp;DATE($B$3,6+1,1),업무일지!$I$5:$I$1004,$A44,업무일지!$D$5:$D$1004,IF($E$30="전체","*",$E$30))+COUNTIFS(업무일지!$B$5:$B$1004,"&gt;="&amp;DATE($B$3,6,1),업무일지!$B$5:$B$1004,"&lt;"&amp;DATE($B$3,6+1,1),업무일지!$J$5:$J$1004,"*"&amp;$A44&amp;"*",업무일지!$D$5:$D$1004,IF($E$30="전체","*",$E$30)))</f>
        <v/>
      </c>
      <c r="H44" s="26" t="str">
        <f aca="false">IF($A44="","",COUNTIFS(업무일지!$B$5:$B$1004,"&gt;="&amp;DATE($B$3,7,1),업무일지!$B$5:$B$1004,"&lt;"&amp;DATE($B$3,7+1,1),업무일지!$I$5:$I$1004,$A44,업무일지!$D$5:$D$1004,IF($E$30="전체","*",$E$30))+COUNTIFS(업무일지!$B$5:$B$1004,"&gt;="&amp;DATE($B$3,7,1),업무일지!$B$5:$B$1004,"&lt;"&amp;DATE($B$3,7+1,1),업무일지!$J$5:$J$1004,"*"&amp;$A44&amp;"*",업무일지!$D$5:$D$1004,IF($E$30="전체","*",$E$30)))</f>
        <v/>
      </c>
      <c r="I44" s="26" t="str">
        <f aca="false">IF($A44="","",COUNTIFS(업무일지!$B$5:$B$1004,"&gt;="&amp;DATE($B$3,8,1),업무일지!$B$5:$B$1004,"&lt;"&amp;DATE($B$3,8+1,1),업무일지!$I$5:$I$1004,$A44,업무일지!$D$5:$D$1004,IF($E$30="전체","*",$E$30))+COUNTIFS(업무일지!$B$5:$B$1004,"&gt;="&amp;DATE($B$3,8,1),업무일지!$B$5:$B$1004,"&lt;"&amp;DATE($B$3,8+1,1),업무일지!$J$5:$J$1004,"*"&amp;$A44&amp;"*",업무일지!$D$5:$D$1004,IF($E$30="전체","*",$E$30)))</f>
        <v/>
      </c>
      <c r="J44" s="26" t="str">
        <f aca="false">IF($A44="","",COUNTIFS(업무일지!$B$5:$B$1004,"&gt;="&amp;DATE($B$3,9,1),업무일지!$B$5:$B$1004,"&lt;"&amp;DATE($B$3,9+1,1),업무일지!$I$5:$I$1004,$A44,업무일지!$D$5:$D$1004,IF($E$30="전체","*",$E$30))+COUNTIFS(업무일지!$B$5:$B$1004,"&gt;="&amp;DATE($B$3,9,1),업무일지!$B$5:$B$1004,"&lt;"&amp;DATE($B$3,9+1,1),업무일지!$J$5:$J$1004,"*"&amp;$A44&amp;"*",업무일지!$D$5:$D$1004,IF($E$30="전체","*",$E$30)))</f>
        <v/>
      </c>
      <c r="K44" s="26" t="str">
        <f aca="false">IF($A44="","",COUNTIFS(업무일지!$B$5:$B$1004,"&gt;="&amp;DATE($B$3,10,1),업무일지!$B$5:$B$1004,"&lt;"&amp;DATE($B$3,10+1,1),업무일지!$I$5:$I$1004,$A44,업무일지!$D$5:$D$1004,IF($E$30="전체","*",$E$30))+COUNTIFS(업무일지!$B$5:$B$1004,"&gt;="&amp;DATE($B$3,10,1),업무일지!$B$5:$B$1004,"&lt;"&amp;DATE($B$3,10+1,1),업무일지!$J$5:$J$1004,"*"&amp;$A44&amp;"*",업무일지!$D$5:$D$1004,IF($E$30="전체","*",$E$30)))</f>
        <v/>
      </c>
      <c r="L44" s="26" t="str">
        <f aca="false">IF($A44="","",COUNTIFS(업무일지!$B$5:$B$1004,"&gt;="&amp;DATE($B$3,11,1),업무일지!$B$5:$B$1004,"&lt;"&amp;DATE($B$3,11+1,1),업무일지!$I$5:$I$1004,$A44,업무일지!$D$5:$D$1004,IF($E$30="전체","*",$E$30))+COUNTIFS(업무일지!$B$5:$B$1004,"&gt;="&amp;DATE($B$3,11,1),업무일지!$B$5:$B$1004,"&lt;"&amp;DATE($B$3,11+1,1),업무일지!$J$5:$J$1004,"*"&amp;$A44&amp;"*",업무일지!$D$5:$D$1004,IF($E$30="전체","*",$E$30)))</f>
        <v/>
      </c>
      <c r="M44" s="26" t="str">
        <f aca="false">IF($A44="","",COUNTIFS(업무일지!$B$5:$B$1004,"&gt;="&amp;DATE($B$3,12,1),업무일지!$B$5:$B$1004,"&lt;"&amp;DATE($B$3,12+1,1),업무일지!$I$5:$I$1004,$A44,업무일지!$D$5:$D$1004,IF($E$30="전체","*",$E$30))+COUNTIFS(업무일지!$B$5:$B$1004,"&gt;="&amp;DATE($B$3,12,1),업무일지!$B$5:$B$1004,"&lt;"&amp;DATE($B$3,12+1,1),업무일지!$J$5:$J$1004,"*"&amp;$A44&amp;"*",업무일지!$D$5:$D$1004,IF($E$30="전체","*",$E$30)))</f>
        <v/>
      </c>
      <c r="N44" s="26" t="str">
        <f aca="false">IF($A44="","",SUM(B44:M44))</f>
        <v/>
      </c>
    </row>
    <row r="45" customFormat="false" ht="15" hidden="false" customHeight="false" outlineLevel="0" collapsed="false">
      <c r="A45" s="22" t="str">
        <f aca="false">IF($A20="","",$A20)</f>
        <v/>
      </c>
      <c r="B45" s="23" t="str">
        <f aca="false">IF($A45="","",COUNTIFS(업무일지!$B$5:$B$1004,"&gt;="&amp;DATE($B$3,1,1),업무일지!$B$5:$B$1004,"&lt;"&amp;DATE($B$3,1+1,1),업무일지!$I$5:$I$1004,$A45,업무일지!$D$5:$D$1004,IF($E$30="전체","*",$E$30))+COUNTIFS(업무일지!$B$5:$B$1004,"&gt;="&amp;DATE($B$3,1,1),업무일지!$B$5:$B$1004,"&lt;"&amp;DATE($B$3,1+1,1),업무일지!$J$5:$J$1004,"*"&amp;$A45&amp;"*",업무일지!$D$5:$D$1004,IF($E$30="전체","*",$E$30)))</f>
        <v/>
      </c>
      <c r="C45" s="23" t="str">
        <f aca="false">IF($A45="","",COUNTIFS(업무일지!$B$5:$B$1004,"&gt;="&amp;DATE($B$3,2,1),업무일지!$B$5:$B$1004,"&lt;"&amp;DATE($B$3,2+1,1),업무일지!$I$5:$I$1004,$A45,업무일지!$D$5:$D$1004,IF($E$30="전체","*",$E$30))+COUNTIFS(업무일지!$B$5:$B$1004,"&gt;="&amp;DATE($B$3,2,1),업무일지!$B$5:$B$1004,"&lt;"&amp;DATE($B$3,2+1,1),업무일지!$J$5:$J$1004,"*"&amp;$A45&amp;"*",업무일지!$D$5:$D$1004,IF($E$30="전체","*",$E$30)))</f>
        <v/>
      </c>
      <c r="D45" s="23" t="str">
        <f aca="false">IF($A45="","",COUNTIFS(업무일지!$B$5:$B$1004,"&gt;="&amp;DATE($B$3,3,1),업무일지!$B$5:$B$1004,"&lt;"&amp;DATE($B$3,3+1,1),업무일지!$I$5:$I$1004,$A45,업무일지!$D$5:$D$1004,IF($E$30="전체","*",$E$30))+COUNTIFS(업무일지!$B$5:$B$1004,"&gt;="&amp;DATE($B$3,3,1),업무일지!$B$5:$B$1004,"&lt;"&amp;DATE($B$3,3+1,1),업무일지!$J$5:$J$1004,"*"&amp;$A45&amp;"*",업무일지!$D$5:$D$1004,IF($E$30="전체","*",$E$30)))</f>
        <v/>
      </c>
      <c r="E45" s="23" t="str">
        <f aca="false">IF($A45="","",COUNTIFS(업무일지!$B$5:$B$1004,"&gt;="&amp;DATE($B$3,4,1),업무일지!$B$5:$B$1004,"&lt;"&amp;DATE($B$3,4+1,1),업무일지!$I$5:$I$1004,$A45,업무일지!$D$5:$D$1004,IF($E$30="전체","*",$E$30))+COUNTIFS(업무일지!$B$5:$B$1004,"&gt;="&amp;DATE($B$3,4,1),업무일지!$B$5:$B$1004,"&lt;"&amp;DATE($B$3,4+1,1),업무일지!$J$5:$J$1004,"*"&amp;$A45&amp;"*",업무일지!$D$5:$D$1004,IF($E$30="전체","*",$E$30)))</f>
        <v/>
      </c>
      <c r="F45" s="23" t="str">
        <f aca="false">IF($A45="","",COUNTIFS(업무일지!$B$5:$B$1004,"&gt;="&amp;DATE($B$3,5,1),업무일지!$B$5:$B$1004,"&lt;"&amp;DATE($B$3,5+1,1),업무일지!$I$5:$I$1004,$A45,업무일지!$D$5:$D$1004,IF($E$30="전체","*",$E$30))+COUNTIFS(업무일지!$B$5:$B$1004,"&gt;="&amp;DATE($B$3,5,1),업무일지!$B$5:$B$1004,"&lt;"&amp;DATE($B$3,5+1,1),업무일지!$J$5:$J$1004,"*"&amp;$A45&amp;"*",업무일지!$D$5:$D$1004,IF($E$30="전체","*",$E$30)))</f>
        <v/>
      </c>
      <c r="G45" s="23" t="str">
        <f aca="false">IF($A45="","",COUNTIFS(업무일지!$B$5:$B$1004,"&gt;="&amp;DATE($B$3,6,1),업무일지!$B$5:$B$1004,"&lt;"&amp;DATE($B$3,6+1,1),업무일지!$I$5:$I$1004,$A45,업무일지!$D$5:$D$1004,IF($E$30="전체","*",$E$30))+COUNTIFS(업무일지!$B$5:$B$1004,"&gt;="&amp;DATE($B$3,6,1),업무일지!$B$5:$B$1004,"&lt;"&amp;DATE($B$3,6+1,1),업무일지!$J$5:$J$1004,"*"&amp;$A45&amp;"*",업무일지!$D$5:$D$1004,IF($E$30="전체","*",$E$30)))</f>
        <v/>
      </c>
      <c r="H45" s="23" t="str">
        <f aca="false">IF($A45="","",COUNTIFS(업무일지!$B$5:$B$1004,"&gt;="&amp;DATE($B$3,7,1),업무일지!$B$5:$B$1004,"&lt;"&amp;DATE($B$3,7+1,1),업무일지!$I$5:$I$1004,$A45,업무일지!$D$5:$D$1004,IF($E$30="전체","*",$E$30))+COUNTIFS(업무일지!$B$5:$B$1004,"&gt;="&amp;DATE($B$3,7,1),업무일지!$B$5:$B$1004,"&lt;"&amp;DATE($B$3,7+1,1),업무일지!$J$5:$J$1004,"*"&amp;$A45&amp;"*",업무일지!$D$5:$D$1004,IF($E$30="전체","*",$E$30)))</f>
        <v/>
      </c>
      <c r="I45" s="23" t="str">
        <f aca="false">IF($A45="","",COUNTIFS(업무일지!$B$5:$B$1004,"&gt;="&amp;DATE($B$3,8,1),업무일지!$B$5:$B$1004,"&lt;"&amp;DATE($B$3,8+1,1),업무일지!$I$5:$I$1004,$A45,업무일지!$D$5:$D$1004,IF($E$30="전체","*",$E$30))+COUNTIFS(업무일지!$B$5:$B$1004,"&gt;="&amp;DATE($B$3,8,1),업무일지!$B$5:$B$1004,"&lt;"&amp;DATE($B$3,8+1,1),업무일지!$J$5:$J$1004,"*"&amp;$A45&amp;"*",업무일지!$D$5:$D$1004,IF($E$30="전체","*",$E$30)))</f>
        <v/>
      </c>
      <c r="J45" s="23" t="str">
        <f aca="false">IF($A45="","",COUNTIFS(업무일지!$B$5:$B$1004,"&gt;="&amp;DATE($B$3,9,1),업무일지!$B$5:$B$1004,"&lt;"&amp;DATE($B$3,9+1,1),업무일지!$I$5:$I$1004,$A45,업무일지!$D$5:$D$1004,IF($E$30="전체","*",$E$30))+COUNTIFS(업무일지!$B$5:$B$1004,"&gt;="&amp;DATE($B$3,9,1),업무일지!$B$5:$B$1004,"&lt;"&amp;DATE($B$3,9+1,1),업무일지!$J$5:$J$1004,"*"&amp;$A45&amp;"*",업무일지!$D$5:$D$1004,IF($E$30="전체","*",$E$30)))</f>
        <v/>
      </c>
      <c r="K45" s="23" t="str">
        <f aca="false">IF($A45="","",COUNTIFS(업무일지!$B$5:$B$1004,"&gt;="&amp;DATE($B$3,10,1),업무일지!$B$5:$B$1004,"&lt;"&amp;DATE($B$3,10+1,1),업무일지!$I$5:$I$1004,$A45,업무일지!$D$5:$D$1004,IF($E$30="전체","*",$E$30))+COUNTIFS(업무일지!$B$5:$B$1004,"&gt;="&amp;DATE($B$3,10,1),업무일지!$B$5:$B$1004,"&lt;"&amp;DATE($B$3,10+1,1),업무일지!$J$5:$J$1004,"*"&amp;$A45&amp;"*",업무일지!$D$5:$D$1004,IF($E$30="전체","*",$E$30)))</f>
        <v/>
      </c>
      <c r="L45" s="23" t="str">
        <f aca="false">IF($A45="","",COUNTIFS(업무일지!$B$5:$B$1004,"&gt;="&amp;DATE($B$3,11,1),업무일지!$B$5:$B$1004,"&lt;"&amp;DATE($B$3,11+1,1),업무일지!$I$5:$I$1004,$A45,업무일지!$D$5:$D$1004,IF($E$30="전체","*",$E$30))+COUNTIFS(업무일지!$B$5:$B$1004,"&gt;="&amp;DATE($B$3,11,1),업무일지!$B$5:$B$1004,"&lt;"&amp;DATE($B$3,11+1,1),업무일지!$J$5:$J$1004,"*"&amp;$A45&amp;"*",업무일지!$D$5:$D$1004,IF($E$30="전체","*",$E$30)))</f>
        <v/>
      </c>
      <c r="M45" s="23" t="str">
        <f aca="false">IF($A45="","",COUNTIFS(업무일지!$B$5:$B$1004,"&gt;="&amp;DATE($B$3,12,1),업무일지!$B$5:$B$1004,"&lt;"&amp;DATE($B$3,12+1,1),업무일지!$I$5:$I$1004,$A45,업무일지!$D$5:$D$1004,IF($E$30="전체","*",$E$30))+COUNTIFS(업무일지!$B$5:$B$1004,"&gt;="&amp;DATE($B$3,12,1),업무일지!$B$5:$B$1004,"&lt;"&amp;DATE($B$3,12+1,1),업무일지!$J$5:$J$1004,"*"&amp;$A45&amp;"*",업무일지!$D$5:$D$1004,IF($E$30="전체","*",$E$30)))</f>
        <v/>
      </c>
      <c r="N45" s="23" t="str">
        <f aca="false">IF($A45="","",SUM(B45:M45))</f>
        <v/>
      </c>
    </row>
    <row r="46" customFormat="false" ht="15" hidden="false" customHeight="false" outlineLevel="0" collapsed="false">
      <c r="A46" s="25" t="str">
        <f aca="false">IF($A21="","",$A21)</f>
        <v/>
      </c>
      <c r="B46" s="26" t="str">
        <f aca="false">IF($A46="","",COUNTIFS(업무일지!$B$5:$B$1004,"&gt;="&amp;DATE($B$3,1,1),업무일지!$B$5:$B$1004,"&lt;"&amp;DATE($B$3,1+1,1),업무일지!$I$5:$I$1004,$A46,업무일지!$D$5:$D$1004,IF($E$30="전체","*",$E$30))+COUNTIFS(업무일지!$B$5:$B$1004,"&gt;="&amp;DATE($B$3,1,1),업무일지!$B$5:$B$1004,"&lt;"&amp;DATE($B$3,1+1,1),업무일지!$J$5:$J$1004,"*"&amp;$A46&amp;"*",업무일지!$D$5:$D$1004,IF($E$30="전체","*",$E$30)))</f>
        <v/>
      </c>
      <c r="C46" s="26" t="str">
        <f aca="false">IF($A46="","",COUNTIFS(업무일지!$B$5:$B$1004,"&gt;="&amp;DATE($B$3,2,1),업무일지!$B$5:$B$1004,"&lt;"&amp;DATE($B$3,2+1,1),업무일지!$I$5:$I$1004,$A46,업무일지!$D$5:$D$1004,IF($E$30="전체","*",$E$30))+COUNTIFS(업무일지!$B$5:$B$1004,"&gt;="&amp;DATE($B$3,2,1),업무일지!$B$5:$B$1004,"&lt;"&amp;DATE($B$3,2+1,1),업무일지!$J$5:$J$1004,"*"&amp;$A46&amp;"*",업무일지!$D$5:$D$1004,IF($E$30="전체","*",$E$30)))</f>
        <v/>
      </c>
      <c r="D46" s="26" t="str">
        <f aca="false">IF($A46="","",COUNTIFS(업무일지!$B$5:$B$1004,"&gt;="&amp;DATE($B$3,3,1),업무일지!$B$5:$B$1004,"&lt;"&amp;DATE($B$3,3+1,1),업무일지!$I$5:$I$1004,$A46,업무일지!$D$5:$D$1004,IF($E$30="전체","*",$E$30))+COUNTIFS(업무일지!$B$5:$B$1004,"&gt;="&amp;DATE($B$3,3,1),업무일지!$B$5:$B$1004,"&lt;"&amp;DATE($B$3,3+1,1),업무일지!$J$5:$J$1004,"*"&amp;$A46&amp;"*",업무일지!$D$5:$D$1004,IF($E$30="전체","*",$E$30)))</f>
        <v/>
      </c>
      <c r="E46" s="26" t="str">
        <f aca="false">IF($A46="","",COUNTIFS(업무일지!$B$5:$B$1004,"&gt;="&amp;DATE($B$3,4,1),업무일지!$B$5:$B$1004,"&lt;"&amp;DATE($B$3,4+1,1),업무일지!$I$5:$I$1004,$A46,업무일지!$D$5:$D$1004,IF($E$30="전체","*",$E$30))+COUNTIFS(업무일지!$B$5:$B$1004,"&gt;="&amp;DATE($B$3,4,1),업무일지!$B$5:$B$1004,"&lt;"&amp;DATE($B$3,4+1,1),업무일지!$J$5:$J$1004,"*"&amp;$A46&amp;"*",업무일지!$D$5:$D$1004,IF($E$30="전체","*",$E$30)))</f>
        <v/>
      </c>
      <c r="F46" s="26" t="str">
        <f aca="false">IF($A46="","",COUNTIFS(업무일지!$B$5:$B$1004,"&gt;="&amp;DATE($B$3,5,1),업무일지!$B$5:$B$1004,"&lt;"&amp;DATE($B$3,5+1,1),업무일지!$I$5:$I$1004,$A46,업무일지!$D$5:$D$1004,IF($E$30="전체","*",$E$30))+COUNTIFS(업무일지!$B$5:$B$1004,"&gt;="&amp;DATE($B$3,5,1),업무일지!$B$5:$B$1004,"&lt;"&amp;DATE($B$3,5+1,1),업무일지!$J$5:$J$1004,"*"&amp;$A46&amp;"*",업무일지!$D$5:$D$1004,IF($E$30="전체","*",$E$30)))</f>
        <v/>
      </c>
      <c r="G46" s="26" t="str">
        <f aca="false">IF($A46="","",COUNTIFS(업무일지!$B$5:$B$1004,"&gt;="&amp;DATE($B$3,6,1),업무일지!$B$5:$B$1004,"&lt;"&amp;DATE($B$3,6+1,1),업무일지!$I$5:$I$1004,$A46,업무일지!$D$5:$D$1004,IF($E$30="전체","*",$E$30))+COUNTIFS(업무일지!$B$5:$B$1004,"&gt;="&amp;DATE($B$3,6,1),업무일지!$B$5:$B$1004,"&lt;"&amp;DATE($B$3,6+1,1),업무일지!$J$5:$J$1004,"*"&amp;$A46&amp;"*",업무일지!$D$5:$D$1004,IF($E$30="전체","*",$E$30)))</f>
        <v/>
      </c>
      <c r="H46" s="26" t="str">
        <f aca="false">IF($A46="","",COUNTIFS(업무일지!$B$5:$B$1004,"&gt;="&amp;DATE($B$3,7,1),업무일지!$B$5:$B$1004,"&lt;"&amp;DATE($B$3,7+1,1),업무일지!$I$5:$I$1004,$A46,업무일지!$D$5:$D$1004,IF($E$30="전체","*",$E$30))+COUNTIFS(업무일지!$B$5:$B$1004,"&gt;="&amp;DATE($B$3,7,1),업무일지!$B$5:$B$1004,"&lt;"&amp;DATE($B$3,7+1,1),업무일지!$J$5:$J$1004,"*"&amp;$A46&amp;"*",업무일지!$D$5:$D$1004,IF($E$30="전체","*",$E$30)))</f>
        <v/>
      </c>
      <c r="I46" s="26" t="str">
        <f aca="false">IF($A46="","",COUNTIFS(업무일지!$B$5:$B$1004,"&gt;="&amp;DATE($B$3,8,1),업무일지!$B$5:$B$1004,"&lt;"&amp;DATE($B$3,8+1,1),업무일지!$I$5:$I$1004,$A46,업무일지!$D$5:$D$1004,IF($E$30="전체","*",$E$30))+COUNTIFS(업무일지!$B$5:$B$1004,"&gt;="&amp;DATE($B$3,8,1),업무일지!$B$5:$B$1004,"&lt;"&amp;DATE($B$3,8+1,1),업무일지!$J$5:$J$1004,"*"&amp;$A46&amp;"*",업무일지!$D$5:$D$1004,IF($E$30="전체","*",$E$30)))</f>
        <v/>
      </c>
      <c r="J46" s="26" t="str">
        <f aca="false">IF($A46="","",COUNTIFS(업무일지!$B$5:$B$1004,"&gt;="&amp;DATE($B$3,9,1),업무일지!$B$5:$B$1004,"&lt;"&amp;DATE($B$3,9+1,1),업무일지!$I$5:$I$1004,$A46,업무일지!$D$5:$D$1004,IF($E$30="전체","*",$E$30))+COUNTIFS(업무일지!$B$5:$B$1004,"&gt;="&amp;DATE($B$3,9,1),업무일지!$B$5:$B$1004,"&lt;"&amp;DATE($B$3,9+1,1),업무일지!$J$5:$J$1004,"*"&amp;$A46&amp;"*",업무일지!$D$5:$D$1004,IF($E$30="전체","*",$E$30)))</f>
        <v/>
      </c>
      <c r="K46" s="26" t="str">
        <f aca="false">IF($A46="","",COUNTIFS(업무일지!$B$5:$B$1004,"&gt;="&amp;DATE($B$3,10,1),업무일지!$B$5:$B$1004,"&lt;"&amp;DATE($B$3,10+1,1),업무일지!$I$5:$I$1004,$A46,업무일지!$D$5:$D$1004,IF($E$30="전체","*",$E$30))+COUNTIFS(업무일지!$B$5:$B$1004,"&gt;="&amp;DATE($B$3,10,1),업무일지!$B$5:$B$1004,"&lt;"&amp;DATE($B$3,10+1,1),업무일지!$J$5:$J$1004,"*"&amp;$A46&amp;"*",업무일지!$D$5:$D$1004,IF($E$30="전체","*",$E$30)))</f>
        <v/>
      </c>
      <c r="L46" s="26" t="str">
        <f aca="false">IF($A46="","",COUNTIFS(업무일지!$B$5:$B$1004,"&gt;="&amp;DATE($B$3,11,1),업무일지!$B$5:$B$1004,"&lt;"&amp;DATE($B$3,11+1,1),업무일지!$I$5:$I$1004,$A46,업무일지!$D$5:$D$1004,IF($E$30="전체","*",$E$30))+COUNTIFS(업무일지!$B$5:$B$1004,"&gt;="&amp;DATE($B$3,11,1),업무일지!$B$5:$B$1004,"&lt;"&amp;DATE($B$3,11+1,1),업무일지!$J$5:$J$1004,"*"&amp;$A46&amp;"*",업무일지!$D$5:$D$1004,IF($E$30="전체","*",$E$30)))</f>
        <v/>
      </c>
      <c r="M46" s="26" t="str">
        <f aca="false">IF($A46="","",COUNTIFS(업무일지!$B$5:$B$1004,"&gt;="&amp;DATE($B$3,12,1),업무일지!$B$5:$B$1004,"&lt;"&amp;DATE($B$3,12+1,1),업무일지!$I$5:$I$1004,$A46,업무일지!$D$5:$D$1004,IF($E$30="전체","*",$E$30))+COUNTIFS(업무일지!$B$5:$B$1004,"&gt;="&amp;DATE($B$3,12,1),업무일지!$B$5:$B$1004,"&lt;"&amp;DATE($B$3,12+1,1),업무일지!$J$5:$J$1004,"*"&amp;$A46&amp;"*",업무일지!$D$5:$D$1004,IF($E$30="전체","*",$E$30)))</f>
        <v/>
      </c>
      <c r="N46" s="26" t="str">
        <f aca="false">IF($A46="","",SUM(B46:M46))</f>
        <v/>
      </c>
    </row>
    <row r="47" customFormat="false" ht="15" hidden="false" customHeight="false" outlineLevel="0" collapsed="false">
      <c r="A47" s="22" t="str">
        <f aca="false">IF($A22="","",$A22)</f>
        <v/>
      </c>
      <c r="B47" s="23" t="str">
        <f aca="false">IF($A47="","",COUNTIFS(업무일지!$B$5:$B$1004,"&gt;="&amp;DATE($B$3,1,1),업무일지!$B$5:$B$1004,"&lt;"&amp;DATE($B$3,1+1,1),업무일지!$I$5:$I$1004,$A47,업무일지!$D$5:$D$1004,IF($E$30="전체","*",$E$30))+COUNTIFS(업무일지!$B$5:$B$1004,"&gt;="&amp;DATE($B$3,1,1),업무일지!$B$5:$B$1004,"&lt;"&amp;DATE($B$3,1+1,1),업무일지!$J$5:$J$1004,"*"&amp;$A47&amp;"*",업무일지!$D$5:$D$1004,IF($E$30="전체","*",$E$30)))</f>
        <v/>
      </c>
      <c r="C47" s="23" t="str">
        <f aca="false">IF($A47="","",COUNTIFS(업무일지!$B$5:$B$1004,"&gt;="&amp;DATE($B$3,2,1),업무일지!$B$5:$B$1004,"&lt;"&amp;DATE($B$3,2+1,1),업무일지!$I$5:$I$1004,$A47,업무일지!$D$5:$D$1004,IF($E$30="전체","*",$E$30))+COUNTIFS(업무일지!$B$5:$B$1004,"&gt;="&amp;DATE($B$3,2,1),업무일지!$B$5:$B$1004,"&lt;"&amp;DATE($B$3,2+1,1),업무일지!$J$5:$J$1004,"*"&amp;$A47&amp;"*",업무일지!$D$5:$D$1004,IF($E$30="전체","*",$E$30)))</f>
        <v/>
      </c>
      <c r="D47" s="23" t="str">
        <f aca="false">IF($A47="","",COUNTIFS(업무일지!$B$5:$B$1004,"&gt;="&amp;DATE($B$3,3,1),업무일지!$B$5:$B$1004,"&lt;"&amp;DATE($B$3,3+1,1),업무일지!$I$5:$I$1004,$A47,업무일지!$D$5:$D$1004,IF($E$30="전체","*",$E$30))+COUNTIFS(업무일지!$B$5:$B$1004,"&gt;="&amp;DATE($B$3,3,1),업무일지!$B$5:$B$1004,"&lt;"&amp;DATE($B$3,3+1,1),업무일지!$J$5:$J$1004,"*"&amp;$A47&amp;"*",업무일지!$D$5:$D$1004,IF($E$30="전체","*",$E$30)))</f>
        <v/>
      </c>
      <c r="E47" s="23" t="str">
        <f aca="false">IF($A47="","",COUNTIFS(업무일지!$B$5:$B$1004,"&gt;="&amp;DATE($B$3,4,1),업무일지!$B$5:$B$1004,"&lt;"&amp;DATE($B$3,4+1,1),업무일지!$I$5:$I$1004,$A47,업무일지!$D$5:$D$1004,IF($E$30="전체","*",$E$30))+COUNTIFS(업무일지!$B$5:$B$1004,"&gt;="&amp;DATE($B$3,4,1),업무일지!$B$5:$B$1004,"&lt;"&amp;DATE($B$3,4+1,1),업무일지!$J$5:$J$1004,"*"&amp;$A47&amp;"*",업무일지!$D$5:$D$1004,IF($E$30="전체","*",$E$30)))</f>
        <v/>
      </c>
      <c r="F47" s="23" t="str">
        <f aca="false">IF($A47="","",COUNTIFS(업무일지!$B$5:$B$1004,"&gt;="&amp;DATE($B$3,5,1),업무일지!$B$5:$B$1004,"&lt;"&amp;DATE($B$3,5+1,1),업무일지!$I$5:$I$1004,$A47,업무일지!$D$5:$D$1004,IF($E$30="전체","*",$E$30))+COUNTIFS(업무일지!$B$5:$B$1004,"&gt;="&amp;DATE($B$3,5,1),업무일지!$B$5:$B$1004,"&lt;"&amp;DATE($B$3,5+1,1),업무일지!$J$5:$J$1004,"*"&amp;$A47&amp;"*",업무일지!$D$5:$D$1004,IF($E$30="전체","*",$E$30)))</f>
        <v/>
      </c>
      <c r="G47" s="23" t="str">
        <f aca="false">IF($A47="","",COUNTIFS(업무일지!$B$5:$B$1004,"&gt;="&amp;DATE($B$3,6,1),업무일지!$B$5:$B$1004,"&lt;"&amp;DATE($B$3,6+1,1),업무일지!$I$5:$I$1004,$A47,업무일지!$D$5:$D$1004,IF($E$30="전체","*",$E$30))+COUNTIFS(업무일지!$B$5:$B$1004,"&gt;="&amp;DATE($B$3,6,1),업무일지!$B$5:$B$1004,"&lt;"&amp;DATE($B$3,6+1,1),업무일지!$J$5:$J$1004,"*"&amp;$A47&amp;"*",업무일지!$D$5:$D$1004,IF($E$30="전체","*",$E$30)))</f>
        <v/>
      </c>
      <c r="H47" s="23" t="str">
        <f aca="false">IF($A47="","",COUNTIFS(업무일지!$B$5:$B$1004,"&gt;="&amp;DATE($B$3,7,1),업무일지!$B$5:$B$1004,"&lt;"&amp;DATE($B$3,7+1,1),업무일지!$I$5:$I$1004,$A47,업무일지!$D$5:$D$1004,IF($E$30="전체","*",$E$30))+COUNTIFS(업무일지!$B$5:$B$1004,"&gt;="&amp;DATE($B$3,7,1),업무일지!$B$5:$B$1004,"&lt;"&amp;DATE($B$3,7+1,1),업무일지!$J$5:$J$1004,"*"&amp;$A47&amp;"*",업무일지!$D$5:$D$1004,IF($E$30="전체","*",$E$30)))</f>
        <v/>
      </c>
      <c r="I47" s="23" t="str">
        <f aca="false">IF($A47="","",COUNTIFS(업무일지!$B$5:$B$1004,"&gt;="&amp;DATE($B$3,8,1),업무일지!$B$5:$B$1004,"&lt;"&amp;DATE($B$3,8+1,1),업무일지!$I$5:$I$1004,$A47,업무일지!$D$5:$D$1004,IF($E$30="전체","*",$E$30))+COUNTIFS(업무일지!$B$5:$B$1004,"&gt;="&amp;DATE($B$3,8,1),업무일지!$B$5:$B$1004,"&lt;"&amp;DATE($B$3,8+1,1),업무일지!$J$5:$J$1004,"*"&amp;$A47&amp;"*",업무일지!$D$5:$D$1004,IF($E$30="전체","*",$E$30)))</f>
        <v/>
      </c>
      <c r="J47" s="23" t="str">
        <f aca="false">IF($A47="","",COUNTIFS(업무일지!$B$5:$B$1004,"&gt;="&amp;DATE($B$3,9,1),업무일지!$B$5:$B$1004,"&lt;"&amp;DATE($B$3,9+1,1),업무일지!$I$5:$I$1004,$A47,업무일지!$D$5:$D$1004,IF($E$30="전체","*",$E$30))+COUNTIFS(업무일지!$B$5:$B$1004,"&gt;="&amp;DATE($B$3,9,1),업무일지!$B$5:$B$1004,"&lt;"&amp;DATE($B$3,9+1,1),업무일지!$J$5:$J$1004,"*"&amp;$A47&amp;"*",업무일지!$D$5:$D$1004,IF($E$30="전체","*",$E$30)))</f>
        <v/>
      </c>
      <c r="K47" s="23" t="str">
        <f aca="false">IF($A47="","",COUNTIFS(업무일지!$B$5:$B$1004,"&gt;="&amp;DATE($B$3,10,1),업무일지!$B$5:$B$1004,"&lt;"&amp;DATE($B$3,10+1,1),업무일지!$I$5:$I$1004,$A47,업무일지!$D$5:$D$1004,IF($E$30="전체","*",$E$30))+COUNTIFS(업무일지!$B$5:$B$1004,"&gt;="&amp;DATE($B$3,10,1),업무일지!$B$5:$B$1004,"&lt;"&amp;DATE($B$3,10+1,1),업무일지!$J$5:$J$1004,"*"&amp;$A47&amp;"*",업무일지!$D$5:$D$1004,IF($E$30="전체","*",$E$30)))</f>
        <v/>
      </c>
      <c r="L47" s="23" t="str">
        <f aca="false">IF($A47="","",COUNTIFS(업무일지!$B$5:$B$1004,"&gt;="&amp;DATE($B$3,11,1),업무일지!$B$5:$B$1004,"&lt;"&amp;DATE($B$3,11+1,1),업무일지!$I$5:$I$1004,$A47,업무일지!$D$5:$D$1004,IF($E$30="전체","*",$E$30))+COUNTIFS(업무일지!$B$5:$B$1004,"&gt;="&amp;DATE($B$3,11,1),업무일지!$B$5:$B$1004,"&lt;"&amp;DATE($B$3,11+1,1),업무일지!$J$5:$J$1004,"*"&amp;$A47&amp;"*",업무일지!$D$5:$D$1004,IF($E$30="전체","*",$E$30)))</f>
        <v/>
      </c>
      <c r="M47" s="23" t="str">
        <f aca="false">IF($A47="","",COUNTIFS(업무일지!$B$5:$B$1004,"&gt;="&amp;DATE($B$3,12,1),업무일지!$B$5:$B$1004,"&lt;"&amp;DATE($B$3,12+1,1),업무일지!$I$5:$I$1004,$A47,업무일지!$D$5:$D$1004,IF($E$30="전체","*",$E$30))+COUNTIFS(업무일지!$B$5:$B$1004,"&gt;="&amp;DATE($B$3,12,1),업무일지!$B$5:$B$1004,"&lt;"&amp;DATE($B$3,12+1,1),업무일지!$J$5:$J$1004,"*"&amp;$A47&amp;"*",업무일지!$D$5:$D$1004,IF($E$30="전체","*",$E$30)))</f>
        <v/>
      </c>
      <c r="N47" s="23" t="str">
        <f aca="false">IF($A47="","",SUM(B47:M47))</f>
        <v/>
      </c>
    </row>
    <row r="48" customFormat="false" ht="15" hidden="false" customHeight="false" outlineLevel="0" collapsed="false">
      <c r="A48" s="25" t="str">
        <f aca="false">IF($A23="","",$A23)</f>
        <v/>
      </c>
      <c r="B48" s="26" t="str">
        <f aca="false">IF($A48="","",COUNTIFS(업무일지!$B$5:$B$1004,"&gt;="&amp;DATE($B$3,1,1),업무일지!$B$5:$B$1004,"&lt;"&amp;DATE($B$3,1+1,1),업무일지!$I$5:$I$1004,$A48,업무일지!$D$5:$D$1004,IF($E$30="전체","*",$E$30))+COUNTIFS(업무일지!$B$5:$B$1004,"&gt;="&amp;DATE($B$3,1,1),업무일지!$B$5:$B$1004,"&lt;"&amp;DATE($B$3,1+1,1),업무일지!$J$5:$J$1004,"*"&amp;$A48&amp;"*",업무일지!$D$5:$D$1004,IF($E$30="전체","*",$E$30)))</f>
        <v/>
      </c>
      <c r="C48" s="26" t="str">
        <f aca="false">IF($A48="","",COUNTIFS(업무일지!$B$5:$B$1004,"&gt;="&amp;DATE($B$3,2,1),업무일지!$B$5:$B$1004,"&lt;"&amp;DATE($B$3,2+1,1),업무일지!$I$5:$I$1004,$A48,업무일지!$D$5:$D$1004,IF($E$30="전체","*",$E$30))+COUNTIFS(업무일지!$B$5:$B$1004,"&gt;="&amp;DATE($B$3,2,1),업무일지!$B$5:$B$1004,"&lt;"&amp;DATE($B$3,2+1,1),업무일지!$J$5:$J$1004,"*"&amp;$A48&amp;"*",업무일지!$D$5:$D$1004,IF($E$30="전체","*",$E$30)))</f>
        <v/>
      </c>
      <c r="D48" s="26" t="str">
        <f aca="false">IF($A48="","",COUNTIFS(업무일지!$B$5:$B$1004,"&gt;="&amp;DATE($B$3,3,1),업무일지!$B$5:$B$1004,"&lt;"&amp;DATE($B$3,3+1,1),업무일지!$I$5:$I$1004,$A48,업무일지!$D$5:$D$1004,IF($E$30="전체","*",$E$30))+COUNTIFS(업무일지!$B$5:$B$1004,"&gt;="&amp;DATE($B$3,3,1),업무일지!$B$5:$B$1004,"&lt;"&amp;DATE($B$3,3+1,1),업무일지!$J$5:$J$1004,"*"&amp;$A48&amp;"*",업무일지!$D$5:$D$1004,IF($E$30="전체","*",$E$30)))</f>
        <v/>
      </c>
      <c r="E48" s="26" t="str">
        <f aca="false">IF($A48="","",COUNTIFS(업무일지!$B$5:$B$1004,"&gt;="&amp;DATE($B$3,4,1),업무일지!$B$5:$B$1004,"&lt;"&amp;DATE($B$3,4+1,1),업무일지!$I$5:$I$1004,$A48,업무일지!$D$5:$D$1004,IF($E$30="전체","*",$E$30))+COUNTIFS(업무일지!$B$5:$B$1004,"&gt;="&amp;DATE($B$3,4,1),업무일지!$B$5:$B$1004,"&lt;"&amp;DATE($B$3,4+1,1),업무일지!$J$5:$J$1004,"*"&amp;$A48&amp;"*",업무일지!$D$5:$D$1004,IF($E$30="전체","*",$E$30)))</f>
        <v/>
      </c>
      <c r="F48" s="26" t="str">
        <f aca="false">IF($A48="","",COUNTIFS(업무일지!$B$5:$B$1004,"&gt;="&amp;DATE($B$3,5,1),업무일지!$B$5:$B$1004,"&lt;"&amp;DATE($B$3,5+1,1),업무일지!$I$5:$I$1004,$A48,업무일지!$D$5:$D$1004,IF($E$30="전체","*",$E$30))+COUNTIFS(업무일지!$B$5:$B$1004,"&gt;="&amp;DATE($B$3,5,1),업무일지!$B$5:$B$1004,"&lt;"&amp;DATE($B$3,5+1,1),업무일지!$J$5:$J$1004,"*"&amp;$A48&amp;"*",업무일지!$D$5:$D$1004,IF($E$30="전체","*",$E$30)))</f>
        <v/>
      </c>
      <c r="G48" s="26" t="str">
        <f aca="false">IF($A48="","",COUNTIFS(업무일지!$B$5:$B$1004,"&gt;="&amp;DATE($B$3,6,1),업무일지!$B$5:$B$1004,"&lt;"&amp;DATE($B$3,6+1,1),업무일지!$I$5:$I$1004,$A48,업무일지!$D$5:$D$1004,IF($E$30="전체","*",$E$30))+COUNTIFS(업무일지!$B$5:$B$1004,"&gt;="&amp;DATE($B$3,6,1),업무일지!$B$5:$B$1004,"&lt;"&amp;DATE($B$3,6+1,1),업무일지!$J$5:$J$1004,"*"&amp;$A48&amp;"*",업무일지!$D$5:$D$1004,IF($E$30="전체","*",$E$30)))</f>
        <v/>
      </c>
      <c r="H48" s="26" t="str">
        <f aca="false">IF($A48="","",COUNTIFS(업무일지!$B$5:$B$1004,"&gt;="&amp;DATE($B$3,7,1),업무일지!$B$5:$B$1004,"&lt;"&amp;DATE($B$3,7+1,1),업무일지!$I$5:$I$1004,$A48,업무일지!$D$5:$D$1004,IF($E$30="전체","*",$E$30))+COUNTIFS(업무일지!$B$5:$B$1004,"&gt;="&amp;DATE($B$3,7,1),업무일지!$B$5:$B$1004,"&lt;"&amp;DATE($B$3,7+1,1),업무일지!$J$5:$J$1004,"*"&amp;$A48&amp;"*",업무일지!$D$5:$D$1004,IF($E$30="전체","*",$E$30)))</f>
        <v/>
      </c>
      <c r="I48" s="26" t="str">
        <f aca="false">IF($A48="","",COUNTIFS(업무일지!$B$5:$B$1004,"&gt;="&amp;DATE($B$3,8,1),업무일지!$B$5:$B$1004,"&lt;"&amp;DATE($B$3,8+1,1),업무일지!$I$5:$I$1004,$A48,업무일지!$D$5:$D$1004,IF($E$30="전체","*",$E$30))+COUNTIFS(업무일지!$B$5:$B$1004,"&gt;="&amp;DATE($B$3,8,1),업무일지!$B$5:$B$1004,"&lt;"&amp;DATE($B$3,8+1,1),업무일지!$J$5:$J$1004,"*"&amp;$A48&amp;"*",업무일지!$D$5:$D$1004,IF($E$30="전체","*",$E$30)))</f>
        <v/>
      </c>
      <c r="J48" s="26" t="str">
        <f aca="false">IF($A48="","",COUNTIFS(업무일지!$B$5:$B$1004,"&gt;="&amp;DATE($B$3,9,1),업무일지!$B$5:$B$1004,"&lt;"&amp;DATE($B$3,9+1,1),업무일지!$I$5:$I$1004,$A48,업무일지!$D$5:$D$1004,IF($E$30="전체","*",$E$30))+COUNTIFS(업무일지!$B$5:$B$1004,"&gt;="&amp;DATE($B$3,9,1),업무일지!$B$5:$B$1004,"&lt;"&amp;DATE($B$3,9+1,1),업무일지!$J$5:$J$1004,"*"&amp;$A48&amp;"*",업무일지!$D$5:$D$1004,IF($E$30="전체","*",$E$30)))</f>
        <v/>
      </c>
      <c r="K48" s="26" t="str">
        <f aca="false">IF($A48="","",COUNTIFS(업무일지!$B$5:$B$1004,"&gt;="&amp;DATE($B$3,10,1),업무일지!$B$5:$B$1004,"&lt;"&amp;DATE($B$3,10+1,1),업무일지!$I$5:$I$1004,$A48,업무일지!$D$5:$D$1004,IF($E$30="전체","*",$E$30))+COUNTIFS(업무일지!$B$5:$B$1004,"&gt;="&amp;DATE($B$3,10,1),업무일지!$B$5:$B$1004,"&lt;"&amp;DATE($B$3,10+1,1),업무일지!$J$5:$J$1004,"*"&amp;$A48&amp;"*",업무일지!$D$5:$D$1004,IF($E$30="전체","*",$E$30)))</f>
        <v/>
      </c>
      <c r="L48" s="26" t="str">
        <f aca="false">IF($A48="","",COUNTIFS(업무일지!$B$5:$B$1004,"&gt;="&amp;DATE($B$3,11,1),업무일지!$B$5:$B$1004,"&lt;"&amp;DATE($B$3,11+1,1),업무일지!$I$5:$I$1004,$A48,업무일지!$D$5:$D$1004,IF($E$30="전체","*",$E$30))+COUNTIFS(업무일지!$B$5:$B$1004,"&gt;="&amp;DATE($B$3,11,1),업무일지!$B$5:$B$1004,"&lt;"&amp;DATE($B$3,11+1,1),업무일지!$J$5:$J$1004,"*"&amp;$A48&amp;"*",업무일지!$D$5:$D$1004,IF($E$30="전체","*",$E$30)))</f>
        <v/>
      </c>
      <c r="M48" s="26" t="str">
        <f aca="false">IF($A48="","",COUNTIFS(업무일지!$B$5:$B$1004,"&gt;="&amp;DATE($B$3,12,1),업무일지!$B$5:$B$1004,"&lt;"&amp;DATE($B$3,12+1,1),업무일지!$I$5:$I$1004,$A48,업무일지!$D$5:$D$1004,IF($E$30="전체","*",$E$30))+COUNTIFS(업무일지!$B$5:$B$1004,"&gt;="&amp;DATE($B$3,12,1),업무일지!$B$5:$B$1004,"&lt;"&amp;DATE($B$3,12+1,1),업무일지!$J$5:$J$1004,"*"&amp;$A48&amp;"*",업무일지!$D$5:$D$1004,IF($E$30="전체","*",$E$30)))</f>
        <v/>
      </c>
      <c r="N48" s="26" t="str">
        <f aca="false">IF($A48="","",SUM(B48:M48))</f>
        <v/>
      </c>
    </row>
    <row r="49" customFormat="false" ht="15" hidden="false" customHeight="false" outlineLevel="0" collapsed="false">
      <c r="A49" s="22" t="str">
        <f aca="false">IF($A24="","",$A24)</f>
        <v/>
      </c>
      <c r="B49" s="23" t="str">
        <f aca="false">IF($A49="","",COUNTIFS(업무일지!$B$5:$B$1004,"&gt;="&amp;DATE($B$3,1,1),업무일지!$B$5:$B$1004,"&lt;"&amp;DATE($B$3,1+1,1),업무일지!$I$5:$I$1004,$A49,업무일지!$D$5:$D$1004,IF($E$30="전체","*",$E$30))+COUNTIFS(업무일지!$B$5:$B$1004,"&gt;="&amp;DATE($B$3,1,1),업무일지!$B$5:$B$1004,"&lt;"&amp;DATE($B$3,1+1,1),업무일지!$J$5:$J$1004,"*"&amp;$A49&amp;"*",업무일지!$D$5:$D$1004,IF($E$30="전체","*",$E$30)))</f>
        <v/>
      </c>
      <c r="C49" s="23" t="str">
        <f aca="false">IF($A49="","",COUNTIFS(업무일지!$B$5:$B$1004,"&gt;="&amp;DATE($B$3,2,1),업무일지!$B$5:$B$1004,"&lt;"&amp;DATE($B$3,2+1,1),업무일지!$I$5:$I$1004,$A49,업무일지!$D$5:$D$1004,IF($E$30="전체","*",$E$30))+COUNTIFS(업무일지!$B$5:$B$1004,"&gt;="&amp;DATE($B$3,2,1),업무일지!$B$5:$B$1004,"&lt;"&amp;DATE($B$3,2+1,1),업무일지!$J$5:$J$1004,"*"&amp;$A49&amp;"*",업무일지!$D$5:$D$1004,IF($E$30="전체","*",$E$30)))</f>
        <v/>
      </c>
      <c r="D49" s="23" t="str">
        <f aca="false">IF($A49="","",COUNTIFS(업무일지!$B$5:$B$1004,"&gt;="&amp;DATE($B$3,3,1),업무일지!$B$5:$B$1004,"&lt;"&amp;DATE($B$3,3+1,1),업무일지!$I$5:$I$1004,$A49,업무일지!$D$5:$D$1004,IF($E$30="전체","*",$E$30))+COUNTIFS(업무일지!$B$5:$B$1004,"&gt;="&amp;DATE($B$3,3,1),업무일지!$B$5:$B$1004,"&lt;"&amp;DATE($B$3,3+1,1),업무일지!$J$5:$J$1004,"*"&amp;$A49&amp;"*",업무일지!$D$5:$D$1004,IF($E$30="전체","*",$E$30)))</f>
        <v/>
      </c>
      <c r="E49" s="23" t="str">
        <f aca="false">IF($A49="","",COUNTIFS(업무일지!$B$5:$B$1004,"&gt;="&amp;DATE($B$3,4,1),업무일지!$B$5:$B$1004,"&lt;"&amp;DATE($B$3,4+1,1),업무일지!$I$5:$I$1004,$A49,업무일지!$D$5:$D$1004,IF($E$30="전체","*",$E$30))+COUNTIFS(업무일지!$B$5:$B$1004,"&gt;="&amp;DATE($B$3,4,1),업무일지!$B$5:$B$1004,"&lt;"&amp;DATE($B$3,4+1,1),업무일지!$J$5:$J$1004,"*"&amp;$A49&amp;"*",업무일지!$D$5:$D$1004,IF($E$30="전체","*",$E$30)))</f>
        <v/>
      </c>
      <c r="F49" s="23" t="str">
        <f aca="false">IF($A49="","",COUNTIFS(업무일지!$B$5:$B$1004,"&gt;="&amp;DATE($B$3,5,1),업무일지!$B$5:$B$1004,"&lt;"&amp;DATE($B$3,5+1,1),업무일지!$I$5:$I$1004,$A49,업무일지!$D$5:$D$1004,IF($E$30="전체","*",$E$30))+COUNTIFS(업무일지!$B$5:$B$1004,"&gt;="&amp;DATE($B$3,5,1),업무일지!$B$5:$B$1004,"&lt;"&amp;DATE($B$3,5+1,1),업무일지!$J$5:$J$1004,"*"&amp;$A49&amp;"*",업무일지!$D$5:$D$1004,IF($E$30="전체","*",$E$30)))</f>
        <v/>
      </c>
      <c r="G49" s="23" t="str">
        <f aca="false">IF($A49="","",COUNTIFS(업무일지!$B$5:$B$1004,"&gt;="&amp;DATE($B$3,6,1),업무일지!$B$5:$B$1004,"&lt;"&amp;DATE($B$3,6+1,1),업무일지!$I$5:$I$1004,$A49,업무일지!$D$5:$D$1004,IF($E$30="전체","*",$E$30))+COUNTIFS(업무일지!$B$5:$B$1004,"&gt;="&amp;DATE($B$3,6,1),업무일지!$B$5:$B$1004,"&lt;"&amp;DATE($B$3,6+1,1),업무일지!$J$5:$J$1004,"*"&amp;$A49&amp;"*",업무일지!$D$5:$D$1004,IF($E$30="전체","*",$E$30)))</f>
        <v/>
      </c>
      <c r="H49" s="23" t="str">
        <f aca="false">IF($A49="","",COUNTIFS(업무일지!$B$5:$B$1004,"&gt;="&amp;DATE($B$3,7,1),업무일지!$B$5:$B$1004,"&lt;"&amp;DATE($B$3,7+1,1),업무일지!$I$5:$I$1004,$A49,업무일지!$D$5:$D$1004,IF($E$30="전체","*",$E$30))+COUNTIFS(업무일지!$B$5:$B$1004,"&gt;="&amp;DATE($B$3,7,1),업무일지!$B$5:$B$1004,"&lt;"&amp;DATE($B$3,7+1,1),업무일지!$J$5:$J$1004,"*"&amp;$A49&amp;"*",업무일지!$D$5:$D$1004,IF($E$30="전체","*",$E$30)))</f>
        <v/>
      </c>
      <c r="I49" s="23" t="str">
        <f aca="false">IF($A49="","",COUNTIFS(업무일지!$B$5:$B$1004,"&gt;="&amp;DATE($B$3,8,1),업무일지!$B$5:$B$1004,"&lt;"&amp;DATE($B$3,8+1,1),업무일지!$I$5:$I$1004,$A49,업무일지!$D$5:$D$1004,IF($E$30="전체","*",$E$30))+COUNTIFS(업무일지!$B$5:$B$1004,"&gt;="&amp;DATE($B$3,8,1),업무일지!$B$5:$B$1004,"&lt;"&amp;DATE($B$3,8+1,1),업무일지!$J$5:$J$1004,"*"&amp;$A49&amp;"*",업무일지!$D$5:$D$1004,IF($E$30="전체","*",$E$30)))</f>
        <v/>
      </c>
      <c r="J49" s="23" t="str">
        <f aca="false">IF($A49="","",COUNTIFS(업무일지!$B$5:$B$1004,"&gt;="&amp;DATE($B$3,9,1),업무일지!$B$5:$B$1004,"&lt;"&amp;DATE($B$3,9+1,1),업무일지!$I$5:$I$1004,$A49,업무일지!$D$5:$D$1004,IF($E$30="전체","*",$E$30))+COUNTIFS(업무일지!$B$5:$B$1004,"&gt;="&amp;DATE($B$3,9,1),업무일지!$B$5:$B$1004,"&lt;"&amp;DATE($B$3,9+1,1),업무일지!$J$5:$J$1004,"*"&amp;$A49&amp;"*",업무일지!$D$5:$D$1004,IF($E$30="전체","*",$E$30)))</f>
        <v/>
      </c>
      <c r="K49" s="23" t="str">
        <f aca="false">IF($A49="","",COUNTIFS(업무일지!$B$5:$B$1004,"&gt;="&amp;DATE($B$3,10,1),업무일지!$B$5:$B$1004,"&lt;"&amp;DATE($B$3,10+1,1),업무일지!$I$5:$I$1004,$A49,업무일지!$D$5:$D$1004,IF($E$30="전체","*",$E$30))+COUNTIFS(업무일지!$B$5:$B$1004,"&gt;="&amp;DATE($B$3,10,1),업무일지!$B$5:$B$1004,"&lt;"&amp;DATE($B$3,10+1,1),업무일지!$J$5:$J$1004,"*"&amp;$A49&amp;"*",업무일지!$D$5:$D$1004,IF($E$30="전체","*",$E$30)))</f>
        <v/>
      </c>
      <c r="L49" s="23" t="str">
        <f aca="false">IF($A49="","",COUNTIFS(업무일지!$B$5:$B$1004,"&gt;="&amp;DATE($B$3,11,1),업무일지!$B$5:$B$1004,"&lt;"&amp;DATE($B$3,11+1,1),업무일지!$I$5:$I$1004,$A49,업무일지!$D$5:$D$1004,IF($E$30="전체","*",$E$30))+COUNTIFS(업무일지!$B$5:$B$1004,"&gt;="&amp;DATE($B$3,11,1),업무일지!$B$5:$B$1004,"&lt;"&amp;DATE($B$3,11+1,1),업무일지!$J$5:$J$1004,"*"&amp;$A49&amp;"*",업무일지!$D$5:$D$1004,IF($E$30="전체","*",$E$30)))</f>
        <v/>
      </c>
      <c r="M49" s="23" t="str">
        <f aca="false">IF($A49="","",COUNTIFS(업무일지!$B$5:$B$1004,"&gt;="&amp;DATE($B$3,12,1),업무일지!$B$5:$B$1004,"&lt;"&amp;DATE($B$3,12+1,1),업무일지!$I$5:$I$1004,$A49,업무일지!$D$5:$D$1004,IF($E$30="전체","*",$E$30))+COUNTIFS(업무일지!$B$5:$B$1004,"&gt;="&amp;DATE($B$3,12,1),업무일지!$B$5:$B$1004,"&lt;"&amp;DATE($B$3,12+1,1),업무일지!$J$5:$J$1004,"*"&amp;$A49&amp;"*",업무일지!$D$5:$D$1004,IF($E$30="전체","*",$E$30)))</f>
        <v/>
      </c>
      <c r="N49" s="23" t="str">
        <f aca="false">IF($A49="","",SUM(B49:M49))</f>
        <v/>
      </c>
    </row>
    <row r="50" customFormat="false" ht="15" hidden="false" customHeight="false" outlineLevel="0" collapsed="false">
      <c r="A50" s="25" t="str">
        <f aca="false">IF($A25="","",$A25)</f>
        <v/>
      </c>
      <c r="B50" s="26" t="str">
        <f aca="false">IF($A50="","",COUNTIFS(업무일지!$B$5:$B$1004,"&gt;="&amp;DATE($B$3,1,1),업무일지!$B$5:$B$1004,"&lt;"&amp;DATE($B$3,1+1,1),업무일지!$I$5:$I$1004,$A50,업무일지!$D$5:$D$1004,IF($E$30="전체","*",$E$30))+COUNTIFS(업무일지!$B$5:$B$1004,"&gt;="&amp;DATE($B$3,1,1),업무일지!$B$5:$B$1004,"&lt;"&amp;DATE($B$3,1+1,1),업무일지!$J$5:$J$1004,"*"&amp;$A50&amp;"*",업무일지!$D$5:$D$1004,IF($E$30="전체","*",$E$30)))</f>
        <v/>
      </c>
      <c r="C50" s="26" t="str">
        <f aca="false">IF($A50="","",COUNTIFS(업무일지!$B$5:$B$1004,"&gt;="&amp;DATE($B$3,2,1),업무일지!$B$5:$B$1004,"&lt;"&amp;DATE($B$3,2+1,1),업무일지!$I$5:$I$1004,$A50,업무일지!$D$5:$D$1004,IF($E$30="전체","*",$E$30))+COUNTIFS(업무일지!$B$5:$B$1004,"&gt;="&amp;DATE($B$3,2,1),업무일지!$B$5:$B$1004,"&lt;"&amp;DATE($B$3,2+1,1),업무일지!$J$5:$J$1004,"*"&amp;$A50&amp;"*",업무일지!$D$5:$D$1004,IF($E$30="전체","*",$E$30)))</f>
        <v/>
      </c>
      <c r="D50" s="26" t="str">
        <f aca="false">IF($A50="","",COUNTIFS(업무일지!$B$5:$B$1004,"&gt;="&amp;DATE($B$3,3,1),업무일지!$B$5:$B$1004,"&lt;"&amp;DATE($B$3,3+1,1),업무일지!$I$5:$I$1004,$A50,업무일지!$D$5:$D$1004,IF($E$30="전체","*",$E$30))+COUNTIFS(업무일지!$B$5:$B$1004,"&gt;="&amp;DATE($B$3,3,1),업무일지!$B$5:$B$1004,"&lt;"&amp;DATE($B$3,3+1,1),업무일지!$J$5:$J$1004,"*"&amp;$A50&amp;"*",업무일지!$D$5:$D$1004,IF($E$30="전체","*",$E$30)))</f>
        <v/>
      </c>
      <c r="E50" s="26" t="str">
        <f aca="false">IF($A50="","",COUNTIFS(업무일지!$B$5:$B$1004,"&gt;="&amp;DATE($B$3,4,1),업무일지!$B$5:$B$1004,"&lt;"&amp;DATE($B$3,4+1,1),업무일지!$I$5:$I$1004,$A50,업무일지!$D$5:$D$1004,IF($E$30="전체","*",$E$30))+COUNTIFS(업무일지!$B$5:$B$1004,"&gt;="&amp;DATE($B$3,4,1),업무일지!$B$5:$B$1004,"&lt;"&amp;DATE($B$3,4+1,1),업무일지!$J$5:$J$1004,"*"&amp;$A50&amp;"*",업무일지!$D$5:$D$1004,IF($E$30="전체","*",$E$30)))</f>
        <v/>
      </c>
      <c r="F50" s="26" t="str">
        <f aca="false">IF($A50="","",COUNTIFS(업무일지!$B$5:$B$1004,"&gt;="&amp;DATE($B$3,5,1),업무일지!$B$5:$B$1004,"&lt;"&amp;DATE($B$3,5+1,1),업무일지!$I$5:$I$1004,$A50,업무일지!$D$5:$D$1004,IF($E$30="전체","*",$E$30))+COUNTIFS(업무일지!$B$5:$B$1004,"&gt;="&amp;DATE($B$3,5,1),업무일지!$B$5:$B$1004,"&lt;"&amp;DATE($B$3,5+1,1),업무일지!$J$5:$J$1004,"*"&amp;$A50&amp;"*",업무일지!$D$5:$D$1004,IF($E$30="전체","*",$E$30)))</f>
        <v/>
      </c>
      <c r="G50" s="26" t="str">
        <f aca="false">IF($A50="","",COUNTIFS(업무일지!$B$5:$B$1004,"&gt;="&amp;DATE($B$3,6,1),업무일지!$B$5:$B$1004,"&lt;"&amp;DATE($B$3,6+1,1),업무일지!$I$5:$I$1004,$A50,업무일지!$D$5:$D$1004,IF($E$30="전체","*",$E$30))+COUNTIFS(업무일지!$B$5:$B$1004,"&gt;="&amp;DATE($B$3,6,1),업무일지!$B$5:$B$1004,"&lt;"&amp;DATE($B$3,6+1,1),업무일지!$J$5:$J$1004,"*"&amp;$A50&amp;"*",업무일지!$D$5:$D$1004,IF($E$30="전체","*",$E$30)))</f>
        <v/>
      </c>
      <c r="H50" s="26" t="str">
        <f aca="false">IF($A50="","",COUNTIFS(업무일지!$B$5:$B$1004,"&gt;="&amp;DATE($B$3,7,1),업무일지!$B$5:$B$1004,"&lt;"&amp;DATE($B$3,7+1,1),업무일지!$I$5:$I$1004,$A50,업무일지!$D$5:$D$1004,IF($E$30="전체","*",$E$30))+COUNTIFS(업무일지!$B$5:$B$1004,"&gt;="&amp;DATE($B$3,7,1),업무일지!$B$5:$B$1004,"&lt;"&amp;DATE($B$3,7+1,1),업무일지!$J$5:$J$1004,"*"&amp;$A50&amp;"*",업무일지!$D$5:$D$1004,IF($E$30="전체","*",$E$30)))</f>
        <v/>
      </c>
      <c r="I50" s="26" t="str">
        <f aca="false">IF($A50="","",COUNTIFS(업무일지!$B$5:$B$1004,"&gt;="&amp;DATE($B$3,8,1),업무일지!$B$5:$B$1004,"&lt;"&amp;DATE($B$3,8+1,1),업무일지!$I$5:$I$1004,$A50,업무일지!$D$5:$D$1004,IF($E$30="전체","*",$E$30))+COUNTIFS(업무일지!$B$5:$B$1004,"&gt;="&amp;DATE($B$3,8,1),업무일지!$B$5:$B$1004,"&lt;"&amp;DATE($B$3,8+1,1),업무일지!$J$5:$J$1004,"*"&amp;$A50&amp;"*",업무일지!$D$5:$D$1004,IF($E$30="전체","*",$E$30)))</f>
        <v/>
      </c>
      <c r="J50" s="26" t="str">
        <f aca="false">IF($A50="","",COUNTIFS(업무일지!$B$5:$B$1004,"&gt;="&amp;DATE($B$3,9,1),업무일지!$B$5:$B$1004,"&lt;"&amp;DATE($B$3,9+1,1),업무일지!$I$5:$I$1004,$A50,업무일지!$D$5:$D$1004,IF($E$30="전체","*",$E$30))+COUNTIFS(업무일지!$B$5:$B$1004,"&gt;="&amp;DATE($B$3,9,1),업무일지!$B$5:$B$1004,"&lt;"&amp;DATE($B$3,9+1,1),업무일지!$J$5:$J$1004,"*"&amp;$A50&amp;"*",업무일지!$D$5:$D$1004,IF($E$30="전체","*",$E$30)))</f>
        <v/>
      </c>
      <c r="K50" s="26" t="str">
        <f aca="false">IF($A50="","",COUNTIFS(업무일지!$B$5:$B$1004,"&gt;="&amp;DATE($B$3,10,1),업무일지!$B$5:$B$1004,"&lt;"&amp;DATE($B$3,10+1,1),업무일지!$I$5:$I$1004,$A50,업무일지!$D$5:$D$1004,IF($E$30="전체","*",$E$30))+COUNTIFS(업무일지!$B$5:$B$1004,"&gt;="&amp;DATE($B$3,10,1),업무일지!$B$5:$B$1004,"&lt;"&amp;DATE($B$3,10+1,1),업무일지!$J$5:$J$1004,"*"&amp;$A50&amp;"*",업무일지!$D$5:$D$1004,IF($E$30="전체","*",$E$30)))</f>
        <v/>
      </c>
      <c r="L50" s="26" t="str">
        <f aca="false">IF($A50="","",COUNTIFS(업무일지!$B$5:$B$1004,"&gt;="&amp;DATE($B$3,11,1),업무일지!$B$5:$B$1004,"&lt;"&amp;DATE($B$3,11+1,1),업무일지!$I$5:$I$1004,$A50,업무일지!$D$5:$D$1004,IF($E$30="전체","*",$E$30))+COUNTIFS(업무일지!$B$5:$B$1004,"&gt;="&amp;DATE($B$3,11,1),업무일지!$B$5:$B$1004,"&lt;"&amp;DATE($B$3,11+1,1),업무일지!$J$5:$J$1004,"*"&amp;$A50&amp;"*",업무일지!$D$5:$D$1004,IF($E$30="전체","*",$E$30)))</f>
        <v/>
      </c>
      <c r="M50" s="26" t="str">
        <f aca="false">IF($A50="","",COUNTIFS(업무일지!$B$5:$B$1004,"&gt;="&amp;DATE($B$3,12,1),업무일지!$B$5:$B$1004,"&lt;"&amp;DATE($B$3,12+1,1),업무일지!$I$5:$I$1004,$A50,업무일지!$D$5:$D$1004,IF($E$30="전체","*",$E$30))+COUNTIFS(업무일지!$B$5:$B$1004,"&gt;="&amp;DATE($B$3,12,1),업무일지!$B$5:$B$1004,"&lt;"&amp;DATE($B$3,12+1,1),업무일지!$J$5:$J$1004,"*"&amp;$A50&amp;"*",업무일지!$D$5:$D$1004,IF($E$30="전체","*",$E$30)))</f>
        <v/>
      </c>
      <c r="N50" s="26" t="str">
        <f aca="false">IF($A50="","",SUM(B50:M50))</f>
        <v/>
      </c>
    </row>
    <row r="51" customFormat="false" ht="15" hidden="false" customHeight="false" outlineLevel="0" collapsed="false">
      <c r="A51" s="22" t="str">
        <f aca="false">IF($A26="","",$A26)</f>
        <v/>
      </c>
      <c r="B51" s="23" t="str">
        <f aca="false">IF($A51="","",COUNTIFS(업무일지!$B$5:$B$1004,"&gt;="&amp;DATE($B$3,1,1),업무일지!$B$5:$B$1004,"&lt;"&amp;DATE($B$3,1+1,1),업무일지!$I$5:$I$1004,$A51,업무일지!$D$5:$D$1004,IF($E$30="전체","*",$E$30))+COUNTIFS(업무일지!$B$5:$B$1004,"&gt;="&amp;DATE($B$3,1,1),업무일지!$B$5:$B$1004,"&lt;"&amp;DATE($B$3,1+1,1),업무일지!$J$5:$J$1004,"*"&amp;$A51&amp;"*",업무일지!$D$5:$D$1004,IF($E$30="전체","*",$E$30)))</f>
        <v/>
      </c>
      <c r="C51" s="23" t="str">
        <f aca="false">IF($A51="","",COUNTIFS(업무일지!$B$5:$B$1004,"&gt;="&amp;DATE($B$3,2,1),업무일지!$B$5:$B$1004,"&lt;"&amp;DATE($B$3,2+1,1),업무일지!$I$5:$I$1004,$A51,업무일지!$D$5:$D$1004,IF($E$30="전체","*",$E$30))+COUNTIFS(업무일지!$B$5:$B$1004,"&gt;="&amp;DATE($B$3,2,1),업무일지!$B$5:$B$1004,"&lt;"&amp;DATE($B$3,2+1,1),업무일지!$J$5:$J$1004,"*"&amp;$A51&amp;"*",업무일지!$D$5:$D$1004,IF($E$30="전체","*",$E$30)))</f>
        <v/>
      </c>
      <c r="D51" s="23" t="str">
        <f aca="false">IF($A51="","",COUNTIFS(업무일지!$B$5:$B$1004,"&gt;="&amp;DATE($B$3,3,1),업무일지!$B$5:$B$1004,"&lt;"&amp;DATE($B$3,3+1,1),업무일지!$I$5:$I$1004,$A51,업무일지!$D$5:$D$1004,IF($E$30="전체","*",$E$30))+COUNTIFS(업무일지!$B$5:$B$1004,"&gt;="&amp;DATE($B$3,3,1),업무일지!$B$5:$B$1004,"&lt;"&amp;DATE($B$3,3+1,1),업무일지!$J$5:$J$1004,"*"&amp;$A51&amp;"*",업무일지!$D$5:$D$1004,IF($E$30="전체","*",$E$30)))</f>
        <v/>
      </c>
      <c r="E51" s="23" t="str">
        <f aca="false">IF($A51="","",COUNTIFS(업무일지!$B$5:$B$1004,"&gt;="&amp;DATE($B$3,4,1),업무일지!$B$5:$B$1004,"&lt;"&amp;DATE($B$3,4+1,1),업무일지!$I$5:$I$1004,$A51,업무일지!$D$5:$D$1004,IF($E$30="전체","*",$E$30))+COUNTIFS(업무일지!$B$5:$B$1004,"&gt;="&amp;DATE($B$3,4,1),업무일지!$B$5:$B$1004,"&lt;"&amp;DATE($B$3,4+1,1),업무일지!$J$5:$J$1004,"*"&amp;$A51&amp;"*",업무일지!$D$5:$D$1004,IF($E$30="전체","*",$E$30)))</f>
        <v/>
      </c>
      <c r="F51" s="23" t="str">
        <f aca="false">IF($A51="","",COUNTIFS(업무일지!$B$5:$B$1004,"&gt;="&amp;DATE($B$3,5,1),업무일지!$B$5:$B$1004,"&lt;"&amp;DATE($B$3,5+1,1),업무일지!$I$5:$I$1004,$A51,업무일지!$D$5:$D$1004,IF($E$30="전체","*",$E$30))+COUNTIFS(업무일지!$B$5:$B$1004,"&gt;="&amp;DATE($B$3,5,1),업무일지!$B$5:$B$1004,"&lt;"&amp;DATE($B$3,5+1,1),업무일지!$J$5:$J$1004,"*"&amp;$A51&amp;"*",업무일지!$D$5:$D$1004,IF($E$30="전체","*",$E$30)))</f>
        <v/>
      </c>
      <c r="G51" s="23" t="str">
        <f aca="false">IF($A51="","",COUNTIFS(업무일지!$B$5:$B$1004,"&gt;="&amp;DATE($B$3,6,1),업무일지!$B$5:$B$1004,"&lt;"&amp;DATE($B$3,6+1,1),업무일지!$I$5:$I$1004,$A51,업무일지!$D$5:$D$1004,IF($E$30="전체","*",$E$30))+COUNTIFS(업무일지!$B$5:$B$1004,"&gt;="&amp;DATE($B$3,6,1),업무일지!$B$5:$B$1004,"&lt;"&amp;DATE($B$3,6+1,1),업무일지!$J$5:$J$1004,"*"&amp;$A51&amp;"*",업무일지!$D$5:$D$1004,IF($E$30="전체","*",$E$30)))</f>
        <v/>
      </c>
      <c r="H51" s="23" t="str">
        <f aca="false">IF($A51="","",COUNTIFS(업무일지!$B$5:$B$1004,"&gt;="&amp;DATE($B$3,7,1),업무일지!$B$5:$B$1004,"&lt;"&amp;DATE($B$3,7+1,1),업무일지!$I$5:$I$1004,$A51,업무일지!$D$5:$D$1004,IF($E$30="전체","*",$E$30))+COUNTIFS(업무일지!$B$5:$B$1004,"&gt;="&amp;DATE($B$3,7,1),업무일지!$B$5:$B$1004,"&lt;"&amp;DATE($B$3,7+1,1),업무일지!$J$5:$J$1004,"*"&amp;$A51&amp;"*",업무일지!$D$5:$D$1004,IF($E$30="전체","*",$E$30)))</f>
        <v/>
      </c>
      <c r="I51" s="23" t="str">
        <f aca="false">IF($A51="","",COUNTIFS(업무일지!$B$5:$B$1004,"&gt;="&amp;DATE($B$3,8,1),업무일지!$B$5:$B$1004,"&lt;"&amp;DATE($B$3,8+1,1),업무일지!$I$5:$I$1004,$A51,업무일지!$D$5:$D$1004,IF($E$30="전체","*",$E$30))+COUNTIFS(업무일지!$B$5:$B$1004,"&gt;="&amp;DATE($B$3,8,1),업무일지!$B$5:$B$1004,"&lt;"&amp;DATE($B$3,8+1,1),업무일지!$J$5:$J$1004,"*"&amp;$A51&amp;"*",업무일지!$D$5:$D$1004,IF($E$30="전체","*",$E$30)))</f>
        <v/>
      </c>
      <c r="J51" s="23" t="str">
        <f aca="false">IF($A51="","",COUNTIFS(업무일지!$B$5:$B$1004,"&gt;="&amp;DATE($B$3,9,1),업무일지!$B$5:$B$1004,"&lt;"&amp;DATE($B$3,9+1,1),업무일지!$I$5:$I$1004,$A51,업무일지!$D$5:$D$1004,IF($E$30="전체","*",$E$30))+COUNTIFS(업무일지!$B$5:$B$1004,"&gt;="&amp;DATE($B$3,9,1),업무일지!$B$5:$B$1004,"&lt;"&amp;DATE($B$3,9+1,1),업무일지!$J$5:$J$1004,"*"&amp;$A51&amp;"*",업무일지!$D$5:$D$1004,IF($E$30="전체","*",$E$30)))</f>
        <v/>
      </c>
      <c r="K51" s="23" t="str">
        <f aca="false">IF($A51="","",COUNTIFS(업무일지!$B$5:$B$1004,"&gt;="&amp;DATE($B$3,10,1),업무일지!$B$5:$B$1004,"&lt;"&amp;DATE($B$3,10+1,1),업무일지!$I$5:$I$1004,$A51,업무일지!$D$5:$D$1004,IF($E$30="전체","*",$E$30))+COUNTIFS(업무일지!$B$5:$B$1004,"&gt;="&amp;DATE($B$3,10,1),업무일지!$B$5:$B$1004,"&lt;"&amp;DATE($B$3,10+1,1),업무일지!$J$5:$J$1004,"*"&amp;$A51&amp;"*",업무일지!$D$5:$D$1004,IF($E$30="전체","*",$E$30)))</f>
        <v/>
      </c>
      <c r="L51" s="23" t="str">
        <f aca="false">IF($A51="","",COUNTIFS(업무일지!$B$5:$B$1004,"&gt;="&amp;DATE($B$3,11,1),업무일지!$B$5:$B$1004,"&lt;"&amp;DATE($B$3,11+1,1),업무일지!$I$5:$I$1004,$A51,업무일지!$D$5:$D$1004,IF($E$30="전체","*",$E$30))+COUNTIFS(업무일지!$B$5:$B$1004,"&gt;="&amp;DATE($B$3,11,1),업무일지!$B$5:$B$1004,"&lt;"&amp;DATE($B$3,11+1,1),업무일지!$J$5:$J$1004,"*"&amp;$A51&amp;"*",업무일지!$D$5:$D$1004,IF($E$30="전체","*",$E$30)))</f>
        <v/>
      </c>
      <c r="M51" s="23" t="str">
        <f aca="false">IF($A51="","",COUNTIFS(업무일지!$B$5:$B$1004,"&gt;="&amp;DATE($B$3,12,1),업무일지!$B$5:$B$1004,"&lt;"&amp;DATE($B$3,12+1,1),업무일지!$I$5:$I$1004,$A51,업무일지!$D$5:$D$1004,IF($E$30="전체","*",$E$30))+COUNTIFS(업무일지!$B$5:$B$1004,"&gt;="&amp;DATE($B$3,12,1),업무일지!$B$5:$B$1004,"&lt;"&amp;DATE($B$3,12+1,1),업무일지!$J$5:$J$1004,"*"&amp;$A51&amp;"*",업무일지!$D$5:$D$1004,IF($E$30="전체","*",$E$30)))</f>
        <v/>
      </c>
      <c r="N51" s="23" t="str">
        <f aca="false">IF($A51="","",SUM(B51:M51))</f>
        <v/>
      </c>
    </row>
    <row r="52" customFormat="false" ht="15" hidden="false" customHeight="false" outlineLevel="0" collapsed="false">
      <c r="A52" s="28" t="s">
        <v>70</v>
      </c>
      <c r="B52" s="29" t="n">
        <f aca="false">SUM(B32:B51)</f>
        <v>0</v>
      </c>
      <c r="C52" s="29" t="n">
        <f aca="false">SUM(C32:C51)</f>
        <v>0</v>
      </c>
      <c r="D52" s="29" t="n">
        <f aca="false">SUM(D32:D51)</f>
        <v>5</v>
      </c>
      <c r="E52" s="29" t="n">
        <f aca="false">SUM(E32:E51)</f>
        <v>0</v>
      </c>
      <c r="F52" s="29" t="n">
        <f aca="false">SUM(F32:F51)</f>
        <v>0</v>
      </c>
      <c r="G52" s="29" t="n">
        <f aca="false">SUM(G32:G51)</f>
        <v>0</v>
      </c>
      <c r="H52" s="29" t="n">
        <f aca="false">SUM(H32:H51)</f>
        <v>0</v>
      </c>
      <c r="I52" s="29" t="n">
        <f aca="false">SUM(I32:I51)</f>
        <v>0</v>
      </c>
      <c r="J52" s="29" t="n">
        <f aca="false">SUM(J32:J51)</f>
        <v>0</v>
      </c>
      <c r="K52" s="29" t="n">
        <f aca="false">SUM(K32:K51)</f>
        <v>0</v>
      </c>
      <c r="L52" s="29" t="n">
        <f aca="false">SUM(L32:L51)</f>
        <v>0</v>
      </c>
      <c r="M52" s="29" t="n">
        <f aca="false">SUM(M32:M51)</f>
        <v>0</v>
      </c>
      <c r="N52" s="29" t="n">
        <f aca="false">SUM(N32:N51)</f>
        <v>5</v>
      </c>
    </row>
  </sheetData>
  <mergeCells count="2">
    <mergeCell ref="A1:K1"/>
    <mergeCell ref="A2:K2"/>
  </mergeCells>
  <dataValidations count="1">
    <dataValidation allowBlank="false" errorStyle="stop" operator="between" showDropDown="false" showErrorMessage="false" showInputMessage="false" sqref="E30" type="list">
      <formula1>"전체,출장,분석"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4" min="3" style="0" width="14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3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" t="s">
        <v>132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133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5</v>
      </c>
      <c r="B4" s="3" t="s">
        <v>6</v>
      </c>
      <c r="C4" s="3" t="s">
        <v>104</v>
      </c>
      <c r="D4" s="3" t="s">
        <v>13</v>
      </c>
      <c r="E4" s="3" t="s">
        <v>9</v>
      </c>
      <c r="F4" s="3" t="s">
        <v>20</v>
      </c>
      <c r="H4" s="52" t="s">
        <v>134</v>
      </c>
    </row>
    <row r="5" customFormat="false" ht="15" hidden="false" customHeight="false" outlineLevel="0" collapsed="false">
      <c r="A5" s="7" t="s">
        <v>23</v>
      </c>
      <c r="B5" s="7" t="s">
        <v>24</v>
      </c>
      <c r="C5" s="7" t="s">
        <v>28</v>
      </c>
      <c r="D5" s="7" t="s">
        <v>30</v>
      </c>
      <c r="E5" s="7" t="s">
        <v>27</v>
      </c>
      <c r="F5" s="7" t="s">
        <v>45</v>
      </c>
      <c r="H5" s="53" t="s">
        <v>23</v>
      </c>
    </row>
    <row r="6" customFormat="false" ht="15" hidden="false" customHeight="false" outlineLevel="0" collapsed="false">
      <c r="A6" s="14" t="s">
        <v>23</v>
      </c>
      <c r="B6" s="14" t="s">
        <v>76</v>
      </c>
      <c r="C6" s="14" t="s">
        <v>135</v>
      </c>
      <c r="D6" s="14" t="s">
        <v>30</v>
      </c>
      <c r="E6" s="14" t="s">
        <v>42</v>
      </c>
      <c r="F6" s="14" t="s">
        <v>32</v>
      </c>
      <c r="H6" s="53" t="s">
        <v>34</v>
      </c>
    </row>
    <row r="7" customFormat="false" ht="15" hidden="false" customHeight="false" outlineLevel="0" collapsed="false">
      <c r="A7" s="7" t="s">
        <v>23</v>
      </c>
      <c r="B7" s="7" t="s">
        <v>136</v>
      </c>
      <c r="C7" s="7" t="s">
        <v>43</v>
      </c>
      <c r="D7" s="7" t="s">
        <v>44</v>
      </c>
      <c r="E7" s="7" t="s">
        <v>92</v>
      </c>
      <c r="F7" s="7" t="s">
        <v>91</v>
      </c>
    </row>
    <row r="8" customFormat="false" ht="15" hidden="false" customHeight="false" outlineLevel="0" collapsed="false">
      <c r="A8" s="14" t="s">
        <v>23</v>
      </c>
      <c r="B8" s="14" t="s">
        <v>137</v>
      </c>
      <c r="C8" s="14" t="s">
        <v>138</v>
      </c>
      <c r="D8" s="14" t="s">
        <v>44</v>
      </c>
      <c r="E8" s="14" t="s">
        <v>93</v>
      </c>
      <c r="F8" s="14"/>
    </row>
    <row r="9" customFormat="false" ht="15" hidden="false" customHeight="false" outlineLevel="0" collapsed="false">
      <c r="A9" s="7" t="s">
        <v>23</v>
      </c>
      <c r="B9" s="7" t="s">
        <v>139</v>
      </c>
      <c r="C9" s="7" t="s">
        <v>140</v>
      </c>
      <c r="D9" s="7" t="s">
        <v>89</v>
      </c>
      <c r="E9" s="7" t="s">
        <v>94</v>
      </c>
      <c r="F9" s="7"/>
    </row>
    <row r="10" customFormat="false" ht="15" hidden="false" customHeight="false" outlineLevel="0" collapsed="false">
      <c r="A10" s="14" t="s">
        <v>23</v>
      </c>
      <c r="B10" s="14" t="s">
        <v>80</v>
      </c>
      <c r="C10" s="14"/>
      <c r="D10" s="14"/>
      <c r="E10" s="14"/>
      <c r="F10" s="14"/>
    </row>
    <row r="11" customFormat="false" ht="15" hidden="false" customHeight="false" outlineLevel="0" collapsed="false">
      <c r="A11" s="7" t="s">
        <v>34</v>
      </c>
      <c r="B11" s="7" t="s">
        <v>35</v>
      </c>
      <c r="C11" s="7"/>
      <c r="D11" s="7"/>
      <c r="E11" s="7"/>
      <c r="F11" s="7"/>
    </row>
    <row r="12" customFormat="false" ht="15" hidden="false" customHeight="false" outlineLevel="0" collapsed="false">
      <c r="A12" s="14" t="s">
        <v>34</v>
      </c>
      <c r="B12" s="14" t="s">
        <v>39</v>
      </c>
      <c r="C12" s="14"/>
      <c r="D12" s="14"/>
      <c r="E12" s="14"/>
      <c r="F12" s="14"/>
    </row>
    <row r="13" customFormat="false" ht="15" hidden="false" customHeight="false" outlineLevel="0" collapsed="false">
      <c r="A13" s="7" t="s">
        <v>34</v>
      </c>
      <c r="B13" s="7" t="s">
        <v>141</v>
      </c>
      <c r="C13" s="7"/>
      <c r="D13" s="7"/>
      <c r="E13" s="7"/>
      <c r="F13" s="7"/>
    </row>
    <row r="14" customFormat="false" ht="15" hidden="false" customHeight="false" outlineLevel="0" collapsed="false">
      <c r="A14" s="14" t="s">
        <v>34</v>
      </c>
      <c r="B14" s="14" t="s">
        <v>142</v>
      </c>
      <c r="C14" s="14"/>
      <c r="D14" s="14"/>
      <c r="E14" s="14"/>
      <c r="F14" s="14"/>
    </row>
    <row r="15" customFormat="false" ht="15" hidden="false" customHeight="false" outlineLevel="0" collapsed="false">
      <c r="A15" s="7" t="s">
        <v>34</v>
      </c>
      <c r="B15" s="7" t="s">
        <v>83</v>
      </c>
      <c r="C15" s="7"/>
      <c r="D15" s="7"/>
      <c r="E15" s="7"/>
      <c r="F15" s="7"/>
    </row>
    <row r="16" customFormat="false" ht="15" hidden="false" customHeight="false" outlineLevel="0" collapsed="false">
      <c r="A16" s="14" t="s">
        <v>34</v>
      </c>
      <c r="B16" s="14" t="s">
        <v>143</v>
      </c>
      <c r="C16" s="14"/>
      <c r="D16" s="14"/>
      <c r="E16" s="14"/>
      <c r="F16" s="14"/>
    </row>
    <row r="17" customFormat="false" ht="15" hidden="false" customHeight="false" outlineLevel="0" collapsed="false">
      <c r="A17" s="7" t="s">
        <v>34</v>
      </c>
      <c r="B17" s="7" t="s">
        <v>85</v>
      </c>
      <c r="C17" s="7"/>
      <c r="D17" s="7"/>
      <c r="E17" s="7"/>
      <c r="F17" s="7"/>
    </row>
    <row r="18" customFormat="false" ht="15" hidden="false" customHeight="false" outlineLevel="0" collapsed="false">
      <c r="A18" s="14"/>
      <c r="B18" s="14"/>
      <c r="C18" s="14"/>
      <c r="D18" s="14"/>
      <c r="E18" s="14"/>
      <c r="F18" s="14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</row>
    <row r="20" customFormat="false" ht="15" hidden="false" customHeight="false" outlineLevel="0" collapsed="false">
      <c r="A20" s="14"/>
      <c r="B20" s="14"/>
      <c r="C20" s="14"/>
      <c r="D20" s="14"/>
      <c r="E20" s="14"/>
      <c r="F20" s="14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</row>
    <row r="22" customFormat="false" ht="15" hidden="false" customHeight="false" outlineLevel="0" collapsed="false">
      <c r="A22" s="14"/>
      <c r="B22" s="14"/>
      <c r="C22" s="14"/>
      <c r="D22" s="14"/>
      <c r="E22" s="14"/>
      <c r="F22" s="14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</row>
    <row r="24" customFormat="false" ht="15" hidden="false" customHeight="false" outlineLevel="0" collapsed="false">
      <c r="A24" s="14"/>
      <c r="B24" s="14"/>
      <c r="C24" s="14"/>
      <c r="D24" s="14"/>
      <c r="E24" s="14"/>
      <c r="F24" s="14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2026-08-20T07:47:38Z</dcterms:created>
  <dc:creator>openpyxl</dc:creator>
  <dc:description/>
  <dc:language>en-US</dc:language>
  <cp:lastModifiedBy/>
  <dcterms:modified xsi:type="dcterms:W3CDTF">2026-08-20T07:47:40Z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